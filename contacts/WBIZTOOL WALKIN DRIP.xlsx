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1" sheetId="1" r:id="rId5"/>
    <sheet state="visible" name="QUEUE_FR1_NAME_AUDIT" sheetId="2" r:id="rId6"/>
    <sheet state="visible" name="NAME_AUDIT_REPORT" sheetId="3" r:id="rId7"/>
    <sheet state="visible" name="Leads_Master" sheetId="4" r:id="rId8"/>
    <sheet state="visible" name="Message_Queue" sheetId="5" r:id="rId9"/>
    <sheet state="visible" name="DRY_RUN_LOG" sheetId="6" r:id="rId10"/>
    <sheet state="visible" name="SENT_LOG" sheetId="7" r:id="rId11"/>
    <sheet state="visible" name="Variant_Log" sheetId="8" r:id="rId12"/>
    <sheet state="visible" name="Owner_Followups" sheetId="9" r:id="rId13"/>
    <sheet state="visible" name="System_Log" sheetId="10" r:id="rId14"/>
    <sheet state="visible" name="Safety_Config" sheetId="11" r:id="rId15"/>
    <sheet state="visible" name="Funnel_Reactivation" sheetId="12" r:id="rId16"/>
    <sheet state="visible" name="Funnel_Cold_Old" sheetId="13" r:id="rId17"/>
    <sheet state="visible" name="Occasion_Campaigns" sheetId="14" r:id="rId18"/>
    <sheet state="visible" name="Funnel_NoSale_First" sheetId="15" r:id="rId19"/>
    <sheet state="visible" name="Funnel_NoSale_Repeat" sheetId="16" r:id="rId20"/>
    <sheet state="visible" name="Funnel_PostSale" sheetId="17" r:id="rId21"/>
  </sheets>
  <definedNames/>
  <calcPr/>
</workbook>
</file>

<file path=xl/sharedStrings.xml><?xml version="1.0" encoding="utf-8"?>
<sst xmlns="http://schemas.openxmlformats.org/spreadsheetml/2006/main" count="15212" uniqueCount="1737">
  <si>
    <t>Phone</t>
  </si>
  <si>
    <t>Name in Message_Queue</t>
  </si>
  <si>
    <t>Names found in FR1</t>
  </si>
  <si>
    <t>Issue Type</t>
  </si>
  <si>
    <t>WhatsApp Risk</t>
  </si>
  <si>
    <t>Recommended Safe Name</t>
  </si>
  <si>
    <t>Shikha</t>
  </si>
  <si>
    <t>Shikha | Shika</t>
  </si>
  <si>
    <t>Multiple names in FR1</t>
  </si>
  <si>
    <t>HIGH</t>
  </si>
  <si>
    <t>Customer</t>
  </si>
  <si>
    <t>Afsana begam</t>
  </si>
  <si>
    <t>Afsana begam | Ms sharukh</t>
  </si>
  <si>
    <t>Uttam</t>
  </si>
  <si>
    <t>Uttam | Uttam ji</t>
  </si>
  <si>
    <t>Kritanjli</t>
  </si>
  <si>
    <t>Kritanjli | Gitanjali | Geetanjali ji | Geetanjali</t>
  </si>
  <si>
    <t>Anu</t>
  </si>
  <si>
    <t>Anu | Annu</t>
  </si>
  <si>
    <t>Veena rawal</t>
  </si>
  <si>
    <t>Veena rawal | Bina rawal | Beena rawal | Meena ji | Beena ji</t>
  </si>
  <si>
    <t>Keshar</t>
  </si>
  <si>
    <t>Keshar | Afsana | Md kesar khan | Md. Keshar khan | Md. Kesar khan | Md. Kesair khan</t>
  </si>
  <si>
    <t>Shaista</t>
  </si>
  <si>
    <t>Shaista | Shahista khan | Shahista khan ji | Shahista khan mam | Shahista Khan mam | Shahista ji</t>
  </si>
  <si>
    <t>Nikita</t>
  </si>
  <si>
    <t>Nikita | Reha jain</t>
  </si>
  <si>
    <t>Nada rku</t>
  </si>
  <si>
    <t>Nada rku | Naydu akku | Aku naydu</t>
  </si>
  <si>
    <t>Ritu rathi</t>
  </si>
  <si>
    <t>Ritu rathi | Ritu | Ritu Rathi ji</t>
  </si>
  <si>
    <t>Nikita goel</t>
  </si>
  <si>
    <t>Nikita goel | Nikita goyal</t>
  </si>
  <si>
    <t>Shallja</t>
  </si>
  <si>
    <t>Shallja | Shelja</t>
  </si>
  <si>
    <t>Ranbeer kumar</t>
  </si>
  <si>
    <t>Ranbeer kumar | Ranbeer kaur ji</t>
  </si>
  <si>
    <t>Manjeet</t>
  </si>
  <si>
    <t>Manjeet | Seema</t>
  </si>
  <si>
    <t>Shivani</t>
  </si>
  <si>
    <t>Shivani | Shivani manchanda</t>
  </si>
  <si>
    <t>Anita kapoor</t>
  </si>
  <si>
    <t>Anita kapoor | Anita | Anita ji</t>
  </si>
  <si>
    <t>Aanad</t>
  </si>
  <si>
    <t>Aanad | Annan jalan</t>
  </si>
  <si>
    <t>Meetu</t>
  </si>
  <si>
    <t>Meetu | Meetu goyal</t>
  </si>
  <si>
    <t>Pargati</t>
  </si>
  <si>
    <t>Pargati | Pragati ji</t>
  </si>
  <si>
    <t>Priyal</t>
  </si>
  <si>
    <t>Priyal | Priyal ji</t>
  </si>
  <si>
    <t>Bharti</t>
  </si>
  <si>
    <t>Bharti | Monika</t>
  </si>
  <si>
    <t>R.k tiwari</t>
  </si>
  <si>
    <t>R.k tiwari | R.K Tiwari</t>
  </si>
  <si>
    <t>Gurman Singh</t>
  </si>
  <si>
    <t>Gurman Singh | Parshant | Pooja | Danish | Subha | Sunita</t>
  </si>
  <si>
    <t>Meeru</t>
  </si>
  <si>
    <t>Meeru | Meeru sharma</t>
  </si>
  <si>
    <t>Laxshata</t>
  </si>
  <si>
    <t>Laxshata | Laxahita</t>
  </si>
  <si>
    <t>Charu</t>
  </si>
  <si>
    <t>Charu | Charu gaur</t>
  </si>
  <si>
    <t>Gsurav</t>
  </si>
  <si>
    <t>Gsurav | Gaurav</t>
  </si>
  <si>
    <t>Manoj</t>
  </si>
  <si>
    <t>Manoj | Manoj kumar</t>
  </si>
  <si>
    <t>Rinkal</t>
  </si>
  <si>
    <t>Rinkal | Rinkle</t>
  </si>
  <si>
    <t>Priyanka mehta</t>
  </si>
  <si>
    <t>Priyanka mehta | Priyanka</t>
  </si>
  <si>
    <t>Ujwal</t>
  </si>
  <si>
    <t>Ujwal | Parbhat</t>
  </si>
  <si>
    <t>Neha yadav</t>
  </si>
  <si>
    <t>Neha yadav | Neha</t>
  </si>
  <si>
    <t>Kamlesh</t>
  </si>
  <si>
    <t>Kamlesh | Shivam | Shivam fabric | Shivam (fabric)</t>
  </si>
  <si>
    <t>Ajay</t>
  </si>
  <si>
    <t>Ajay | Ajay kumar</t>
  </si>
  <si>
    <t>Shammy</t>
  </si>
  <si>
    <t>Shammy | Shuammy</t>
  </si>
  <si>
    <t>Nupur agarwal</t>
  </si>
  <si>
    <t>Nupur agarwal | Anupar</t>
  </si>
  <si>
    <t>Seema gupta</t>
  </si>
  <si>
    <t>Seema gupta | Seema | Seema gupta ji | Seema ji</t>
  </si>
  <si>
    <t>Usha</t>
  </si>
  <si>
    <t>Usha | Usha bhatiya</t>
  </si>
  <si>
    <t>Bhawna</t>
  </si>
  <si>
    <t>Bhawna | Nimishtha</t>
  </si>
  <si>
    <t>Sheetal</t>
  </si>
  <si>
    <t>Sheetal | Shital Arora | Shital | Shital arora</t>
  </si>
  <si>
    <t>Anchal</t>
  </si>
  <si>
    <t>Anchal | Aanchal</t>
  </si>
  <si>
    <t>Shreya sharma</t>
  </si>
  <si>
    <t>Shreya sharma | Sherya sharma | Shereha</t>
  </si>
  <si>
    <t>Md.imran</t>
  </si>
  <si>
    <t>Md.imran | Imran</t>
  </si>
  <si>
    <t>Mosim</t>
  </si>
  <si>
    <t>Mosim | Mohshin</t>
  </si>
  <si>
    <t>Sanjay</t>
  </si>
  <si>
    <t>Sanjay | Rema ps</t>
  </si>
  <si>
    <t>Ritu gupta</t>
  </si>
  <si>
    <t>Ritu gupta | Ritu | Ritu gupta ji</t>
  </si>
  <si>
    <t>Roshendra</t>
  </si>
  <si>
    <t>Roshendra | Rejvendra</t>
  </si>
  <si>
    <t>Akshay arora</t>
  </si>
  <si>
    <t>Akshay arora | Akshay | Akshay ji | Akshay arora ji</t>
  </si>
  <si>
    <t>Anil kumar</t>
  </si>
  <si>
    <t>Anil kumar | Anil kumar ji</t>
  </si>
  <si>
    <t>Rajni sinha</t>
  </si>
  <si>
    <t>Rajni sinha | Rajni sinha ji</t>
  </si>
  <si>
    <t>Rupanshi</t>
  </si>
  <si>
    <t>Rupanshi | Rupanki | Rupanki,ekta</t>
  </si>
  <si>
    <t>Kapila</t>
  </si>
  <si>
    <t>Kapila | Kapila sharma | Kavita kapila | Khushboo</t>
  </si>
  <si>
    <t>Himadri aarti gor</t>
  </si>
  <si>
    <t>Himadri aarti gor | Aarti | Aarti gaur</t>
  </si>
  <si>
    <t>Swati maheshwari</t>
  </si>
  <si>
    <t>Swati maheshwari | Sangeeta</t>
  </si>
  <si>
    <t>Kajal</t>
  </si>
  <si>
    <t>Kajal | Kajal ji</t>
  </si>
  <si>
    <t>Dr. Vijay</t>
  </si>
  <si>
    <t>Dr. Vijay | Dr. Kaushik</t>
  </si>
  <si>
    <t>Manoj kumar</t>
  </si>
  <si>
    <t>Manoj kumar | Vaishali</t>
  </si>
  <si>
    <t>Deepak</t>
  </si>
  <si>
    <t>Deepak | Deepak bansal ji</t>
  </si>
  <si>
    <t>Sapna</t>
  </si>
  <si>
    <t>Sapna | Sapna varma</t>
  </si>
  <si>
    <t>Aditi dhawan</t>
  </si>
  <si>
    <t>Aditi dhawan | Aditi ji</t>
  </si>
  <si>
    <t>Kash mishra</t>
  </si>
  <si>
    <t>Kash mishra | Kush mishra | Dhiraj bhalla</t>
  </si>
  <si>
    <t>Sunita jain</t>
  </si>
  <si>
    <t>Sunita jain | Sunita Jain</t>
  </si>
  <si>
    <t>Geeta</t>
  </si>
  <si>
    <t>Geeta | Geeta makhija</t>
  </si>
  <si>
    <t>Priyanka malik</t>
  </si>
  <si>
    <t>Priyanka malik | Priyanka</t>
  </si>
  <si>
    <t>Setu agarwal</t>
  </si>
  <si>
    <t>Setu agarwal | Setu aggarwal | Setu</t>
  </si>
  <si>
    <t>Samira</t>
  </si>
  <si>
    <t>Samira | Sameera</t>
  </si>
  <si>
    <t>Devu shree sharma</t>
  </si>
  <si>
    <t>Devu shree sharma | Poonam sharma ji</t>
  </si>
  <si>
    <t>Om parkash</t>
  </si>
  <si>
    <t>Om parkash | Om Prakash ji</t>
  </si>
  <si>
    <t>Tannu gupta</t>
  </si>
  <si>
    <t>Tannu gupta | Shekhar gupta</t>
  </si>
  <si>
    <t>Aachal</t>
  </si>
  <si>
    <t>Aachal | Anchal ji</t>
  </si>
  <si>
    <t>Bipasa</t>
  </si>
  <si>
    <t>Bipasa | Bipasha</t>
  </si>
  <si>
    <t>Pooja gupta</t>
  </si>
  <si>
    <t>Pooja gupta | Pooja</t>
  </si>
  <si>
    <t>Rajan</t>
  </si>
  <si>
    <t>Rajan | Rajendra</t>
  </si>
  <si>
    <t>Shardha</t>
  </si>
  <si>
    <t>Shardha | Yogendra kumar</t>
  </si>
  <si>
    <t>Urvashi</t>
  </si>
  <si>
    <t>Urvashi | Ajay ji</t>
  </si>
  <si>
    <t>Raj kumar aggarwal</t>
  </si>
  <si>
    <t>Raj kumar aggarwal | Raj kumar</t>
  </si>
  <si>
    <t>Virean</t>
  </si>
  <si>
    <t>Virean | Viren</t>
  </si>
  <si>
    <t>Dr.md.suhail</t>
  </si>
  <si>
    <t>Dr.md.suhail | M.d suhail | Dr.md.suhil</t>
  </si>
  <si>
    <t>Viren</t>
  </si>
  <si>
    <t>Viren | Viren ji</t>
  </si>
  <si>
    <t>Mamta</t>
  </si>
  <si>
    <t>Mamta | Mamta ji</t>
  </si>
  <si>
    <t>Sunita vashisht</t>
  </si>
  <si>
    <t>Sunita vashisht | Sunita</t>
  </si>
  <si>
    <t>Roma gogiya</t>
  </si>
  <si>
    <t>Roma gogiya | Roma</t>
  </si>
  <si>
    <t>Monika</t>
  </si>
  <si>
    <t>Monika | Monica ji</t>
  </si>
  <si>
    <t>Monika | Monika garg</t>
  </si>
  <si>
    <t>Jyanti</t>
  </si>
  <si>
    <t>Jyanti | Jayanti parida ji</t>
  </si>
  <si>
    <t>Upendra</t>
  </si>
  <si>
    <t>Upendra | Sunita</t>
  </si>
  <si>
    <t>Z.tech constrshou</t>
  </si>
  <si>
    <t>Z.tech constrshou | Ayub khan</t>
  </si>
  <si>
    <t>Shiv</t>
  </si>
  <si>
    <t>Shiv | Shiv Mittal ji</t>
  </si>
  <si>
    <t>Swapnarai rath</t>
  </si>
  <si>
    <t>Swapnarai rath | Swapnarani rath | Sawpnarani rath</t>
  </si>
  <si>
    <t>Mehvish</t>
  </si>
  <si>
    <t>Mehvish | Mehvish ji</t>
  </si>
  <si>
    <t>Bipasha</t>
  </si>
  <si>
    <t>Anupama</t>
  </si>
  <si>
    <t>Anupama | Anupama sharma</t>
  </si>
  <si>
    <t>Simran</t>
  </si>
  <si>
    <t>Simran | Simran sir</t>
  </si>
  <si>
    <t>Mukesh</t>
  </si>
  <si>
    <t>Mukesh | Mukesh ji</t>
  </si>
  <si>
    <t>Dimpal kher</t>
  </si>
  <si>
    <t>Dimpal kher | Dimpal kher ji | Dimple ji | Dimple khair ji</t>
  </si>
  <si>
    <t>Shrey</t>
  </si>
  <si>
    <t>Shrey | Sherya</t>
  </si>
  <si>
    <t>Rakesh kumar</t>
  </si>
  <si>
    <t>Rakesh kumar | Rakesh</t>
  </si>
  <si>
    <t>Heera ram</t>
  </si>
  <si>
    <t>Heera ram | Hiraram ji</t>
  </si>
  <si>
    <t>Kiran</t>
  </si>
  <si>
    <t>Kiran | Kiran yadav ji</t>
  </si>
  <si>
    <t>Aanchal</t>
  </si>
  <si>
    <t>Dr.mannak</t>
  </si>
  <si>
    <t>Dr.mannak | Dr.maynak</t>
  </si>
  <si>
    <t>Mohshin</t>
  </si>
  <si>
    <t>Monika arora</t>
  </si>
  <si>
    <t>Monika arora | Monica ji</t>
  </si>
  <si>
    <t>Misaib raza</t>
  </si>
  <si>
    <t>Misaib raza | Muzaib raza</t>
  </si>
  <si>
    <t>Rekha avasti</t>
  </si>
  <si>
    <t>Rekha avasti | Mahima ji</t>
  </si>
  <si>
    <t>Seema</t>
  </si>
  <si>
    <t>V.kumar</t>
  </si>
  <si>
    <t>V.kumar | Kumar | Virender</t>
  </si>
  <si>
    <t>Anjnay</t>
  </si>
  <si>
    <t>Anjnay | Anjali</t>
  </si>
  <si>
    <t>Ish kumar</t>
  </si>
  <si>
    <t>Ish kumar | Ishu kumar</t>
  </si>
  <si>
    <t>Geeta makhija</t>
  </si>
  <si>
    <t>Rupanki</t>
  </si>
  <si>
    <t>Nidhi</t>
  </si>
  <si>
    <t>Nidhi | Nidhi ji</t>
  </si>
  <si>
    <t>Raj</t>
  </si>
  <si>
    <t>Raj | Atoshi | Raj Lamba ji</t>
  </si>
  <si>
    <t>Mini sachdeva</t>
  </si>
  <si>
    <t>Mini sachdeva | Anju kapoor ji | Mini sachdeva ji | Mini sachdeva mam</t>
  </si>
  <si>
    <t>Shalu nagpal</t>
  </si>
  <si>
    <t>Shalu nagpal | Shaku nagpal</t>
  </si>
  <si>
    <t>Shital arora</t>
  </si>
  <si>
    <t>Varsha</t>
  </si>
  <si>
    <t>Varsha | Varsha yadav</t>
  </si>
  <si>
    <t>Supriya gandhi</t>
  </si>
  <si>
    <t>Supriya gandhi | Supriya ji</t>
  </si>
  <si>
    <t>Jasmeet singh</t>
  </si>
  <si>
    <t>Jasmeet singh | Jasmit</t>
  </si>
  <si>
    <t>Nand kishor</t>
  </si>
  <si>
    <t>Nand kishor | Rekha awasthi</t>
  </si>
  <si>
    <t>Komal gehra,rajeev gehra</t>
  </si>
  <si>
    <t>Komal gehra,rajeev gehra | Komal khera</t>
  </si>
  <si>
    <t>Umashreegiri</t>
  </si>
  <si>
    <t>Umashreegiri | Umashri ji</t>
  </si>
  <si>
    <t>Kusum singh</t>
  </si>
  <si>
    <t>Kusum singh | Kusum | Kusum ji</t>
  </si>
  <si>
    <t>Pitamber</t>
  </si>
  <si>
    <t>Pitamber | Rajeshwari</t>
  </si>
  <si>
    <t>Beena rawal</t>
  </si>
  <si>
    <t>Sunita</t>
  </si>
  <si>
    <t>Sunita | Priyanka | Dipti duggal | Sunita duggal</t>
  </si>
  <si>
    <t>Priyanka</t>
  </si>
  <si>
    <t>Raju chopda</t>
  </si>
  <si>
    <t>Raju chopda | Raj chopra ji</t>
  </si>
  <si>
    <t>Pawan ahuja</t>
  </si>
  <si>
    <t>Pawan ahuja | Mrs. Ahuja | Mrs.Ahuja</t>
  </si>
  <si>
    <t>Setu aggarwal</t>
  </si>
  <si>
    <t>Hina</t>
  </si>
  <si>
    <t>Hina | Heena</t>
  </si>
  <si>
    <t>Vinita</t>
  </si>
  <si>
    <t>Vinita | Veenita</t>
  </si>
  <si>
    <t>Sushma yadav</t>
  </si>
  <si>
    <t>Sushma yadav | Sushma Yadav ji | Sushma Yadav mam</t>
  </si>
  <si>
    <t>Neena singh</t>
  </si>
  <si>
    <t>Neena singh | Nina singh</t>
  </si>
  <si>
    <t>Shubham jain</t>
  </si>
  <si>
    <t>Shubham jain | Shubhsm jain</t>
  </si>
  <si>
    <t>Meeru sharma</t>
  </si>
  <si>
    <t>Sherya</t>
  </si>
  <si>
    <t>Radhika</t>
  </si>
  <si>
    <t>Radhika | Radhika jain</t>
  </si>
  <si>
    <t>Gitanjali</t>
  </si>
  <si>
    <t>Kumar</t>
  </si>
  <si>
    <t>Kusum</t>
  </si>
  <si>
    <t>Shubhsm jain</t>
  </si>
  <si>
    <t>Shikha aggarwal</t>
  </si>
  <si>
    <t>Shikha aggarwal | Shika | Shikha Aggarwal ji</t>
  </si>
  <si>
    <t>Priyanka | Priyanka Bhatia ji | Priyanka ji</t>
  </si>
  <si>
    <t>Mirnalini</t>
  </si>
  <si>
    <t>Mirnalini | Mrinalini</t>
  </si>
  <si>
    <t>Radhika jain</t>
  </si>
  <si>
    <t>Shivam fabric</t>
  </si>
  <si>
    <t>Sameera</t>
  </si>
  <si>
    <t>Khushboo</t>
  </si>
  <si>
    <t>Shahista khan</t>
  </si>
  <si>
    <t>Narendra Mehta</t>
  </si>
  <si>
    <t>Narendra Mehta | Narender Mehta</t>
  </si>
  <si>
    <t>Sanjeev Arora</t>
  </si>
  <si>
    <t>Sanjeev Arora | Sanjeev Arora ji</t>
  </si>
  <si>
    <t>Narender Mehta</t>
  </si>
  <si>
    <t>Aarti</t>
  </si>
  <si>
    <t>Sunita goyal</t>
  </si>
  <si>
    <t>Sunita goyal | Sunita goyal ji</t>
  </si>
  <si>
    <t>Sakshi singh</t>
  </si>
  <si>
    <t>Sakshi singh | Sakshi Singh</t>
  </si>
  <si>
    <t>Afsana</t>
  </si>
  <si>
    <t>Rekha awasthi</t>
  </si>
  <si>
    <t>Sanjay arora ji</t>
  </si>
  <si>
    <t>Sanjay arora ji | Sanjay Arora ji</t>
  </si>
  <si>
    <t>Sanjay Arora ji</t>
  </si>
  <si>
    <t>Shiv Mittal ji</t>
  </si>
  <si>
    <t>Ritu gupta ji</t>
  </si>
  <si>
    <t>Vandana ji</t>
  </si>
  <si>
    <t>Vandana ji | Vandana punjani ji</t>
  </si>
  <si>
    <t>S.K Mehta ji</t>
  </si>
  <si>
    <t>S.K Mehta ji | Tushar ji | S.k Mehta</t>
  </si>
  <si>
    <t>Md kesar khan</t>
  </si>
  <si>
    <t>Sunita Jain</t>
  </si>
  <si>
    <t>Sanjeev Arora ji</t>
  </si>
  <si>
    <t>Nimishtha</t>
  </si>
  <si>
    <t>Deepak bansal ji</t>
  </si>
  <si>
    <t>Sakshi Singh</t>
  </si>
  <si>
    <t>Ashutosh pandey ji</t>
  </si>
  <si>
    <t>Ashutosh pandey ji | Ashutosh Pandey ji</t>
  </si>
  <si>
    <t>Om raghuvanshi</t>
  </si>
  <si>
    <t>Om raghuvanshi | Om Raghuvanshi</t>
  </si>
  <si>
    <t>Bhumika</t>
  </si>
  <si>
    <t>Bhumika | Bhumika ji</t>
  </si>
  <si>
    <t>Ajay ji</t>
  </si>
  <si>
    <t>Akshay ji</t>
  </si>
  <si>
    <t>Mustafa Alam ji</t>
  </si>
  <si>
    <t>Mustafa Alam ji | Mustafa ji</t>
  </si>
  <si>
    <t>Pratibha manchanda ji</t>
  </si>
  <si>
    <t>Pratibha manchanda ji | Pratibha ji</t>
  </si>
  <si>
    <t>Pankaj kumar ji</t>
  </si>
  <si>
    <t>Pankaj kumar ji | Pankaj ji</t>
  </si>
  <si>
    <t>Mehvish ji</t>
  </si>
  <si>
    <t>Anchal ji</t>
  </si>
  <si>
    <t>Dimpal kher ji</t>
  </si>
  <si>
    <t>Ranbeer kaur ji</t>
  </si>
  <si>
    <t>Simran sir</t>
  </si>
  <si>
    <t>Muskaan ji</t>
  </si>
  <si>
    <t>Muskaan ji | Muskaan gupta</t>
  </si>
  <si>
    <t>Viren ji</t>
  </si>
  <si>
    <t>R.K Tiwari</t>
  </si>
  <si>
    <t>Charanjeet ji</t>
  </si>
  <si>
    <t>Charanjeet ji | Charanjeet</t>
  </si>
  <si>
    <t>Dr. Kaushik</t>
  </si>
  <si>
    <t>Anita ji</t>
  </si>
  <si>
    <t>Ritu Rathi ji</t>
  </si>
  <si>
    <t>Monica ji</t>
  </si>
  <si>
    <t>Uttam ji</t>
  </si>
  <si>
    <t>Priyal ji</t>
  </si>
  <si>
    <t>Mamta ji</t>
  </si>
  <si>
    <t>Jamyumg</t>
  </si>
  <si>
    <t>Jamyumg | Jamynj ji</t>
  </si>
  <si>
    <t>Poonam sharma ji</t>
  </si>
  <si>
    <t>Anju kapoor ji</t>
  </si>
  <si>
    <t>Kusum ji</t>
  </si>
  <si>
    <t>Pulkit gupta ji</t>
  </si>
  <si>
    <t>Pulkit gupta ji | Pulkit ji</t>
  </si>
  <si>
    <t>Rajni sinha ji</t>
  </si>
  <si>
    <t>Mirza ji</t>
  </si>
  <si>
    <t>Mirza ji | Mirza baig</t>
  </si>
  <si>
    <t>Om Prakash ji</t>
  </si>
  <si>
    <t>Nikita | Nikita ji</t>
  </si>
  <si>
    <t>Nikita ji</t>
  </si>
  <si>
    <t>Pragati ji</t>
  </si>
  <si>
    <t>Sandeep gupta ji</t>
  </si>
  <si>
    <t>Sandeep gupta ji | Mrs. Ritu gupta</t>
  </si>
  <si>
    <t>Nikhil</t>
  </si>
  <si>
    <t>Nikhil | Nikhil ji</t>
  </si>
  <si>
    <t>Sanjeev Jalan ji</t>
  </si>
  <si>
    <t>Sanjeev Jalan ji | Sanjeev jalan ji</t>
  </si>
  <si>
    <t>Aditi ji</t>
  </si>
  <si>
    <t>Name in Leads_Master</t>
  </si>
  <si>
    <t>Suggested Safe Name</t>
  </si>
  <si>
    <t>Sunil jain</t>
  </si>
  <si>
    <t>Missing in Leads_Master</t>
  </si>
  <si>
    <t>Ritu</t>
  </si>
  <si>
    <t>Anita ji (Sydney)</t>
  </si>
  <si>
    <t>Sudha ji</t>
  </si>
  <si>
    <t>Vijai ji Sydney | Vijay ji (Sydney)</t>
  </si>
  <si>
    <t>Vijai ji Sydney</t>
  </si>
  <si>
    <t>Shiba</t>
  </si>
  <si>
    <t>Menan</t>
  </si>
  <si>
    <t>Masud khan ji</t>
  </si>
  <si>
    <t>Aditi | Latika</t>
  </si>
  <si>
    <t>Aditi</t>
  </si>
  <si>
    <t>Furkan</t>
  </si>
  <si>
    <t>Renu</t>
  </si>
  <si>
    <t>Shruti</t>
  </si>
  <si>
    <t>Rakesh</t>
  </si>
  <si>
    <t>Satish yadav</t>
  </si>
  <si>
    <t>Manisha ji</t>
  </si>
  <si>
    <t>Anjli | Anjali</t>
  </si>
  <si>
    <t>Anjli</t>
  </si>
  <si>
    <t>Hasan</t>
  </si>
  <si>
    <t>M.s creral</t>
  </si>
  <si>
    <t>Sakshi sachdeva</t>
  </si>
  <si>
    <t>Sudhanshu</t>
  </si>
  <si>
    <t>Mukul</t>
  </si>
  <si>
    <t>Benuji</t>
  </si>
  <si>
    <t>Tushar</t>
  </si>
  <si>
    <t>Atoshi</t>
  </si>
  <si>
    <t>Sunita mehta</t>
  </si>
  <si>
    <t>Amit kumar</t>
  </si>
  <si>
    <t>Pragya</t>
  </si>
  <si>
    <t>Raj karan</t>
  </si>
  <si>
    <t>Ravi</t>
  </si>
  <si>
    <t>Sumit</t>
  </si>
  <si>
    <t>Shilpi puri</t>
  </si>
  <si>
    <t>Sharvan</t>
  </si>
  <si>
    <t>Mini</t>
  </si>
  <si>
    <t>Naresh</t>
  </si>
  <si>
    <t>Priya</t>
  </si>
  <si>
    <t>Urmil</t>
  </si>
  <si>
    <t>Sandeep</t>
  </si>
  <si>
    <t>Subhash</t>
  </si>
  <si>
    <t>Renu manchanda</t>
  </si>
  <si>
    <t>Krishna</t>
  </si>
  <si>
    <t>Zaid</t>
  </si>
  <si>
    <t>Kamal rajput</t>
  </si>
  <si>
    <t>Miqal</t>
  </si>
  <si>
    <t>Purshotam</t>
  </si>
  <si>
    <t>Shushil kumar</t>
  </si>
  <si>
    <t>Jitender</t>
  </si>
  <si>
    <t>Ronak parveen</t>
  </si>
  <si>
    <t>Dipti</t>
  </si>
  <si>
    <t>Ritu Choudhary</t>
  </si>
  <si>
    <t>MD salehin</t>
  </si>
  <si>
    <t>Gorav</t>
  </si>
  <si>
    <t>Neena</t>
  </si>
  <si>
    <t>Ina</t>
  </si>
  <si>
    <t>Sagar</t>
  </si>
  <si>
    <t>Khushbu vijay</t>
  </si>
  <si>
    <t>Rakesh ravi</t>
  </si>
  <si>
    <t>Sanchit</t>
  </si>
  <si>
    <t>Pc sharma</t>
  </si>
  <si>
    <t>Rajni</t>
  </si>
  <si>
    <t>Poonam</t>
  </si>
  <si>
    <t>Kavita</t>
  </si>
  <si>
    <t>Umera</t>
  </si>
  <si>
    <t>Gagan</t>
  </si>
  <si>
    <t>Rahul</t>
  </si>
  <si>
    <t>Hardeep</t>
  </si>
  <si>
    <t>Annu</t>
  </si>
  <si>
    <t>Neven cutuc</t>
  </si>
  <si>
    <t>Sunal</t>
  </si>
  <si>
    <t>Neven</t>
  </si>
  <si>
    <t>Deepshi</t>
  </si>
  <si>
    <t>Parmod</t>
  </si>
  <si>
    <t>Alifiya</t>
  </si>
  <si>
    <t>Ankush sharma</t>
  </si>
  <si>
    <t>Rajeev gera</t>
  </si>
  <si>
    <t>Saloni</t>
  </si>
  <si>
    <t>Naidu</t>
  </si>
  <si>
    <t>Dr. Mehta</t>
  </si>
  <si>
    <t>P.d sharma</t>
  </si>
  <si>
    <t>Tahir</t>
  </si>
  <si>
    <t>Mehek dhawan</t>
  </si>
  <si>
    <t>Anil Choudhary</t>
  </si>
  <si>
    <t>Gurmeet</t>
  </si>
  <si>
    <t>Dinesh</t>
  </si>
  <si>
    <t>Zeeshan</t>
  </si>
  <si>
    <t>Neha</t>
  </si>
  <si>
    <t>Zeba</t>
  </si>
  <si>
    <t>Indu</t>
  </si>
  <si>
    <t>Saurabh</t>
  </si>
  <si>
    <t>Sunny</t>
  </si>
  <si>
    <t>Sahil</t>
  </si>
  <si>
    <t>Jagreet</t>
  </si>
  <si>
    <t>Manish</t>
  </si>
  <si>
    <t>Gurendar</t>
  </si>
  <si>
    <t>Shishir</t>
  </si>
  <si>
    <t>Shagufta</t>
  </si>
  <si>
    <t>Umesh</t>
  </si>
  <si>
    <t>Rahul malik</t>
  </si>
  <si>
    <t>Sarita dilavri</t>
  </si>
  <si>
    <t>Gulnaaz</t>
  </si>
  <si>
    <t>Ajeet singh</t>
  </si>
  <si>
    <t>Usha gupta</t>
  </si>
  <si>
    <t>Sonam</t>
  </si>
  <si>
    <t>Shabir</t>
  </si>
  <si>
    <t>Pooja</t>
  </si>
  <si>
    <t>Sanjeev</t>
  </si>
  <si>
    <t>Vishal</t>
  </si>
  <si>
    <t>Chhotu gupta</t>
  </si>
  <si>
    <t>Preeti</t>
  </si>
  <si>
    <t>Vandita</t>
  </si>
  <si>
    <t>Kamla devi</t>
  </si>
  <si>
    <t>Nansi</t>
  </si>
  <si>
    <t>Sudeep</t>
  </si>
  <si>
    <t>Rihan ali khan</t>
  </si>
  <si>
    <t>Mansoor</t>
  </si>
  <si>
    <t>Deepanshu goyal</t>
  </si>
  <si>
    <t>Jai kishan</t>
  </si>
  <si>
    <t>Yogesh goyal</t>
  </si>
  <si>
    <t>Charanjeet singh</t>
  </si>
  <si>
    <t>S panda</t>
  </si>
  <si>
    <t>Parul yadav</t>
  </si>
  <si>
    <t>Anju</t>
  </si>
  <si>
    <t>Ritika</t>
  </si>
  <si>
    <t>Seema chawla</t>
  </si>
  <si>
    <t>Manan</t>
  </si>
  <si>
    <t>Bharat mehta</t>
  </si>
  <si>
    <t>Pinky Seth</t>
  </si>
  <si>
    <t>Sakshi</t>
  </si>
  <si>
    <t>Mehak</t>
  </si>
  <si>
    <t>Javed aslam ansari</t>
  </si>
  <si>
    <t>Vivek</t>
  </si>
  <si>
    <t>Sameer</t>
  </si>
  <si>
    <t>Manoj gupta</t>
  </si>
  <si>
    <t>Ankari</t>
  </si>
  <si>
    <t>Subhan</t>
  </si>
  <si>
    <t>Nisha kumari</t>
  </si>
  <si>
    <t>Md.wasim</t>
  </si>
  <si>
    <t>Arushi</t>
  </si>
  <si>
    <t>Sakhib khan</t>
  </si>
  <si>
    <t>Naveen</t>
  </si>
  <si>
    <t>Shiv kumar yadav</t>
  </si>
  <si>
    <t>Ekta</t>
  </si>
  <si>
    <t>Ayushi</t>
  </si>
  <si>
    <t>Ashu</t>
  </si>
  <si>
    <t>Kanchan</t>
  </si>
  <si>
    <t>Mona sethi</t>
  </si>
  <si>
    <t>Mr.bhushan roy</t>
  </si>
  <si>
    <t>Gourav</t>
  </si>
  <si>
    <t>Shweta</t>
  </si>
  <si>
    <t>Satyam</t>
  </si>
  <si>
    <t>Anjna</t>
  </si>
  <si>
    <t>Sheela</t>
  </si>
  <si>
    <t>R.c gupta</t>
  </si>
  <si>
    <t>Ram arora</t>
  </si>
  <si>
    <t>Vashali</t>
  </si>
  <si>
    <t>Asha</t>
  </si>
  <si>
    <t>Yer Mohamad</t>
  </si>
  <si>
    <t>Ruby</t>
  </si>
  <si>
    <t>Arun sharma</t>
  </si>
  <si>
    <t>Andita gupta</t>
  </si>
  <si>
    <t>Musir</t>
  </si>
  <si>
    <t>Putul kumari</t>
  </si>
  <si>
    <t>Neeeraj</t>
  </si>
  <si>
    <t>Rekha jain</t>
  </si>
  <si>
    <t>Saran</t>
  </si>
  <si>
    <t>Sarita</t>
  </si>
  <si>
    <t>Ruchi kumari</t>
  </si>
  <si>
    <t>Raj sing</t>
  </si>
  <si>
    <t>Rekha</t>
  </si>
  <si>
    <t>Mukta</t>
  </si>
  <si>
    <t>Kritika</t>
  </si>
  <si>
    <t>Tabu</t>
  </si>
  <si>
    <t>Ravi kumar</t>
  </si>
  <si>
    <t>Pawan</t>
  </si>
  <si>
    <t>Ruchi</t>
  </si>
  <si>
    <t>J.k roy Choudhry</t>
  </si>
  <si>
    <t>Payal</t>
  </si>
  <si>
    <t>Muskan</t>
  </si>
  <si>
    <t>Padam kumar</t>
  </si>
  <si>
    <t>Anshika</t>
  </si>
  <si>
    <t>Kamlender singh</t>
  </si>
  <si>
    <t>Sharafat ali</t>
  </si>
  <si>
    <t>Javed imran</t>
  </si>
  <si>
    <t>Boby</t>
  </si>
  <si>
    <t>Akshay gupta</t>
  </si>
  <si>
    <t>Parvesh</t>
  </si>
  <si>
    <t>Nayma</t>
  </si>
  <si>
    <t>R.k thakur</t>
  </si>
  <si>
    <t>Raman sharma</t>
  </si>
  <si>
    <t>Vinod</t>
  </si>
  <si>
    <t>Gunisha</t>
  </si>
  <si>
    <t>Souranshi</t>
  </si>
  <si>
    <t>Archna</t>
  </si>
  <si>
    <t>Amit bhaskar</t>
  </si>
  <si>
    <t>Pream parkash chand</t>
  </si>
  <si>
    <t>Harshul</t>
  </si>
  <si>
    <t>Jagriti</t>
  </si>
  <si>
    <t>Pargya</t>
  </si>
  <si>
    <t>Nagma</t>
  </si>
  <si>
    <t>Aman</t>
  </si>
  <si>
    <t>Pavnaat</t>
  </si>
  <si>
    <t>Meera</t>
  </si>
  <si>
    <t>Pramod kumar</t>
  </si>
  <si>
    <t>Komal</t>
  </si>
  <si>
    <t>Ishrat</t>
  </si>
  <si>
    <t>Riyaz</t>
  </si>
  <si>
    <t>M.d ansar</t>
  </si>
  <si>
    <t>Shuruti</t>
  </si>
  <si>
    <t>Bishal</t>
  </si>
  <si>
    <t>Hina gupta</t>
  </si>
  <si>
    <t>Ankit obroy</t>
  </si>
  <si>
    <t>Archana</t>
  </si>
  <si>
    <t>Dalmeet singh</t>
  </si>
  <si>
    <t>Nisha agarwal</t>
  </si>
  <si>
    <t>Sandeep kumar</t>
  </si>
  <si>
    <t>Karamvir singh</t>
  </si>
  <si>
    <t>Kasim</t>
  </si>
  <si>
    <t>Harish tondon</t>
  </si>
  <si>
    <t>Rama rai</t>
  </si>
  <si>
    <t>Vartika</t>
  </si>
  <si>
    <t>Jyoti</t>
  </si>
  <si>
    <t>Shaihina</t>
  </si>
  <si>
    <t>Deepmala</t>
  </si>
  <si>
    <t>Nikunj</t>
  </si>
  <si>
    <t>Anuradha</t>
  </si>
  <si>
    <t>Chhavi</t>
  </si>
  <si>
    <t>S.p singh</t>
  </si>
  <si>
    <t>Jaswinder</t>
  </si>
  <si>
    <t>Ankita</t>
  </si>
  <si>
    <t>Aseema</t>
  </si>
  <si>
    <t>Johan khuroo</t>
  </si>
  <si>
    <t>Sujata</t>
  </si>
  <si>
    <t>Ram kumar</t>
  </si>
  <si>
    <t>Kesho devi</t>
  </si>
  <si>
    <t>Bittu</t>
  </si>
  <si>
    <t>Danish sharma</t>
  </si>
  <si>
    <t>Deepika</t>
  </si>
  <si>
    <t>Mahima</t>
  </si>
  <si>
    <t>Gareema</t>
  </si>
  <si>
    <t>Vipul mital</t>
  </si>
  <si>
    <t>Amit</t>
  </si>
  <si>
    <t>Deepanshu</t>
  </si>
  <si>
    <t>Mohan kumar</t>
  </si>
  <si>
    <t>Mani kumari</t>
  </si>
  <si>
    <t>Abhay tiwari</t>
  </si>
  <si>
    <t>Shamsher singh</t>
  </si>
  <si>
    <t>Nidhi goyal</t>
  </si>
  <si>
    <t>Sayma</t>
  </si>
  <si>
    <t>Sundar</t>
  </si>
  <si>
    <t>Manjuran</t>
  </si>
  <si>
    <t>Riya</t>
  </si>
  <si>
    <t>Meenakshi</t>
  </si>
  <si>
    <t>Sandhaya</t>
  </si>
  <si>
    <t>Snuradha</t>
  </si>
  <si>
    <t>Sunghanda</t>
  </si>
  <si>
    <t>Shivani sharma</t>
  </si>
  <si>
    <t>Swati</t>
  </si>
  <si>
    <t>Neetu mehta</t>
  </si>
  <si>
    <t>Vanshika</t>
  </si>
  <si>
    <t>Varun</t>
  </si>
  <si>
    <t>Soni</t>
  </si>
  <si>
    <t>Prerna</t>
  </si>
  <si>
    <t>Jaspreet</t>
  </si>
  <si>
    <t>Prince</t>
  </si>
  <si>
    <t>Shiv kumar</t>
  </si>
  <si>
    <t>Kriti</t>
  </si>
  <si>
    <t>Sukhrit</t>
  </si>
  <si>
    <t>Rakesh jain</t>
  </si>
  <si>
    <t>Dr. Shrisht</t>
  </si>
  <si>
    <t>Pawan kumar</t>
  </si>
  <si>
    <t>Purnima</t>
  </si>
  <si>
    <t>Yadav ji</t>
  </si>
  <si>
    <t>Ranju</t>
  </si>
  <si>
    <t>Aamir khan</t>
  </si>
  <si>
    <t>Md. Aarif</t>
  </si>
  <si>
    <t>Sudhir tiwari</t>
  </si>
  <si>
    <t>Pooja singh</t>
  </si>
  <si>
    <t>Soniya</t>
  </si>
  <si>
    <t>Diya</t>
  </si>
  <si>
    <t>Shakil</t>
  </si>
  <si>
    <t>Sungandha</t>
  </si>
  <si>
    <t>Rajesh</t>
  </si>
  <si>
    <t>Ruchi garg</t>
  </si>
  <si>
    <t>Mitesh</t>
  </si>
  <si>
    <t>Poonam tripathi</t>
  </si>
  <si>
    <t>Nilam</t>
  </si>
  <si>
    <t>Abhishek singh</t>
  </si>
  <si>
    <t>Harveer</t>
  </si>
  <si>
    <t>Vijay</t>
  </si>
  <si>
    <t>Rajni shukla</t>
  </si>
  <si>
    <t>Shumaila</t>
  </si>
  <si>
    <t>Munish singh</t>
  </si>
  <si>
    <t>Surbhi</t>
  </si>
  <si>
    <t>Rabiya</t>
  </si>
  <si>
    <t>Dr.sajad</t>
  </si>
  <si>
    <t>Ayub khan</t>
  </si>
  <si>
    <t>Asim</t>
  </si>
  <si>
    <t>Jyoti kapoor</t>
  </si>
  <si>
    <t>Swati Jha</t>
  </si>
  <si>
    <t>Kamal gupta</t>
  </si>
  <si>
    <t>Parag</t>
  </si>
  <si>
    <t>Hashir</t>
  </si>
  <si>
    <t>Smita</t>
  </si>
  <si>
    <t>Rizwana</t>
  </si>
  <si>
    <t>Dikshi</t>
  </si>
  <si>
    <t>Sohali</t>
  </si>
  <si>
    <t>Sunita gupta</t>
  </si>
  <si>
    <t>Sarvik</t>
  </si>
  <si>
    <t>Anjali</t>
  </si>
  <si>
    <t>Namira</t>
  </si>
  <si>
    <t>Danish</t>
  </si>
  <si>
    <t>Kirti goyal</t>
  </si>
  <si>
    <t>Aprna</t>
  </si>
  <si>
    <t>Sunidhi</t>
  </si>
  <si>
    <t>Sidharth Anand</t>
  </si>
  <si>
    <t>Nirpal</t>
  </si>
  <si>
    <t>Bharat rathi</t>
  </si>
  <si>
    <t>Nawab</t>
  </si>
  <si>
    <t>Parteek</t>
  </si>
  <si>
    <t>Aaina</t>
  </si>
  <si>
    <t>Kanika</t>
  </si>
  <si>
    <t>Arun kumar</t>
  </si>
  <si>
    <t>Sunil varma</t>
  </si>
  <si>
    <t>Aarchna</t>
  </si>
  <si>
    <t>Neeraj</t>
  </si>
  <si>
    <t>Gaurav,</t>
  </si>
  <si>
    <t>Rohit patel</t>
  </si>
  <si>
    <t>Hazim md.arif</t>
  </si>
  <si>
    <t>Hitesh</t>
  </si>
  <si>
    <t>Rakeshndra</t>
  </si>
  <si>
    <t>Keso devi</t>
  </si>
  <si>
    <t>Ajeet kumar</t>
  </si>
  <si>
    <t>Sanny jain</t>
  </si>
  <si>
    <t>Jyoti jain</t>
  </si>
  <si>
    <t>Jatin</t>
  </si>
  <si>
    <t>Ashwariya</t>
  </si>
  <si>
    <t>Vivek gupta</t>
  </si>
  <si>
    <t>Mansi</t>
  </si>
  <si>
    <t>Eva</t>
  </si>
  <si>
    <t>Sonam gupta</t>
  </si>
  <si>
    <t>Nimish gupta</t>
  </si>
  <si>
    <t>Shinu</t>
  </si>
  <si>
    <t>Rupa kapoor</t>
  </si>
  <si>
    <t>Vikram</t>
  </si>
  <si>
    <t>Navya</t>
  </si>
  <si>
    <t>Shelza</t>
  </si>
  <si>
    <t>Jarrey</t>
  </si>
  <si>
    <t>Harsh</t>
  </si>
  <si>
    <t>H.rehman</t>
  </si>
  <si>
    <t>Manik</t>
  </si>
  <si>
    <t>Jasmin</t>
  </si>
  <si>
    <t>Md.musheer</t>
  </si>
  <si>
    <t>Anjana</t>
  </si>
  <si>
    <t>Aksnsha</t>
  </si>
  <si>
    <t>Eram naaz</t>
  </si>
  <si>
    <t>Zaved hussein</t>
  </si>
  <si>
    <t>Ambika</t>
  </si>
  <si>
    <t>Yusuf</t>
  </si>
  <si>
    <t>Savita</t>
  </si>
  <si>
    <t>Alina</t>
  </si>
  <si>
    <t>Gurdimran</t>
  </si>
  <si>
    <t>Aryan arya</t>
  </si>
  <si>
    <t>Jai shree</t>
  </si>
  <si>
    <t>Rupal</t>
  </si>
  <si>
    <t>Jaspreet singh</t>
  </si>
  <si>
    <t>Sumit kumar</t>
  </si>
  <si>
    <t>Fareen</t>
  </si>
  <si>
    <t>Rajnesh</t>
  </si>
  <si>
    <t>Revan upmany</t>
  </si>
  <si>
    <t>Mithlesh</t>
  </si>
  <si>
    <t>Sanchal reddy</t>
  </si>
  <si>
    <t>Aarohi</t>
  </si>
  <si>
    <t>Rajeev</t>
  </si>
  <si>
    <t>Saima</t>
  </si>
  <si>
    <t>Akhil</t>
  </si>
  <si>
    <t>Naman</t>
  </si>
  <si>
    <t>Partyakshi</t>
  </si>
  <si>
    <t>M.d tohib</t>
  </si>
  <si>
    <t>Pardeep</t>
  </si>
  <si>
    <t>Gaurav</t>
  </si>
  <si>
    <t>K.k ratra</t>
  </si>
  <si>
    <t>Sadiya zahid</t>
  </si>
  <si>
    <t>Ekra</t>
  </si>
  <si>
    <t>Sahil singh</t>
  </si>
  <si>
    <t>Ani bhanat</t>
  </si>
  <si>
    <t>Satuti</t>
  </si>
  <si>
    <t>Gyan</t>
  </si>
  <si>
    <t>Mittal software labs ltd.</t>
  </si>
  <si>
    <t>Niharika</t>
  </si>
  <si>
    <t>Uma</t>
  </si>
  <si>
    <t>Manyankita</t>
  </si>
  <si>
    <t>Kishor</t>
  </si>
  <si>
    <t>Aditiya</t>
  </si>
  <si>
    <t>Parveen</t>
  </si>
  <si>
    <t>Vineet</t>
  </si>
  <si>
    <t>Samir</t>
  </si>
  <si>
    <t>Babar</t>
  </si>
  <si>
    <t>Gurucharan</t>
  </si>
  <si>
    <t>Mona</t>
  </si>
  <si>
    <t>Jitendra</t>
  </si>
  <si>
    <t>Anita</t>
  </si>
  <si>
    <t>D.k gupta</t>
  </si>
  <si>
    <t>Chahat</t>
  </si>
  <si>
    <t>Samarth</t>
  </si>
  <si>
    <t>Shah alam</t>
  </si>
  <si>
    <t>Asal</t>
  </si>
  <si>
    <t>Kesodevi</t>
  </si>
  <si>
    <t>Rajeev gupta</t>
  </si>
  <si>
    <t>Gauri</t>
  </si>
  <si>
    <t>Sarabjeet kaur</t>
  </si>
  <si>
    <t>Sukhmani kour</t>
  </si>
  <si>
    <t>Virendra</t>
  </si>
  <si>
    <t>Tanya gupta</t>
  </si>
  <si>
    <t>Preeti gupta</t>
  </si>
  <si>
    <t>Anand jlan</t>
  </si>
  <si>
    <t>Mehreen</t>
  </si>
  <si>
    <t>Yashvani</t>
  </si>
  <si>
    <t>Anurag</t>
  </si>
  <si>
    <t>S.k. jain</t>
  </si>
  <si>
    <t>Farhana</t>
  </si>
  <si>
    <t>Nitin</t>
  </si>
  <si>
    <t>Jitendra kumar</t>
  </si>
  <si>
    <t>Parul</t>
  </si>
  <si>
    <t>Neelam</t>
  </si>
  <si>
    <t>Amit garg</t>
  </si>
  <si>
    <t>Narzudin</t>
  </si>
  <si>
    <t>Abit kc</t>
  </si>
  <si>
    <t>Sunit</t>
  </si>
  <si>
    <t>Akhilesh shukla</t>
  </si>
  <si>
    <t>Swati malik</t>
  </si>
  <si>
    <t>Simpy</t>
  </si>
  <si>
    <t>Md.usman</t>
  </si>
  <si>
    <t>Rajeev deo</t>
  </si>
  <si>
    <t>Shivangi</t>
  </si>
  <si>
    <t>Nasir</t>
  </si>
  <si>
    <t>Vaishali</t>
  </si>
  <si>
    <t>Bani</t>
  </si>
  <si>
    <t>Sunil</t>
  </si>
  <si>
    <t>Parveen l.sharvna</t>
  </si>
  <si>
    <t>Devesh nigam</t>
  </si>
  <si>
    <t>Taiba</t>
  </si>
  <si>
    <t>Himanshu</t>
  </si>
  <si>
    <t>Ansh</t>
  </si>
  <si>
    <t>Manju</t>
  </si>
  <si>
    <t>Anupama amita</t>
  </si>
  <si>
    <t>Mansi singal</t>
  </si>
  <si>
    <t>Kush</t>
  </si>
  <si>
    <t>Darshika</t>
  </si>
  <si>
    <t>Ranbeer kour</t>
  </si>
  <si>
    <t>Parkhar garg</t>
  </si>
  <si>
    <t>Yash</t>
  </si>
  <si>
    <t>Gurpreet kour</t>
  </si>
  <si>
    <t>Rakesh Chandra vedi</t>
  </si>
  <si>
    <t>Suman</t>
  </si>
  <si>
    <t>J.k seth</t>
  </si>
  <si>
    <t>Aalim</t>
  </si>
  <si>
    <t>Parantap shekhar</t>
  </si>
  <si>
    <t>Sneha</t>
  </si>
  <si>
    <t>Md. Irfan</t>
  </si>
  <si>
    <t>Reva</t>
  </si>
  <si>
    <t>Rajat</t>
  </si>
  <si>
    <t>Parnav</t>
  </si>
  <si>
    <t>Parkash</t>
  </si>
  <si>
    <t>Mona diwan</t>
  </si>
  <si>
    <t>Arti singh</t>
  </si>
  <si>
    <t>Shrikan</t>
  </si>
  <si>
    <t>Mukesh mehta</t>
  </si>
  <si>
    <t>Sunita chadda</t>
  </si>
  <si>
    <t>Mohit tiwari</t>
  </si>
  <si>
    <t>Puneet</t>
  </si>
  <si>
    <t>Junaid</t>
  </si>
  <si>
    <t>Rohit</t>
  </si>
  <si>
    <t>Puneet suri</t>
  </si>
  <si>
    <t>Honey</t>
  </si>
  <si>
    <t>Rejesh saha</t>
  </si>
  <si>
    <t>Vansh</t>
  </si>
  <si>
    <t>Himani</t>
  </si>
  <si>
    <t>Rishabh shukla</t>
  </si>
  <si>
    <t>Mamtasha</t>
  </si>
  <si>
    <t>Tanusha</t>
  </si>
  <si>
    <t>Divyansh</t>
  </si>
  <si>
    <t>Ashutosh</t>
  </si>
  <si>
    <t>Md.salim malik</t>
  </si>
  <si>
    <t>Shubham</t>
  </si>
  <si>
    <t>Varsha arya</t>
  </si>
  <si>
    <t>Kanvi</t>
  </si>
  <si>
    <t>Jay bhagwan</t>
  </si>
  <si>
    <t>Seema,manvi</t>
  </si>
  <si>
    <t>Apsana</t>
  </si>
  <si>
    <t>Santosh</t>
  </si>
  <si>
    <t>Sana</t>
  </si>
  <si>
    <t>Karam veer singh</t>
  </si>
  <si>
    <t>Dhruv</t>
  </si>
  <si>
    <t>Mannat</t>
  </si>
  <si>
    <t>Neeru</t>
  </si>
  <si>
    <t>Karanlut singh</t>
  </si>
  <si>
    <t>Gazala</t>
  </si>
  <si>
    <t>Rashmi sharma</t>
  </si>
  <si>
    <t>Dr.danish</t>
  </si>
  <si>
    <t>Padma</t>
  </si>
  <si>
    <t>Rashmi</t>
  </si>
  <si>
    <t>Meenu gupta</t>
  </si>
  <si>
    <t>Megha</t>
  </si>
  <si>
    <t>Parantap shekar</t>
  </si>
  <si>
    <t>Hariandar</t>
  </si>
  <si>
    <t>Ramnivas</t>
  </si>
  <si>
    <t>Neeti treniwal</t>
  </si>
  <si>
    <t>Diksha</t>
  </si>
  <si>
    <t>Mahesh</t>
  </si>
  <si>
    <t>Seema khanna</t>
  </si>
  <si>
    <t>Jyostshna gupta</t>
  </si>
  <si>
    <t>Alka</t>
  </si>
  <si>
    <t>Krishna  rathi</t>
  </si>
  <si>
    <t>Mohit</t>
  </si>
  <si>
    <t>Nupur ji</t>
  </si>
  <si>
    <t>Satveer rana</t>
  </si>
  <si>
    <t>Sherya soin</t>
  </si>
  <si>
    <t>Inamdar</t>
  </si>
  <si>
    <t>Saba</t>
  </si>
  <si>
    <t>Nalin budhaya</t>
  </si>
  <si>
    <t>Kalpna</t>
  </si>
  <si>
    <t>Geetika sharma</t>
  </si>
  <si>
    <t>Ravinder</t>
  </si>
  <si>
    <t>Neha Malhotra</t>
  </si>
  <si>
    <t>Indu bhatiya</t>
  </si>
  <si>
    <t>Sonali</t>
  </si>
  <si>
    <t>Dr.saloni</t>
  </si>
  <si>
    <t>Sheetal agarwal</t>
  </si>
  <si>
    <t>Nitesh</t>
  </si>
  <si>
    <t>Deepak gupta</t>
  </si>
  <si>
    <t>Neha khandelwal</t>
  </si>
  <si>
    <t>Rachit Khandelwal</t>
  </si>
  <si>
    <t>Yogendra</t>
  </si>
  <si>
    <t>Parnam</t>
  </si>
  <si>
    <t>Vikas</t>
  </si>
  <si>
    <t>Arshad</t>
  </si>
  <si>
    <t>Veena dixit</t>
  </si>
  <si>
    <t>Partiksha</t>
  </si>
  <si>
    <t>Sayam</t>
  </si>
  <si>
    <t>Anand Pathak</t>
  </si>
  <si>
    <t>Yatin jain</t>
  </si>
  <si>
    <t>Rajni kalra</t>
  </si>
  <si>
    <t>Isha</t>
  </si>
  <si>
    <t>Bhavana</t>
  </si>
  <si>
    <t>Anubha Jain</t>
  </si>
  <si>
    <t>Tanishq</t>
  </si>
  <si>
    <t>Gauri goel</t>
  </si>
  <si>
    <t>Rukaieya</t>
  </si>
  <si>
    <t>Geetika</t>
  </si>
  <si>
    <t>Yatin</t>
  </si>
  <si>
    <t>Y.G jaiswal</t>
  </si>
  <si>
    <t>Kapil Mohan</t>
  </si>
  <si>
    <t>Mehnaaz</t>
  </si>
  <si>
    <t>Khushboo kapila</t>
  </si>
  <si>
    <t>Reena gupta</t>
  </si>
  <si>
    <t>Shammi chadha</t>
  </si>
  <si>
    <t>Ajit Singh</t>
  </si>
  <si>
    <t>Rinky</t>
  </si>
  <si>
    <t>Raman</t>
  </si>
  <si>
    <t>Divya</t>
  </si>
  <si>
    <t>Aditya</t>
  </si>
  <si>
    <t>Surender kumar</t>
  </si>
  <si>
    <t>Nimish</t>
  </si>
  <si>
    <t>Abhishek</t>
  </si>
  <si>
    <t>Usha kalra</t>
  </si>
  <si>
    <t>Rita ji</t>
  </si>
  <si>
    <t>Ankur</t>
  </si>
  <si>
    <t>Daman Gandhi</t>
  </si>
  <si>
    <t>Anuj jain ji</t>
  </si>
  <si>
    <t>Vishwas ji</t>
  </si>
  <si>
    <t>Sheel Arora ji</t>
  </si>
  <si>
    <t>Mohit punjni ji</t>
  </si>
  <si>
    <t>Rajat Khandelwal</t>
  </si>
  <si>
    <t>Nitish Anand ji</t>
  </si>
  <si>
    <t>Pranav Jalan</t>
  </si>
  <si>
    <t>Mansi ji</t>
  </si>
  <si>
    <t>Simran ji</t>
  </si>
  <si>
    <t>Hitesh ji</t>
  </si>
  <si>
    <t>Neeru ji</t>
  </si>
  <si>
    <t>Aditya Arya ji</t>
  </si>
  <si>
    <t>Akshay Bhatnagar ji</t>
  </si>
  <si>
    <t>Pankhuri ji</t>
  </si>
  <si>
    <t>Pushpa Kashyap ji</t>
  </si>
  <si>
    <t>Ankit bansal ji</t>
  </si>
  <si>
    <t>Neeraj ji</t>
  </si>
  <si>
    <t>Krishna Rathi ji</t>
  </si>
  <si>
    <t>Abdulla ji</t>
  </si>
  <si>
    <t>Deepak ji</t>
  </si>
  <si>
    <t>Nazia ji</t>
  </si>
  <si>
    <t>Dimpi ji</t>
  </si>
  <si>
    <t>Nitin ji</t>
  </si>
  <si>
    <t>Pratibha mam</t>
  </si>
  <si>
    <t>Tamanna ji</t>
  </si>
  <si>
    <t>Bhavana ji</t>
  </si>
  <si>
    <t>Anjali ji</t>
  </si>
  <si>
    <t>Sonam Norbu ji</t>
  </si>
  <si>
    <t>Dolly</t>
  </si>
  <si>
    <t>Reman Sharma ji</t>
  </si>
  <si>
    <t>Afroz malik ji</t>
  </si>
  <si>
    <t>Neelu ji</t>
  </si>
  <si>
    <t>Suhani ji</t>
  </si>
  <si>
    <t>Ansh ji</t>
  </si>
  <si>
    <t>Shiv tiwari ji</t>
  </si>
  <si>
    <t>Pooja gupta ji</t>
  </si>
  <si>
    <t>Vishwajeet ji</t>
  </si>
  <si>
    <t>Gaurav ji</t>
  </si>
  <si>
    <t>Aashima ji</t>
  </si>
  <si>
    <t>Gaurav Chabbra ji</t>
  </si>
  <si>
    <t>Gopal Agarwal ji</t>
  </si>
  <si>
    <t>Chaya jalan ji</t>
  </si>
  <si>
    <t>Deepika Jain Mam</t>
  </si>
  <si>
    <t>Kavita Goyal ji</t>
  </si>
  <si>
    <t>Meenu Arora ji</t>
  </si>
  <si>
    <t>Ram sagar ji</t>
  </si>
  <si>
    <t>Kartik ji</t>
  </si>
  <si>
    <t>Sapna ji</t>
  </si>
  <si>
    <t>Mohan lal ji</t>
  </si>
  <si>
    <t>Madhuri Bhutani ji</t>
  </si>
  <si>
    <t>Sushil verma ji</t>
  </si>
  <si>
    <t>Anjali goyal ji</t>
  </si>
  <si>
    <t>Priya ji</t>
  </si>
  <si>
    <t>Himi Bhatia ji</t>
  </si>
  <si>
    <t>Rekha ji</t>
  </si>
  <si>
    <t>Shashwat ji</t>
  </si>
  <si>
    <t>Savita garg ji</t>
  </si>
  <si>
    <t>Bhumika mam</t>
  </si>
  <si>
    <t>Chavi ji</t>
  </si>
  <si>
    <t>Shailesh ji</t>
  </si>
  <si>
    <t>Shivani ji</t>
  </si>
  <si>
    <t>Beauty devi</t>
  </si>
  <si>
    <t>Mahavir Singh ji</t>
  </si>
  <si>
    <t>Muskan ji</t>
  </si>
  <si>
    <t>Soniya ji</t>
  </si>
  <si>
    <t>Talwar ji</t>
  </si>
  <si>
    <t>Tushar jain ji</t>
  </si>
  <si>
    <t>Geetu mahajan ji</t>
  </si>
  <si>
    <t>Pawan wadhwa ji</t>
  </si>
  <si>
    <t>Mouli ji</t>
  </si>
  <si>
    <t>Atul ji</t>
  </si>
  <si>
    <t>Anjali yadav ji</t>
  </si>
  <si>
    <t>Ramneet Nagpal ji</t>
  </si>
  <si>
    <t>Raveen ji</t>
  </si>
  <si>
    <t>Neeto ji</t>
  </si>
  <si>
    <t>Suman jain ji</t>
  </si>
  <si>
    <t>Nidhi ji</t>
  </si>
  <si>
    <t>Archana grover ji</t>
  </si>
  <si>
    <t>Vinay goel ji</t>
  </si>
  <si>
    <t>Anushri ji</t>
  </si>
  <si>
    <t>Abha ji</t>
  </si>
  <si>
    <t>Durga Jewellers</t>
  </si>
  <si>
    <t>Kanika ji</t>
  </si>
  <si>
    <t>Umang ji</t>
  </si>
  <si>
    <t>Mukesh ji</t>
  </si>
  <si>
    <t>Vinod chabbra</t>
  </si>
  <si>
    <t>Prakrati ji</t>
  </si>
  <si>
    <t>Esha ji</t>
  </si>
  <si>
    <t>Rashmi goel ji</t>
  </si>
  <si>
    <t>Aditi dhawan ji</t>
  </si>
  <si>
    <t>Muskan vyas ji</t>
  </si>
  <si>
    <t>Farheen ji</t>
  </si>
  <si>
    <t>Anupriya ji</t>
  </si>
  <si>
    <t>Mohini ji</t>
  </si>
  <si>
    <t>Nikhil ji</t>
  </si>
  <si>
    <t>Vikram ji</t>
  </si>
  <si>
    <t>Harpreet ji</t>
  </si>
  <si>
    <t>Yagesh ji</t>
  </si>
  <si>
    <t>Rizwan ji</t>
  </si>
  <si>
    <t>Aarti ji</t>
  </si>
  <si>
    <t>Karan ji</t>
  </si>
  <si>
    <t>Dheeraj ji</t>
  </si>
  <si>
    <t>Divya ji</t>
  </si>
  <si>
    <t>Sanjay jha ji</t>
  </si>
  <si>
    <t>Smita Mishra ji</t>
  </si>
  <si>
    <t>Nidhi gupta ji</t>
  </si>
  <si>
    <t>Meeru kapoor ji</t>
  </si>
  <si>
    <t>Chanchal ji</t>
  </si>
  <si>
    <t>Ruchika ji</t>
  </si>
  <si>
    <t>Shweta ji</t>
  </si>
  <si>
    <t>Rakhi ji</t>
  </si>
  <si>
    <t>Harleen ji</t>
  </si>
  <si>
    <t>Diksha ji</t>
  </si>
  <si>
    <t>Prince ji</t>
  </si>
  <si>
    <t>Armaan ji</t>
  </si>
  <si>
    <t>Priyanshi ji</t>
  </si>
  <si>
    <t>Charu ji</t>
  </si>
  <si>
    <t>Neelam gupta ji</t>
  </si>
  <si>
    <t>Rakhi aggarwal ji</t>
  </si>
  <si>
    <t>Zain ji</t>
  </si>
  <si>
    <t>Dinesh ji</t>
  </si>
  <si>
    <t>Rehnuma ji</t>
  </si>
  <si>
    <t>Rajesh ji</t>
  </si>
  <si>
    <t>Niket ji</t>
  </si>
  <si>
    <t>Vikas ji</t>
  </si>
  <si>
    <t>Sushil ji</t>
  </si>
  <si>
    <t>Manuj ji</t>
  </si>
  <si>
    <t>Lalit kumar ji</t>
  </si>
  <si>
    <t>Kapil walia</t>
  </si>
  <si>
    <t>Ruchi gupta ji</t>
  </si>
  <si>
    <t>Kishan patel ji</t>
  </si>
  <si>
    <t>Atin ji</t>
  </si>
  <si>
    <t>Gurinder ji</t>
  </si>
  <si>
    <t>Mukesh bhola ji</t>
  </si>
  <si>
    <t>Sohanlal ji</t>
  </si>
  <si>
    <t>Mridhu ji</t>
  </si>
  <si>
    <t>Ambika ji</t>
  </si>
  <si>
    <t>Parin kalra</t>
  </si>
  <si>
    <t>Kulneet ji</t>
  </si>
  <si>
    <t>Sanjay ji</t>
  </si>
  <si>
    <t>Sakshi jha ji</t>
  </si>
  <si>
    <t>Sia</t>
  </si>
  <si>
    <t>Dharamveer ji</t>
  </si>
  <si>
    <t>Vikas dubey ji</t>
  </si>
  <si>
    <t>Vijender ji</t>
  </si>
  <si>
    <t>Soumitra ji</t>
  </si>
  <si>
    <t>Hema ji</t>
  </si>
  <si>
    <t>Divya mam</t>
  </si>
  <si>
    <t>Madhavi ji</t>
  </si>
  <si>
    <t>Shilpi ji</t>
  </si>
  <si>
    <t>Sanju ji</t>
  </si>
  <si>
    <t>Sahil ji</t>
  </si>
  <si>
    <t>Shonali ji</t>
  </si>
  <si>
    <t>Komal ji</t>
  </si>
  <si>
    <t>Ujjwal</t>
  </si>
  <si>
    <t>Aman ji</t>
  </si>
  <si>
    <t>Laxmi ji</t>
  </si>
  <si>
    <t>Aly ji</t>
  </si>
  <si>
    <t>Sharad ji</t>
  </si>
  <si>
    <t>Vivek ji</t>
  </si>
  <si>
    <t>Arushi ji</t>
  </si>
  <si>
    <t>Zuhaid ji</t>
  </si>
  <si>
    <t>Shaniya ji</t>
  </si>
  <si>
    <t>Pooja ji</t>
  </si>
  <si>
    <t>Sonia ji</t>
  </si>
  <si>
    <t>Rajkumar ji</t>
  </si>
  <si>
    <t>Rashmi ji</t>
  </si>
  <si>
    <t>Prem das ji</t>
  </si>
  <si>
    <t>Renu ji</t>
  </si>
  <si>
    <t>Manu ji</t>
  </si>
  <si>
    <t>Ritu ji</t>
  </si>
  <si>
    <t>Ekta ji</t>
  </si>
  <si>
    <t>Priyanka jain</t>
  </si>
  <si>
    <t>Shehzadi</t>
  </si>
  <si>
    <t>Kajal ji</t>
  </si>
  <si>
    <t>Shailendra ji</t>
  </si>
  <si>
    <t>Vaibhav jain ji</t>
  </si>
  <si>
    <t>Sunny uppal ji</t>
  </si>
  <si>
    <t>Akanksha ji</t>
  </si>
  <si>
    <t>Anamika ji</t>
  </si>
  <si>
    <t>Payal ji</t>
  </si>
  <si>
    <t>Sonal ji</t>
  </si>
  <si>
    <t>Priyanka ji</t>
  </si>
  <si>
    <t>Nisha ji</t>
  </si>
  <si>
    <t>Sanyam ji</t>
  </si>
  <si>
    <t>Dr. Harshvardhan</t>
  </si>
  <si>
    <t>Anuj ji</t>
  </si>
  <si>
    <t>Dolly gupta ji</t>
  </si>
  <si>
    <t>Babita ji</t>
  </si>
  <si>
    <t>Arun Rathi ji</t>
  </si>
  <si>
    <t>Prashant ji</t>
  </si>
  <si>
    <t>Sunny chadha ji</t>
  </si>
  <si>
    <t>Pushpa ji</t>
  </si>
  <si>
    <t>Sangeeta ji</t>
  </si>
  <si>
    <t>Sneh gupta ji</t>
  </si>
  <si>
    <t>Munmun ji</t>
  </si>
  <si>
    <t>Rama ji</t>
  </si>
  <si>
    <t>Chetali ji</t>
  </si>
  <si>
    <t>Ranjana ji</t>
  </si>
  <si>
    <t>Disha ji</t>
  </si>
  <si>
    <t>Megha ji</t>
  </si>
  <si>
    <t>Anupama ji</t>
  </si>
  <si>
    <t>Amisha ji</t>
  </si>
  <si>
    <t>Tanvi ji</t>
  </si>
  <si>
    <t>Rita jindal ji</t>
  </si>
  <si>
    <t>Garima ji</t>
  </si>
  <si>
    <t>Sunita ranjan ji</t>
  </si>
  <si>
    <t>Anjali aggarwal ji</t>
  </si>
  <si>
    <t>Manish puri ji</t>
  </si>
  <si>
    <t>Jagdeep singh ji</t>
  </si>
  <si>
    <t>Abha jain ji (Sydney)</t>
  </si>
  <si>
    <t>Akshay sharma</t>
  </si>
  <si>
    <t>Jyoti ji</t>
  </si>
  <si>
    <t>Vidhi ji</t>
  </si>
  <si>
    <t>Anju kapoor (canada)</t>
  </si>
  <si>
    <t>Harsh kharbanda ji</t>
  </si>
  <si>
    <t>Mehtab ji</t>
  </si>
  <si>
    <t>Shweta pandey ji</t>
  </si>
  <si>
    <t>Tanu gupta ji</t>
  </si>
  <si>
    <t>Shubham singh ji</t>
  </si>
  <si>
    <t>Nikhil kumar ji</t>
  </si>
  <si>
    <t>Asim ji (jammu)</t>
  </si>
  <si>
    <t>Amolak ji (U.s)</t>
  </si>
  <si>
    <t>Komal kapoor</t>
  </si>
  <si>
    <t>Santosh kumar ji</t>
  </si>
  <si>
    <t>Kuki Sandhu ji</t>
  </si>
  <si>
    <t>Simi ji</t>
  </si>
  <si>
    <t>Sadhan ji</t>
  </si>
  <si>
    <t>Aakash garg ji</t>
  </si>
  <si>
    <t>Sanyam</t>
  </si>
  <si>
    <t>Shivam (fabric)</t>
  </si>
  <si>
    <t>Mariyam</t>
  </si>
  <si>
    <t>Rajvir</t>
  </si>
  <si>
    <t>Pallavi mahajan</t>
  </si>
  <si>
    <t>Dev</t>
  </si>
  <si>
    <t>Nayadu</t>
  </si>
  <si>
    <t>Poonam ji</t>
  </si>
  <si>
    <t>Aydan (ajarbaijan)</t>
  </si>
  <si>
    <t>Deepti ji</t>
  </si>
  <si>
    <t>Shubha</t>
  </si>
  <si>
    <t>Tarun</t>
  </si>
  <si>
    <t>Ramkishore</t>
  </si>
  <si>
    <t>Swati ji</t>
  </si>
  <si>
    <t>Ankita Rana</t>
  </si>
  <si>
    <t>Brahmdev</t>
  </si>
  <si>
    <t>Shahdab</t>
  </si>
  <si>
    <t>Jahaaara</t>
  </si>
  <si>
    <t>Arti gaur</t>
  </si>
  <si>
    <t>Sabera</t>
  </si>
  <si>
    <t>Aissato guniea</t>
  </si>
  <si>
    <t>Saiyam</t>
  </si>
  <si>
    <t>Yatinder aggarwal</t>
  </si>
  <si>
    <t>Tannu</t>
  </si>
  <si>
    <t>Raj kumari</t>
  </si>
  <si>
    <t>Jamyung</t>
  </si>
  <si>
    <t>Vivek aagrwal</t>
  </si>
  <si>
    <t>Dhiraj</t>
  </si>
  <si>
    <t>Raj veer sharma</t>
  </si>
  <si>
    <t>Hemlata</t>
  </si>
  <si>
    <t>Vebhav jain</t>
  </si>
  <si>
    <t>Shitiz</t>
  </si>
  <si>
    <t>Mohammed kesair khan</t>
  </si>
  <si>
    <t>Vabhav garg</t>
  </si>
  <si>
    <t>First_Visit</t>
  </si>
  <si>
    <t>Visit_Count</t>
  </si>
  <si>
    <t>Last_Funnel</t>
  </si>
  <si>
    <t>Status</t>
  </si>
  <si>
    <t>Counter</t>
  </si>
  <si>
    <t>Funnel_Cold_Old</t>
  </si>
  <si>
    <t>ACTIVE</t>
  </si>
  <si>
    <t>Gold</t>
  </si>
  <si>
    <t>Diamond</t>
  </si>
  <si>
    <t>Funnel_PostSale</t>
  </si>
  <si>
    <t>Funnel_Reactivation</t>
  </si>
  <si>
    <t>Silver</t>
  </si>
  <si>
    <t>Funnel_NoSale_Repeat</t>
  </si>
  <si>
    <t>Name</t>
  </si>
  <si>
    <t>Funnel</t>
  </si>
  <si>
    <t>Step</t>
  </si>
  <si>
    <t>Send_After</t>
  </si>
  <si>
    <t>PENDING</t>
  </si>
  <si>
    <t xml:space="preserve">Mukul </t>
  </si>
  <si>
    <t xml:space="preserve">Kritanjli </t>
  </si>
  <si>
    <t xml:space="preserve">Priyanka </t>
  </si>
  <si>
    <t xml:space="preserve">Ranbeer kumar </t>
  </si>
  <si>
    <t xml:space="preserve">Ritu Choudhary </t>
  </si>
  <si>
    <t xml:space="preserve">Sumit </t>
  </si>
  <si>
    <t xml:space="preserve">Aanad </t>
  </si>
  <si>
    <t xml:space="preserve">Hardeep </t>
  </si>
  <si>
    <t xml:space="preserve">Meetu </t>
  </si>
  <si>
    <t xml:space="preserve">Gurman Singh </t>
  </si>
  <si>
    <t xml:space="preserve">Anil Choudhary </t>
  </si>
  <si>
    <t xml:space="preserve">Deepak </t>
  </si>
  <si>
    <t xml:space="preserve">Sanjeev </t>
  </si>
  <si>
    <t xml:space="preserve">Priyanka mehta </t>
  </si>
  <si>
    <t xml:space="preserve">S panda </t>
  </si>
  <si>
    <t xml:space="preserve">Seema chawla </t>
  </si>
  <si>
    <t xml:space="preserve">Manan </t>
  </si>
  <si>
    <t xml:space="preserve">Pinky Seth </t>
  </si>
  <si>
    <t xml:space="preserve">Shiv kumar yadav </t>
  </si>
  <si>
    <t xml:space="preserve">Gourav </t>
  </si>
  <si>
    <t xml:space="preserve">Sheela </t>
  </si>
  <si>
    <t xml:space="preserve">Yer Mohamad </t>
  </si>
  <si>
    <t xml:space="preserve">Seema gupta </t>
  </si>
  <si>
    <t xml:space="preserve">Rekha </t>
  </si>
  <si>
    <t xml:space="preserve">J.k roy Choudhry </t>
  </si>
  <si>
    <t xml:space="preserve">Shreya sharma </t>
  </si>
  <si>
    <t xml:space="preserve">Vinod </t>
  </si>
  <si>
    <t xml:space="preserve">Payal </t>
  </si>
  <si>
    <t xml:space="preserve">Poonam </t>
  </si>
  <si>
    <t xml:space="preserve">Manoj </t>
  </si>
  <si>
    <t xml:space="preserve">Sapna </t>
  </si>
  <si>
    <t xml:space="preserve">Kajal </t>
  </si>
  <si>
    <t xml:space="preserve">Muskan </t>
  </si>
  <si>
    <t xml:space="preserve">Meenakshi </t>
  </si>
  <si>
    <t xml:space="preserve">Vanshika </t>
  </si>
  <si>
    <t xml:space="preserve">Rakesh jain </t>
  </si>
  <si>
    <t xml:space="preserve">Om parkash </t>
  </si>
  <si>
    <t xml:space="preserve">Md. Aarif </t>
  </si>
  <si>
    <t xml:space="preserve">Sungandha </t>
  </si>
  <si>
    <t xml:space="preserve">Swati Jha </t>
  </si>
  <si>
    <t xml:space="preserve">Archna </t>
  </si>
  <si>
    <t xml:space="preserve">Sunita gupta </t>
  </si>
  <si>
    <t xml:space="preserve">Radhika </t>
  </si>
  <si>
    <t xml:space="preserve">Sidharth Anand </t>
  </si>
  <si>
    <t xml:space="preserve">Raj kumar aggarwal </t>
  </si>
  <si>
    <t xml:space="preserve">Kanika </t>
  </si>
  <si>
    <t xml:space="preserve">Shweta </t>
  </si>
  <si>
    <t xml:space="preserve">Gaurav, </t>
  </si>
  <si>
    <t xml:space="preserve">Keso devi </t>
  </si>
  <si>
    <t xml:space="preserve">Sandeep </t>
  </si>
  <si>
    <t xml:space="preserve">Upendra </t>
  </si>
  <si>
    <t xml:space="preserve">Zaved hussein </t>
  </si>
  <si>
    <t xml:space="preserve">Gaurav </t>
  </si>
  <si>
    <t>SENT</t>
  </si>
  <si>
    <t xml:space="preserve">Jyanti </t>
  </si>
  <si>
    <t xml:space="preserve">Babar </t>
  </si>
  <si>
    <t xml:space="preserve">Jitendra </t>
  </si>
  <si>
    <t xml:space="preserve">Anupama </t>
  </si>
  <si>
    <t xml:space="preserve">Sarabjeet kaur </t>
  </si>
  <si>
    <t xml:space="preserve">Virendra </t>
  </si>
  <si>
    <t xml:space="preserve">Preeti gupta </t>
  </si>
  <si>
    <t xml:space="preserve">Manju </t>
  </si>
  <si>
    <t xml:space="preserve">Darshika </t>
  </si>
  <si>
    <t xml:space="preserve">Yash </t>
  </si>
  <si>
    <t xml:space="preserve">Manoj  </t>
  </si>
  <si>
    <t xml:space="preserve">Sunita chadda </t>
  </si>
  <si>
    <t xml:space="preserve">Rohit </t>
  </si>
  <si>
    <t xml:space="preserve">Prince </t>
  </si>
  <si>
    <t>SIMULATED</t>
  </si>
  <si>
    <t xml:space="preserve">Shubham </t>
  </si>
  <si>
    <t xml:space="preserve">Apsana </t>
  </si>
  <si>
    <t xml:space="preserve">Vaishali </t>
  </si>
  <si>
    <t xml:space="preserve">Pawan ahuja </t>
  </si>
  <si>
    <t xml:space="preserve">Karam veer singh </t>
  </si>
  <si>
    <t xml:space="preserve">Setu aggarwal </t>
  </si>
  <si>
    <t xml:space="preserve">Parkash </t>
  </si>
  <si>
    <t xml:space="preserve">Meenu gupta </t>
  </si>
  <si>
    <t xml:space="preserve">Bhawna </t>
  </si>
  <si>
    <t xml:space="preserve">Jyostshna gupta </t>
  </si>
  <si>
    <t xml:space="preserve">Ravinder </t>
  </si>
  <si>
    <t xml:space="preserve">Neha Malhotra </t>
  </si>
  <si>
    <t xml:space="preserve">Shubhsm jain </t>
  </si>
  <si>
    <t xml:space="preserve">Sheetal agarwal </t>
  </si>
  <si>
    <t xml:space="preserve">Shikha aggarwal </t>
  </si>
  <si>
    <t xml:space="preserve">Rachit Khandelwal </t>
  </si>
  <si>
    <t xml:space="preserve">Yogendra </t>
  </si>
  <si>
    <t xml:space="preserve">Anil kumar </t>
  </si>
  <si>
    <t xml:space="preserve">Kapila </t>
  </si>
  <si>
    <t xml:space="preserve">Neelam </t>
  </si>
  <si>
    <t xml:space="preserve"> Puneet</t>
  </si>
  <si>
    <t xml:space="preserve">Shivam fabric </t>
  </si>
  <si>
    <t xml:space="preserve">Sanjay </t>
  </si>
  <si>
    <t xml:space="preserve">Kamlesh </t>
  </si>
  <si>
    <t xml:space="preserve">Rajni kalra </t>
  </si>
  <si>
    <t xml:space="preserve">Aditya </t>
  </si>
  <si>
    <t xml:space="preserve">Abhishek </t>
  </si>
  <si>
    <t xml:space="preserve">Renu manchanda </t>
  </si>
  <si>
    <t xml:space="preserve">Nikhil </t>
  </si>
  <si>
    <t xml:space="preserve">Ankur </t>
  </si>
  <si>
    <t xml:space="preserve">Daman Gandhi </t>
  </si>
  <si>
    <t xml:space="preserve">Rajat Khandelwal </t>
  </si>
  <si>
    <t xml:space="preserve">Aditya Arya ji </t>
  </si>
  <si>
    <t xml:space="preserve">Sakshi Singh </t>
  </si>
  <si>
    <t xml:space="preserve">Durga Jewellers </t>
  </si>
  <si>
    <t xml:space="preserve">Kanika ji </t>
  </si>
  <si>
    <t xml:space="preserve">Vinod chabbra </t>
  </si>
  <si>
    <t xml:space="preserve">Aditi dhawan ji </t>
  </si>
  <si>
    <t xml:space="preserve">Harpreet ji </t>
  </si>
  <si>
    <t xml:space="preserve">Nikita </t>
  </si>
  <si>
    <t>Funnel_NoSale_First</t>
  </si>
  <si>
    <t xml:space="preserve">Sanyam </t>
  </si>
  <si>
    <t xml:space="preserve">Kavita </t>
  </si>
  <si>
    <t xml:space="preserve">Mariyam </t>
  </si>
  <si>
    <t xml:space="preserve">Rajvir </t>
  </si>
  <si>
    <t xml:space="preserve">Nayadu </t>
  </si>
  <si>
    <t xml:space="preserve">Shubha </t>
  </si>
  <si>
    <t>Timestamp</t>
  </si>
  <si>
    <t>Scheduled_Send_Time</t>
  </si>
  <si>
    <t>Message</t>
  </si>
  <si>
    <t>WhatsApp_Client_ID</t>
  </si>
  <si>
    <t>Notes</t>
  </si>
  <si>
    <t>Hi Rishabh shukla It was lovely having you over. Thank you for your trust &amp; making right buying decision. Would you need any help i am just a call away... :)</t>
  </si>
  <si>
    <t>sendWA() intercepted</t>
  </si>
  <si>
    <t>Hi Komal gehra,rajeev gehra ✨ It was a pleasure serving you. We’re grateful you chose us and hope everything feels just right.</t>
  </si>
  <si>
    <t>Thank you for trusting us. Good relationships begin with thoughtful choices, and we value yours ✨</t>
  </si>
  <si>
    <t>Hi Md.salim malik It was lovely having you over. Thank you for your trust &amp; making right buying decision. Would you need any help i am just a call away... :)</t>
  </si>
  <si>
    <t>Hi Kritika ✨ It was a pleasure serving you. We’re grateful you chose us and hope everything feels just right.</t>
  </si>
  <si>
    <t>Hi Varsha arya It was lovely having you over. Thank you for your trust &amp; making right buying decision. Would you need any help i am just a call away... :)</t>
  </si>
  <si>
    <t>Hi Kanvi ✨ It was a pleasure serving you. We’re grateful you chose us and hope everything feels just right.</t>
  </si>
  <si>
    <t>Hi Pitamber It was lovely having you over. Thank you for your trust &amp; making right buying decision. Would you need any help i am just a call away... :)</t>
  </si>
  <si>
    <t>Hi Mamta It was lovely having you over. Thank you for your trust &amp; making right buying decision. Would you need any help i am just a call away... :)</t>
  </si>
  <si>
    <t>Hi Kusum ✨ It was a pleasure serving you. We’re grateful you chose us and hope everything feels just right.</t>
  </si>
  <si>
    <t>Hi Brahmdev It was lovely having you over. Thank you for your trust &amp; making right buying decision. Would you need any help i am just a call away... :)</t>
  </si>
  <si>
    <t>Hi Ankita Rana ✨ It was a pleasure serving you. We’re grateful you chose us and hope everything feels just right.</t>
  </si>
  <si>
    <t>Hi Swati ji ✨ It was a pleasure serving you. We’re grateful you chose us and hope everything feels just right.</t>
  </si>
  <si>
    <t>Hi Ramkishore ✨ It was a pleasure serving you. We’re grateful you chose us and hope everything feels just right.</t>
  </si>
  <si>
    <t>Hi Deepak  ✨ It was a pleasure serving you. We’re grateful you chose us and hope everything feels just right.</t>
  </si>
  <si>
    <t>Phase</t>
  </si>
  <si>
    <t>Variant</t>
  </si>
  <si>
    <t>C</t>
  </si>
  <si>
    <t>B</t>
  </si>
  <si>
    <t>A</t>
  </si>
  <si>
    <t>Items</t>
  </si>
  <si>
    <t>Reason</t>
  </si>
  <si>
    <t>Staff</t>
  </si>
  <si>
    <t>Owner_Notes</t>
  </si>
  <si>
    <t>Time</t>
  </si>
  <si>
    <t>Action</t>
  </si>
  <si>
    <t>Details</t>
  </si>
  <si>
    <t>Key</t>
  </si>
  <si>
    <t>Value</t>
  </si>
  <si>
    <t>DAY_COUNT</t>
  </si>
  <si>
    <t>SENT_TODAY</t>
  </si>
  <si>
    <t>MASTER_PAUSE</t>
  </si>
  <si>
    <t>NO</t>
  </si>
  <si>
    <t>Day_Offset</t>
  </si>
  <si>
    <t>Active</t>
  </si>
  <si>
    <t>GENERIC</t>
  </si>
  <si>
    <t>Hi {{Name}} 😊 It’s been a while since we last connected. Just wanted to check in and see how you’ve been.</t>
  </si>
  <si>
    <t>YES</t>
  </si>
  <si>
    <t>Hi {{Name}} ✨ Hope everything has been going well. We were revisiting our records and thought of reconnecting with you.</t>
  </si>
  <si>
    <t>Some conversations pause, but relationships don’t end. Just reaching out to say hello 😊</t>
  </si>
  <si>
    <t>When we last spoke, you were exploring a few options. Has anything changed since then, or would you like us to assist differently now?</t>
  </si>
  <si>
    <t>Sometimes priorities shift with time. If there’s anything you’d like clarity or guidance on now, we’re happy to help.</t>
  </si>
  <si>
    <t>No pressure at all — just here if you feel like revisiting the conversation.</t>
  </si>
  <si>
    <r>
      <t>Hi {{Name}} ✨ Over time, designs, availability, and even pricing dynamics change. Many clients find value in revisiting once things feel clearer.We share updates here:</t>
    </r>
    <r>
      <rPr>
        <color rgb="FF1155CC"/>
        <u/>
      </rPr>
      <t>https://www.instagram.com/sunseajewellers</t>
    </r>
  </si>
  <si>
    <r>
      <t>We often support returning clients with refreshed options or small considerations that weren’t available earlier.Stay connected here:</t>
    </r>
    <r>
      <rPr>
        <color rgb="FF1155CC"/>
        <u/>
      </rPr>
      <t>https://www.instagram.com/sunseajewellers</t>
    </r>
  </si>
  <si>
    <r>
      <t>A revisit doesn’t mean commitment — just updated perspective and better clarity.</t>
    </r>
    <r>
      <rPr>
        <color rgb="FF1155CC"/>
        <u/>
      </rPr>
      <t>https://www.instagram.com/sunseajewellers</t>
    </r>
  </si>
  <si>
    <r>
      <t>Thank you for staying connected with us. If your earlier experience with us was pleasant, your feedback helps others feel confident 🌟</t>
    </r>
    <r>
      <rPr>
        <color rgb="FF1155CC"/>
        <u/>
      </rPr>
      <t>https://g.page/r/CfPkrAPpyZo6EBE/review</t>
    </r>
  </si>
  <si>
    <r>
      <t>Even if you haven’t revisited yet, your experience matters to us. We’d truly appreciate your review 🤍</t>
    </r>
    <r>
      <rPr>
        <color rgb="FF1155CC"/>
        <u/>
      </rPr>
      <t>https://g.page/r/CfPkrAPpyZo6EBE/review</t>
    </r>
  </si>
  <si>
    <t>We’re always here whenever the timing feels right ✨ Reply STOP anytime if you prefer silence 🙏</t>
  </si>
  <si>
    <t>Hi {{Name}} 😊 It’s been quite some time since we last connected. Just wanted to say hello and check in — hope everything has been well with you.</t>
  </si>
  <si>
    <t>Hi {{Name}} ✨ We were reconnecting with a few old conversations and thought of reaching out. Hope you’ve been doing well.</t>
  </si>
  <si>
    <t>Time flies, but good connections remain. Just dropping a warm hello 😊</t>
  </si>
  <si>
    <t>If it feels relevant, we’d be happy to assist you again — even if it’s just guidance or a quick question.</t>
  </si>
  <si>
    <t>No expectations at all — just letting you know we’re here whenever you feel like revisiting.</t>
  </si>
  <si>
    <t>You don’t need a reason to reach out — sometimes a simple conversation is enough.</t>
  </si>
  <si>
    <r>
      <t>Hi {{Name}} ✨ Over the past year, we’ve introduced new designs, ideas, and ways to make jewellery buying more comfortable and transparent.You may explore our world here:</t>
    </r>
    <r>
      <rPr>
        <color rgb="FF1155CC"/>
        <u/>
      </rPr>
      <t>https://www.instagram.com/sunseajewellers</t>
    </r>
  </si>
  <si>
    <r>
      <t>A lot can change in a year — collections evolve, options expand, and clarity often improves.Stay connected here:</t>
    </r>
    <r>
      <rPr>
        <color rgb="FF1155CC"/>
        <u/>
      </rPr>
      <t>https://www.instagram.com/sunseajewellers</t>
    </r>
  </si>
  <si>
    <r>
      <t>Even if jewellery isn’t on your mind right now, feel free to stay connected for inspiration and updates.</t>
    </r>
    <r>
      <rPr>
        <color rgb="FF1155CC"/>
        <u/>
      </rPr>
      <t>https://www.instagram.com/sunseajewellers</t>
    </r>
  </si>
  <si>
    <r>
      <t>Thank you for staying connected with us. If your interaction with us — even long ago — was positive, we’d truly appreciate your feedback 🌟</t>
    </r>
    <r>
      <rPr>
        <color rgb="FF1155CC"/>
        <u/>
      </rPr>
      <t>https://g.page/r/CfPkrAPpyZo6EBE/review</t>
    </r>
  </si>
  <si>
    <r>
      <t>Your experience matters to us, regardless of when it happened. If you’d like, we’d value your review 🤍</t>
    </r>
    <r>
      <rPr>
        <color rgb="FF1155CC"/>
        <u/>
      </rPr>
      <t>https://g.page/r/CfPkrAPpyZo6EBE/review</t>
    </r>
  </si>
  <si>
    <t>We respect your space completely ✨ Reply STOP anytime if you prefer silence 🙏</t>
  </si>
  <si>
    <t>Occasion</t>
  </si>
  <si>
    <t>Diwali</t>
  </si>
  <si>
    <t>Diwali message</t>
  </si>
  <si>
    <t>Teej</t>
  </si>
  <si>
    <t>Teej jewellery offer</t>
  </si>
  <si>
    <t>Birthday</t>
  </si>
  <si>
    <t>Birthday special</t>
  </si>
  <si>
    <t>Hi {{Name}} 😊 It was lovely having you visit us. We understand gold purchases are planned thoughtfully, and we appreciate you taking time to explore with us.</t>
  </si>
  <si>
    <t>Hi {{Name}} ✨ Thank you for visiting our store. Even short visits often lead to meaningful decisions later, and we’re glad you considered us.</t>
  </si>
  <si>
    <t>Gold buying is rarely impulsive — it’s a decision that comes together with comfort and clarity. We’re happy to be part of that process ✨</t>
  </si>
  <si>
    <t>Just sharing a small insight — gold prices have been steadily rising over time. Many customers prefer buying earlier rather than paying more for the same jewellery later.</t>
  </si>
  <si>
    <t>Gold prices don’t pause for decisions. Even a short delay often reflects as a higher final value later.</t>
  </si>
  <si>
    <t>Jewellery designs stay — gold prices usually don’t. Timing quietly plays an important role.</t>
  </si>
  <si>
    <r>
      <t>Hi {{Name}} ✨ Many buyers who revisit later mention one thing — prices had moved up sooner than expected. Buying when the plan is already there often makes sense.</t>
    </r>
    <r>
      <rPr>
        <color rgb="FF1155CC"/>
        <u/>
      </rPr>
      <t>https://www.instagram.com/sunseajewellers</t>
    </r>
  </si>
  <si>
    <r>
      <t>Gold has rewarded consistency over waiting. Jewellery chosen today often costs more when revisited later.Follow us here:</t>
    </r>
    <r>
      <rPr>
        <color rgb="FF1155CC"/>
        <u/>
      </rPr>
      <t>https://www.instagram.com/sunseajewellers</t>
    </r>
  </si>
  <si>
    <r>
      <t>Many don’t regret buying gold — they regret waiting while prices quietly rise.</t>
    </r>
    <r>
      <rPr>
        <color rgb="FF1155CC"/>
        <u/>
      </rPr>
      <t>https://www.instagram.com/sunseajewellers</t>
    </r>
  </si>
  <si>
    <r>
      <t>Thank you again for visiting us. If our guidance helped you in any way, your feedback helps others make confident buying decisions 🌟</t>
    </r>
    <r>
      <rPr>
        <color rgb="FF1155CC"/>
        <u/>
      </rPr>
      <t>https://g.page/r/CfPkrAPpyZo6EBE/review</t>
    </r>
  </si>
  <si>
    <r>
      <t>If you appreciated our transparency and time, we’d truly value your Google review 🤍</t>
    </r>
    <r>
      <rPr>
        <color rgb="FF1155CC"/>
        <u/>
      </rPr>
      <t>https://g.page/r/CfPkrAPpyZo6EBE/review</t>
    </r>
  </si>
  <si>
    <t>We’re always here whenever you feel ready ✨ Reply STOP anytime if you prefer silence 🙏</t>
  </si>
  <si>
    <t>Hi {{Name}} 😊 Thank you for visiting us. Silver purchases often start with exploration, and we’re glad you took that step with us.</t>
  </si>
  <si>
    <t>Hi {{Name}} ✨ It was a pleasure showing you our silver collection. Thoughtful buying always begins with understanding.</t>
  </si>
  <si>
    <t>Silver buying combines beauty and value — we’re happy you considered both with us ✨</t>
  </si>
  <si>
    <t>A small insight — silver prices, like gold, have shown steady upward movement over time. Buying earlier often protects value.</t>
  </si>
  <si>
    <t>Silver prices tend to move quietly. Waiting often means paying more for the same piece later.</t>
  </si>
  <si>
    <t>Jewellery may wait — precious metal prices usually don’t.</t>
  </si>
  <si>
    <r>
      <t>Hi {{Name}} ✨ Many customers revisit silver purchases sooner than planned once they notice price movement.Stay connected here:</t>
    </r>
    <r>
      <rPr>
        <color rgb="FF1155CC"/>
        <u/>
      </rPr>
      <t>https://www.instagram.com/sunseajewellers</t>
    </r>
  </si>
  <si>
    <r>
      <t>Silver rewards timing more than hesitation. Buying earlier often proves wiser in the long run.</t>
    </r>
    <r>
      <rPr>
        <color rgb="FF1155CC"/>
        <u/>
      </rPr>
      <t>https://www.instagram.com/sunseajewellers</t>
    </r>
  </si>
  <si>
    <r>
      <t>Consistency matters more than waiting when it comes to precious metals.</t>
    </r>
    <r>
      <rPr>
        <color rgb="FF1155CC"/>
        <u/>
      </rPr>
      <t>https://www.instagram.com/sunseajewellers</t>
    </r>
  </si>
  <si>
    <r>
      <t>Thank you again for visiting. If our guidance helped, your review helps others buy with confidence 🌟</t>
    </r>
    <r>
      <rPr>
        <color rgb="FF1155CC"/>
        <u/>
      </rPr>
      <t>https://g.page/r/CfPkrAPpyZo6EBE/review</t>
    </r>
  </si>
  <si>
    <r>
      <t>We’d truly appreciate your feedback if you found our interaction helpful 🤍</t>
    </r>
    <r>
      <rPr>
        <color rgb="FF1155CC"/>
        <u/>
      </rPr>
      <t>https://g.page/r/CfPkrAPpyZo6EBE/review</t>
    </r>
  </si>
  <si>
    <t>We’re always here whenever you’re ready ✨ Reply STOP anytime 🙏</t>
  </si>
  <si>
    <t>Coins / Bars</t>
  </si>
  <si>
    <t>Hi {{Name}} 😊 Thank you for visiting us to explore gold and silver coins or bars. Investment decisions deserve clarity, and we appreciate your time.</t>
  </si>
  <si>
    <t>Hi {{Name}} ✨ It was good discussing precious metal investments with you. Many strong decisions begin with observation.</t>
  </si>
  <si>
    <t>Gold and silver investments are chosen with foresight — we’re glad you considered them with us ✨</t>
  </si>
  <si>
    <t>Historically, gold and silver prices have moved upward over the long term. Many investors prefer entering earlier rather than timing peaks.</t>
  </si>
  <si>
    <t>Waiting for the “perfect time” often means entering at a higher price. Precious metals reward consistency more than delay.</t>
  </si>
  <si>
    <t>Price movements are gradual but persistent — early entry usually benefits long-term holders.</t>
  </si>
  <si>
    <r>
      <t>Hi {{Name}} ✨ Many investors revisit quickly once they see prices moving up again.Stay connected for insights:</t>
    </r>
    <r>
      <rPr>
        <color rgb="FF1155CC"/>
        <u/>
      </rPr>
      <t>https://www.instagram.com/sunseajewellers</t>
    </r>
  </si>
  <si>
    <r>
      <t>Gold and silver favour patience — but only after entry.</t>
    </r>
    <r>
      <rPr>
        <color rgb="FF1155CC"/>
        <u/>
      </rPr>
      <t>https://www.instagram.com/sunseajewellers</t>
    </r>
  </si>
  <si>
    <r>
      <t>Investing is often about acting calmly before urgency sets in.</t>
    </r>
    <r>
      <rPr>
        <color rgb="FF1155CC"/>
        <u/>
      </rPr>
      <t>https://www.instagram.com/sunseajewellers</t>
    </r>
  </si>
  <si>
    <r>
      <t>Thank you again for visiting us. If our discussion helped, your review helps others invest with confidence 🌟</t>
    </r>
    <r>
      <rPr>
        <color rgb="FF1155CC"/>
        <u/>
      </rPr>
      <t>https://g.page/r/CfPkrAPpyZo6EBE/review</t>
    </r>
  </si>
  <si>
    <r>
      <t>We’d truly value your feedback if you appreciated our transparency 🤍</t>
    </r>
    <r>
      <rPr>
        <color rgb="FF1155CC"/>
        <u/>
      </rPr>
      <t>https://g.page/r/CfPkrAPpyZo6EBE/review</t>
    </r>
  </si>
  <si>
    <t>We’re always here whenever you feel ready ✨ Reply STOP anytime 🙏</t>
  </si>
  <si>
    <t>Hi {{Name}} 😊 It was lovely having you visit us. Diamond jewellery is a thoughtful decision, and we appreciate you taking time to explore options with us.</t>
  </si>
  <si>
    <t>Hi {{Name}} ✨ Thank you for visiting us. Exploring diamond jewellery is the first step toward a meaningful purchase, and we’re glad you considered us.</t>
  </si>
  <si>
    <t>Diamond choices come together when comfort and clarity align. We’re happy to be part of your decision process ✨</t>
  </si>
  <si>
    <t>A gentle reminder — while designs remain, gold prices (which form the base of diamond jewellery) continue to rise steadily, often increasing the final cost over time.</t>
  </si>
  <si>
    <t>Many customers are surprised to see how even small gold price movements impact diamond jewellery prices later.</t>
  </si>
  <si>
    <t>Diamond designs stay the same — metal prices don’t. Timing quietly makes a difference.</t>
  </si>
  <si>
    <r>
      <t>Hi {{Name}} ✨ Buyers who revisit later often notice one thing — the same jewellery costs more due to rising gold prices.Stay connected here:</t>
    </r>
    <r>
      <rPr>
        <color rgb="FF1155CC"/>
        <u/>
      </rPr>
      <t>https://www.instagram.com/sunseajewellers</t>
    </r>
  </si>
  <si>
    <r>
      <t>Diamond purchases reward clarity over waiting. Acting earlier often proves financially wiser.</t>
    </r>
    <r>
      <rPr>
        <color rgb="FF1155CC"/>
        <u/>
      </rPr>
      <t>https://www.instagram.com/sunseajewellers</t>
    </r>
  </si>
  <si>
    <r>
      <t>Many don’t regret buying diamonds — they regret waiting while prices quietly move up.</t>
    </r>
    <r>
      <rPr>
        <color rgb="FF1155CC"/>
        <u/>
      </rPr>
      <t>https://www.instagram.com/sunseajewellers</t>
    </r>
  </si>
  <si>
    <r>
      <t>Thank you again for visiting us. If our guidance helped you, your feedback helps others choose with confidence 🌟</t>
    </r>
    <r>
      <rPr>
        <color rgb="FF1155CC"/>
        <u/>
      </rPr>
      <t>https://g.page/r/CfPkrAPpyZo6EBE/review</t>
    </r>
  </si>
  <si>
    <r>
      <t>If you appreciated our transparency and time, we’d truly value your Google review 🤍</t>
    </r>
    <r>
      <rPr>
        <color rgb="FF1155CC"/>
        <u/>
      </rPr>
      <t>https://g.page/r/CfPkrAPpyZo6EBE/review</t>
    </r>
  </si>
  <si>
    <t>Bridal</t>
  </si>
  <si>
    <t>Hi {{Name}} 😊 It was a pleasure meeting you. Bridal jewellery planning takes time, and we appreciate you beginning that journey with us.</t>
  </si>
  <si>
    <t>Hi {{Name}} ✨ Thank you for visiting us. Wedding jewellery decisions are meaningful, and we’re glad you explored options with us.</t>
  </si>
  <si>
    <t>Bridal jewellery is chosen with care and emotion — we’re happy to be part of your planning phase 🤍</t>
  </si>
  <si>
    <t>A small insight — many brides choose to finalise jewellery earlier as gold prices tend to rise closer to wedding dates, increasing overall budgets.</t>
  </si>
  <si>
    <t>Waiting often feels comfortable, but rising gold prices usually make bridal jewellery costlier over time.</t>
  </si>
  <si>
    <t>Securing jewellery early often brings both financial comfort and peace of mind.</t>
  </si>
  <si>
    <r>
      <t>Hi {{Name}} ✨ Brides who plan ahead often feel relieved later — prices rarely stay where they were initially.Stay connected here:</t>
    </r>
    <r>
      <rPr>
        <color rgb="FF1155CC"/>
        <u/>
      </rPr>
      <t>https://www.instagram.com/sunseajewellers</t>
    </r>
  </si>
  <si>
    <r>
      <t>Wedding timelines move fast, but gold prices move faster. Early decisions often feel wiser later.</t>
    </r>
    <r>
      <rPr>
        <color rgb="FF1155CC"/>
        <u/>
      </rPr>
      <t>https://www.instagram.com/sunseajewellers</t>
    </r>
  </si>
  <si>
    <r>
      <t>Jewellery brings joy when chosen calmly — not under rising price pressure.</t>
    </r>
    <r>
      <rPr>
        <color rgb="FF1155CC"/>
        <u/>
      </rPr>
      <t>https://www.instagram.com/sunseajewellers</t>
    </r>
  </si>
  <si>
    <r>
      <t>Thank you again for visiting us. If our guidance helped, your review helps other brides choose confidently 🌸</t>
    </r>
    <r>
      <rPr>
        <color rgb="FF1155CC"/>
        <u/>
      </rPr>
      <t>https://g.page/r/CfPkrAPpyZo6EBE/review</t>
    </r>
  </si>
  <si>
    <r>
      <t>If you found our discussion helpful, we’d truly appreciate your Google review 🤍</t>
    </r>
    <r>
      <rPr>
        <color rgb="FF1155CC"/>
        <u/>
      </rPr>
      <t>https://g.page/r/CfPkrAPpyZo6EBE/review</t>
    </r>
  </si>
  <si>
    <t>We’re always here whenever you’re ready 🤍 Reply STOP anytime 🙏</t>
  </si>
  <si>
    <t>Gemstone</t>
  </si>
  <si>
    <t>Hi {{Name}} 😊 Thank you for visiting us to explore gemstones. Such choices are deeply personal, and we appreciate your time and trust.</t>
  </si>
  <si>
    <t>Hi {{Name}} ✨ Exploring gemstones often marks the beginning of inner clarity or change — we’re glad you started that journey with us.</t>
  </si>
  <si>
    <t>Gemstones are chosen when the moment feels right — we respect that timing completely ✨</t>
  </si>
  <si>
    <t>Many people wait before choosing a gemstone, but when alignment feels right, acting sooner often strengthens belief and continuity.</t>
  </si>
  <si>
    <t>Gemstone journeys respond better to trust than delay — clarity often fades when postponed too long.</t>
  </si>
  <si>
    <t>Manifestation works best when intention is supported by timely action.</t>
  </si>
  <si>
    <r>
      <t>Hi {{Name}} ✨ When the gemstone feels right, many choose not to wait — belief grows stronger with consistency.Stay connected here:</t>
    </r>
    <r>
      <rPr>
        <color rgb="FF1155CC"/>
        <u/>
      </rPr>
      <t>https://www.instagram.com/sunseajewellers</t>
    </r>
  </si>
  <si>
    <r>
      <t>Trusting the right moment often brings better results than overthinking.</t>
    </r>
    <r>
      <rPr>
        <color rgb="FF1155CC"/>
        <u/>
      </rPr>
      <t>https://www.instagram.com/sunseajewellers</t>
    </r>
  </si>
  <si>
    <r>
      <t>Alignment isn’t rushed — but once felt, it’s best honoured.</t>
    </r>
    <r>
      <rPr>
        <color rgb="FF1155CC"/>
        <u/>
      </rPr>
      <t>https://www.instagram.com/sunseajewellers</t>
    </r>
  </si>
  <si>
    <r>
      <t>Thank you again for visiting us. If our guidance helped you, your review helps others take confident steps 🌟</t>
    </r>
    <r>
      <rPr>
        <color rgb="FF1155CC"/>
        <u/>
      </rPr>
      <t>https://g.page/r/CfPkrAPpyZo6EBE/review</t>
    </r>
  </si>
  <si>
    <r>
      <t>We’d truly appreciate your feedback if you found our interaction reassuring 🙏</t>
    </r>
    <r>
      <rPr>
        <color rgb="FF1155CC"/>
        <u/>
      </rPr>
      <t>https://g.page/r/CfPkrAPpyZo6EBE/review</t>
    </r>
  </si>
  <si>
    <t>Lab-grown</t>
  </si>
  <si>
    <t>Hi {{Name}} 😊 Thank you for visiting us to explore lab-grown diamond jewellery. Modern choices deserve thoughtful consideration, and we appreciate your time.</t>
  </si>
  <si>
    <t>Hi {{Name}} ✨ Lab-grown diamonds combine value and beauty — we’re glad you explored this option with us.</t>
  </si>
  <si>
    <t>Smart jewellery choices begin with awareness — thank you for considering lab-grown diamonds ✨</t>
  </si>
  <si>
    <t>While lab-grown diamonds offer value, gold prices forming the base still rise steadily — waiting often increases final costs.</t>
  </si>
  <si>
    <t>Many buyers realise later that gold price movement matters more than expected, even in lab-grown jewellery.</t>
  </si>
  <si>
    <t>Jewellery decisions may wait — metal prices usually don’t.</t>
  </si>
  <si>
    <r>
      <t>Hi {{Name}} ✨ Buyers who act earlier often enjoy both better pricing and peace of mind.Stay connected here:</t>
    </r>
    <r>
      <rPr>
        <color rgb="FF1155CC"/>
        <u/>
      </rPr>
      <t>https://www.instagram.com/sunseajewellers</t>
    </r>
  </si>
  <si>
    <r>
      <t>Lab-grown jewellery rewards clarity over hesitation.</t>
    </r>
    <r>
      <rPr>
        <color rgb="FF1155CC"/>
        <u/>
      </rPr>
      <t>https://www.instagram.com/sunseajewellers</t>
    </r>
  </si>
  <si>
    <r>
      <t>Many don’t regret buying — they regret waiting.</t>
    </r>
    <r>
      <rPr>
        <color rgb="FF1155CC"/>
        <u/>
      </rPr>
      <t>https://www.instagram.com/sunseajewellers</t>
    </r>
  </si>
  <si>
    <r>
      <t>Thank you again for visiting us. If our guidance helped, your feedback helps others choose confidently 🌟</t>
    </r>
    <r>
      <rPr>
        <color rgb="FF1155CC"/>
        <u/>
      </rPr>
      <t>https://g.page/r/CfPkrAPpyZo6EBE/review</t>
    </r>
  </si>
  <si>
    <r>
      <t>We’d truly appreciate your review if you valued our transparency 🤍</t>
    </r>
    <r>
      <rPr>
        <color rgb="FF1155CC"/>
        <u/>
      </rPr>
      <t>https://g.page/r/CfPkrAPpyZo6EBE/review</t>
    </r>
  </si>
  <si>
    <t>Rudraksha</t>
  </si>
  <si>
    <t>Hi {{Name}} 🙏 It was nice meeting you and discussing Rudraksha with you. Such choices are deeply personal, and we respect the time you’re taking to decide.</t>
  </si>
  <si>
    <t>Hi {{Name}} ✨ Thank you for visiting us. Exploring Rudraksha often begins with curiosity and reflection — we’re glad you came by.</t>
  </si>
  <si>
    <t>Spiritual journeys are never rushed. We appreciate you considering this step thoughtfully 🙏</t>
  </si>
  <si>
    <t>Many people notice that when the timing feels right, delaying further only creates confusion. Rudraksha works best when belief and action align.</t>
  </si>
  <si>
    <t>Spiritual tools respond more to intention than hesitation. Acting at the right moment often feels lighter than waiting.</t>
  </si>
  <si>
    <t>Alignment matters more than urgency — but once felt, it’s best honoured.</t>
  </si>
  <si>
    <r>
      <t>Hi {{Name}} 🙏 Many people return when they feel the inner calling again. Belief strengthens when supported by consistency.</t>
    </r>
    <r>
      <rPr>
        <color rgb="FF1155CC"/>
        <u/>
      </rPr>
      <t>https://www.instagram.com/sunseajewellers</t>
    </r>
  </si>
  <si>
    <r>
      <t>Rudraksha is often chosen when clarity feels stronger than doubt.Stay connected here:</t>
    </r>
    <r>
      <rPr>
        <color rgb="FF1155CC"/>
        <u/>
      </rPr>
      <t>https://www.instagram.com/sunseajewellers</t>
    </r>
  </si>
  <si>
    <r>
      <t>There is no rush — only readiness.</t>
    </r>
    <r>
      <rPr>
        <color rgb="FF1155CC"/>
        <u/>
      </rPr>
      <t>https://www.instagram.com/sunseajewellers</t>
    </r>
  </si>
  <si>
    <r>
      <t>Thank you again for visiting us. If our guidance helped you in any way, your feedback helps others take confident steps 🙏</t>
    </r>
    <r>
      <rPr>
        <color rgb="FF1155CC"/>
        <u/>
      </rPr>
      <t>https://g.page/r/CfPkrAPpyZo6EBE/review</t>
    </r>
  </si>
  <si>
    <r>
      <t>If you felt comfortable with our guidance, we’d truly value your Google review 🤍</t>
    </r>
    <r>
      <rPr>
        <color rgb="FF1155CC"/>
        <u/>
      </rPr>
      <t>https://g.page/r/CfPkrAPpyZo6EBE/review</t>
    </r>
  </si>
  <si>
    <t>We’re always here whenever you feel ready 🙏 Reply STOP anytime</t>
  </si>
  <si>
    <t>Custom Design</t>
  </si>
  <si>
    <t>Hi {{Name}} ✨ It was a pleasure discussing a custom design with you. Such creations take vision and thought, and we appreciate you exploring that journey with us.</t>
  </si>
  <si>
    <t>Hi {{Name}} 😊 Custom jewellery decisions are deeply personal. We’re glad you took the first step by discussing your ideas with us.</t>
  </si>
  <si>
    <t>Bespoke pieces come together when clarity feels complete — we respect that process ✨</t>
  </si>
  <si>
    <t>One thing to keep in mind — gold prices form the foundation of custom jewellery, and they continue to rise steadily over time.</t>
  </si>
  <si>
    <t>Many custom projects become costlier simply due to metal price movement, even when the design remains unchanged.</t>
  </si>
  <si>
    <t>When the vision is already clear, acting earlier often protects both cost and peace of mind.</t>
  </si>
  <si>
    <r>
      <t>Hi {{Name}} ✨ Many clients finalise custom pieces sooner once they realise prices rarely wait for decisions.</t>
    </r>
    <r>
      <rPr>
        <color rgb="FF1155CC"/>
        <u/>
      </rPr>
      <t>https://www.instagram.com/sunseajewellers</t>
    </r>
  </si>
  <si>
    <r>
      <t>Custom design rewards clarity more than delay — especially when base metal prices are rising.</t>
    </r>
    <r>
      <rPr>
        <color rgb="FF1155CC"/>
        <u/>
      </rPr>
      <t>https://www.instagram.com/sunseajewellers</t>
    </r>
  </si>
  <si>
    <r>
      <t>True luxury lies in timing as much as design.</t>
    </r>
    <r>
      <rPr>
        <color rgb="FF1155CC"/>
        <u/>
      </rPr>
      <t>https://www.instagram.com/sunseajewellers</t>
    </r>
  </si>
  <si>
    <r>
      <t>Thank you again for visiting us. If our consultation helped, your feedback helps others approach custom jewellery with confidence 🌟</t>
    </r>
    <r>
      <rPr>
        <color rgb="FF1155CC"/>
        <u/>
      </rPr>
      <t>https://g.page/r/CfPkrAPpyZo6EBE/review</t>
    </r>
  </si>
  <si>
    <r>
      <t>If you valued our design discussion, we’d truly appreciate your review 🤍</t>
    </r>
    <r>
      <rPr>
        <color rgb="FF1155CC"/>
        <u/>
      </rPr>
      <t>https://g.page/r/CfPkrAPpyZo6EBE/review</t>
    </r>
  </si>
  <si>
    <t>Counter Redesigning</t>
  </si>
  <si>
    <t>Hi {{Name}} ✨ It was great discussing your counter redesign thoughts. Such decisions shape customer experience and deserve careful planning.</t>
  </si>
  <si>
    <t>Hi {{Name}} 😊 Store redesign conversations often begin with observation — we appreciate you sharing your vision with us.</t>
  </si>
  <si>
    <t>Meaningful design changes happen when alignment feels right — we respect that journey ✨</t>
  </si>
  <si>
    <t>Many retailers notice that redesign costs rise over time due to material and metal price movement. Acting earlier often keeps budgets more predictable.</t>
  </si>
  <si>
    <t>Waiting often increases execution costs, even when the design scope stays the same.</t>
  </si>
  <si>
    <t>When clarity is present, earlier execution usually brings smoother outcomes.</t>
  </si>
  <si>
    <r>
      <t>Hi {{Name}} ✨ Many store owners revisit redesigns sooner once they factor in rising material and metal prices.</t>
    </r>
    <r>
      <rPr>
        <color rgb="FF1155CC"/>
        <u/>
      </rPr>
      <t>https://www.instagram.com/sunseajewellers</t>
    </r>
  </si>
  <si>
    <r>
      <t>Good design waits for alignment — costs usually don’t.</t>
    </r>
    <r>
      <rPr>
        <color rgb="FF1155CC"/>
        <u/>
      </rPr>
      <t>https://www.instagram.com/sunseajewellers</t>
    </r>
  </si>
  <si>
    <r>
      <t>Timing often becomes the silent factor in redesign decisions.</t>
    </r>
    <r>
      <rPr>
        <color rgb="FF1155CC"/>
        <u/>
      </rPr>
      <t>https://www.instagram.com/sunseajewellers</t>
    </r>
  </si>
  <si>
    <r>
      <t>Thank you again for visiting us. If our discussion helped, your feedback helps other retailers plan confidently 🌟</t>
    </r>
    <r>
      <rPr>
        <color rgb="FF1155CC"/>
        <u/>
      </rPr>
      <t>https://g.page/r/CfPkrAPpyZo6EBE/review</t>
    </r>
  </si>
  <si>
    <r>
      <t>We’d truly value your review if you appreciated our professional guidance 🤍</t>
    </r>
    <r>
      <rPr>
        <color rgb="FF1155CC"/>
        <u/>
      </rPr>
      <t>https://g.page/r/CfPkrAPpyZo6EBE/review</t>
    </r>
  </si>
  <si>
    <t>Strong business relationships matter more than timelines ✨ Reply STOP anytime 🙏</t>
  </si>
  <si>
    <t>Hi {{Name}} 😊 It was nice having you visit us. Thank you for taking time to explore your options with us.</t>
  </si>
  <si>
    <t>Hi {{Name}} ✨ Thank you for stopping by. Even a first visit helps bring clarity, and we’re glad you considered us.</t>
  </si>
  <si>
    <t>Good decisions often begin with exploration. We appreciate your visit ✨</t>
  </si>
  <si>
    <t>Just sharing a thought — prices and availability often change faster than expected. Acting earlier usually keeps options wider.</t>
  </si>
  <si>
    <t>Many customers realise later that waiting quietly increases cost or limits choices.</t>
  </si>
  <si>
    <t>Timing often plays a bigger role than we expect.</t>
  </si>
  <si>
    <r>
      <t>Hi {{Name}} ✨ Many visitors return sooner once clarity sets in. We’re always happy to assist.</t>
    </r>
    <r>
      <rPr>
        <color rgb="FF1155CC"/>
        <u/>
      </rPr>
      <t>https://www.instagram.com/sunseajewellers</t>
    </r>
  </si>
  <si>
    <r>
      <t>Revisiting with a clear mind often makes decisions easier.</t>
    </r>
    <r>
      <rPr>
        <color rgb="FF1155CC"/>
        <u/>
      </rPr>
      <t>https://www.instagram.com/sunseajewellers</t>
    </r>
  </si>
  <si>
    <r>
      <t>We’d love to stay connected until the timing feels right.</t>
    </r>
    <r>
      <rPr>
        <color rgb="FF1155CC"/>
        <u/>
      </rPr>
      <t>https://www.instagram.com/sunseajewellers</t>
    </r>
  </si>
  <si>
    <r>
      <t>If your visit felt helpful, your feedback helps others feel confident 🌟</t>
    </r>
    <r>
      <rPr>
        <color rgb="FF1155CC"/>
        <u/>
      </rPr>
      <t>https://g.page/r/CfPkrAPpyZo6EBE/review</t>
    </r>
  </si>
  <si>
    <t>We’d truly appreciate your review if you valued our guidance 🤍</t>
  </si>
  <si>
    <t>Hi {{Name}} 😊 It was really nice seeing you again at our store. We truly appreciate you taking the time to revisit us.</t>
  </si>
  <si>
    <t>Hi {{Name}} ✨ Thank you for coming back. Re-visits matter to us because they show trust and interest.</t>
  </si>
  <si>
    <t>Decisions worth making are often revisited before they’re finalised. We respect that completely ✨</t>
  </si>
  <si>
    <t>Just wanted to check — was there anything specific holding you back? Price, design clarity, or timing? Your feedback helps us guide you better.</t>
  </si>
  <si>
    <t>Sometimes a small doubt delays a good decision. If there’s anything you’d like clarity on, we’re happy to help.</t>
  </si>
  <si>
    <t>No pressure at all — just here to support you with the right information when you need it.</t>
  </si>
  <si>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</si>
  <si>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</si>
  <si>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</si>
  <si>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</si>
  <si>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</si>
  <si>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</si>
  <si>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</si>
  <si>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</si>
  <si>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</si>
  <si>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</si>
  <si>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</si>
  <si>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</si>
  <si>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</si>
  <si>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</si>
  <si>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</si>
  <si>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</si>
  <si>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</si>
  <si>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</si>
  <si>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</si>
  <si>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</si>
  <si>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</si>
  <si>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</si>
  <si>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</si>
  <si>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</si>
  <si>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</si>
  <si>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</si>
  <si>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</si>
  <si>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</si>
  <si>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</si>
  <si>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</si>
  <si>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</si>
  <si>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</si>
  <si>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</si>
  <si>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</si>
  <si>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</si>
  <si>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</si>
  <si>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</si>
  <si>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</si>
  <si>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</si>
  <si>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</si>
  <si>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</si>
  <si>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</si>
  <si>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</si>
  <si>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</si>
  <si>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</si>
  <si>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clients in a similar stage find it helpful when we customise options — whether it’s adjusting design, budget, or offering small value benefits to make the decision easier.Let us know how we can assist.</t>
    </r>
    <r>
      <rPr>
        <color rgb="FF1155CC"/>
        <u/>
      </rPr>
      <t>https://www.instagram.com/sunseajewellers</t>
    </r>
  </si>
  <si>
    <r>
      <t>Sometimes the right offer or flexibility helps bring clarity. We’d be happy to explore what works best for you — without compromising quality.</t>
    </r>
    <r>
      <rPr>
        <color rgb="FF1155CC"/>
        <u/>
      </rPr>
      <t>https://www.instagram.com/sunseajewellers</t>
    </r>
  </si>
  <si>
    <r>
      <t>We often support returning clients with exclusive considerations — just to make the decision comfortable and timely.</t>
    </r>
    <r>
      <rPr>
        <color rgb="FF1155CC"/>
        <u/>
      </rPr>
      <t>https://www.instagram.com/sunseajewellers</t>
    </r>
  </si>
  <si>
    <r>
      <t>Thank you again for revisiting us. If our guidance felt genuine and helpful, your review helps others feel confident too 🌟</t>
    </r>
    <r>
      <rPr>
        <color rgb="FF1155CC"/>
        <u/>
      </rPr>
      <t>https://g.page/r/CfPkrAPpyZo6EBE/review</t>
    </r>
  </si>
  <si>
    <r>
      <t>Even if you haven’t purchased yet, your experience matters to us. We’d truly value your feedback 🤍</t>
    </r>
    <r>
      <rPr>
        <color rgb="FF1155CC"/>
        <u/>
      </rPr>
      <t>https://g.page/r/CfPkrAPpyZo6EBE/review</t>
    </r>
  </si>
  <si>
    <r>
      <t>Hi {{Name}} ✨ Many visitors return sooner once clarity sets in. We’re always happy to assist.</t>
    </r>
    <r>
      <rPr>
        <color rgb="FF1155CC"/>
        <u/>
      </rPr>
      <t>https://www.instagram.com/sunseajewellers</t>
    </r>
  </si>
  <si>
    <r>
      <t>Revisiting with a clear mind often makes decisions easier.</t>
    </r>
    <r>
      <rPr>
        <color rgb="FF1155CC"/>
        <u/>
      </rPr>
      <t>https://www.instagram.com/sunseajewellers</t>
    </r>
  </si>
  <si>
    <r>
      <t>We’d love to stay connected until the timing feels right.</t>
    </r>
    <r>
      <rPr>
        <color rgb="FF1155CC"/>
        <u/>
      </rPr>
      <t>https://www.instagram.com/sunseajewellers</t>
    </r>
  </si>
  <si>
    <r>
      <t>If your visit felt helpful, your feedback helps others feel confident 🌟</t>
    </r>
    <r>
      <rPr>
        <color rgb="FF1155CC"/>
        <u/>
      </rPr>
      <t>https://g.page/r/CfPkrAPpyZo6EBE/review</t>
    </r>
  </si>
  <si>
    <t>Hi {{Name}} ✨ Thank you for choosing us for your diamond jewellery purchase. We truly appreciate the trust you placed in us and hope your jewellery adds elegance and sparkle to every moment you wear it 💎</t>
  </si>
  <si>
    <t>Hi {{Name}} 😊 It was a pleasure assisting you with your diamond jewellery. We hope it feels just as special every time you wear it.</t>
  </si>
  <si>
    <t>Diamonds are chosen for moments that matter. We’re grateful you allowed us to be a part of yours ✨</t>
  </si>
  <si>
    <t>Diamonds retain their brilliance best with gentle care. Cleaning occasionally with mild soap and a soft brush helps maintain their shine beautifully.</t>
  </si>
  <si>
    <t>Avoid direct contact with perfumes and chemicals to preserve the sparkle and finish of your diamond jewellery for years to come.</t>
  </si>
  <si>
    <t>You’re always welcome to visit us for free diamond cleaning and checking — we’ll be happy to help 😊</t>
  </si>
  <si>
    <r>
      <t>Hi {{Name}} ✨ We hope you’re enjoying your jewellery. How did it feel wearing {{Item Seen}}? Jewellery often attracts admiration — did you receive any compliments? 😊Stay connected with us for styling ideas &amp; new designs:</t>
    </r>
    <r>
      <rPr>
        <color rgb="FF1155CC"/>
        <u/>
      </rPr>
      <t>https://www.instagram.com/sunseajewellers</t>
    </r>
  </si>
  <si>
    <r>
      <t>Jewellery truly reveals its charm when worn. We hope {{Item Seen}} is settling beautifully into your routine 💎Follow us here for inspiration:</t>
    </r>
    <r>
      <rPr>
        <color rgb="FF1155CC"/>
        <u/>
      </rPr>
      <t>https://www.instagram.com/sunseajewellers</t>
    </r>
  </si>
  <si>
    <r>
      <t>Hope your jewellery is bringing you joy and confidence ✨We’d love to stay connected with you on Instagram:</t>
    </r>
    <r>
      <rPr>
        <color rgb="FF1155CC"/>
        <u/>
      </rPr>
      <t>https://www.instagram.com/sunseajewellers</t>
    </r>
  </si>
  <si>
    <r>
      <t>Thank you again for trusting us with your diamond jewellery. Your experience matters to us, and your feedback helps others make confident buying decisions 🌟</t>
    </r>
    <r>
      <rPr>
        <color rgb="FF1155CC"/>
        <u/>
      </rPr>
      <t>https://g.page/r/CfPkrAPpyZo6EBE/review</t>
    </r>
  </si>
  <si>
    <r>
      <t>If your experience with us brought a smile, we’d truly appreciate your Google review 🌸</t>
    </r>
    <r>
      <rPr>
        <color rgb="FF1155CC"/>
        <u/>
      </rPr>
      <t>https://g.page/r/CfPkrAPpyZo6EBE/review</t>
    </r>
  </si>
  <si>
    <t>We’re always here whenever you need us ✨Reply STOP anytime if you prefer silence 🙏</t>
  </si>
  <si>
    <t>Hi {{Name}} ✨ Thank you for choosing us for your bridal jewellery. It was truly an honour to be part of such a meaningful chapter of your life 🤍</t>
  </si>
  <si>
    <t>We’re grateful you trusted us with jewellery chosen for memories that last a lifetime ✨</t>
  </si>
  <si>
    <t>Bridal jewellery is selected with love and emotion — we’re thankful to be part of your journey 🤍</t>
  </si>
  <si>
    <t>Bridal jewellery stays beautiful for years with proper care. Storing each piece separately and keeping it away from moisture helps preserve its detailing.</t>
  </si>
  <si>
    <t>We recommend keeping bridal jewellery away from perfumes and humidity to maintain its original finish.</t>
  </si>
  <si>
    <t>You’re always welcome to visit us for free bridal jewellery cleaning and checking 😊</t>
  </si>
  <si>
    <r>
      <t>Hi {{Name}} ✨ We hope everything went beautifully. How was the response to your {{Item Seen}}? Bridal jewellery truly completes the wedding look 🤍Stay connected with us here:</t>
    </r>
    <r>
      <rPr>
        <color rgb="FF1155CC"/>
        <u/>
      </rPr>
      <t>https://www.instagram.com/sunseajewellers</t>
    </r>
  </si>
  <si>
    <r>
      <t>Your bridal jewellery must have drawn many admiring glances ✨ We hope {{Item Seen}} felt perfect on your special day.Follow us on Instagram:</t>
    </r>
    <r>
      <rPr>
        <color rgb="FF1155CC"/>
        <u/>
      </rPr>
      <t>https://www.instagram.com/sunseajewellers</t>
    </r>
  </si>
  <si>
    <r>
      <t>Wedding moments pass quickly, but jewellery keeps the memories alive 🤍We’d love to stay connected:</t>
    </r>
    <r>
      <rPr>
        <color rgb="FF1155CC"/>
        <u/>
      </rPr>
      <t>https://www.instagram.com/sunseajewellers</t>
    </r>
  </si>
  <si>
    <r>
      <t>Thank you once again for trusting us with such an important moment of your life. Your words help future brides choose with confidence 🌸</t>
    </r>
    <r>
      <rPr>
        <color rgb="FF1155CC"/>
        <u/>
      </rPr>
      <t>https://g.page/r/CfPkrAPpyZo6EBE/review</t>
    </r>
  </si>
  <si>
    <r>
      <t>If you’d like to share your experience with us, it would mean a lot 🌟</t>
    </r>
    <r>
      <rPr>
        <color rgb="FF1155CC"/>
        <u/>
      </rPr>
      <t>https://g.page/r/CfPkrAPpyZo6EBE/review</t>
    </r>
  </si>
  <si>
    <t>We value the relationship beyond the purchase 🤍Reply STOP anytime if you prefer silence 🙏</t>
  </si>
  <si>
    <t>Hi {{Name}} 🙏 Thank you for choosing your Rudraksha with us.</t>
  </si>
  <si>
    <t>Grateful you trusted us for something so meaningful.</t>
  </si>
  <si>
    <t>May it bring peace and clarity 🌿</t>
  </si>
  <si>
    <t>Proper wearing and care enhances its spiritual value.</t>
  </si>
  <si>
    <t>If you ever have questions, feel free to ask.</t>
  </si>
  <si>
    <t>Spiritual journeys unfold slowly 🙏</t>
  </si>
  <si>
    <t>Many people reconnect when they feel ready again.</t>
  </si>
  <si>
    <t>We’re always here for guidance.</t>
  </si>
  <si>
    <t>No rush — alignment matters.</t>
  </si>
  <si>
    <t>Hope your Rudraksha feels right with you.</t>
  </si>
  <si>
    <t>Thank you for trusting us.</t>
  </si>
  <si>
    <t>Reply STOP anytime if you prefer silence 🙏</t>
  </si>
  <si>
    <t>Hi {{Name}} ✨ Thank you for choosing us for your silver jewellery purchase. We truly appreciate your trust and hope your silver piece adds charm and elegance to your everyday style 🤍</t>
  </si>
  <si>
    <t>Hi {{Name}} 😊 It was lovely assisting you with your silver jewellery. We hope it feels comfortable, stylish, and joyful every time you wear it.</t>
  </si>
  <si>
    <t>Silver is chosen for its simplicity and grace — we’re grateful you chose us for it ✨</t>
  </si>
  <si>
    <t>Silver jewellery retains its beauty best with a little care. Storing it in plastic zip-lock covers helps reduce tarnishing and keeps it shining longer.</t>
  </si>
  <si>
    <t>Avoid moisture, perfumes, and direct contact with chemicals to preserve the natural shine of silver jewellery.</t>
  </si>
  <si>
    <t>You’re always welcome to visit us for free silver cleaning and guidance whenever needed 😊</t>
  </si>
  <si>
    <r>
      <t>Hi {{Name}} ✨ We hope you’re enjoying your jewellery. How did {{Item Seen}} feel when you wore it? Silver often gets noticed for its subtle elegance 🤍Stay connected with us for new designs &amp; styling ideas:</t>
    </r>
    <r>
      <rPr>
        <color rgb="FF1155CC"/>
        <u/>
      </rPr>
      <t>https://www.instagram.com/sunseajewellers</t>
    </r>
  </si>
  <si>
    <r>
      <t>Silver jewellery blends beautifully into daily wear ✨ We hope {{Item Seen}} has already become a favourite piece.Follow us on Instagram for inspiration:</t>
    </r>
    <r>
      <rPr>
        <color rgb="FF1155CC"/>
        <u/>
      </rPr>
      <t>https://www.instagram.com/sunseajewellers</t>
    </r>
  </si>
  <si>
    <r>
      <t>Jewellery becomes special when it fits naturally into your style 🤍We’d love to stay connected with you here:</t>
    </r>
    <r>
      <rPr>
        <color rgb="FF1155CC"/>
        <u/>
      </rPr>
      <t>https://www.instagram.com/sunseajewellers</t>
    </r>
  </si>
  <si>
    <r>
      <t>Thank you again for choosing us for your silver jewellery. Your experience matters to us, and your feedback helps others make confident buying decisions 🌟</t>
    </r>
    <r>
      <rPr>
        <color rgb="FF1155CC"/>
        <u/>
      </rPr>
      <t>https://g.page/r/CfPkrAPpyZo6EBE/review</t>
    </r>
  </si>
  <si>
    <r>
      <t>If your experience with us felt pleasant, we’d truly appreciate your Google review 🤍</t>
    </r>
    <r>
      <rPr>
        <color rgb="FF1155CC"/>
        <u/>
      </rPr>
      <t>https://g.page/r/CfPkrAPpyZo6EBE/review</t>
    </r>
  </si>
  <si>
    <t>We’re always happy to assist you whenever needed ✨Reply STOP anytime if you prefer silence 🙏</t>
  </si>
  <si>
    <t>Hi {{Name}} ✨ Thank you for choosing us for your lab-grown diamond jewellery. We truly appreciate your trust and hope your jewellery brings you elegance, confidence, and everyday comfort 💎</t>
  </si>
  <si>
    <t>Hi {{Name}} 😊 It was a pleasure assisting you with your lab-grown diamond jewellery. We hope it feels just right every time you wear it.</t>
  </si>
  <si>
    <t>Lab-grown diamonds are chosen thoughtfully — for beauty, value, and modern choices. We’re glad to be part of yours ✨</t>
  </si>
  <si>
    <t>Lab-grown diamonds have the same brilliance and durability as natural diamonds and shine best with gentle care. Occasional cleaning with mild soap and a soft brush keeps them sparkling beautifully.</t>
  </si>
  <si>
    <t>Avoid direct contact with perfumes, lotions, and chemicals to maintain the finish and brilliance of your jewellery over time.</t>
  </si>
  <si>
    <t>You’re always welcome to visit us for free cleaning and checking of your lab-grown diamond jewellery 😊</t>
  </si>
  <si>
    <r>
      <t>Hi {{Name}} ✨ We hope you’re enjoying your jewellery. How did {{Item Seen}} feel when you wore it? Lab-grown diamonds often surprise people with their sparkle — did you receive any compliments? 😊Stay connected with us for styling ideas &amp; new designs:</t>
    </r>
    <r>
      <rPr>
        <color rgb="FF1155CC"/>
        <u/>
      </rPr>
      <t>https://www.instagram.com/sunseajewellers</t>
    </r>
  </si>
  <si>
    <r>
      <t>Jewellery truly comes alive when worn ✨ We hope {{Item Seen}} is fitting perfectly into your style and routine.Follow us on Instagram for inspiration:</t>
    </r>
    <r>
      <rPr>
        <color rgb="FF1155CC"/>
        <u/>
      </rPr>
      <t>https://www.instagram.com/sunseajewellers</t>
    </r>
  </si>
  <si>
    <r>
      <t>Modern jewellery reflects modern choices 🤍 We’d love to stay connected with you here:</t>
    </r>
    <r>
      <rPr>
        <color rgb="FF1155CC"/>
        <u/>
      </rPr>
      <t>https://www.instagram.com/sunseajewellers</t>
    </r>
  </si>
  <si>
    <r>
      <t>Thank you again for trusting us with your lab-grown diamond jewellery. Your experience matters to us, and your feedback helps others make confident and informed choices 🌟</t>
    </r>
    <r>
      <rPr>
        <color rgb="FF1155CC"/>
        <u/>
      </rPr>
      <t>https://g.page/r/CfPkrAPpyZo6EBE/review</t>
    </r>
  </si>
  <si>
    <r>
      <t>If your experience with us felt smooth and satisfying, we’d truly appreciate your Google review 🤍</t>
    </r>
    <r>
      <rPr>
        <color rgb="FF1155CC"/>
        <u/>
      </rPr>
      <t>https://g.page/r/CfPkrAPpyZo6EBE/review</t>
    </r>
  </si>
  <si>
    <t>We value the relationship beyond the purchase ✨Reply STOP anytime if you prefer silence 🙏</t>
  </si>
  <si>
    <t>Hi {{Name}} ✨ Thank you for choosing us for your gold / silver coin or bar purchase. We truly appreciate your trust. Precious metals have always been a symbol of security, and we’re glad to be part of your wealth-building journey 🤍</t>
  </si>
  <si>
    <t>Hi {{Name}} 😊 It was a pleasure assisting you with your investment in precious metals. We hope this purchase brings you confidence and long-term peace of mind.</t>
  </si>
  <si>
    <t>Gold and silver are chosen not just for today, but for tomorrow. Thank you for trusting us with an important financial decision ✨</t>
  </si>
  <si>
    <t>Over the years, gold and silver have shown consistent long-term appreciation, protecting value across generations. Many see them as a reliable way to keep money growing steadily over time.</t>
  </si>
  <si>
    <t>Unlike short-term trends, precious metals have held their worth through changing markets. Your investment reflects a thoughtful and disciplined approach to savings.</t>
  </si>
  <si>
    <t>With proper storage and patience, gold and silver continue to stand strong as long-term stores of value 🤍</t>
  </si>
  <si>
    <r>
      <t>Hi {{Name}} ✨ We hope you feel confident about your purchase. Coins and bars are often chosen for stability and long-term growth.Stay connected with us for insights and updates:</t>
    </r>
    <r>
      <rPr>
        <color rgb="FF1155CC"/>
        <u/>
      </rPr>
      <t>https://www.instagram.com/sunseajewellers</t>
    </r>
  </si>
  <si>
    <r>
      <t>Investing in precious metals is a quiet way of letting money grow over time ✨Follow us here for knowledge, designs, and updates:</t>
    </r>
    <r>
      <rPr>
        <color rgb="FF1155CC"/>
        <u/>
      </rPr>
      <t>https://www.instagram.com/sunseajewellers</t>
    </r>
  </si>
  <si>
    <r>
      <t>Smart investing often means staying consistent and informed 🤍We’d love to stay connected with you:</t>
    </r>
    <r>
      <rPr>
        <color rgb="FF1155CC"/>
        <u/>
      </rPr>
      <t>https://www.instagram.com/sunseajewellers</t>
    </r>
  </si>
  <si>
    <r>
      <t>Thank you again for trusting us with your gold / silver investment. Your experience matters to us, and your feedback helps others invest with confidence 🌟</t>
    </r>
    <r>
      <rPr>
        <color rgb="FF1155CC"/>
        <u/>
      </rPr>
      <t>https://g.page/r/CfPkrAPpyZo6EBE/review</t>
    </r>
  </si>
  <si>
    <r>
      <t>If your experience with us felt reassuring and transparent, we’d truly appreciate your Google review 🤍</t>
    </r>
    <r>
      <rPr>
        <color rgb="FF1155CC"/>
        <u/>
      </rPr>
      <t>https://g.page/r/CfPkrAPpyZo6EBE/review</t>
    </r>
  </si>
  <si>
    <t>We’re always here to support you on your precious metals journey ✨Reply STOP anytime if you prefer silence 🙏</t>
  </si>
  <si>
    <t>Hi {{Name}} ✨ Thank you for trusting us with a custom-designed piece. Creating something uniquely yours is always a thoughtful and meaningful journey, and we truly value the confidence you placed in us.</t>
  </si>
  <si>
    <t>It was a pleasure translating your vision into a bespoke creation. Custom jewellery is deeply personal, and we’re honoured to have been part of this process.</t>
  </si>
  <si>
    <t>True luxury lies in individuality. Thank you for allowing us to craft something that reflects your personal story ✨</t>
  </si>
  <si>
    <t>Custom-designed jewellery deserves mindful care. With gentle handling and proper storage, your piece will retain its beauty and character for generations.</t>
  </si>
  <si>
    <t>Every bespoke creation carries intention, detail, and craftsmanship. We recommend periodic inspection to preserve its original finesse and finish.</t>
  </si>
  <si>
    <t>Whenever you feel the need for refinement, care, or guidance, our atelier is always open to you.</t>
  </si>
  <si>
    <r>
      <t>Hi {{Name}} ✨ We hope your custom piece is settling beautifully into your life. How does it feel wearing something created exclusively for you?We occasionally share refined design stories and inspirations here:</t>
    </r>
    <r>
      <rPr>
        <color rgb="FF1155CC"/>
        <u/>
      </rPr>
      <t>https://www.instagram.com/sunseajewellers</t>
    </r>
  </si>
  <si>
    <r>
      <t>Jewellery becomes truly complete when it resonates with the wearer. We hope your bespoke piece feels as natural as it looks elegant.You may explore our design world here:</t>
    </r>
    <r>
      <rPr>
        <color rgb="FF1155CC"/>
        <u/>
      </rPr>
      <t>https://www.instagram.com/sunseajewellers</t>
    </r>
  </si>
  <si>
    <r>
      <t>A custom creation is more than jewellery — it’s a quiet expression of taste and legacy.We’d love to stay connected with you here:</t>
    </r>
    <r>
      <rPr>
        <color rgb="FF1155CC"/>
        <u/>
      </rPr>
      <t>https://www.instagram.com/sunseajewellers</t>
    </r>
  </si>
  <si>
    <r>
      <t>Thank you once again for choosing us for such a personal creation. Your experience matters deeply to us, and your words help like-minded patrons place their trust with confidence.</t>
    </r>
    <r>
      <rPr>
        <color rgb="FF1155CC"/>
        <u/>
      </rPr>
      <t>https://g.page/r/CfPkrAPpyZo6EBE/review</t>
    </r>
  </si>
  <si>
    <r>
      <t>If you feel your journey with us reflected care, discretion, and craftsmanship, we would truly appreciate your review.</t>
    </r>
    <r>
      <rPr>
        <color rgb="FF1155CC"/>
        <u/>
      </rPr>
      <t>https://g.page/r/CfPkrAPpyZo6EBE/review</t>
    </r>
  </si>
  <si>
    <t>Our relationship goes beyond a single creation ✨Reply STOP anytime if you prefer silence 🙏</t>
  </si>
  <si>
    <t>Hi {{Name}} ✨ Thank you for choosing us for your gold jewellery purchase.</t>
  </si>
  <si>
    <t>We truly appreciate your trust in us for gold jewellery.</t>
  </si>
  <si>
    <t>Hope your gold piece feels Perfect just like your smile😊</t>
  </si>
  <si>
    <t>Gold retains its beauty best with regular care. Clean it with a gold polishing cloth.</t>
  </si>
  <si>
    <t>We’re always happy to help with cleaning or polishing free of charge for any 1 of your old jewels.</t>
  </si>
  <si>
    <t>A little care keeps gold shining for years ✨ keep jewellery in plastic ziplocks in a plastic box for antitarishing.</t>
  </si>
  <si>
    <t>Hi {{Name}} ✨ I hope you are loving the jewellery, did you get any compliments?</t>
  </si>
  <si>
    <r>
      <rPr/>
      <t xml:space="preserve">{{Name}} ji 
Your Jewellery is your reflection, wear it with pride and passion. Folllow us </t>
    </r>
    <r>
      <rPr>
        <color rgb="FF1155CC"/>
        <u/>
      </rPr>
      <t>https://www.instagram.com/sunseajewellers</t>
    </r>
  </si>
  <si>
    <t>Hi {{Name}}
 Your comfort matters most to us.
 We hope you are loving the jewellery... 
any compliment or feedback is gracefully accepted</t>
  </si>
  <si>
    <r>
      <rPr/>
      <t xml:space="preserve">Hope your gold jewellery is bringing you more joy. 
We would love your thoughts by a google review so that others get help in buying decision  </t>
    </r>
    <r>
      <rPr>
        <color rgb="FF1155CC"/>
        <u/>
      </rPr>
      <t>https://g.page/r/CfPkrAPpyZo6EBE/review</t>
    </r>
  </si>
  <si>
    <r>
      <rPr/>
      <t xml:space="preserve">Thank you again for choosing us.It was pleasure serving you.
We would love your thoughts by a google review so that others get help in buying decision  </t>
    </r>
    <r>
      <rPr>
        <color rgb="FF1155CC"/>
        <u/>
      </rPr>
      <t>https://g.page/r/CfPkrAPpyZo6EBE/review</t>
    </r>
  </si>
  <si>
    <r>
      <rPr/>
      <t xml:space="preserve">Hey... Gold is sparkling just like you!!!
We would love to hear what you loved most and what will make you come to us again. </t>
    </r>
    <r>
      <rPr>
        <color rgb="FF1155CC"/>
        <u/>
      </rPr>
      <t>https://g.page/r/CfPkrAPpyZo6EBE/review</t>
    </r>
    <r>
      <rPr/>
      <t xml:space="preserve"> Reply STOP anytime if you prefer silence 🙏</t>
    </r>
  </si>
  <si>
    <t>Hi {{Name}} ✨ Thank you for choosing a gemstone from us. Gemstones are worn with intention and belief, and we truly appreciate the trust you placed in us for such a meaningful choice.</t>
  </si>
  <si>
    <t>Every gemstone is chosen at a particular moment in life — often when change, clarity, or growth is needed. We’re honoured to be part of that moment for you.</t>
  </si>
  <si>
    <t>Gemstones are not just worn, they are experienced. Thank you for allowing us to guide you on this journey ✨</t>
  </si>
  <si>
    <t>Gemstones begin working subtly. Many people notice inner calm, confidence, or clarity before any outer changes appear. The key is to wear it regularly and stay open to its energy.</t>
  </si>
  <si>
    <t>With gemstones, patience and belief matter. When worn with consistency and positive intent, they are known to support gradual yet meaningful shifts in life.</t>
  </si>
  <si>
    <t>Keep trusting the process. Gemstones align with your journey in their own quiet way — often preparing you before visible results appear.</t>
  </si>
  <si>
    <r>
      <t>Hi {{Name}} ✨ We hope your {{Item Seen}} feels comfortable and natural. Many gemstone wearers say the real change begins with belief and awareness.We share insights and guidance here:</t>
    </r>
    <r>
      <rPr>
        <color rgb="FF1155CC"/>
        <u/>
      </rPr>
      <t>https://www.instagram.com/sunseajewellers</t>
    </r>
  </si>
  <si>
    <r>
      <t>Wearing a gemstone is a reminder to stay focused on what you wish to attract — clarity, growth, peace, or success.Stay connected with us here:</t>
    </r>
    <r>
      <rPr>
        <color rgb="FF1155CC"/>
        <u/>
      </rPr>
      <t>https://www.instagram.com/sunseajewellers</t>
    </r>
  </si>
  <si>
    <r>
      <t>Manifestation begins with intention and trust. We hope your gemstone becomes a quiet companion on that path ✨Follow us here:</t>
    </r>
    <r>
      <rPr>
        <color rgb="FF1155CC"/>
        <u/>
      </rPr>
      <t>https://www.instagram.com/sunseajewellers</t>
    </r>
  </si>
  <si>
    <r>
      <t>Thank you again for trusting us with your gemstone journey. Your experience helps others take informed and confident steps toward positive change 🌟</t>
    </r>
    <r>
      <rPr>
        <color rgb="FF1155CC"/>
        <u/>
      </rPr>
      <t>https://g.page/r/CfPkrAPpyZo6EBE/review</t>
    </r>
  </si>
  <si>
    <r>
      <t>If your experience with us felt aligned and reassuring, we would truly appreciate your Google review 🙏</t>
    </r>
    <r>
      <rPr>
        <color rgb="FF1155CC"/>
        <u/>
      </rPr>
      <t>https://g.page/r/CfPkrAPpyZo6EBE/review</t>
    </r>
  </si>
  <si>
    <t>Continue wearing your gemstone with belief and patience ✨Reply STOP anytime if you prefer silence 🙏</t>
  </si>
  <si>
    <t>Hi {{Name}} ✨ Thank you for discussing your counter redesign vision with us. Store spaces evolve with time, and we truly appreciate you considering us for such an important transformation.</t>
  </si>
  <si>
    <t>It was a pleasure understanding your thoughts around redesigning your counter. Projects like these are not just about furniture, but about experience, flow, and brand presence.</t>
  </si>
  <si>
    <t>Meaningful redesigns begin with thoughtful conversations. Thank you for sharing your vision with us ✨</t>
  </si>
  <si>
    <t>Counter redesign decisions often take reflection. Aligning design, budget, and long-term business goals is a process, and taking time usually leads to the best outcomes.</t>
  </si>
  <si>
    <t>Many store owners revisit redesign when the timing feels right operationally and emotionally. We respect that journey completely.</t>
  </si>
  <si>
    <t>There’s no urgency in redesign — only alignment. When the space feels ready, the decision becomes clear.</t>
  </si>
  <si>
    <r>
      <t>Hi {{Name}} ✨ We hope the ideas we discussed stayed with you. A well-designed counter quietly elevates customer trust and staff confidence.We share selective design inspirations here:</t>
    </r>
    <r>
      <rPr>
        <color rgb="FF1155CC"/>
        <u/>
      </rPr>
      <t>https://www.instagram.com/sunseajewellers</t>
    </r>
  </si>
  <si>
    <r>
      <t>Store design often reveals itself gradually, not instantly. When clarity arrives, execution becomes effortless.You may explore our design sensibilities here:</t>
    </r>
    <r>
      <rPr>
        <color rgb="FF1155CC"/>
        <u/>
      </rPr>
      <t>https://www.instagram.com/sunseajewellers</t>
    </r>
  </si>
  <si>
    <r>
      <t>Good design doesn’t shout — it supports business silently and consistently.We’d love to stay connected here:</t>
    </r>
    <r>
      <rPr>
        <color rgb="FF1155CC"/>
        <u/>
      </rPr>
      <t>https://www.instagram.com/sunseajewellers</t>
    </r>
  </si>
  <si>
    <r>
      <t>Thank you again for considering us for your counter redesign. Your experience and feedback help other store owners approach design decisions with confidence.</t>
    </r>
    <r>
      <rPr>
        <color rgb="FF1155CC"/>
        <u/>
      </rPr>
      <t>https://g.page/r/CfPkrAPpyZo6EBE/review</t>
    </r>
  </si>
  <si>
    <r>
      <t>If our interaction felt thoughtful and professional, we’d truly appreciate your review. It helps us serve like-minded businesses better.</t>
    </r>
    <r>
      <rPr>
        <color rgb="FF1155CC"/>
        <u/>
      </rPr>
      <t>https://g.page/r/CfPkrAPpyZo6EBE/review</t>
    </r>
  </si>
  <si>
    <t>We believe strong business relationships matter more than timelines ✨Reply STOP anytime if you prefer silence 🙏</t>
  </si>
  <si>
    <t>Hi {{Name}} It was lovely having you over. Thank you for your trust &amp; making right buying decision. Would you need any help i am just a call away... :)</t>
  </si>
  <si>
    <t>Hi {{Name}} ✨ It was a pleasure serving you. We’re grateful you chose us and hope everything feels just right.</t>
  </si>
  <si>
    <t>Just a small note — a little care goes a long way. Proper handling and storage help maintain beauty and comfort over time.</t>
  </si>
  <si>
    <t>If you ever need cleaning, checking, or guidance, we’re always happy to help.</t>
  </si>
  <si>
    <t>Our support doesn’t end at purchase — feel free to reach out whenever needed 😊</t>
  </si>
  <si>
    <r>
      <t>Hi {{Name}} ✨ We hope you’re enjoying your purchase. Comfort and confidence matter most — did everything feel good so far?Stay connected with us here:</t>
    </r>
    <r>
      <rPr>
        <color rgb="FF1155CC"/>
        <u/>
      </rPr>
      <t>https://www.instagram.com/sunseajewellers</t>
    </r>
  </si>
  <si>
    <r>
      <t>Many clients share that feedback helps them enjoy their purchase even more. If there’s anything you’d like to tell us, we’re listening.</t>
    </r>
    <r>
      <rPr>
        <color rgb="FF1155CC"/>
        <u/>
      </rPr>
      <t>https://www.instagram.com/sunseajewellers</t>
    </r>
  </si>
  <si>
    <r>
      <t>Your experience matters to us — we’re always happy to stay connected ✨</t>
    </r>
    <r>
      <rPr>
        <color rgb="FF1155CC"/>
        <u/>
      </rPr>
      <t>https://www.instagram.com/sunseajewellers</t>
    </r>
  </si>
  <si>
    <r>
      <t>Thank you once again for choosing us. If you’d like to share your experience, your feedback helps others make confident decisions 🌟</t>
    </r>
    <r>
      <rPr>
        <color rgb="FF1155CC"/>
        <u/>
      </rPr>
      <t>https://g.page/r/CfPkrAPpyZo6EBE/review</t>
    </r>
  </si>
  <si>
    <r>
      <t>If our service met your expectations, we’d truly appreciate your Google review 🤍</t>
    </r>
    <r>
      <rPr>
        <color rgb="FF1155CC"/>
        <u/>
      </rPr>
      <t>https://g.page/r/CfPkrAPpyZo6EBE/review</t>
    </r>
  </si>
  <si>
    <t>We value the relationship beyond the purchase ✨ Reply STOP anytime if you prefer silence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</si>
</sst>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yyyy-mm-dd"/>
    <numFmt numFmtId="166" formatCode="hh:mm"/>
  </numFmts>
  <fonts count="5">
    <font>
      <sz val="10.0"/>
      <color rgb="FF000000"/>
      <name val="Arial"/>
      <scheme val="minor"/>
    </font>
    <font>
      <color theme="1"/>
      <name val="Arial"/>
      <scheme val="minor"/>
    </font>
    <font>
      <b/>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19" xfId="0" applyFont="1" applyNumberFormat="1"/>
    <xf borderId="0" fillId="0" fontId="1" numFmtId="3" xfId="0" applyFont="1" applyNumberForma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165" xfId="0" applyAlignment="1" applyFont="1" applyNumberFormat="1">
      <alignment readingOrder="0"/>
    </xf>
    <xf borderId="0" fillId="0" fontId="1" numFmtId="0" xfId="0" applyFont="1"/>
    <xf borderId="0" fillId="0" fontId="2" numFmtId="0" xfId="0" applyAlignment="1" applyFont="1">
      <alignment horizontal="center" readingOrder="0"/>
    </xf>
    <xf borderId="0" fillId="0" fontId="1" numFmtId="166" xfId="0" applyAlignment="1" applyFont="1" applyNumberFormat="1">
      <alignment readingOrder="0"/>
    </xf>
    <xf borderId="0" fillId="0" fontId="3" numFmtId="0" xfId="0" applyAlignment="1" applyFont="1">
      <alignment readingOrder="0"/>
    </xf>
    <xf borderId="0" fillId="0" fontId="2" numFmtId="0" xfId="0" applyAlignment="1" applyFont="1">
      <alignment horizontal="center" readingOrder="0"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nstagram.com/sunseajewellers" TargetMode="External"/><Relationship Id="rId2" Type="http://schemas.openxmlformats.org/officeDocument/2006/relationships/hyperlink" Target="https://www.instagram.com/sunseajewellers" TargetMode="External"/><Relationship Id="rId3" Type="http://schemas.openxmlformats.org/officeDocument/2006/relationships/hyperlink" Target="https://www.instagram.com/sunseajewellers" TargetMode="External"/><Relationship Id="rId4" Type="http://schemas.openxmlformats.org/officeDocument/2006/relationships/hyperlink" Target="https://g.page/r/CfPkrAPpyZo6EBE/review" TargetMode="External"/><Relationship Id="rId5" Type="http://schemas.openxmlformats.org/officeDocument/2006/relationships/hyperlink" Target="https://g.page/r/CfPkrAPpyZo6EBE/review"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agram.com/sunseajewellers" TargetMode="External"/><Relationship Id="rId2" Type="http://schemas.openxmlformats.org/officeDocument/2006/relationships/hyperlink" Target="https://www.instagram.com/sunseajewellers" TargetMode="External"/><Relationship Id="rId3" Type="http://schemas.openxmlformats.org/officeDocument/2006/relationships/hyperlink" Target="https://www.instagram.com/sunseajewellers" TargetMode="External"/><Relationship Id="rId4" Type="http://schemas.openxmlformats.org/officeDocument/2006/relationships/hyperlink" Target="https://g.page/r/CfPkrAPpyZo6EBE/review" TargetMode="External"/><Relationship Id="rId5" Type="http://schemas.openxmlformats.org/officeDocument/2006/relationships/hyperlink" Target="https://g.page/r/CfPkrAPpyZo6EBE/review"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g.page/r/CfPkrAPpyZo6EBE/review" TargetMode="External"/><Relationship Id="rId42" Type="http://schemas.openxmlformats.org/officeDocument/2006/relationships/hyperlink" Target="https://www.instagram.com/sunseajewellers" TargetMode="External"/><Relationship Id="rId41" Type="http://schemas.openxmlformats.org/officeDocument/2006/relationships/hyperlink" Target="https://www.instagram.com/sunseajewellers" TargetMode="External"/><Relationship Id="rId44" Type="http://schemas.openxmlformats.org/officeDocument/2006/relationships/hyperlink" Target="https://g.page/r/CfPkrAPpyZo6EBE/review" TargetMode="External"/><Relationship Id="rId43" Type="http://schemas.openxmlformats.org/officeDocument/2006/relationships/hyperlink" Target="https://www.instagram.com/sunseajewellers" TargetMode="External"/><Relationship Id="rId46" Type="http://schemas.openxmlformats.org/officeDocument/2006/relationships/hyperlink" Target="https://www.instagram.com/sunseajewellers" TargetMode="External"/><Relationship Id="rId45" Type="http://schemas.openxmlformats.org/officeDocument/2006/relationships/hyperlink" Target="https://g.page/r/CfPkrAPpyZo6EBE/review" TargetMode="External"/><Relationship Id="rId1" Type="http://schemas.openxmlformats.org/officeDocument/2006/relationships/hyperlink" Target="https://www.instagram.com/sunseajewellers" TargetMode="External"/><Relationship Id="rId2" Type="http://schemas.openxmlformats.org/officeDocument/2006/relationships/hyperlink" Target="https://www.instagram.com/sunseajewellers" TargetMode="External"/><Relationship Id="rId3" Type="http://schemas.openxmlformats.org/officeDocument/2006/relationships/hyperlink" Target="https://www.instagram.com/sunseajewellers" TargetMode="External"/><Relationship Id="rId4" Type="http://schemas.openxmlformats.org/officeDocument/2006/relationships/hyperlink" Target="https://g.page/r/CfPkrAPpyZo6EBE/review" TargetMode="External"/><Relationship Id="rId9" Type="http://schemas.openxmlformats.org/officeDocument/2006/relationships/hyperlink" Target="https://g.page/r/CfPkrAPpyZo6EBE/review" TargetMode="External"/><Relationship Id="rId48" Type="http://schemas.openxmlformats.org/officeDocument/2006/relationships/hyperlink" Target="https://www.instagram.com/sunseajewellers" TargetMode="External"/><Relationship Id="rId47" Type="http://schemas.openxmlformats.org/officeDocument/2006/relationships/hyperlink" Target="https://www.instagram.com/sunseajewellers" TargetMode="External"/><Relationship Id="rId49" Type="http://schemas.openxmlformats.org/officeDocument/2006/relationships/hyperlink" Target="https://g.page/r/CfPkrAPpyZo6EBE/review" TargetMode="External"/><Relationship Id="rId5" Type="http://schemas.openxmlformats.org/officeDocument/2006/relationships/hyperlink" Target="https://g.page/r/CfPkrAPpyZo6EBE/review" TargetMode="External"/><Relationship Id="rId6" Type="http://schemas.openxmlformats.org/officeDocument/2006/relationships/hyperlink" Target="https://www.instagram.com/sunseajewellers" TargetMode="External"/><Relationship Id="rId7" Type="http://schemas.openxmlformats.org/officeDocument/2006/relationships/hyperlink" Target="https://www.instagram.com/sunseajewellers" TargetMode="External"/><Relationship Id="rId8" Type="http://schemas.openxmlformats.org/officeDocument/2006/relationships/hyperlink" Target="https://www.instagram.com/sunseajewellers" TargetMode="External"/><Relationship Id="rId31" Type="http://schemas.openxmlformats.org/officeDocument/2006/relationships/hyperlink" Target="https://www.instagram.com/sunseajewellers" TargetMode="External"/><Relationship Id="rId30" Type="http://schemas.openxmlformats.org/officeDocument/2006/relationships/hyperlink" Target="https://g.page/r/CfPkrAPpyZo6EBE/review" TargetMode="External"/><Relationship Id="rId33" Type="http://schemas.openxmlformats.org/officeDocument/2006/relationships/hyperlink" Target="https://www.instagram.com/sunseajewellers" TargetMode="External"/><Relationship Id="rId32" Type="http://schemas.openxmlformats.org/officeDocument/2006/relationships/hyperlink" Target="https://www.instagram.com/sunseajewellers" TargetMode="External"/><Relationship Id="rId35" Type="http://schemas.openxmlformats.org/officeDocument/2006/relationships/hyperlink" Target="https://g.page/r/CfPkrAPpyZo6EBE/review" TargetMode="External"/><Relationship Id="rId34" Type="http://schemas.openxmlformats.org/officeDocument/2006/relationships/hyperlink" Target="https://g.page/r/CfPkrAPpyZo6EBE/review" TargetMode="External"/><Relationship Id="rId37" Type="http://schemas.openxmlformats.org/officeDocument/2006/relationships/hyperlink" Target="https://www.instagram.com/sunseajewellers" TargetMode="External"/><Relationship Id="rId36" Type="http://schemas.openxmlformats.org/officeDocument/2006/relationships/hyperlink" Target="https://www.instagram.com/sunseajewellers" TargetMode="External"/><Relationship Id="rId39" Type="http://schemas.openxmlformats.org/officeDocument/2006/relationships/hyperlink" Target="https://g.page/r/CfPkrAPpyZo6EBE/review" TargetMode="External"/><Relationship Id="rId38" Type="http://schemas.openxmlformats.org/officeDocument/2006/relationships/hyperlink" Target="https://www.instagram.com/sunseajewellers" TargetMode="External"/><Relationship Id="rId20" Type="http://schemas.openxmlformats.org/officeDocument/2006/relationships/hyperlink" Target="https://g.page/r/CfPkrAPpyZo6EBE/review" TargetMode="External"/><Relationship Id="rId22" Type="http://schemas.openxmlformats.org/officeDocument/2006/relationships/hyperlink" Target="https://www.instagram.com/sunseajewellers" TargetMode="External"/><Relationship Id="rId21" Type="http://schemas.openxmlformats.org/officeDocument/2006/relationships/hyperlink" Target="https://www.instagram.com/sunseajewellers" TargetMode="External"/><Relationship Id="rId24" Type="http://schemas.openxmlformats.org/officeDocument/2006/relationships/hyperlink" Target="https://g.page/r/CfPkrAPpyZo6EBE/review" TargetMode="External"/><Relationship Id="rId23" Type="http://schemas.openxmlformats.org/officeDocument/2006/relationships/hyperlink" Target="https://www.instagram.com/sunseajewellers" TargetMode="External"/><Relationship Id="rId26" Type="http://schemas.openxmlformats.org/officeDocument/2006/relationships/hyperlink" Target="https://www.instagram.com/sunseajewellers" TargetMode="External"/><Relationship Id="rId25" Type="http://schemas.openxmlformats.org/officeDocument/2006/relationships/hyperlink" Target="https://g.page/r/CfPkrAPpyZo6EBE/review" TargetMode="External"/><Relationship Id="rId28" Type="http://schemas.openxmlformats.org/officeDocument/2006/relationships/hyperlink" Target="https://www.instagram.com/sunseajewellers" TargetMode="External"/><Relationship Id="rId27" Type="http://schemas.openxmlformats.org/officeDocument/2006/relationships/hyperlink" Target="https://www.instagram.com/sunseajewellers" TargetMode="External"/><Relationship Id="rId29" Type="http://schemas.openxmlformats.org/officeDocument/2006/relationships/hyperlink" Target="https://g.page/r/CfPkrAPpyZo6EBE/review" TargetMode="External"/><Relationship Id="rId51" Type="http://schemas.openxmlformats.org/officeDocument/2006/relationships/hyperlink" Target="https://www.instagram.com/sunseajewellers" TargetMode="External"/><Relationship Id="rId50" Type="http://schemas.openxmlformats.org/officeDocument/2006/relationships/hyperlink" Target="https://g.page/r/CfPkrAPpyZo6EBE/review" TargetMode="External"/><Relationship Id="rId53" Type="http://schemas.openxmlformats.org/officeDocument/2006/relationships/hyperlink" Target="https://www.instagram.com/sunseajewellers" TargetMode="External"/><Relationship Id="rId52" Type="http://schemas.openxmlformats.org/officeDocument/2006/relationships/hyperlink" Target="https://www.instagram.com/sunseajewellers" TargetMode="External"/><Relationship Id="rId11" Type="http://schemas.openxmlformats.org/officeDocument/2006/relationships/hyperlink" Target="https://www.instagram.com/sunseajewellers" TargetMode="External"/><Relationship Id="rId55" Type="http://schemas.openxmlformats.org/officeDocument/2006/relationships/drawing" Target="../drawings/drawing15.xml"/><Relationship Id="rId10" Type="http://schemas.openxmlformats.org/officeDocument/2006/relationships/hyperlink" Target="https://g.page/r/CfPkrAPpyZo6EBE/review" TargetMode="External"/><Relationship Id="rId54" Type="http://schemas.openxmlformats.org/officeDocument/2006/relationships/hyperlink" Target="https://g.page/r/CfPkrAPpyZo6EBE/review" TargetMode="External"/><Relationship Id="rId13" Type="http://schemas.openxmlformats.org/officeDocument/2006/relationships/hyperlink" Target="https://www.instagram.com/sunseajewellers" TargetMode="External"/><Relationship Id="rId12" Type="http://schemas.openxmlformats.org/officeDocument/2006/relationships/hyperlink" Target="https://www.instagram.com/sunseajewellers" TargetMode="External"/><Relationship Id="rId15" Type="http://schemas.openxmlformats.org/officeDocument/2006/relationships/hyperlink" Target="https://g.page/r/CfPkrAPpyZo6EBE/review" TargetMode="External"/><Relationship Id="rId14" Type="http://schemas.openxmlformats.org/officeDocument/2006/relationships/hyperlink" Target="https://g.page/r/CfPkrAPpyZo6EBE/review" TargetMode="External"/><Relationship Id="rId17" Type="http://schemas.openxmlformats.org/officeDocument/2006/relationships/hyperlink" Target="https://www.instagram.com/sunseajewellers" TargetMode="External"/><Relationship Id="rId16" Type="http://schemas.openxmlformats.org/officeDocument/2006/relationships/hyperlink" Target="https://www.instagram.com/sunseajewellers" TargetMode="External"/><Relationship Id="rId19" Type="http://schemas.openxmlformats.org/officeDocument/2006/relationships/hyperlink" Target="https://g.page/r/CfPkrAPpyZo6EBE/review" TargetMode="External"/><Relationship Id="rId18" Type="http://schemas.openxmlformats.org/officeDocument/2006/relationships/hyperlink" Target="https://www.instagram.com/sunseajewellers"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g.page/r/CfPkrAPpyZo6EBE/review" TargetMode="External"/><Relationship Id="rId42" Type="http://schemas.openxmlformats.org/officeDocument/2006/relationships/hyperlink" Target="https://www.instagram.com/sunseajewellers" TargetMode="External"/><Relationship Id="rId41" Type="http://schemas.openxmlformats.org/officeDocument/2006/relationships/hyperlink" Target="https://www.instagram.com/sunseajewellers" TargetMode="External"/><Relationship Id="rId44" Type="http://schemas.openxmlformats.org/officeDocument/2006/relationships/hyperlink" Target="https://g.page/r/CfPkrAPpyZo6EBE/review" TargetMode="External"/><Relationship Id="rId43" Type="http://schemas.openxmlformats.org/officeDocument/2006/relationships/hyperlink" Target="https://www.instagram.com/sunseajewellers" TargetMode="External"/><Relationship Id="rId46" Type="http://schemas.openxmlformats.org/officeDocument/2006/relationships/hyperlink" Target="https://www.instagram.com/sunseajewellers" TargetMode="External"/><Relationship Id="rId45" Type="http://schemas.openxmlformats.org/officeDocument/2006/relationships/hyperlink" Target="https://g.page/r/CfPkrAPpyZo6EBE/review" TargetMode="External"/><Relationship Id="rId1" Type="http://schemas.openxmlformats.org/officeDocument/2006/relationships/hyperlink" Target="https://www.instagram.com/sunseajewellers" TargetMode="External"/><Relationship Id="rId2" Type="http://schemas.openxmlformats.org/officeDocument/2006/relationships/hyperlink" Target="https://www.instagram.com/sunseajewellers" TargetMode="External"/><Relationship Id="rId3" Type="http://schemas.openxmlformats.org/officeDocument/2006/relationships/hyperlink" Target="https://www.instagram.com/sunseajewellers" TargetMode="External"/><Relationship Id="rId4" Type="http://schemas.openxmlformats.org/officeDocument/2006/relationships/hyperlink" Target="https://g.page/r/CfPkrAPpyZo6EBE/review" TargetMode="External"/><Relationship Id="rId9" Type="http://schemas.openxmlformats.org/officeDocument/2006/relationships/hyperlink" Target="https://g.page/r/CfPkrAPpyZo6EBE/review" TargetMode="External"/><Relationship Id="rId48" Type="http://schemas.openxmlformats.org/officeDocument/2006/relationships/hyperlink" Target="https://www.instagram.com/sunseajewellers" TargetMode="External"/><Relationship Id="rId47" Type="http://schemas.openxmlformats.org/officeDocument/2006/relationships/hyperlink" Target="https://www.instagram.com/sunseajewellers" TargetMode="External"/><Relationship Id="rId49" Type="http://schemas.openxmlformats.org/officeDocument/2006/relationships/hyperlink" Target="https://g.page/r/CfPkrAPpyZo6EBE/review" TargetMode="External"/><Relationship Id="rId5" Type="http://schemas.openxmlformats.org/officeDocument/2006/relationships/hyperlink" Target="https://g.page/r/CfPkrAPpyZo6EBE/review" TargetMode="External"/><Relationship Id="rId6" Type="http://schemas.openxmlformats.org/officeDocument/2006/relationships/hyperlink" Target="https://www.instagram.com/sunseajewellers" TargetMode="External"/><Relationship Id="rId7" Type="http://schemas.openxmlformats.org/officeDocument/2006/relationships/hyperlink" Target="https://www.instagram.com/sunseajewellers" TargetMode="External"/><Relationship Id="rId8" Type="http://schemas.openxmlformats.org/officeDocument/2006/relationships/hyperlink" Target="https://www.instagram.com/sunseajewellers" TargetMode="External"/><Relationship Id="rId31" Type="http://schemas.openxmlformats.org/officeDocument/2006/relationships/hyperlink" Target="https://www.instagram.com/sunseajewellers" TargetMode="External"/><Relationship Id="rId30" Type="http://schemas.openxmlformats.org/officeDocument/2006/relationships/hyperlink" Target="https://g.page/r/CfPkrAPpyZo6EBE/review" TargetMode="External"/><Relationship Id="rId33" Type="http://schemas.openxmlformats.org/officeDocument/2006/relationships/hyperlink" Target="https://www.instagram.com/sunseajewellers" TargetMode="External"/><Relationship Id="rId32" Type="http://schemas.openxmlformats.org/officeDocument/2006/relationships/hyperlink" Target="https://www.instagram.com/sunseajewellers" TargetMode="External"/><Relationship Id="rId35" Type="http://schemas.openxmlformats.org/officeDocument/2006/relationships/hyperlink" Target="https://g.page/r/CfPkrAPpyZo6EBE/review" TargetMode="External"/><Relationship Id="rId34" Type="http://schemas.openxmlformats.org/officeDocument/2006/relationships/hyperlink" Target="https://g.page/r/CfPkrAPpyZo6EBE/review" TargetMode="External"/><Relationship Id="rId37" Type="http://schemas.openxmlformats.org/officeDocument/2006/relationships/hyperlink" Target="https://www.instagram.com/sunseajewellers" TargetMode="External"/><Relationship Id="rId36" Type="http://schemas.openxmlformats.org/officeDocument/2006/relationships/hyperlink" Target="https://www.instagram.com/sunseajewellers" TargetMode="External"/><Relationship Id="rId39" Type="http://schemas.openxmlformats.org/officeDocument/2006/relationships/hyperlink" Target="https://g.page/r/CfPkrAPpyZo6EBE/review" TargetMode="External"/><Relationship Id="rId38" Type="http://schemas.openxmlformats.org/officeDocument/2006/relationships/hyperlink" Target="https://www.instagram.com/sunseajewellers" TargetMode="External"/><Relationship Id="rId20" Type="http://schemas.openxmlformats.org/officeDocument/2006/relationships/hyperlink" Target="https://g.page/r/CfPkrAPpyZo6EBE/review" TargetMode="External"/><Relationship Id="rId22" Type="http://schemas.openxmlformats.org/officeDocument/2006/relationships/hyperlink" Target="https://www.instagram.com/sunseajewellers" TargetMode="External"/><Relationship Id="rId21" Type="http://schemas.openxmlformats.org/officeDocument/2006/relationships/hyperlink" Target="https://www.instagram.com/sunseajewellers" TargetMode="External"/><Relationship Id="rId24" Type="http://schemas.openxmlformats.org/officeDocument/2006/relationships/hyperlink" Target="https://g.page/r/CfPkrAPpyZo6EBE/review" TargetMode="External"/><Relationship Id="rId23" Type="http://schemas.openxmlformats.org/officeDocument/2006/relationships/hyperlink" Target="https://www.instagram.com/sunseajewellers" TargetMode="External"/><Relationship Id="rId26" Type="http://schemas.openxmlformats.org/officeDocument/2006/relationships/hyperlink" Target="https://www.instagram.com/sunseajewellers" TargetMode="External"/><Relationship Id="rId25" Type="http://schemas.openxmlformats.org/officeDocument/2006/relationships/hyperlink" Target="https://g.page/r/CfPkrAPpyZo6EBE/review" TargetMode="External"/><Relationship Id="rId28" Type="http://schemas.openxmlformats.org/officeDocument/2006/relationships/hyperlink" Target="https://www.instagram.com/sunseajewellers" TargetMode="External"/><Relationship Id="rId27" Type="http://schemas.openxmlformats.org/officeDocument/2006/relationships/hyperlink" Target="https://www.instagram.com/sunseajewellers" TargetMode="External"/><Relationship Id="rId29" Type="http://schemas.openxmlformats.org/officeDocument/2006/relationships/hyperlink" Target="https://g.page/r/CfPkrAPpyZo6EBE/review" TargetMode="External"/><Relationship Id="rId51" Type="http://schemas.openxmlformats.org/officeDocument/2006/relationships/hyperlink" Target="https://www.instagram.com/sunseajewellers" TargetMode="External"/><Relationship Id="rId50" Type="http://schemas.openxmlformats.org/officeDocument/2006/relationships/hyperlink" Target="https://g.page/r/CfPkrAPpyZo6EBE/review" TargetMode="External"/><Relationship Id="rId53" Type="http://schemas.openxmlformats.org/officeDocument/2006/relationships/hyperlink" Target="https://www.instagram.com/sunseajewellers" TargetMode="External"/><Relationship Id="rId52" Type="http://schemas.openxmlformats.org/officeDocument/2006/relationships/hyperlink" Target="https://www.instagram.com/sunseajewellers" TargetMode="External"/><Relationship Id="rId11" Type="http://schemas.openxmlformats.org/officeDocument/2006/relationships/hyperlink" Target="https://www.instagram.com/sunseajewellers" TargetMode="External"/><Relationship Id="rId55" Type="http://schemas.openxmlformats.org/officeDocument/2006/relationships/drawing" Target="../drawings/drawing16.xml"/><Relationship Id="rId10" Type="http://schemas.openxmlformats.org/officeDocument/2006/relationships/hyperlink" Target="https://g.page/r/CfPkrAPpyZo6EBE/review" TargetMode="External"/><Relationship Id="rId54" Type="http://schemas.openxmlformats.org/officeDocument/2006/relationships/hyperlink" Target="https://g.page/r/CfPkrAPpyZo6EBE/review" TargetMode="External"/><Relationship Id="rId13" Type="http://schemas.openxmlformats.org/officeDocument/2006/relationships/hyperlink" Target="https://www.instagram.com/sunseajewellers" TargetMode="External"/><Relationship Id="rId12" Type="http://schemas.openxmlformats.org/officeDocument/2006/relationships/hyperlink" Target="https://www.instagram.com/sunseajewellers" TargetMode="External"/><Relationship Id="rId15" Type="http://schemas.openxmlformats.org/officeDocument/2006/relationships/hyperlink" Target="https://g.page/r/CfPkrAPpyZo6EBE/review" TargetMode="External"/><Relationship Id="rId14" Type="http://schemas.openxmlformats.org/officeDocument/2006/relationships/hyperlink" Target="https://g.page/r/CfPkrAPpyZo6EBE/review" TargetMode="External"/><Relationship Id="rId17" Type="http://schemas.openxmlformats.org/officeDocument/2006/relationships/hyperlink" Target="https://www.instagram.com/sunseajewellers" TargetMode="External"/><Relationship Id="rId16" Type="http://schemas.openxmlformats.org/officeDocument/2006/relationships/hyperlink" Target="https://www.instagram.com/sunseajewellers" TargetMode="External"/><Relationship Id="rId19" Type="http://schemas.openxmlformats.org/officeDocument/2006/relationships/hyperlink" Target="https://g.page/r/CfPkrAPpyZo6EBE/review" TargetMode="External"/><Relationship Id="rId18" Type="http://schemas.openxmlformats.org/officeDocument/2006/relationships/hyperlink" Target="https://www.instagram.com/sunseajewellers"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www.instagram.com/sunseajewellers" TargetMode="External"/><Relationship Id="rId42" Type="http://schemas.openxmlformats.org/officeDocument/2006/relationships/hyperlink" Target="https://www.instagram.com/sunseajewellers" TargetMode="External"/><Relationship Id="rId41" Type="http://schemas.openxmlformats.org/officeDocument/2006/relationships/hyperlink" Target="https://www.instagram.com/sunseajewellers" TargetMode="External"/><Relationship Id="rId44" Type="http://schemas.openxmlformats.org/officeDocument/2006/relationships/hyperlink" Target="https://g.page/r/CfPkrAPpyZo6EBE/review" TargetMode="External"/><Relationship Id="rId43" Type="http://schemas.openxmlformats.org/officeDocument/2006/relationships/hyperlink" Target="https://g.page/r/CfPkrAPpyZo6EBE/review" TargetMode="External"/><Relationship Id="rId46" Type="http://schemas.openxmlformats.org/officeDocument/2006/relationships/hyperlink" Target="https://www.instagram.com/sunseajewellers" TargetMode="External"/><Relationship Id="rId45" Type="http://schemas.openxmlformats.org/officeDocument/2006/relationships/hyperlink" Target="https://www.instagram.com/sunseajewellers" TargetMode="External"/><Relationship Id="rId1" Type="http://schemas.openxmlformats.org/officeDocument/2006/relationships/hyperlink" Target="https://www.instagram.com/sunseajewellers" TargetMode="External"/><Relationship Id="rId2" Type="http://schemas.openxmlformats.org/officeDocument/2006/relationships/hyperlink" Target="https://www.instagram.com/sunseajewellers" TargetMode="External"/><Relationship Id="rId3" Type="http://schemas.openxmlformats.org/officeDocument/2006/relationships/hyperlink" Target="https://www.instagram.com/sunseajewellers" TargetMode="External"/><Relationship Id="rId4" Type="http://schemas.openxmlformats.org/officeDocument/2006/relationships/hyperlink" Target="https://g.page/r/CfPkrAPpyZo6EBE/review" TargetMode="External"/><Relationship Id="rId9" Type="http://schemas.openxmlformats.org/officeDocument/2006/relationships/hyperlink" Target="https://g.page/r/CfPkrAPpyZo6EBE/review" TargetMode="External"/><Relationship Id="rId48" Type="http://schemas.openxmlformats.org/officeDocument/2006/relationships/hyperlink" Target="https://g.page/r/CfPkrAPpyZo6EBE/review" TargetMode="External"/><Relationship Id="rId47" Type="http://schemas.openxmlformats.org/officeDocument/2006/relationships/hyperlink" Target="https://www.instagram.com/sunseajewellers" TargetMode="External"/><Relationship Id="rId49" Type="http://schemas.openxmlformats.org/officeDocument/2006/relationships/hyperlink" Target="https://g.page/r/CfPkrAPpyZo6EBE/review" TargetMode="External"/><Relationship Id="rId5" Type="http://schemas.openxmlformats.org/officeDocument/2006/relationships/hyperlink" Target="https://g.page/r/CfPkrAPpyZo6EBE/review" TargetMode="External"/><Relationship Id="rId6" Type="http://schemas.openxmlformats.org/officeDocument/2006/relationships/hyperlink" Target="https://www.instagram.com/sunseajewellers" TargetMode="External"/><Relationship Id="rId7" Type="http://schemas.openxmlformats.org/officeDocument/2006/relationships/hyperlink" Target="https://www.instagram.com/sunseajewellers" TargetMode="External"/><Relationship Id="rId8" Type="http://schemas.openxmlformats.org/officeDocument/2006/relationships/hyperlink" Target="https://www.instagram.com/sunseajewellers" TargetMode="External"/><Relationship Id="rId31" Type="http://schemas.openxmlformats.org/officeDocument/2006/relationships/hyperlink" Target="https://www.instagram.com/sunseajewellers" TargetMode="External"/><Relationship Id="rId30" Type="http://schemas.openxmlformats.org/officeDocument/2006/relationships/hyperlink" Target="https://g.page/r/CfPkrAPpyZo6EBE/review" TargetMode="External"/><Relationship Id="rId33" Type="http://schemas.openxmlformats.org/officeDocument/2006/relationships/hyperlink" Target="https://g.page/r/CfPkrAPpyZo6EBE/review" TargetMode="External"/><Relationship Id="rId32" Type="http://schemas.openxmlformats.org/officeDocument/2006/relationships/hyperlink" Target="https://g.page/r/CfPkrAPpyZo6EBE/review" TargetMode="External"/><Relationship Id="rId35" Type="http://schemas.openxmlformats.org/officeDocument/2006/relationships/hyperlink" Target="https://www.instagram.com/sunseajewellers" TargetMode="External"/><Relationship Id="rId34" Type="http://schemas.openxmlformats.org/officeDocument/2006/relationships/hyperlink" Target="https://g.page/r/CfPkrAPpyZo6EBE/review" TargetMode="External"/><Relationship Id="rId37" Type="http://schemas.openxmlformats.org/officeDocument/2006/relationships/hyperlink" Target="https://www.instagram.com/sunseajewellers" TargetMode="External"/><Relationship Id="rId36" Type="http://schemas.openxmlformats.org/officeDocument/2006/relationships/hyperlink" Target="https://www.instagram.com/sunseajewellers" TargetMode="External"/><Relationship Id="rId39" Type="http://schemas.openxmlformats.org/officeDocument/2006/relationships/hyperlink" Target="https://g.page/r/CfPkrAPpyZo6EBE/review" TargetMode="External"/><Relationship Id="rId38" Type="http://schemas.openxmlformats.org/officeDocument/2006/relationships/hyperlink" Target="https://g.page/r/CfPkrAPpyZo6EBE/review" TargetMode="External"/><Relationship Id="rId20" Type="http://schemas.openxmlformats.org/officeDocument/2006/relationships/hyperlink" Target="https://g.page/r/CfPkrAPpyZo6EBE/review" TargetMode="External"/><Relationship Id="rId22" Type="http://schemas.openxmlformats.org/officeDocument/2006/relationships/hyperlink" Target="https://www.instagram.com/sunseajewellers" TargetMode="External"/><Relationship Id="rId21" Type="http://schemas.openxmlformats.org/officeDocument/2006/relationships/hyperlink" Target="https://www.instagram.com/sunseajewellers" TargetMode="External"/><Relationship Id="rId24" Type="http://schemas.openxmlformats.org/officeDocument/2006/relationships/hyperlink" Target="https://g.page/r/CfPkrAPpyZo6EBE/review" TargetMode="External"/><Relationship Id="rId23" Type="http://schemas.openxmlformats.org/officeDocument/2006/relationships/hyperlink" Target="https://www.instagram.com/sunseajewellers" TargetMode="External"/><Relationship Id="rId26" Type="http://schemas.openxmlformats.org/officeDocument/2006/relationships/hyperlink" Target="https://www.instagram.com/sunseajewellers" TargetMode="External"/><Relationship Id="rId25" Type="http://schemas.openxmlformats.org/officeDocument/2006/relationships/hyperlink" Target="https://g.page/r/CfPkrAPpyZo6EBE/review" TargetMode="External"/><Relationship Id="rId28" Type="http://schemas.openxmlformats.org/officeDocument/2006/relationships/hyperlink" Target="https://www.instagram.com/sunseajewellers" TargetMode="External"/><Relationship Id="rId27" Type="http://schemas.openxmlformats.org/officeDocument/2006/relationships/hyperlink" Target="https://www.instagram.com/sunseajewellers" TargetMode="External"/><Relationship Id="rId29" Type="http://schemas.openxmlformats.org/officeDocument/2006/relationships/hyperlink" Target="https://g.page/r/CfPkrAPpyZo6EBE/review" TargetMode="External"/><Relationship Id="rId50" Type="http://schemas.openxmlformats.org/officeDocument/2006/relationships/drawing" Target="../drawings/drawing17.xml"/><Relationship Id="rId11" Type="http://schemas.openxmlformats.org/officeDocument/2006/relationships/hyperlink" Target="https://www.instagram.com/sunseajewellers" TargetMode="External"/><Relationship Id="rId10" Type="http://schemas.openxmlformats.org/officeDocument/2006/relationships/hyperlink" Target="https://g.page/r/CfPkrAPpyZo6EBE/review" TargetMode="External"/><Relationship Id="rId13" Type="http://schemas.openxmlformats.org/officeDocument/2006/relationships/hyperlink" Target="https://www.instagram.com/sunseajewellers" TargetMode="External"/><Relationship Id="rId12" Type="http://schemas.openxmlformats.org/officeDocument/2006/relationships/hyperlink" Target="https://www.instagram.com/sunseajewellers" TargetMode="External"/><Relationship Id="rId15" Type="http://schemas.openxmlformats.org/officeDocument/2006/relationships/hyperlink" Target="https://g.page/r/CfPkrAPpyZo6EBE/review" TargetMode="External"/><Relationship Id="rId14" Type="http://schemas.openxmlformats.org/officeDocument/2006/relationships/hyperlink" Target="https://g.page/r/CfPkrAPpyZo6EBE/review" TargetMode="External"/><Relationship Id="rId17" Type="http://schemas.openxmlformats.org/officeDocument/2006/relationships/hyperlink" Target="https://www.instagram.com/sunseajewellers" TargetMode="External"/><Relationship Id="rId16" Type="http://schemas.openxmlformats.org/officeDocument/2006/relationships/hyperlink" Target="https://www.instagram.com/sunseajewellers" TargetMode="External"/><Relationship Id="rId19" Type="http://schemas.openxmlformats.org/officeDocument/2006/relationships/hyperlink" Target="https://g.page/r/CfPkrAPpyZo6EBE/review" TargetMode="External"/><Relationship Id="rId18" Type="http://schemas.openxmlformats.org/officeDocument/2006/relationships/hyperlink" Target="https://www.instagram.com/sunseajewelle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tr">
        <f>IFERROR(__xludf.DUMMYFUNCTION("IMPORTRANGE(""167DkQkqBVpATTE_lFcYv7JRA-p8lLZptw7N7BWaX7xo"",""FR1!A:S"")
"),"Timestamp")</f>
        <v>Timestamp</v>
      </c>
      <c r="B1" s="1" t="str">
        <f>IFERROR(__xludf.DUMMYFUNCTION("""COMPUTED_VALUE"""),"Walk In Client Name")</f>
        <v>Walk In Client Name</v>
      </c>
      <c r="C1" s="1" t="str">
        <f>IFERROR(__xludf.DUMMYFUNCTION("""COMPUTED_VALUE"""),"Number")</f>
        <v>Number</v>
      </c>
      <c r="D1" s="1" t="str">
        <f>IFERROR(__xludf.DUMMYFUNCTION("""COMPUTED_VALUE"""),"No of People")</f>
        <v>No of People</v>
      </c>
      <c r="E1" s="1" t="str">
        <f>IFERROR(__xludf.DUMMYFUNCTION("""COMPUTED_VALUE"""),"In Time")</f>
        <v>In Time</v>
      </c>
      <c r="F1" s="1" t="str">
        <f>IFERROR(__xludf.DUMMYFUNCTION("""COMPUTED_VALUE"""),"Which Counter")</f>
        <v>Which Counter</v>
      </c>
      <c r="G1" s="1" t="str">
        <f>IFERROR(__xludf.DUMMYFUNCTION("""COMPUTED_VALUE"""),"Attend By")</f>
        <v>Attend By</v>
      </c>
      <c r="H1" s="1" t="str">
        <f>IFERROR(__xludf.DUMMYFUNCTION("""COMPUTED_VALUE"""),"Items Seen")</f>
        <v>Items Seen</v>
      </c>
      <c r="I1" s="1" t="str">
        <f>IFERROR(__xludf.DUMMYFUNCTION("""COMPUTED_VALUE"""),"If Not What were they looking for or why didn't they buy")</f>
        <v>If Not What were they looking for or why didn't they buy</v>
      </c>
      <c r="J1" s="1" t="str">
        <f>IFERROR(__xludf.DUMMYFUNCTION("""COMPUTED_VALUE"""),"Kitty Explained/Give")</f>
        <v>Kitty Explained/Give</v>
      </c>
      <c r="K1" s="1" t="str">
        <f>IFERROR(__xludf.DUMMYFUNCTION("""COMPUTED_VALUE"""),"Out Time")</f>
        <v>Out Time</v>
      </c>
      <c r="L1" s="1" t="str">
        <f>IFERROR(__xludf.DUMMYFUNCTION("""COMPUTED_VALUE"""),"Gift Given")</f>
        <v>Gift Given</v>
      </c>
      <c r="M1" s="1" t="str">
        <f>IFERROR(__xludf.DUMMYFUNCTION("""COMPUTED_VALUE"""),"Google Review Taken")</f>
        <v>Google Review Taken</v>
      </c>
      <c r="N1" s="1" t="str">
        <f>IFERROR(__xludf.DUMMYFUNCTION("""COMPUTED_VALUE"""),"Insta Follow")</f>
        <v>Insta Follow</v>
      </c>
      <c r="O1" s="1" t="str">
        <f>IFERROR(__xludf.DUMMYFUNCTION("""COMPUTED_VALUE"""),"Communication")</f>
        <v>Communication</v>
      </c>
      <c r="P1" s="1" t="str">
        <f>IFERROR(__xludf.DUMMYFUNCTION("""COMPUTED_VALUE"""),"Relation")</f>
        <v>Relation</v>
      </c>
      <c r="Q1" s="1" t="str">
        <f>IFERROR(__xludf.DUMMYFUNCTION("""COMPUTED_VALUE"""),"Kitty Interested")</f>
        <v>Kitty Interested</v>
      </c>
      <c r="R1" s="1" t="str">
        <f>IFERROR(__xludf.DUMMYFUNCTION("""COMPUTED_VALUE"""),"CLIENT TYPE")</f>
        <v>CLIENT TYPE</v>
      </c>
      <c r="S1" s="1" t="str">
        <f>IFERROR(__xludf.DUMMYFUNCTION("""COMPUTED_VALUE"""),"Sale")</f>
        <v>Sale</v>
      </c>
    </row>
    <row r="2">
      <c r="A2" s="2">
        <f>IFERROR(__xludf.DUMMYFUNCTION("""COMPUTED_VALUE"""),45284.589913668984)</f>
        <v>45284.58991</v>
      </c>
      <c r="B2" s="1" t="str">
        <f>IFERROR(__xludf.DUMMYFUNCTION("""COMPUTED_VALUE"""),"Om parkash")</f>
        <v>Om parkash</v>
      </c>
      <c r="C2" s="1">
        <f>IFERROR(__xludf.DUMMYFUNCTION("""COMPUTED_VALUE"""),9.811023449E9)</f>
        <v>9811023449</v>
      </c>
      <c r="D2" s="1">
        <f>IFERROR(__xludf.DUMMYFUNCTION("""COMPUTED_VALUE"""),1.0)</f>
        <v>1</v>
      </c>
      <c r="E2" s="3">
        <f>IFERROR(__xludf.DUMMYFUNCTION("""COMPUTED_VALUE"""),0.09722222221898846)</f>
        <v>0.09722222222</v>
      </c>
      <c r="F2" s="1" t="str">
        <f>IFERROR(__xludf.DUMMYFUNCTION("""COMPUTED_VALUE"""),"Gold")</f>
        <v>Gold</v>
      </c>
      <c r="G2" s="1" t="str">
        <f>IFERROR(__xludf.DUMMYFUNCTION("""COMPUTED_VALUE"""),"Bhumika")</f>
        <v>Bhumika</v>
      </c>
      <c r="H2" s="1" t="str">
        <f>IFERROR(__xludf.DUMMYFUNCTION("""COMPUTED_VALUE"""),"Bangles")</f>
        <v>Bangles</v>
      </c>
      <c r="I2" s="1"/>
      <c r="J2" s="1" t="str">
        <f>IFERROR(__xludf.DUMMYFUNCTION("""COMPUTED_VALUE"""),"Not interested ")</f>
        <v>Not interested </v>
      </c>
      <c r="K2" s="3">
        <f>IFERROR(__xludf.DUMMYFUNCTION("""COMPUTED_VALUE"""),0.11597222222189885)</f>
        <v>0.1159722222</v>
      </c>
      <c r="L2" s="1" t="str">
        <f>IFERROR(__xludf.DUMMYFUNCTION("""COMPUTED_VALUE"""),"Yes")</f>
        <v>Yes</v>
      </c>
      <c r="M2" s="1" t="str">
        <f>IFERROR(__xludf.DUMMYFUNCTION("""COMPUTED_VALUE"""),"Yes")</f>
        <v>Yes</v>
      </c>
      <c r="N2" s="1" t="str">
        <f>IFERROR(__xludf.DUMMYFUNCTION("""COMPUTED_VALUE"""),"Not use")</f>
        <v>Not use</v>
      </c>
      <c r="O2" s="1" t="str">
        <f>IFERROR(__xludf.DUMMYFUNCTION("""COMPUTED_VALUE"""),"CELLS")</f>
        <v>CELLS</v>
      </c>
      <c r="P2" s="1" t="str">
        <f>IFERROR(__xludf.DUMMYFUNCTION("""COMPUTED_VALUE"""),"Sir")</f>
        <v>Sir</v>
      </c>
      <c r="Q2" s="1"/>
      <c r="R2" s="1"/>
      <c r="S2" s="1"/>
    </row>
    <row r="3">
      <c r="A3" s="2">
        <f>IFERROR(__xludf.DUMMYFUNCTION("""COMPUTED_VALUE"""),45284.653517604165)</f>
        <v>45284.65352</v>
      </c>
      <c r="B3" s="1" t="str">
        <f>IFERROR(__xludf.DUMMYFUNCTION("""COMPUTED_VALUE"""),"Sudhanshu")</f>
        <v>Sudhanshu</v>
      </c>
      <c r="C3" s="1">
        <f>IFERROR(__xludf.DUMMYFUNCTION("""COMPUTED_VALUE"""),9.610072943E9)</f>
        <v>9610072943</v>
      </c>
      <c r="D3" s="1">
        <f>IFERROR(__xludf.DUMMYFUNCTION("""COMPUTED_VALUE"""),1.0)</f>
        <v>1</v>
      </c>
      <c r="E3" s="3">
        <f>IFERROR(__xludf.DUMMYFUNCTION("""COMPUTED_VALUE"""),0.10069444444525288)</f>
        <v>0.1006944444</v>
      </c>
      <c r="F3" s="1" t="str">
        <f>IFERROR(__xludf.DUMMYFUNCTION("""COMPUTED_VALUE"""),"Diamond ")</f>
        <v>Diamond </v>
      </c>
      <c r="G3" s="1" t="str">
        <f>IFERROR(__xludf.DUMMYFUNCTION("""COMPUTED_VALUE"""),"Chhaya")</f>
        <v>Chhaya</v>
      </c>
      <c r="H3" s="1" t="str">
        <f>IFERROR(__xludf.DUMMYFUNCTION("""COMPUTED_VALUE"""),"Chain with solitaire pendent ")</f>
        <v>Chain with solitaire pendent </v>
      </c>
      <c r="I3" s="1"/>
      <c r="J3" s="1"/>
      <c r="K3" s="3">
        <f>IFERROR(__xludf.DUMMYFUNCTION("""COMPUTED_VALUE"""),0.14583333333575865)</f>
        <v>0.1458333333</v>
      </c>
      <c r="L3" s="1" t="str">
        <f>IFERROR(__xludf.DUMMYFUNCTION("""COMPUTED_VALUE"""),"Yes")</f>
        <v>Yes</v>
      </c>
      <c r="M3" s="1" t="str">
        <f>IFERROR(__xludf.DUMMYFUNCTION("""COMPUTED_VALUE"""),"Yes")</f>
        <v>Yes</v>
      </c>
      <c r="N3" s="1" t="str">
        <f>IFERROR(__xludf.DUMMYFUNCTION("""COMPUTED_VALUE"""),"Not usr")</f>
        <v>Not usr</v>
      </c>
      <c r="O3" s="1" t="str">
        <f>IFERROR(__xludf.DUMMYFUNCTION("""COMPUTED_VALUE"""),"WA ONLY")</f>
        <v>WA ONLY</v>
      </c>
      <c r="P3" s="1" t="str">
        <f>IFERROR(__xludf.DUMMYFUNCTION("""COMPUTED_VALUE"""),"Sir")</f>
        <v>Sir</v>
      </c>
      <c r="Q3" s="1"/>
      <c r="R3" s="1"/>
      <c r="S3" s="1"/>
    </row>
    <row r="4">
      <c r="A4" s="2">
        <f>IFERROR(__xludf.DUMMYFUNCTION("""COMPUTED_VALUE"""),45284.65494628472)</f>
        <v>45284.65495</v>
      </c>
      <c r="B4" s="1" t="str">
        <f>IFERROR(__xludf.DUMMYFUNCTION("""COMPUTED_VALUE"""),"Mukul ")</f>
        <v>Mukul </v>
      </c>
      <c r="C4" s="1">
        <f>IFERROR(__xludf.DUMMYFUNCTION("""COMPUTED_VALUE"""),7.042183683E9)</f>
        <v>7042183683</v>
      </c>
      <c r="D4" s="1">
        <f>IFERROR(__xludf.DUMMYFUNCTION("""COMPUTED_VALUE"""),2.0)</f>
        <v>2</v>
      </c>
      <c r="E4" s="3">
        <f>IFERROR(__xludf.DUMMYFUNCTION("""COMPUTED_VALUE"""),0.2562499999985448)</f>
        <v>0.25625</v>
      </c>
      <c r="F4" s="1" t="str">
        <f>IFERROR(__xludf.DUMMYFUNCTION("""COMPUTED_VALUE"""),"Gold")</f>
        <v>Gold</v>
      </c>
      <c r="G4" s="1" t="str">
        <f>IFERROR(__xludf.DUMMYFUNCTION("""COMPUTED_VALUE"""),"Mansa,pooja")</f>
        <v>Mansa,pooja</v>
      </c>
      <c r="H4" s="1" t="str">
        <f>IFERROR(__xludf.DUMMYFUNCTION("""COMPUTED_VALUE"""),"Not sale")</f>
        <v>Not sale</v>
      </c>
      <c r="I4" s="1" t="str">
        <f>IFERROR(__xludf.DUMMYFUNCTION("""COMPUTED_VALUE"""),"Customer want gold bar not available this itme ")</f>
        <v>Customer want gold bar not available this itme </v>
      </c>
      <c r="J4" s="1" t="str">
        <f>IFERROR(__xludf.DUMMYFUNCTION("""COMPUTED_VALUE"""),"No")</f>
        <v>No</v>
      </c>
      <c r="K4" s="3">
        <f>IFERROR(__xludf.DUMMYFUNCTION("""COMPUTED_VALUE"""),0.27083333333575865)</f>
        <v>0.2708333333</v>
      </c>
      <c r="L4" s="1" t="str">
        <f>IFERROR(__xludf.DUMMYFUNCTION("""COMPUTED_VALUE"""),"No")</f>
        <v>No</v>
      </c>
      <c r="M4" s="1" t="str">
        <f>IFERROR(__xludf.DUMMYFUNCTION("""COMPUTED_VALUE"""),"No")</f>
        <v>No</v>
      </c>
      <c r="N4" s="1" t="str">
        <f>IFERROR(__xludf.DUMMYFUNCTION("""COMPUTED_VALUE"""),"No")</f>
        <v>No</v>
      </c>
      <c r="O4" s="1" t="str">
        <f>IFERROR(__xludf.DUMMYFUNCTION("""COMPUTED_VALUE"""),"WA ONLY")</f>
        <v>WA ONLY</v>
      </c>
      <c r="P4" s="1" t="str">
        <f>IFERROR(__xludf.DUMMYFUNCTION("""COMPUTED_VALUE"""),"Sir")</f>
        <v>Sir</v>
      </c>
      <c r="Q4" s="1"/>
      <c r="R4" s="1"/>
      <c r="S4" s="1"/>
    </row>
    <row r="5">
      <c r="A5" s="2">
        <f>IFERROR(__xludf.DUMMYFUNCTION("""COMPUTED_VALUE"""),45284.66027451389)</f>
        <v>45284.66027</v>
      </c>
      <c r="B5" s="1" t="str">
        <f>IFERROR(__xludf.DUMMYFUNCTION("""COMPUTED_VALUE"""),"Benuji")</f>
        <v>Benuji</v>
      </c>
      <c r="C5" s="1">
        <f>IFERROR(__xludf.DUMMYFUNCTION("""COMPUTED_VALUE"""),9.810668596E9)</f>
        <v>9810668596</v>
      </c>
      <c r="D5" s="1">
        <f>IFERROR(__xludf.DUMMYFUNCTION("""COMPUTED_VALUE"""),1.0)</f>
        <v>1</v>
      </c>
      <c r="E5" s="3">
        <f>IFERROR(__xludf.DUMMYFUNCTION("""COMPUTED_VALUE"""),0.5173611111094942)</f>
        <v>0.5173611111</v>
      </c>
      <c r="F5" s="1" t="str">
        <f>IFERROR(__xludf.DUMMYFUNCTION("""COMPUTED_VALUE"""),"Diamond ")</f>
        <v>Diamond </v>
      </c>
      <c r="G5" s="1" t="str">
        <f>IFERROR(__xludf.DUMMYFUNCTION("""COMPUTED_VALUE"""),"Sanjeev sir,chhaya, pooja")</f>
        <v>Sanjeev sir,chhaya, pooja</v>
      </c>
      <c r="H5" s="1" t="str">
        <f>IFERROR(__xludf.DUMMYFUNCTION("""COMPUTED_VALUE"""),"CVD, tops, ring")</f>
        <v>CVD, tops, ring</v>
      </c>
      <c r="I5" s="1"/>
      <c r="J5" s="1" t="str">
        <f>IFERROR(__xludf.DUMMYFUNCTION("""COMPUTED_VALUE"""),"No")</f>
        <v>No</v>
      </c>
      <c r="K5" s="3">
        <f>IFERROR(__xludf.DUMMYFUNCTION("""COMPUTED_VALUE"""),0.11458333333575865)</f>
        <v>0.1145833333</v>
      </c>
      <c r="L5" s="1" t="str">
        <f>IFERROR(__xludf.DUMMYFUNCTION("""COMPUTED_VALUE"""),"Yes")</f>
        <v>Yes</v>
      </c>
      <c r="M5" s="1" t="str">
        <f>IFERROR(__xludf.DUMMYFUNCTION("""COMPUTED_VALUE"""),"Yes")</f>
        <v>Yes</v>
      </c>
      <c r="N5" s="1" t="str">
        <f>IFERROR(__xludf.DUMMYFUNCTION("""COMPUTED_VALUE"""),"Not use insta")</f>
        <v>Not use insta</v>
      </c>
      <c r="O5" s="1" t="str">
        <f>IFERROR(__xludf.DUMMYFUNCTION("""COMPUTED_VALUE"""),"WA ONLY, OWNER CONTACT ONLY")</f>
        <v>WA ONLY, OWNER CONTACT ONLY</v>
      </c>
      <c r="P5" s="1" t="str">
        <f>IFERROR(__xludf.DUMMYFUNCTION("""COMPUTED_VALUE"""),"Sir, Madam")</f>
        <v>Sir, Madam</v>
      </c>
      <c r="Q5" s="1"/>
      <c r="R5" s="1"/>
      <c r="S5" s="1"/>
    </row>
    <row r="6">
      <c r="A6" s="2">
        <f>IFERROR(__xludf.DUMMYFUNCTION("""COMPUTED_VALUE"""),45284.66167179398)</f>
        <v>45284.66167</v>
      </c>
      <c r="B6" s="1" t="str">
        <f>IFERROR(__xludf.DUMMYFUNCTION("""COMPUTED_VALUE"""),"Shikha")</f>
        <v>Shikha</v>
      </c>
      <c r="C6" s="1">
        <f>IFERROR(__xludf.DUMMYFUNCTION("""COMPUTED_VALUE"""),8.1781488E9)</f>
        <v>8178148800</v>
      </c>
      <c r="D6" s="1">
        <f>IFERROR(__xludf.DUMMYFUNCTION("""COMPUTED_VALUE"""),3.0)</f>
        <v>3</v>
      </c>
      <c r="E6" s="3">
        <f>IFERROR(__xludf.DUMMYFUNCTION("""COMPUTED_VALUE"""),0.0625)</f>
        <v>0.0625</v>
      </c>
      <c r="F6" s="1" t="str">
        <f>IFERROR(__xludf.DUMMYFUNCTION("""COMPUTED_VALUE"""),"Gold")</f>
        <v>Gold</v>
      </c>
      <c r="G6" s="1" t="str">
        <f>IFERROR(__xludf.DUMMYFUNCTION("""COMPUTED_VALUE"""),"Reena, mansa")</f>
        <v>Reena, mansa</v>
      </c>
      <c r="H6" s="1" t="str">
        <f>IFERROR(__xludf.DUMMYFUNCTION("""COMPUTED_VALUE"""),"Gold ring")</f>
        <v>Gold ring</v>
      </c>
      <c r="I6" s="1"/>
      <c r="J6" s="1"/>
      <c r="K6" s="3">
        <f>IFERROR(__xludf.DUMMYFUNCTION("""COMPUTED_VALUE"""),0.08680555555474712)</f>
        <v>0.08680555555</v>
      </c>
      <c r="L6" s="1" t="str">
        <f>IFERROR(__xludf.DUMMYFUNCTION("""COMPUTED_VALUE"""),"Yes")</f>
        <v>Yes</v>
      </c>
      <c r="M6" s="1"/>
      <c r="N6" s="1" t="str">
        <f>IFERROR(__xludf.DUMMYFUNCTION("""COMPUTED_VALUE"""),"Yes")</f>
        <v>Yes</v>
      </c>
      <c r="O6" s="1" t="str">
        <f>IFERROR(__xludf.DUMMYFUNCTION("""COMPUTED_VALUE"""),"WA ONLY")</f>
        <v>WA ONLY</v>
      </c>
      <c r="P6" s="1" t="str">
        <f>IFERROR(__xludf.DUMMYFUNCTION("""COMPUTED_VALUE"""),"Sir, Madam")</f>
        <v>Sir, Madam</v>
      </c>
      <c r="Q6" s="1"/>
      <c r="R6" s="1"/>
      <c r="S6" s="1"/>
    </row>
    <row r="7">
      <c r="A7" s="2">
        <f>IFERROR(__xludf.DUMMYFUNCTION("""COMPUTED_VALUE"""),45284.798352858794)</f>
        <v>45284.79835</v>
      </c>
      <c r="B7" s="1" t="str">
        <f>IFERROR(__xludf.DUMMYFUNCTION("""COMPUTED_VALUE"""),"Tushar")</f>
        <v>Tushar</v>
      </c>
      <c r="C7" s="1">
        <f>IFERROR(__xludf.DUMMYFUNCTION("""COMPUTED_VALUE"""),9.953450909E9)</f>
        <v>9953450909</v>
      </c>
      <c r="D7" s="1">
        <f>IFERROR(__xludf.DUMMYFUNCTION("""COMPUTED_VALUE"""),2.0)</f>
        <v>2</v>
      </c>
      <c r="E7" s="3">
        <f>IFERROR(__xludf.DUMMYFUNCTION("""COMPUTED_VALUE"""),0.25)</f>
        <v>0.25</v>
      </c>
      <c r="F7" s="1" t="str">
        <f>IFERROR(__xludf.DUMMYFUNCTION("""COMPUTED_VALUE"""),"Gold")</f>
        <v>Gold</v>
      </c>
      <c r="G7" s="1" t="str">
        <f>IFERROR(__xludf.DUMMYFUNCTION("""COMPUTED_VALUE"""),"Chhaya")</f>
        <v>Chhaya</v>
      </c>
      <c r="H7" s="1" t="str">
        <f>IFERROR(__xludf.DUMMYFUNCTION("""COMPUTED_VALUE"""),"Gold gents ring")</f>
        <v>Gold gents ring</v>
      </c>
      <c r="I7" s="1"/>
      <c r="J7" s="1"/>
      <c r="K7" s="3">
        <f>IFERROR(__xludf.DUMMYFUNCTION("""COMPUTED_VALUE"""),0.29861111110949423)</f>
        <v>0.2986111111</v>
      </c>
      <c r="L7" s="1" t="str">
        <f>IFERROR(__xludf.DUMMYFUNCTION("""COMPUTED_VALUE"""),"Yes")</f>
        <v>Yes</v>
      </c>
      <c r="M7" s="1" t="str">
        <f>IFERROR(__xludf.DUMMYFUNCTION("""COMPUTED_VALUE"""),"Yes")</f>
        <v>Yes</v>
      </c>
      <c r="N7" s="1" t="str">
        <f>IFERROR(__xludf.DUMMYFUNCTION("""COMPUTED_VALUE"""),"Yes")</f>
        <v>Yes</v>
      </c>
      <c r="O7" s="1" t="str">
        <f>IFERROR(__xludf.DUMMYFUNCTION("""COMPUTED_VALUE"""),"WA ONLY, OWNER CONTACT ONLY")</f>
        <v>WA ONLY, OWNER CONTACT ONLY</v>
      </c>
      <c r="P7" s="1" t="str">
        <f>IFERROR(__xludf.DUMMYFUNCTION("""COMPUTED_VALUE"""),"Sir, Madam")</f>
        <v>Sir, Madam</v>
      </c>
      <c r="Q7" s="1"/>
      <c r="R7" s="1"/>
      <c r="S7" s="1"/>
    </row>
    <row r="8">
      <c r="A8" s="2">
        <f>IFERROR(__xludf.DUMMYFUNCTION("""COMPUTED_VALUE"""),45284.818504849536)</f>
        <v>45284.8185</v>
      </c>
      <c r="B8" s="1" t="str">
        <f>IFERROR(__xludf.DUMMYFUNCTION("""COMPUTED_VALUE"""),"Tushar")</f>
        <v>Tushar</v>
      </c>
      <c r="C8" s="1">
        <f>IFERROR(__xludf.DUMMYFUNCTION("""COMPUTED_VALUE"""),9.953450909E9)</f>
        <v>9953450909</v>
      </c>
      <c r="D8" s="1">
        <f>IFERROR(__xludf.DUMMYFUNCTION("""COMPUTED_VALUE"""),2.0)</f>
        <v>2</v>
      </c>
      <c r="E8" s="3">
        <f>IFERROR(__xludf.DUMMYFUNCTION("""COMPUTED_VALUE"""),0.25)</f>
        <v>0.25</v>
      </c>
      <c r="F8" s="1" t="str">
        <f>IFERROR(__xludf.DUMMYFUNCTION("""COMPUTED_VALUE"""),"Gold")</f>
        <v>Gold</v>
      </c>
      <c r="G8" s="1" t="str">
        <f>IFERROR(__xludf.DUMMYFUNCTION("""COMPUTED_VALUE"""),"Chhaya")</f>
        <v>Chhaya</v>
      </c>
      <c r="H8" s="1" t="str">
        <f>IFERROR(__xludf.DUMMYFUNCTION("""COMPUTED_VALUE"""),"Gold ring")</f>
        <v>Gold ring</v>
      </c>
      <c r="I8" s="1"/>
      <c r="J8" s="1" t="str">
        <f>IFERROR(__xludf.DUMMYFUNCTION("""COMPUTED_VALUE"""),"Yes")</f>
        <v>Yes</v>
      </c>
      <c r="K8" s="3">
        <f>IFERROR(__xludf.DUMMYFUNCTION("""COMPUTED_VALUE"""),0.3125)</f>
        <v>0.3125</v>
      </c>
      <c r="L8" s="1" t="str">
        <f>IFERROR(__xludf.DUMMYFUNCTION("""COMPUTED_VALUE"""),"Yes")</f>
        <v>Yes</v>
      </c>
      <c r="M8" s="1" t="str">
        <f>IFERROR(__xludf.DUMMYFUNCTION("""COMPUTED_VALUE"""),"Yes")</f>
        <v>Yes</v>
      </c>
      <c r="N8" s="1" t="str">
        <f>IFERROR(__xludf.DUMMYFUNCTION("""COMPUTED_VALUE"""),"Yes")</f>
        <v>Yes</v>
      </c>
      <c r="O8" s="1" t="str">
        <f>IFERROR(__xludf.DUMMYFUNCTION("""COMPUTED_VALUE"""),"WA ONLY, OWNER CONTACT ONLY")</f>
        <v>WA ONLY, OWNER CONTACT ONLY</v>
      </c>
      <c r="P8" s="1" t="str">
        <f>IFERROR(__xludf.DUMMYFUNCTION("""COMPUTED_VALUE"""),"Sir, Madam")</f>
        <v>Sir, Madam</v>
      </c>
      <c r="Q8" s="1"/>
      <c r="R8" s="1"/>
      <c r="S8" s="1"/>
    </row>
    <row r="9">
      <c r="A9" s="2">
        <f>IFERROR(__xludf.DUMMYFUNCTION("""COMPUTED_VALUE"""),45284.826503634264)</f>
        <v>45284.8265</v>
      </c>
      <c r="B9" s="1" t="str">
        <f>IFERROR(__xludf.DUMMYFUNCTION("""COMPUTED_VALUE"""),"Atoshi")</f>
        <v>Atoshi</v>
      </c>
      <c r="C9" s="1">
        <f>IFERROR(__xludf.DUMMYFUNCTION("""COMPUTED_VALUE"""),8.700173741E9)</f>
        <v>8700173741</v>
      </c>
      <c r="D9" s="1">
        <f>IFERROR(__xludf.DUMMYFUNCTION("""COMPUTED_VALUE"""),1.0)</f>
        <v>1</v>
      </c>
      <c r="E9" s="3">
        <f>IFERROR(__xludf.DUMMYFUNCTION("""COMPUTED_VALUE"""),0.25347222221898846)</f>
        <v>0.2534722222</v>
      </c>
      <c r="F9" s="1" t="str">
        <f>IFERROR(__xludf.DUMMYFUNCTION("""COMPUTED_VALUE"""),"Gold")</f>
        <v>Gold</v>
      </c>
      <c r="G9" s="1" t="str">
        <f>IFERROR(__xludf.DUMMYFUNCTION("""COMPUTED_VALUE"""),"Mansa")</f>
        <v>Mansa</v>
      </c>
      <c r="H9" s="1" t="str">
        <f>IFERROR(__xludf.DUMMYFUNCTION("""COMPUTED_VALUE"""),"Gold ring,penden")</f>
        <v>Gold ring,penden</v>
      </c>
      <c r="I9" s="1"/>
      <c r="J9" s="1" t="str">
        <f>IFERROR(__xludf.DUMMYFUNCTION("""COMPUTED_VALUE"""),"Yes")</f>
        <v>Yes</v>
      </c>
      <c r="K9" s="3">
        <f>IFERROR(__xludf.DUMMYFUNCTION("""COMPUTED_VALUE"""),0.33333333333575865)</f>
        <v>0.3333333333</v>
      </c>
      <c r="L9" s="1" t="str">
        <f>IFERROR(__xludf.DUMMYFUNCTION("""COMPUTED_VALUE"""),"Yes")</f>
        <v>Yes</v>
      </c>
      <c r="M9" s="1" t="str">
        <f>IFERROR(__xludf.DUMMYFUNCTION("""COMPUTED_VALUE"""),"Yes")</f>
        <v>Yes</v>
      </c>
      <c r="N9" s="1" t="str">
        <f>IFERROR(__xludf.DUMMYFUNCTION("""COMPUTED_VALUE"""),"Yes")</f>
        <v>Yes</v>
      </c>
      <c r="O9" s="1" t="str">
        <f>IFERROR(__xludf.DUMMYFUNCTION("""COMPUTED_VALUE"""),"WA ONLY, OWNER CONTACT ONLY")</f>
        <v>WA ONLY, OWNER CONTACT ONLY</v>
      </c>
      <c r="P9" s="1" t="str">
        <f>IFERROR(__xludf.DUMMYFUNCTION("""COMPUTED_VALUE"""),"Madam")</f>
        <v>Madam</v>
      </c>
      <c r="Q9" s="1"/>
      <c r="R9" s="1"/>
      <c r="S9" s="1"/>
    </row>
    <row r="10">
      <c r="A10" s="2">
        <f>IFERROR(__xludf.DUMMYFUNCTION("""COMPUTED_VALUE"""),45284.82810510417)</f>
        <v>45284.82811</v>
      </c>
      <c r="B10" s="1" t="str">
        <f>IFERROR(__xludf.DUMMYFUNCTION("""COMPUTED_VALUE"""),"Afsana begam")</f>
        <v>Afsana begam</v>
      </c>
      <c r="C10" s="1">
        <f>IFERROR(__xludf.DUMMYFUNCTION("""COMPUTED_VALUE"""),9.311691012E9)</f>
        <v>9311691012</v>
      </c>
      <c r="D10" s="1">
        <f>IFERROR(__xludf.DUMMYFUNCTION("""COMPUTED_VALUE"""),1.0)</f>
        <v>1</v>
      </c>
      <c r="E10" s="3">
        <f>IFERROR(__xludf.DUMMYFUNCTION("""COMPUTED_VALUE"""),0.23958333333575865)</f>
        <v>0.2395833333</v>
      </c>
      <c r="F10" s="1" t="str">
        <f>IFERROR(__xludf.DUMMYFUNCTION("""COMPUTED_VALUE"""),"Gold")</f>
        <v>Gold</v>
      </c>
      <c r="G10" s="1" t="str">
        <f>IFERROR(__xludf.DUMMYFUNCTION("""COMPUTED_VALUE"""),"Chhaya")</f>
        <v>Chhaya</v>
      </c>
      <c r="H10" s="1" t="str">
        <f>IFERROR(__xludf.DUMMYFUNCTION("""COMPUTED_VALUE"""),"Ringyes")</f>
        <v>Ringyes</v>
      </c>
      <c r="I10" s="1"/>
      <c r="J10" s="1" t="str">
        <f>IFERROR(__xludf.DUMMYFUNCTION("""COMPUTED_VALUE"""),"Yes")</f>
        <v>Yes</v>
      </c>
      <c r="K10" s="3">
        <f>IFERROR(__xludf.DUMMYFUNCTION("""COMPUTED_VALUE"""),0.3125)</f>
        <v>0.3125</v>
      </c>
      <c r="L10" s="1" t="str">
        <f>IFERROR(__xludf.DUMMYFUNCTION("""COMPUTED_VALUE"""),"Yes")</f>
        <v>Yes</v>
      </c>
      <c r="M10" s="1" t="str">
        <f>IFERROR(__xludf.DUMMYFUNCTION("""COMPUTED_VALUE"""),"Yes")</f>
        <v>Yes</v>
      </c>
      <c r="N10" s="1" t="str">
        <f>IFERROR(__xludf.DUMMYFUNCTION("""COMPUTED_VALUE"""),"Not use")</f>
        <v>Not use</v>
      </c>
      <c r="O10" s="1" t="str">
        <f>IFERROR(__xludf.DUMMYFUNCTION("""COMPUTED_VALUE"""),"WA ONLY")</f>
        <v>WA ONLY</v>
      </c>
      <c r="P10" s="1" t="str">
        <f>IFERROR(__xludf.DUMMYFUNCTION("""COMPUTED_VALUE"""),"Sir, Madam")</f>
        <v>Sir, Madam</v>
      </c>
      <c r="Q10" s="1"/>
      <c r="R10" s="1"/>
      <c r="S10" s="1"/>
    </row>
    <row r="11">
      <c r="A11" s="2">
        <f>IFERROR(__xludf.DUMMYFUNCTION("""COMPUTED_VALUE"""),45286.70094918981)</f>
        <v>45286.70095</v>
      </c>
      <c r="B11" s="1" t="str">
        <f>IFERROR(__xludf.DUMMYFUNCTION("""COMPUTED_VALUE"""),"Sunita mehta")</f>
        <v>Sunita mehta</v>
      </c>
      <c r="C11" s="1">
        <f>IFERROR(__xludf.DUMMYFUNCTION("""COMPUTED_VALUE"""),9.810222843E9)</f>
        <v>9810222843</v>
      </c>
      <c r="D11" s="1">
        <f>IFERROR(__xludf.DUMMYFUNCTION("""COMPUTED_VALUE"""),3.0)</f>
        <v>3</v>
      </c>
      <c r="E11" s="3">
        <f>IFERROR(__xludf.DUMMYFUNCTION("""COMPUTED_VALUE"""),0.11111111110949423)</f>
        <v>0.1111111111</v>
      </c>
      <c r="F11" s="1" t="str">
        <f>IFERROR(__xludf.DUMMYFUNCTION("""COMPUTED_VALUE"""),"Diamond ")</f>
        <v>Diamond </v>
      </c>
      <c r="G11" s="1" t="str">
        <f>IFERROR(__xludf.DUMMYFUNCTION("""COMPUTED_VALUE"""),"Sanjeev sir,seema mam,reema")</f>
        <v>Sanjeev sir,seema mam,reema</v>
      </c>
      <c r="H11" s="1" t="str">
        <f>IFERROR(__xludf.DUMMYFUNCTION("""COMPUTED_VALUE"""),"Rapier Diamond ring ")</f>
        <v>Rapier Diamond ring </v>
      </c>
      <c r="I11" s="1" t="str">
        <f>IFERROR(__xludf.DUMMYFUNCTION("""COMPUTED_VALUE"""),"Rapier Diamond ring ")</f>
        <v>Rapier Diamond ring </v>
      </c>
      <c r="J11" s="1"/>
      <c r="K11" s="3">
        <f>IFERROR(__xludf.DUMMYFUNCTION("""COMPUTED_VALUE"""),0.16666666666424135)</f>
        <v>0.1666666667</v>
      </c>
      <c r="L11" s="1" t="str">
        <f>IFERROR(__xludf.DUMMYFUNCTION("""COMPUTED_VALUE"""),"No")</f>
        <v>No</v>
      </c>
      <c r="M11" s="1" t="str">
        <f>IFERROR(__xludf.DUMMYFUNCTION("""COMPUTED_VALUE"""),"Already done")</f>
        <v>Already done</v>
      </c>
      <c r="N11" s="1" t="str">
        <f>IFERROR(__xludf.DUMMYFUNCTION("""COMPUTED_VALUE"""),"Already done")</f>
        <v>Already done</v>
      </c>
      <c r="O11" s="1" t="str">
        <f>IFERROR(__xludf.DUMMYFUNCTION("""COMPUTED_VALUE"""),"WA ONLY")</f>
        <v>WA ONLY</v>
      </c>
      <c r="P11" s="1" t="str">
        <f>IFERROR(__xludf.DUMMYFUNCTION("""COMPUTED_VALUE"""),"Sir, Madam")</f>
        <v>Sir, Madam</v>
      </c>
      <c r="Q11" s="1"/>
      <c r="R11" s="1"/>
      <c r="S11" s="1"/>
    </row>
    <row r="12">
      <c r="A12" s="2">
        <f>IFERROR(__xludf.DUMMYFUNCTION("""COMPUTED_VALUE"""),45286.7020274074)</f>
        <v>45286.70203</v>
      </c>
      <c r="B12" s="1" t="str">
        <f>IFERROR(__xludf.DUMMYFUNCTION("""COMPUTED_VALUE"""),"Amit kumar")</f>
        <v>Amit kumar</v>
      </c>
      <c r="C12" s="1">
        <f>IFERROR(__xludf.DUMMYFUNCTION("""COMPUTED_VALUE"""),9.82148915E9)</f>
        <v>9821489150</v>
      </c>
      <c r="D12" s="1">
        <f>IFERROR(__xludf.DUMMYFUNCTION("""COMPUTED_VALUE"""),1.0)</f>
        <v>1</v>
      </c>
      <c r="E12" s="3">
        <f>IFERROR(__xludf.DUMMYFUNCTION("""COMPUTED_VALUE"""),0.12847222221898846)</f>
        <v>0.1284722222</v>
      </c>
      <c r="F12" s="1" t="str">
        <f>IFERROR(__xludf.DUMMYFUNCTION("""COMPUTED_VALUE"""),"Gold")</f>
        <v>Gold</v>
      </c>
      <c r="G12" s="1" t="str">
        <f>IFERROR(__xludf.DUMMYFUNCTION("""COMPUTED_VALUE"""),"Pooja ")</f>
        <v>Pooja </v>
      </c>
      <c r="H12" s="1" t="str">
        <f>IFERROR(__xludf.DUMMYFUNCTION("""COMPUTED_VALUE"""),"Gold chain repair ")</f>
        <v>Gold chain repair </v>
      </c>
      <c r="I12" s="1"/>
      <c r="J12" s="1"/>
      <c r="K12" s="3">
        <f>IFERROR(__xludf.DUMMYFUNCTION("""COMPUTED_VALUE"""),0.12986111111240461)</f>
        <v>0.1298611111</v>
      </c>
      <c r="L12" s="1" t="str">
        <f>IFERROR(__xludf.DUMMYFUNCTION("""COMPUTED_VALUE"""),"No")</f>
        <v>No</v>
      </c>
      <c r="M12" s="1"/>
      <c r="N12" s="1"/>
      <c r="O12" s="1" t="str">
        <f>IFERROR(__xludf.DUMMYFUNCTION("""COMPUTED_VALUE"""),"WA ONLY")</f>
        <v>WA ONLY</v>
      </c>
      <c r="P12" s="1" t="str">
        <f>IFERROR(__xludf.DUMMYFUNCTION("""COMPUTED_VALUE"""),"Sir, Madam")</f>
        <v>Sir, Madam</v>
      </c>
      <c r="Q12" s="1"/>
      <c r="R12" s="1"/>
      <c r="S12" s="1"/>
    </row>
    <row r="13">
      <c r="A13" s="2">
        <f>IFERROR(__xludf.DUMMYFUNCTION("""COMPUTED_VALUE"""),45286.703307268515)</f>
        <v>45286.70331</v>
      </c>
      <c r="B13" s="1" t="str">
        <f>IFERROR(__xludf.DUMMYFUNCTION("""COMPUTED_VALUE"""),"Uttam")</f>
        <v>Uttam</v>
      </c>
      <c r="C13" s="1">
        <f>IFERROR(__xludf.DUMMYFUNCTION("""COMPUTED_VALUE"""),9.810007503E9)</f>
        <v>9810007503</v>
      </c>
      <c r="D13" s="1">
        <f>IFERROR(__xludf.DUMMYFUNCTION("""COMPUTED_VALUE"""),1.0)</f>
        <v>1</v>
      </c>
      <c r="E13" s="3">
        <f>IFERROR(__xludf.DUMMYFUNCTION("""COMPUTED_VALUE"""),0.12986111111240461)</f>
        <v>0.1298611111</v>
      </c>
      <c r="F13" s="1" t="str">
        <f>IFERROR(__xludf.DUMMYFUNCTION("""COMPUTED_VALUE"""),"Diamond ")</f>
        <v>Diamond </v>
      </c>
      <c r="G13" s="1" t="str">
        <f>IFERROR(__xludf.DUMMYFUNCTION("""COMPUTED_VALUE"""),"Reema")</f>
        <v>Reema</v>
      </c>
      <c r="H13" s="1" t="str">
        <f>IFERROR(__xludf.DUMMYFUNCTION("""COMPUTED_VALUE"""),"Repaire Diamond ring ")</f>
        <v>Repaire Diamond ring </v>
      </c>
      <c r="I13" s="1"/>
      <c r="J13" s="1"/>
      <c r="K13" s="3">
        <f>IFERROR(__xludf.DUMMYFUNCTION("""COMPUTED_VALUE"""),0.13541666666424135)</f>
        <v>0.1354166667</v>
      </c>
      <c r="L13" s="1" t="str">
        <f>IFERROR(__xludf.DUMMYFUNCTION("""COMPUTED_VALUE"""),"Yes")</f>
        <v>Yes</v>
      </c>
      <c r="M13" s="1" t="str">
        <f>IFERROR(__xludf.DUMMYFUNCTION("""COMPUTED_VALUE"""),"Already done")</f>
        <v>Already done</v>
      </c>
      <c r="N13" s="1" t="str">
        <f>IFERROR(__xludf.DUMMYFUNCTION("""COMPUTED_VALUE"""),"Already done")</f>
        <v>Already done</v>
      </c>
      <c r="O13" s="1" t="str">
        <f>IFERROR(__xludf.DUMMYFUNCTION("""COMPUTED_VALUE"""),"WA ONLY")</f>
        <v>WA ONLY</v>
      </c>
      <c r="P13" s="1" t="str">
        <f>IFERROR(__xludf.DUMMYFUNCTION("""COMPUTED_VALUE"""),"Sir")</f>
        <v>Sir</v>
      </c>
      <c r="Q13" s="1"/>
      <c r="R13" s="1"/>
      <c r="S13" s="1"/>
    </row>
    <row r="14">
      <c r="A14" s="2">
        <f>IFERROR(__xludf.DUMMYFUNCTION("""COMPUTED_VALUE"""),45286.70625836805)</f>
        <v>45286.70626</v>
      </c>
      <c r="B14" s="1" t="str">
        <f>IFERROR(__xludf.DUMMYFUNCTION("""COMPUTED_VALUE"""),"Kritanjli ")</f>
        <v>Kritanjli </v>
      </c>
      <c r="C14" s="1">
        <f>IFERROR(__xludf.DUMMYFUNCTION("""COMPUTED_VALUE"""),9.873041853E9)</f>
        <v>9873041853</v>
      </c>
      <c r="D14" s="1">
        <f>IFERROR(__xludf.DUMMYFUNCTION("""COMPUTED_VALUE"""),1.0)</f>
        <v>1</v>
      </c>
      <c r="E14" s="3">
        <f>IFERROR(__xludf.DUMMYFUNCTION("""COMPUTED_VALUE"""),0.16874999999708962)</f>
        <v>0.16875</v>
      </c>
      <c r="F14" s="1" t="str">
        <f>IFERROR(__xludf.DUMMYFUNCTION("""COMPUTED_VALUE"""),"Antic")</f>
        <v>Antic</v>
      </c>
      <c r="G14" s="1" t="str">
        <f>IFERROR(__xludf.DUMMYFUNCTION("""COMPUTED_VALUE"""),"Chhaya")</f>
        <v>Chhaya</v>
      </c>
      <c r="H14" s="1" t="str">
        <f>IFERROR(__xludf.DUMMYFUNCTION("""COMPUTED_VALUE"""),"Gems gold ring( pic the order no concern person)")</f>
        <v>Gems gold ring( pic the order no concern person)</v>
      </c>
      <c r="I14" s="1" t="str">
        <f>IFERROR(__xludf.DUMMYFUNCTION("""COMPUTED_VALUE"""),"no concern person")</f>
        <v>no concern person</v>
      </c>
      <c r="J14" s="1" t="str">
        <f>IFERROR(__xludf.DUMMYFUNCTION("""COMPUTED_VALUE"""),"no concern person")</f>
        <v>no concern person</v>
      </c>
      <c r="K14" s="3">
        <f>IFERROR(__xludf.DUMMYFUNCTION("""COMPUTED_VALUE"""),0.17708333333575865)</f>
        <v>0.1770833333</v>
      </c>
      <c r="L14" s="1" t="str">
        <f>IFERROR(__xludf.DUMMYFUNCTION("""COMPUTED_VALUE"""),"Yes")</f>
        <v>Yes</v>
      </c>
      <c r="M14" s="1" t="str">
        <f>IFERROR(__xludf.DUMMYFUNCTION("""COMPUTED_VALUE"""),"no concern person")</f>
        <v>no concern person</v>
      </c>
      <c r="N14" s="1" t="str">
        <f>IFERROR(__xludf.DUMMYFUNCTION("""COMPUTED_VALUE"""),"no concern person")</f>
        <v>no concern person</v>
      </c>
      <c r="O14" s="1" t="str">
        <f>IFERROR(__xludf.DUMMYFUNCTION("""COMPUTED_VALUE"""),"WA ONLY")</f>
        <v>WA ONLY</v>
      </c>
      <c r="P14" s="1" t="str">
        <f>IFERROR(__xludf.DUMMYFUNCTION("""COMPUTED_VALUE"""),"Sir")</f>
        <v>Sir</v>
      </c>
      <c r="Q14" s="1"/>
      <c r="R14" s="1"/>
      <c r="S14" s="1"/>
    </row>
    <row r="15">
      <c r="A15" s="2">
        <f>IFERROR(__xludf.DUMMYFUNCTION("""COMPUTED_VALUE"""),45287.71937539351)</f>
        <v>45287.71938</v>
      </c>
      <c r="B15" s="1" t="str">
        <f>IFERROR(__xludf.DUMMYFUNCTION("""COMPUTED_VALUE"""),"Pragya")</f>
        <v>Pragya</v>
      </c>
      <c r="C15" s="1">
        <f>IFERROR(__xludf.DUMMYFUNCTION("""COMPUTED_VALUE"""),9.9106033E9)</f>
        <v>9910603300</v>
      </c>
      <c r="D15" s="1">
        <f>IFERROR(__xludf.DUMMYFUNCTION("""COMPUTED_VALUE"""),1.0)</f>
        <v>1</v>
      </c>
      <c r="E15" s="3">
        <f>IFERROR(__xludf.DUMMYFUNCTION("""COMPUTED_VALUE"""),0.29513888889050577)</f>
        <v>0.2951388889</v>
      </c>
      <c r="F15" s="1" t="str">
        <f>IFERROR(__xludf.DUMMYFUNCTION("""COMPUTED_VALUE"""),"Diamond ")</f>
        <v>Diamond </v>
      </c>
      <c r="G15" s="1" t="str">
        <f>IFERROR(__xludf.DUMMYFUNCTION("""COMPUTED_VALUE"""),"Reema")</f>
        <v>Reema</v>
      </c>
      <c r="H15" s="1" t="str">
        <f>IFERROR(__xludf.DUMMYFUNCTION("""COMPUTED_VALUE"""),"Not sale any set because customer wont home and told which set he liked ")</f>
        <v>Not sale any set because customer wont home and told which set he liked </v>
      </c>
      <c r="I15" s="1"/>
      <c r="J15" s="1"/>
      <c r="K15" s="3">
        <f>IFERROR(__xludf.DUMMYFUNCTION("""COMPUTED_VALUE"""),0.34375)</f>
        <v>0.34375</v>
      </c>
      <c r="L15" s="1" t="str">
        <f>IFERROR(__xludf.DUMMYFUNCTION("""COMPUTED_VALUE"""),"Yes")</f>
        <v>Yes</v>
      </c>
      <c r="M15" s="1"/>
      <c r="N15" s="1"/>
      <c r="O15" s="1" t="str">
        <f>IFERROR(__xludf.DUMMYFUNCTION("""COMPUTED_VALUE"""),"WA ONLY")</f>
        <v>WA ONLY</v>
      </c>
      <c r="P15" s="1" t="str">
        <f>IFERROR(__xludf.DUMMYFUNCTION("""COMPUTED_VALUE"""),"Madam")</f>
        <v>Madam</v>
      </c>
      <c r="Q15" s="1"/>
      <c r="R15" s="1"/>
      <c r="S15" s="1"/>
    </row>
    <row r="16">
      <c r="A16" s="2">
        <f>IFERROR(__xludf.DUMMYFUNCTION("""COMPUTED_VALUE"""),45287.72091509259)</f>
        <v>45287.72092</v>
      </c>
      <c r="B16" s="1" t="str">
        <f>IFERROR(__xludf.DUMMYFUNCTION("""COMPUTED_VALUE"""),"Raj karan")</f>
        <v>Raj karan</v>
      </c>
      <c r="C16" s="1">
        <f>IFERROR(__xludf.DUMMYFUNCTION("""COMPUTED_VALUE"""),9.560358448E9)</f>
        <v>9560358448</v>
      </c>
      <c r="D16" s="1">
        <f>IFERROR(__xludf.DUMMYFUNCTION("""COMPUTED_VALUE"""),2.0)</f>
        <v>2</v>
      </c>
      <c r="E16" s="3">
        <f>IFERROR(__xludf.DUMMYFUNCTION("""COMPUTED_VALUE"""),0.19097222221898846)</f>
        <v>0.1909722222</v>
      </c>
      <c r="F16" s="1"/>
      <c r="G16" s="1" t="str">
        <f>IFERROR(__xludf.DUMMYFUNCTION("""COMPUTED_VALUE"""),"Gold")</f>
        <v>Gold</v>
      </c>
      <c r="H16" s="1" t="str">
        <f>IFERROR(__xludf.DUMMYFUNCTION("""COMPUTED_VALUE"""),"Customer wants Pendent but process in order ")</f>
        <v>Customer wants Pendent but process in order </v>
      </c>
      <c r="I16" s="1"/>
      <c r="J16" s="1"/>
      <c r="K16" s="3">
        <f>IFERROR(__xludf.DUMMYFUNCTION("""COMPUTED_VALUE"""),0.21875)</f>
        <v>0.21875</v>
      </c>
      <c r="L16" s="1" t="str">
        <f>IFERROR(__xludf.DUMMYFUNCTION("""COMPUTED_VALUE"""),"Yes")</f>
        <v>Yes</v>
      </c>
      <c r="M16" s="1" t="str">
        <f>IFERROR(__xludf.DUMMYFUNCTION("""COMPUTED_VALUE"""),"Yes")</f>
        <v>Yes</v>
      </c>
      <c r="N16" s="1" t="str">
        <f>IFERROR(__xludf.DUMMYFUNCTION("""COMPUTED_VALUE"""),"Not use")</f>
        <v>Not use</v>
      </c>
      <c r="O16" s="1" t="str">
        <f>IFERROR(__xludf.DUMMYFUNCTION("""COMPUTED_VALUE"""),"WA ONLY")</f>
        <v>WA ONLY</v>
      </c>
      <c r="P16" s="1" t="str">
        <f>IFERROR(__xludf.DUMMYFUNCTION("""COMPUTED_VALUE"""),"Sir, Madam")</f>
        <v>Sir, Madam</v>
      </c>
      <c r="Q16" s="1"/>
      <c r="R16" s="1"/>
      <c r="S16" s="1"/>
    </row>
    <row r="17">
      <c r="A17" s="2">
        <f>IFERROR(__xludf.DUMMYFUNCTION("""COMPUTED_VALUE"""),45287.77194773148)</f>
        <v>45287.77195</v>
      </c>
      <c r="B17" s="1" t="str">
        <f>IFERROR(__xludf.DUMMYFUNCTION("""COMPUTED_VALUE"""),"Ravi")</f>
        <v>Ravi</v>
      </c>
      <c r="C17" s="1">
        <f>IFERROR(__xludf.DUMMYFUNCTION("""COMPUTED_VALUE"""),8.882584436E9)</f>
        <v>8882584436</v>
      </c>
      <c r="D17" s="1">
        <f>IFERROR(__xludf.DUMMYFUNCTION("""COMPUTED_VALUE"""),1.0)</f>
        <v>1</v>
      </c>
      <c r="E17" s="3">
        <f>IFERROR(__xludf.DUMMYFUNCTION("""COMPUTED_VALUE"""),0.24652777778101154)</f>
        <v>0.2465277778</v>
      </c>
      <c r="F17" s="1" t="str">
        <f>IFERROR(__xludf.DUMMYFUNCTION("""COMPUTED_VALUE"""),"Gold")</f>
        <v>Gold</v>
      </c>
      <c r="G17" s="1" t="str">
        <f>IFERROR(__xludf.DUMMYFUNCTION("""COMPUTED_VALUE"""),"Mansa")</f>
        <v>Mansa</v>
      </c>
      <c r="H17" s="1" t="str">
        <f>IFERROR(__xludf.DUMMYFUNCTION("""COMPUTED_VALUE"""),"Silver anklet")</f>
        <v>Silver anklet</v>
      </c>
      <c r="I17" s="1"/>
      <c r="J17" s="1" t="str">
        <f>IFERROR(__xludf.DUMMYFUNCTION("""COMPUTED_VALUE"""),"Not interested ")</f>
        <v>Not interested </v>
      </c>
      <c r="K17" s="3">
        <f>IFERROR(__xludf.DUMMYFUNCTION("""COMPUTED_VALUE"""),0.27152777777519077)</f>
        <v>0.2715277778</v>
      </c>
      <c r="L17" s="1" t="str">
        <f>IFERROR(__xludf.DUMMYFUNCTION("""COMPUTED_VALUE"""),"No")</f>
        <v>No</v>
      </c>
      <c r="M17" s="1" t="str">
        <f>IFERROR(__xludf.DUMMYFUNCTION("""COMPUTED_VALUE"""),"Already done")</f>
        <v>Already done</v>
      </c>
      <c r="N17" s="1" t="str">
        <f>IFERROR(__xludf.DUMMYFUNCTION("""COMPUTED_VALUE"""),"Already done")</f>
        <v>Already done</v>
      </c>
      <c r="O17" s="1" t="str">
        <f>IFERROR(__xludf.DUMMYFUNCTION("""COMPUTED_VALUE"""),"WA ONLY")</f>
        <v>WA ONLY</v>
      </c>
      <c r="P17" s="1" t="str">
        <f>IFERROR(__xludf.DUMMYFUNCTION("""COMPUTED_VALUE"""),"Sir")</f>
        <v>Sir</v>
      </c>
      <c r="Q17" s="1"/>
      <c r="R17" s="1"/>
      <c r="S17" s="1"/>
    </row>
    <row r="18">
      <c r="A18" s="2">
        <f>IFERROR(__xludf.DUMMYFUNCTION("""COMPUTED_VALUE"""),45287.80258584491)</f>
        <v>45287.80259</v>
      </c>
      <c r="B18" s="1" t="str">
        <f>IFERROR(__xludf.DUMMYFUNCTION("""COMPUTED_VALUE"""),"Sumit")</f>
        <v>Sumit</v>
      </c>
      <c r="C18" s="1">
        <f>IFERROR(__xludf.DUMMYFUNCTION("""COMPUTED_VALUE"""),9.21232777E9)</f>
        <v>9212327770</v>
      </c>
      <c r="D18" s="1">
        <f>IFERROR(__xludf.DUMMYFUNCTION("""COMPUTED_VALUE"""),1.0)</f>
        <v>1</v>
      </c>
      <c r="E18" s="3">
        <f>IFERROR(__xludf.DUMMYFUNCTION("""COMPUTED_VALUE"""),0.28472222221898846)</f>
        <v>0.2847222222</v>
      </c>
      <c r="F18" s="1" t="str">
        <f>IFERROR(__xludf.DUMMYFUNCTION("""COMPUTED_VALUE"""),"Antic")</f>
        <v>Antic</v>
      </c>
      <c r="G18" s="1" t="str">
        <f>IFERROR(__xludf.DUMMYFUNCTION("""COMPUTED_VALUE"""),"Chhaya")</f>
        <v>Chhaya</v>
      </c>
      <c r="H18" s="1" t="str">
        <f>IFERROR(__xludf.DUMMYFUNCTION("""COMPUTED_VALUE"""),"Customer sel own gold coin 100 gm")</f>
        <v>Customer sel own gold coin 100 gm</v>
      </c>
      <c r="I18" s="1"/>
      <c r="J18" s="1"/>
      <c r="K18" s="3">
        <f>IFERROR(__xludf.DUMMYFUNCTION("""COMPUTED_VALUE"""),0.29861111110949423)</f>
        <v>0.2986111111</v>
      </c>
      <c r="L18" s="1" t="str">
        <f>IFERROR(__xludf.DUMMYFUNCTION("""COMPUTED_VALUE"""),"Yes")</f>
        <v>Yes</v>
      </c>
      <c r="M18" s="1"/>
      <c r="N18" s="1"/>
      <c r="O18" s="1" t="str">
        <f>IFERROR(__xludf.DUMMYFUNCTION("""COMPUTED_VALUE"""),"WA ONLY")</f>
        <v>WA ONLY</v>
      </c>
      <c r="P18" s="1" t="str">
        <f>IFERROR(__xludf.DUMMYFUNCTION("""COMPUTED_VALUE"""),"Sir")</f>
        <v>Sir</v>
      </c>
      <c r="Q18" s="1"/>
      <c r="R18" s="1"/>
      <c r="S18" s="1"/>
    </row>
    <row r="19">
      <c r="A19" s="2">
        <f>IFERROR(__xludf.DUMMYFUNCTION("""COMPUTED_VALUE"""),45288.67011466435)</f>
        <v>45288.67011</v>
      </c>
      <c r="B19" s="1" t="str">
        <f>IFERROR(__xludf.DUMMYFUNCTION("""COMPUTED_VALUE"""),"Anu")</f>
        <v>Anu</v>
      </c>
      <c r="C19" s="1">
        <f>IFERROR(__xludf.DUMMYFUNCTION("""COMPUTED_VALUE"""),9.212674929E9)</f>
        <v>9212674929</v>
      </c>
      <c r="D19" s="1">
        <f>IFERROR(__xludf.DUMMYFUNCTION("""COMPUTED_VALUE"""),1.0)</f>
        <v>1</v>
      </c>
      <c r="E19" s="3">
        <f>IFERROR(__xludf.DUMMYFUNCTION("""COMPUTED_VALUE"""),0.08402777777519077)</f>
        <v>0.08402777778</v>
      </c>
      <c r="F19" s="1" t="str">
        <f>IFERROR(__xludf.DUMMYFUNCTION("""COMPUTED_VALUE"""),"Gold")</f>
        <v>Gold</v>
      </c>
      <c r="G19" s="1" t="str">
        <f>IFERROR(__xludf.DUMMYFUNCTION("""COMPUTED_VALUE"""),"Bhumika")</f>
        <v>Bhumika</v>
      </c>
      <c r="H19" s="1" t="str">
        <f>IFERROR(__xludf.DUMMYFUNCTION("""COMPUTED_VALUE"""),"2 pair tops")</f>
        <v>2 pair tops</v>
      </c>
      <c r="I19" s="1"/>
      <c r="J19" s="1"/>
      <c r="K19" s="3">
        <f>IFERROR(__xludf.DUMMYFUNCTION("""COMPUTED_VALUE"""),0.14583333333575865)</f>
        <v>0.1458333333</v>
      </c>
      <c r="L19" s="1" t="str">
        <f>IFERROR(__xludf.DUMMYFUNCTION("""COMPUTED_VALUE"""),"Yes")</f>
        <v>Yes</v>
      </c>
      <c r="M19" s="1" t="str">
        <f>IFERROR(__xludf.DUMMYFUNCTION("""COMPUTED_VALUE"""),"Yes")</f>
        <v>Yes</v>
      </c>
      <c r="N19" s="1" t="str">
        <f>IFERROR(__xludf.DUMMYFUNCTION("""COMPUTED_VALUE"""),"Not use")</f>
        <v>Not use</v>
      </c>
      <c r="O19" s="1" t="str">
        <f>IFERROR(__xludf.DUMMYFUNCTION("""COMPUTED_VALUE"""),"WA ONLY")</f>
        <v>WA ONLY</v>
      </c>
      <c r="P19" s="1" t="str">
        <f>IFERROR(__xludf.DUMMYFUNCTION("""COMPUTED_VALUE"""),"Sir, Madam")</f>
        <v>Sir, Madam</v>
      </c>
      <c r="Q19" s="1"/>
      <c r="R19" s="1"/>
      <c r="S19" s="1"/>
    </row>
    <row r="20">
      <c r="A20" s="2">
        <f>IFERROR(__xludf.DUMMYFUNCTION("""COMPUTED_VALUE"""),45288.76570982639)</f>
        <v>45288.76571</v>
      </c>
      <c r="B20" s="1" t="str">
        <f>IFERROR(__xludf.DUMMYFUNCTION("""COMPUTED_VALUE"""),"Veena rawal")</f>
        <v>Veena rawal</v>
      </c>
      <c r="C20" s="1">
        <f>IFERROR(__xludf.DUMMYFUNCTION("""COMPUTED_VALUE"""),8.800939462E9)</f>
        <v>8800939462</v>
      </c>
      <c r="D20" s="1">
        <f>IFERROR(__xludf.DUMMYFUNCTION("""COMPUTED_VALUE"""),1.0)</f>
        <v>1</v>
      </c>
      <c r="E20" s="3">
        <f>IFERROR(__xludf.DUMMYFUNCTION("""COMPUTED_VALUE"""),0.1694444444437977)</f>
        <v>0.1694444444</v>
      </c>
      <c r="F20" s="1" t="str">
        <f>IFERROR(__xludf.DUMMYFUNCTION("""COMPUTED_VALUE"""),"Antic")</f>
        <v>Antic</v>
      </c>
      <c r="G20" s="1" t="str">
        <f>IFERROR(__xludf.DUMMYFUNCTION("""COMPUTED_VALUE"""),"Chhaya")</f>
        <v>Chhaya</v>
      </c>
      <c r="H20" s="1" t="str">
        <f>IFERROR(__xludf.DUMMYFUNCTION("""COMPUTED_VALUE"""),"100 gm gold bar")</f>
        <v>100 gm gold bar</v>
      </c>
      <c r="I20" s="1"/>
      <c r="J20" s="1"/>
      <c r="K20" s="3">
        <f>IFERROR(__xludf.DUMMYFUNCTION("""COMPUTED_VALUE"""),0.21875)</f>
        <v>0.21875</v>
      </c>
      <c r="L20" s="1" t="str">
        <f>IFERROR(__xludf.DUMMYFUNCTION("""COMPUTED_VALUE"""),"Yes")</f>
        <v>Yes</v>
      </c>
      <c r="M20" s="1" t="str">
        <f>IFERROR(__xludf.DUMMYFUNCTION("""COMPUTED_VALUE"""),"Yes")</f>
        <v>Yes</v>
      </c>
      <c r="N20" s="1" t="str">
        <f>IFERROR(__xludf.DUMMYFUNCTION("""COMPUTED_VALUE"""),"Yes")</f>
        <v>Yes</v>
      </c>
      <c r="O20" s="1" t="str">
        <f>IFERROR(__xludf.DUMMYFUNCTION("""COMPUTED_VALUE"""),"WA ONLY")</f>
        <v>WA ONLY</v>
      </c>
      <c r="P20" s="1" t="str">
        <f>IFERROR(__xludf.DUMMYFUNCTION("""COMPUTED_VALUE"""),"Madam")</f>
        <v>Madam</v>
      </c>
      <c r="Q20" s="1"/>
      <c r="R20" s="1"/>
      <c r="S20" s="1"/>
    </row>
    <row r="21">
      <c r="A21" s="2">
        <f>IFERROR(__xludf.DUMMYFUNCTION("""COMPUTED_VALUE"""),45288.782954016206)</f>
        <v>45288.78295</v>
      </c>
      <c r="B21" s="1" t="str">
        <f>IFERROR(__xludf.DUMMYFUNCTION("""COMPUTED_VALUE"""),"Keshar")</f>
        <v>Keshar</v>
      </c>
      <c r="C21" s="1">
        <f>IFERROR(__xludf.DUMMYFUNCTION("""COMPUTED_VALUE"""),9.9999728283E10)</f>
        <v>99999728283</v>
      </c>
      <c r="D21" s="1">
        <f>IFERROR(__xludf.DUMMYFUNCTION("""COMPUTED_VALUE"""),2.0)</f>
        <v>2</v>
      </c>
      <c r="E21" s="3">
        <f>IFERROR(__xludf.DUMMYFUNCTION("""COMPUTED_VALUE"""),0.19166666666569654)</f>
        <v>0.1916666667</v>
      </c>
      <c r="F21" s="1" t="str">
        <f>IFERROR(__xludf.DUMMYFUNCTION("""COMPUTED_VALUE"""),"Sntic")</f>
        <v>Sntic</v>
      </c>
      <c r="G21" s="1" t="str">
        <f>IFERROR(__xludf.DUMMYFUNCTION("""COMPUTED_VALUE"""),"Pooja")</f>
        <v>Pooja</v>
      </c>
      <c r="H21" s="1" t="str">
        <f>IFERROR(__xludf.DUMMYFUNCTION("""COMPUTED_VALUE"""),"Gold tops,mang tika")</f>
        <v>Gold tops,mang tika</v>
      </c>
      <c r="I21" s="1"/>
      <c r="J21" s="1" t="str">
        <f>IFERROR(__xludf.DUMMYFUNCTION("""COMPUTED_VALUE"""),"Already done")</f>
        <v>Already done</v>
      </c>
      <c r="K21" s="3">
        <f>IFERROR(__xludf.DUMMYFUNCTION("""COMPUTED_VALUE"""),0.273611111115315)</f>
        <v>0.2736111111</v>
      </c>
      <c r="L21" s="1" t="str">
        <f>IFERROR(__xludf.DUMMYFUNCTION("""COMPUTED_VALUE"""),"Yes")</f>
        <v>Yes</v>
      </c>
      <c r="M21" s="1" t="str">
        <f>IFERROR(__xludf.DUMMYFUNCTION("""COMPUTED_VALUE"""),"Yes")</f>
        <v>Yes</v>
      </c>
      <c r="N21" s="1" t="str">
        <f>IFERROR(__xludf.DUMMYFUNCTION("""COMPUTED_VALUE"""),"Yes")</f>
        <v>Yes</v>
      </c>
      <c r="O21" s="1" t="str">
        <f>IFERROR(__xludf.DUMMYFUNCTION("""COMPUTED_VALUE"""),"WA ONLY")</f>
        <v>WA ONLY</v>
      </c>
      <c r="P21" s="1" t="str">
        <f>IFERROR(__xludf.DUMMYFUNCTION("""COMPUTED_VALUE"""),"Sir, Madam")</f>
        <v>Sir, Madam</v>
      </c>
      <c r="Q21" s="1"/>
      <c r="R21" s="1"/>
      <c r="S21" s="1"/>
    </row>
    <row r="22">
      <c r="A22" s="2">
        <f>IFERROR(__xludf.DUMMYFUNCTION("""COMPUTED_VALUE"""),45288.78442914352)</f>
        <v>45288.78443</v>
      </c>
      <c r="B22" s="1" t="str">
        <f>IFERROR(__xludf.DUMMYFUNCTION("""COMPUTED_VALUE"""),"Shilpi puri")</f>
        <v>Shilpi puri</v>
      </c>
      <c r="C22" s="1">
        <f>IFERROR(__xludf.DUMMYFUNCTION("""COMPUTED_VALUE"""),9.958950595E9)</f>
        <v>9958950595</v>
      </c>
      <c r="D22" s="1">
        <f>IFERROR(__xludf.DUMMYFUNCTION("""COMPUTED_VALUE"""),2.0)</f>
        <v>2</v>
      </c>
      <c r="E22" s="3">
        <f>IFERROR(__xludf.DUMMYFUNCTION("""COMPUTED_VALUE"""),0.21041666666860692)</f>
        <v>0.2104166667</v>
      </c>
      <c r="F22" s="1" t="str">
        <f>IFERROR(__xludf.DUMMYFUNCTION("""COMPUTED_VALUE"""),"Diamond ")</f>
        <v>Diamond </v>
      </c>
      <c r="G22" s="1" t="str">
        <f>IFERROR(__xludf.DUMMYFUNCTION("""COMPUTED_VALUE"""),"Reema")</f>
        <v>Reema</v>
      </c>
      <c r="H22" s="1" t="str">
        <f>IFERROR(__xludf.DUMMYFUNCTION("""COMPUTED_VALUE"""),"Silver breslet but not sale because breslet not available in the store ")</f>
        <v>Silver breslet but not sale because breslet not available in the store </v>
      </c>
      <c r="I22" s="1"/>
      <c r="J22" s="1"/>
      <c r="K22" s="3">
        <f>IFERROR(__xludf.DUMMYFUNCTION("""COMPUTED_VALUE"""),0.22222222221898846)</f>
        <v>0.2222222222</v>
      </c>
      <c r="L22" s="1" t="str">
        <f>IFERROR(__xludf.DUMMYFUNCTION("""COMPUTED_VALUE"""),"No")</f>
        <v>No</v>
      </c>
      <c r="M22" s="1"/>
      <c r="N22" s="1"/>
      <c r="O22" s="1" t="str">
        <f>IFERROR(__xludf.DUMMYFUNCTION("""COMPUTED_VALUE"""),"WA ONLY")</f>
        <v>WA ONLY</v>
      </c>
      <c r="P22" s="1" t="str">
        <f>IFERROR(__xludf.DUMMYFUNCTION("""COMPUTED_VALUE"""),"Madam")</f>
        <v>Madam</v>
      </c>
      <c r="Q22" s="1"/>
      <c r="R22" s="1"/>
      <c r="S22" s="1"/>
    </row>
    <row r="23">
      <c r="A23" s="2">
        <f>IFERROR(__xludf.DUMMYFUNCTION("""COMPUTED_VALUE"""),45288.80139440972)</f>
        <v>45288.80139</v>
      </c>
      <c r="B23" s="1" t="str">
        <f>IFERROR(__xludf.DUMMYFUNCTION("""COMPUTED_VALUE"""),"Sharvan")</f>
        <v>Sharvan</v>
      </c>
      <c r="C23" s="1">
        <f>IFERROR(__xludf.DUMMYFUNCTION("""COMPUTED_VALUE"""),7.021183656E9)</f>
        <v>7021183656</v>
      </c>
      <c r="D23" s="1">
        <f>IFERROR(__xludf.DUMMYFUNCTION("""COMPUTED_VALUE"""),1.0)</f>
        <v>1</v>
      </c>
      <c r="E23" s="3">
        <f>IFERROR(__xludf.DUMMYFUNCTION("""COMPUTED_VALUE"""),0.26597222222335404)</f>
        <v>0.2659722222</v>
      </c>
      <c r="F23" s="1" t="str">
        <f>IFERROR(__xludf.DUMMYFUNCTION("""COMPUTED_VALUE"""),"Gold")</f>
        <v>Gold</v>
      </c>
      <c r="G23" s="1" t="str">
        <f>IFERROR(__xludf.DUMMYFUNCTION("""COMPUTED_VALUE"""),"Bhumika,mansa")</f>
        <v>Bhumika,mansa</v>
      </c>
      <c r="H23" s="1" t="str">
        <f>IFERROR(__xludf.DUMMYFUNCTION("""COMPUTED_VALUE"""),"Gold mangal sutr")</f>
        <v>Gold mangal sutr</v>
      </c>
      <c r="I23" s="1"/>
      <c r="J23" s="1"/>
      <c r="K23" s="3">
        <f>IFERROR(__xludf.DUMMYFUNCTION("""COMPUTED_VALUE"""),0.30208333333575865)</f>
        <v>0.3020833333</v>
      </c>
      <c r="L23" s="1" t="str">
        <f>IFERROR(__xludf.DUMMYFUNCTION("""COMPUTED_VALUE"""),"No")</f>
        <v>No</v>
      </c>
      <c r="M23" s="1" t="str">
        <f>IFERROR(__xludf.DUMMYFUNCTION("""COMPUTED_VALUE"""),"Yes")</f>
        <v>Yes</v>
      </c>
      <c r="N23" s="1" t="str">
        <f>IFERROR(__xludf.DUMMYFUNCTION("""COMPUTED_VALUE"""),"Yse")</f>
        <v>Yse</v>
      </c>
      <c r="O23" s="1" t="str">
        <f>IFERROR(__xludf.DUMMYFUNCTION("""COMPUTED_VALUE"""),"WA ONLY")</f>
        <v>WA ONLY</v>
      </c>
      <c r="P23" s="1" t="str">
        <f>IFERROR(__xludf.DUMMYFUNCTION("""COMPUTED_VALUE"""),"Sir")</f>
        <v>Sir</v>
      </c>
      <c r="Q23" s="1"/>
      <c r="R23" s="1"/>
      <c r="S23" s="1"/>
    </row>
    <row r="24">
      <c r="A24" s="2">
        <f>IFERROR(__xludf.DUMMYFUNCTION("""COMPUTED_VALUE"""),45288.802339629634)</f>
        <v>45288.80234</v>
      </c>
      <c r="B24" s="1" t="str">
        <f>IFERROR(__xludf.DUMMYFUNCTION("""COMPUTED_VALUE"""),"Mini")</f>
        <v>Mini</v>
      </c>
      <c r="C24" s="1">
        <f>IFERROR(__xludf.DUMMYFUNCTION("""COMPUTED_VALUE"""),9.818926253E9)</f>
        <v>9818926253</v>
      </c>
      <c r="D24" s="1">
        <f>IFERROR(__xludf.DUMMYFUNCTION("""COMPUTED_VALUE"""),1.0)</f>
        <v>1</v>
      </c>
      <c r="E24" s="3">
        <f>IFERROR(__xludf.DUMMYFUNCTION("""COMPUTED_VALUE"""),0.19027777777955635)</f>
        <v>0.1902777778</v>
      </c>
      <c r="F24" s="1" t="str">
        <f>IFERROR(__xludf.DUMMYFUNCTION("""COMPUTED_VALUE"""),"Gold")</f>
        <v>Gold</v>
      </c>
      <c r="G24" s="1" t="str">
        <f>IFERROR(__xludf.DUMMYFUNCTION("""COMPUTED_VALUE"""),"Bhumika,mansa")</f>
        <v>Bhumika,mansa</v>
      </c>
      <c r="H24" s="1" t="str">
        <f>IFERROR(__xludf.DUMMYFUNCTION("""COMPUTED_VALUE"""),"Repairing ")</f>
        <v>Repairing </v>
      </c>
      <c r="I24" s="1"/>
      <c r="J24" s="1"/>
      <c r="K24" s="3">
        <f>IFERROR(__xludf.DUMMYFUNCTION("""COMPUTED_VALUE"""),0.2729166666686069)</f>
        <v>0.2729166667</v>
      </c>
      <c r="L24" s="1" t="str">
        <f>IFERROR(__xludf.DUMMYFUNCTION("""COMPUTED_VALUE"""),"No")</f>
        <v>No</v>
      </c>
      <c r="M24" s="1" t="str">
        <f>IFERROR(__xludf.DUMMYFUNCTION("""COMPUTED_VALUE"""),"Already done")</f>
        <v>Already done</v>
      </c>
      <c r="N24" s="1" t="str">
        <f>IFERROR(__xludf.DUMMYFUNCTION("""COMPUTED_VALUE"""),"Already done")</f>
        <v>Already done</v>
      </c>
      <c r="O24" s="1" t="str">
        <f>IFERROR(__xludf.DUMMYFUNCTION("""COMPUTED_VALUE"""),"WA ONLY")</f>
        <v>WA ONLY</v>
      </c>
      <c r="P24" s="1" t="str">
        <f>IFERROR(__xludf.DUMMYFUNCTION("""COMPUTED_VALUE"""),"Madam")</f>
        <v>Madam</v>
      </c>
      <c r="Q24" s="1"/>
      <c r="R24" s="1"/>
      <c r="S24" s="1"/>
    </row>
    <row r="25">
      <c r="A25" s="2">
        <f>IFERROR(__xludf.DUMMYFUNCTION("""COMPUTED_VALUE"""),45289.73327679398)</f>
        <v>45289.73328</v>
      </c>
      <c r="B25" s="1" t="str">
        <f>IFERROR(__xludf.DUMMYFUNCTION("""COMPUTED_VALUE"""),"Shaista")</f>
        <v>Shaista</v>
      </c>
      <c r="C25" s="1">
        <f>IFERROR(__xludf.DUMMYFUNCTION("""COMPUTED_VALUE"""),8.860741616E9)</f>
        <v>8860741616</v>
      </c>
      <c r="D25" s="1">
        <f>IFERROR(__xludf.DUMMYFUNCTION("""COMPUTED_VALUE"""),1.0)</f>
        <v>1</v>
      </c>
      <c r="E25" s="3">
        <f>IFERROR(__xludf.DUMMYFUNCTION("""COMPUTED_VALUE"""),0.06805555555911269)</f>
        <v>0.06805555556</v>
      </c>
      <c r="F25" s="1" t="str">
        <f>IFERROR(__xludf.DUMMYFUNCTION("""COMPUTED_VALUE"""),"Gold")</f>
        <v>Gold</v>
      </c>
      <c r="G25" s="1" t="str">
        <f>IFERROR(__xludf.DUMMYFUNCTION("""COMPUTED_VALUE"""),"Bhumika")</f>
        <v>Bhumika</v>
      </c>
      <c r="H25" s="1" t="str">
        <f>IFERROR(__xludf.DUMMYFUNCTION("""COMPUTED_VALUE"""),"2 pairs tops CVD")</f>
        <v>2 pairs tops CVD</v>
      </c>
      <c r="I25" s="1"/>
      <c r="J25" s="1" t="str">
        <f>IFERROR(__xludf.DUMMYFUNCTION("""COMPUTED_VALUE"""),"Already done")</f>
        <v>Already done</v>
      </c>
      <c r="K25" s="3">
        <f>IFERROR(__xludf.DUMMYFUNCTION("""COMPUTED_VALUE"""),0.18819444444670808)</f>
        <v>0.1881944444</v>
      </c>
      <c r="L25" s="1" t="str">
        <f>IFERROR(__xludf.DUMMYFUNCTION("""COMPUTED_VALUE"""),"Yes")</f>
        <v>Yes</v>
      </c>
      <c r="M25" s="1" t="str">
        <f>IFERROR(__xludf.DUMMYFUNCTION("""COMPUTED_VALUE"""),"Already done")</f>
        <v>Already done</v>
      </c>
      <c r="N25" s="1" t="str">
        <f>IFERROR(__xludf.DUMMYFUNCTION("""COMPUTED_VALUE"""),"Already done")</f>
        <v>Already done</v>
      </c>
      <c r="O25" s="1" t="str">
        <f>IFERROR(__xludf.DUMMYFUNCTION("""COMPUTED_VALUE"""),"WA ONLY, OWNER CONTACT ONLY")</f>
        <v>WA ONLY, OWNER CONTACT ONLY</v>
      </c>
      <c r="P25" s="1" t="str">
        <f>IFERROR(__xludf.DUMMYFUNCTION("""COMPUTED_VALUE"""),"Madam")</f>
        <v>Madam</v>
      </c>
      <c r="Q25" s="1"/>
      <c r="R25" s="1"/>
      <c r="S25" s="1"/>
    </row>
    <row r="26">
      <c r="A26" s="2">
        <f>IFERROR(__xludf.DUMMYFUNCTION("""COMPUTED_VALUE"""),45289.737800532406)</f>
        <v>45289.7378</v>
      </c>
      <c r="B26" s="1" t="str">
        <f>IFERROR(__xludf.DUMMYFUNCTION("""COMPUTED_VALUE"""),"Aissato guniea")</f>
        <v>Aissato guniea</v>
      </c>
      <c r="C26" s="1">
        <f>IFERROR(__xludf.DUMMYFUNCTION("""COMPUTED_VALUE"""),6.22130284E8)</f>
        <v>622130284</v>
      </c>
      <c r="D26" s="1">
        <f>IFERROR(__xludf.DUMMYFUNCTION("""COMPUTED_VALUE"""),1.0)</f>
        <v>1</v>
      </c>
      <c r="E26" s="3">
        <f>IFERROR(__xludf.DUMMYFUNCTION("""COMPUTED_VALUE"""),0.08333333333575865)</f>
        <v>0.08333333334</v>
      </c>
      <c r="F26" s="1" t="str">
        <f>IFERROR(__xludf.DUMMYFUNCTION("""COMPUTED_VALUE"""),"Gold")</f>
        <v>Gold</v>
      </c>
      <c r="G26" s="1" t="str">
        <f>IFERROR(__xludf.DUMMYFUNCTION("""COMPUTED_VALUE"""),"Bhumika ")</f>
        <v>Bhumika </v>
      </c>
      <c r="H26" s="1"/>
      <c r="I26" s="1" t="str">
        <f>IFERROR(__xludf.DUMMYFUNCTION("""COMPUTED_VALUE"""),"To pair of chain selecte and ho to home discuss with family and visit in the store after 2 ya 3 days")</f>
        <v>To pair of chain selecte and ho to home discuss with family and visit in the store after 2 ya 3 days</v>
      </c>
      <c r="J26" s="1" t="str">
        <f>IFERROR(__xludf.DUMMYFUNCTION("""COMPUTED_VALUE"""),"Not interested ")</f>
        <v>Not interested </v>
      </c>
      <c r="K26" s="3">
        <f>IFERROR(__xludf.DUMMYFUNCTION("""COMPUTED_VALUE"""),0.14583333333575865)</f>
        <v>0.1458333333</v>
      </c>
      <c r="L26" s="1" t="str">
        <f>IFERROR(__xludf.DUMMYFUNCTION("""COMPUTED_VALUE"""),"Yes")</f>
        <v>Yes</v>
      </c>
      <c r="M26" s="1" t="str">
        <f>IFERROR(__xludf.DUMMYFUNCTION("""COMPUTED_VALUE"""),"Feedback giving after Purchasing ")</f>
        <v>Feedback giving after Purchasing </v>
      </c>
      <c r="N26" s="1" t="str">
        <f>IFERROR(__xludf.DUMMYFUNCTION("""COMPUTED_VALUE"""),"Noy use")</f>
        <v>Noy use</v>
      </c>
      <c r="O26" s="1" t="str">
        <f>IFERROR(__xludf.DUMMYFUNCTION("""COMPUTED_VALUE"""),"WA ONLY")</f>
        <v>WA ONLY</v>
      </c>
      <c r="P26" s="1" t="str">
        <f>IFERROR(__xludf.DUMMYFUNCTION("""COMPUTED_VALUE"""),"Madam")</f>
        <v>Madam</v>
      </c>
      <c r="Q26" s="1"/>
      <c r="R26" s="1"/>
      <c r="S26" s="1"/>
    </row>
    <row r="27">
      <c r="A27" s="2">
        <f>IFERROR(__xludf.DUMMYFUNCTION("""COMPUTED_VALUE"""),45289.74173136574)</f>
        <v>45289.74173</v>
      </c>
      <c r="B27" s="1" t="str">
        <f>IFERROR(__xludf.DUMMYFUNCTION("""COMPUTED_VALUE"""),"Naresh")</f>
        <v>Naresh</v>
      </c>
      <c r="C27" s="1">
        <f>IFERROR(__xludf.DUMMYFUNCTION("""COMPUTED_VALUE"""),7.011729202E9)</f>
        <v>7011729202</v>
      </c>
      <c r="D27" s="1">
        <f>IFERROR(__xludf.DUMMYFUNCTION("""COMPUTED_VALUE"""),1.0)</f>
        <v>1</v>
      </c>
      <c r="E27" s="3">
        <f>IFERROR(__xludf.DUMMYFUNCTION("""COMPUTED_VALUE"""),0.15833333333284827)</f>
        <v>0.1583333333</v>
      </c>
      <c r="F27" s="1" t="str">
        <f>IFERROR(__xludf.DUMMYFUNCTION("""COMPUTED_VALUE"""),"Antic")</f>
        <v>Antic</v>
      </c>
      <c r="G27" s="1" t="str">
        <f>IFERROR(__xludf.DUMMYFUNCTION("""COMPUTED_VALUE"""),"Chhaya")</f>
        <v>Chhaya</v>
      </c>
      <c r="H27" s="1"/>
      <c r="I27" s="1" t="str">
        <f>IFERROR(__xludf.DUMMYFUNCTION("""COMPUTED_VALUE"""),"Discuss with family and visit the store than purchase")</f>
        <v>Discuss with family and visit the store than purchase</v>
      </c>
      <c r="J27" s="1" t="str">
        <f>IFERROR(__xludf.DUMMYFUNCTION("""COMPUTED_VALUE"""),"Not interested ")</f>
        <v>Not interested </v>
      </c>
      <c r="K27" s="3">
        <f>IFERROR(__xludf.DUMMYFUNCTION("""COMPUTED_VALUE"""),0.20833333333575865)</f>
        <v>0.2083333333</v>
      </c>
      <c r="L27" s="1" t="str">
        <f>IFERROR(__xludf.DUMMYFUNCTION("""COMPUTED_VALUE"""),"Yes")</f>
        <v>Yes</v>
      </c>
      <c r="M27" s="1" t="str">
        <f>IFERROR(__xludf.DUMMYFUNCTION("""COMPUTED_VALUE"""),"Customer give the feedback after purchasing ")</f>
        <v>Customer give the feedback after purchasing </v>
      </c>
      <c r="N27" s="1" t="str">
        <f>IFERROR(__xludf.DUMMYFUNCTION("""COMPUTED_VALUE"""),"Not use")</f>
        <v>Not use</v>
      </c>
      <c r="O27" s="1" t="str">
        <f>IFERROR(__xludf.DUMMYFUNCTION("""COMPUTED_VALUE"""),"WA ONLY")</f>
        <v>WA ONLY</v>
      </c>
      <c r="P27" s="1" t="str">
        <f>IFERROR(__xludf.DUMMYFUNCTION("""COMPUTED_VALUE"""),"Sir")</f>
        <v>Sir</v>
      </c>
      <c r="Q27" s="1"/>
      <c r="R27" s="1"/>
      <c r="S27" s="1"/>
    </row>
    <row r="28">
      <c r="A28" s="2">
        <f>IFERROR(__xludf.DUMMYFUNCTION("""COMPUTED_VALUE"""),45289.74856206018)</f>
        <v>45289.74856</v>
      </c>
      <c r="B28" s="1" t="str">
        <f>IFERROR(__xludf.DUMMYFUNCTION("""COMPUTED_VALUE"""),"Nikita")</f>
        <v>Nikita</v>
      </c>
      <c r="C28" s="1">
        <f>IFERROR(__xludf.DUMMYFUNCTION("""COMPUTED_VALUE"""),8.860590814E9)</f>
        <v>8860590814</v>
      </c>
      <c r="D28" s="1">
        <f>IFERROR(__xludf.DUMMYFUNCTION("""COMPUTED_VALUE"""),2.0)</f>
        <v>2</v>
      </c>
      <c r="E28" s="3">
        <f>IFERROR(__xludf.DUMMYFUNCTION("""COMPUTED_VALUE"""),0.20833333333575865)</f>
        <v>0.2083333333</v>
      </c>
      <c r="F28" s="1" t="str">
        <f>IFERROR(__xludf.DUMMYFUNCTION("""COMPUTED_VALUE"""),"Gold")</f>
        <v>Gold</v>
      </c>
      <c r="G28" s="1" t="str">
        <f>IFERROR(__xludf.DUMMYFUNCTION("""COMPUTED_VALUE"""),"Chhaya mansa")</f>
        <v>Chhaya mansa</v>
      </c>
      <c r="H28" s="1"/>
      <c r="I28" s="1" t="str">
        <f>IFERROR(__xludf.DUMMYFUNCTION("""COMPUTED_VALUE"""),"Customer will be discussed &amp; visit store ")</f>
        <v>Customer will be discussed &amp; visit store </v>
      </c>
      <c r="J28" s="1"/>
      <c r="K28" s="3">
        <f>IFERROR(__xludf.DUMMYFUNCTION("""COMPUTED_VALUE"""),0.22222222221898846)</f>
        <v>0.2222222222</v>
      </c>
      <c r="L28" s="1" t="str">
        <f>IFERROR(__xludf.DUMMYFUNCTION("""COMPUTED_VALUE"""),"Yes")</f>
        <v>Yes</v>
      </c>
      <c r="M28" s="1"/>
      <c r="N28" s="1"/>
      <c r="O28" s="1" t="str">
        <f>IFERROR(__xludf.DUMMYFUNCTION("""COMPUTED_VALUE"""),"WA ONLY")</f>
        <v>WA ONLY</v>
      </c>
      <c r="P28" s="1" t="str">
        <f>IFERROR(__xludf.DUMMYFUNCTION("""COMPUTED_VALUE"""),"Sir, Madam")</f>
        <v>Sir, Madam</v>
      </c>
      <c r="Q28" s="1"/>
      <c r="R28" s="1"/>
      <c r="S28" s="1"/>
    </row>
    <row r="29">
      <c r="A29" s="2">
        <f>IFERROR(__xludf.DUMMYFUNCTION("""COMPUTED_VALUE"""),45289.75105357639)</f>
        <v>45289.75105</v>
      </c>
      <c r="B29" s="1" t="str">
        <f>IFERROR(__xludf.DUMMYFUNCTION("""COMPUTED_VALUE"""),"Reha jain")</f>
        <v>Reha jain</v>
      </c>
      <c r="C29" s="1">
        <f>IFERROR(__xludf.DUMMYFUNCTION("""COMPUTED_VALUE"""),8.860590814E9)</f>
        <v>8860590814</v>
      </c>
      <c r="D29" s="1">
        <f>IFERROR(__xludf.DUMMYFUNCTION("""COMPUTED_VALUE"""),2.0)</f>
        <v>2</v>
      </c>
      <c r="E29" s="3">
        <f>IFERROR(__xludf.DUMMYFUNCTION("""COMPUTED_VALUE"""),0.20833333333575865)</f>
        <v>0.2083333333</v>
      </c>
      <c r="F29" s="1" t="str">
        <f>IFERROR(__xludf.DUMMYFUNCTION("""COMPUTED_VALUE"""),"Diamond ")</f>
        <v>Diamond </v>
      </c>
      <c r="G29" s="1" t="str">
        <f>IFERROR(__xludf.DUMMYFUNCTION("""COMPUTED_VALUE"""),"Reema")</f>
        <v>Reema</v>
      </c>
      <c r="H29" s="1"/>
      <c r="I29" s="1" t="str">
        <f>IFERROR(__xludf.DUMMYFUNCTION("""COMPUTED_VALUE"""),"2 diamond ring order ")</f>
        <v>2 diamond ring order </v>
      </c>
      <c r="J29" s="1"/>
      <c r="K29" s="3">
        <f>IFERROR(__xludf.DUMMYFUNCTION("""COMPUTED_VALUE"""),0.2444444444408873)</f>
        <v>0.2444444444</v>
      </c>
      <c r="L29" s="1" t="str">
        <f>IFERROR(__xludf.DUMMYFUNCTION("""COMPUTED_VALUE"""),"No")</f>
        <v>No</v>
      </c>
      <c r="M29" s="1" t="str">
        <f>IFERROR(__xludf.DUMMYFUNCTION("""COMPUTED_VALUE"""),"Yes")</f>
        <v>Yes</v>
      </c>
      <c r="N29" s="1" t="str">
        <f>IFERROR(__xludf.DUMMYFUNCTION("""COMPUTED_VALUE"""),"Yes")</f>
        <v>Yes</v>
      </c>
      <c r="O29" s="1" t="str">
        <f>IFERROR(__xludf.DUMMYFUNCTION("""COMPUTED_VALUE"""),"WA ONLY")</f>
        <v>WA ONLY</v>
      </c>
      <c r="P29" s="1" t="str">
        <f>IFERROR(__xludf.DUMMYFUNCTION("""COMPUTED_VALUE"""),"Sir, Madam")</f>
        <v>Sir, Madam</v>
      </c>
      <c r="Q29" s="1"/>
      <c r="R29" s="1"/>
      <c r="S29" s="1"/>
    </row>
    <row r="30">
      <c r="A30" s="2">
        <f>IFERROR(__xludf.DUMMYFUNCTION("""COMPUTED_VALUE"""),45289.78883543982)</f>
        <v>45289.78884</v>
      </c>
      <c r="B30" s="1" t="str">
        <f>IFERROR(__xludf.DUMMYFUNCTION("""COMPUTED_VALUE"""),"Priya")</f>
        <v>Priya</v>
      </c>
      <c r="C30" s="1">
        <f>IFERROR(__xludf.DUMMYFUNCTION("""COMPUTED_VALUE"""),9.650745331E9)</f>
        <v>9650745331</v>
      </c>
      <c r="D30" s="1">
        <f>IFERROR(__xludf.DUMMYFUNCTION("""COMPUTED_VALUE"""),3.0)</f>
        <v>3</v>
      </c>
      <c r="E30" s="3">
        <f>IFERROR(__xludf.DUMMYFUNCTION("""COMPUTED_VALUE"""),0.2506944444467081)</f>
        <v>0.2506944444</v>
      </c>
      <c r="F30" s="1" t="str">
        <f>IFERROR(__xludf.DUMMYFUNCTION("""COMPUTED_VALUE"""),"Diamond ")</f>
        <v>Diamond </v>
      </c>
      <c r="G30" s="1" t="str">
        <f>IFERROR(__xludf.DUMMYFUNCTION("""COMPUTED_VALUE"""),"Reema")</f>
        <v>Reema</v>
      </c>
      <c r="H30" s="1"/>
      <c r="I30" s="1" t="str">
        <f>IFERROR(__xludf.DUMMYFUNCTION("""COMPUTED_VALUE"""),"Visit the store after 2 ya 3 days")</f>
        <v>Visit the store after 2 ya 3 days</v>
      </c>
      <c r="J30" s="1" t="str">
        <f>IFERROR(__xludf.DUMMYFUNCTION("""COMPUTED_VALUE"""),"Already done")</f>
        <v>Already done</v>
      </c>
      <c r="K30" s="3">
        <f>IFERROR(__xludf.DUMMYFUNCTION("""COMPUTED_VALUE"""),0.2874999999985448)</f>
        <v>0.2875</v>
      </c>
      <c r="L30" s="1" t="str">
        <f>IFERROR(__xludf.DUMMYFUNCTION("""COMPUTED_VALUE"""),"Yes")</f>
        <v>Yes</v>
      </c>
      <c r="M30" s="1" t="str">
        <f>IFERROR(__xludf.DUMMYFUNCTION("""COMPUTED_VALUE"""),"Already done")</f>
        <v>Already done</v>
      </c>
      <c r="N30" s="1" t="str">
        <f>IFERROR(__xludf.DUMMYFUNCTION("""COMPUTED_VALUE"""),"Already done")</f>
        <v>Already done</v>
      </c>
      <c r="O30" s="1" t="str">
        <f>IFERROR(__xludf.DUMMYFUNCTION("""COMPUTED_VALUE"""),"WA ONLY")</f>
        <v>WA ONLY</v>
      </c>
      <c r="P30" s="1" t="str">
        <f>IFERROR(__xludf.DUMMYFUNCTION("""COMPUTED_VALUE"""),"Madam")</f>
        <v>Madam</v>
      </c>
      <c r="Q30" s="1"/>
      <c r="R30" s="1"/>
      <c r="S30" s="1"/>
    </row>
    <row r="31">
      <c r="A31" s="2">
        <f>IFERROR(__xludf.DUMMYFUNCTION("""COMPUTED_VALUE"""),45290.53474510417)</f>
        <v>45290.53475</v>
      </c>
      <c r="B31" s="1" t="str">
        <f>IFERROR(__xludf.DUMMYFUNCTION("""COMPUTED_VALUE"""),"Nada rku")</f>
        <v>Nada rku</v>
      </c>
      <c r="C31" s="1">
        <f>IFERROR(__xludf.DUMMYFUNCTION("""COMPUTED_VALUE"""),8.974251308E9)</f>
        <v>8974251308</v>
      </c>
      <c r="D31" s="1">
        <f>IFERROR(__xludf.DUMMYFUNCTION("""COMPUTED_VALUE"""),1.0)</f>
        <v>1</v>
      </c>
      <c r="E31" s="3">
        <f>IFERROR(__xludf.DUMMYFUNCTION("""COMPUTED_VALUE"""),0.48958333333575865)</f>
        <v>0.4895833333</v>
      </c>
      <c r="F31" s="1" t="str">
        <f>IFERROR(__xludf.DUMMYFUNCTION("""COMPUTED_VALUE"""),"Diamond ")</f>
        <v>Diamond </v>
      </c>
      <c r="G31" s="1" t="str">
        <f>IFERROR(__xludf.DUMMYFUNCTION("""COMPUTED_VALUE"""),"Reema")</f>
        <v>Reema</v>
      </c>
      <c r="H31" s="1" t="str">
        <f>IFERROR(__xludf.DUMMYFUNCTION("""COMPUTED_VALUE"""),"Gems stone but")</f>
        <v>Gems stone but</v>
      </c>
      <c r="I31" s="1" t="str">
        <f>IFERROR(__xludf.DUMMYFUNCTION("""COMPUTED_VALUE"""),"One pendent order diamond and gold mix")</f>
        <v>One pendent order diamond and gold mix</v>
      </c>
      <c r="J31" s="1" t="str">
        <f>IFERROR(__xludf.DUMMYFUNCTION("""COMPUTED_VALUE"""),"Not interested ")</f>
        <v>Not interested </v>
      </c>
      <c r="K31" s="3">
        <f>IFERROR(__xludf.DUMMYFUNCTION("""COMPUTED_VALUE"""),0.53125)</f>
        <v>0.53125</v>
      </c>
      <c r="L31" s="1" t="str">
        <f>IFERROR(__xludf.DUMMYFUNCTION("""COMPUTED_VALUE"""),"Yes")</f>
        <v>Yes</v>
      </c>
      <c r="M31" s="1" t="str">
        <f>IFERROR(__xludf.DUMMYFUNCTION("""COMPUTED_VALUE"""),"Yes")</f>
        <v>Yes</v>
      </c>
      <c r="N31" s="1" t="str">
        <f>IFERROR(__xludf.DUMMYFUNCTION("""COMPUTED_VALUE"""),"Yes")</f>
        <v>Yes</v>
      </c>
      <c r="O31" s="1" t="str">
        <f>IFERROR(__xludf.DUMMYFUNCTION("""COMPUTED_VALUE"""),"WA ONLY")</f>
        <v>WA ONLY</v>
      </c>
      <c r="P31" s="1" t="str">
        <f>IFERROR(__xludf.DUMMYFUNCTION("""COMPUTED_VALUE"""),"Madam")</f>
        <v>Madam</v>
      </c>
      <c r="Q31" s="1"/>
      <c r="R31" s="1"/>
      <c r="S31" s="1"/>
    </row>
    <row r="32">
      <c r="A32" s="2">
        <f>IFERROR(__xludf.DUMMYFUNCTION("""COMPUTED_VALUE"""),45290.67956762732)</f>
        <v>45290.67957</v>
      </c>
      <c r="B32" s="1" t="str">
        <f>IFERROR(__xludf.DUMMYFUNCTION("""COMPUTED_VALUE"""),"Urmil")</f>
        <v>Urmil</v>
      </c>
      <c r="C32" s="1">
        <f>IFERROR(__xludf.DUMMYFUNCTION("""COMPUTED_VALUE"""),9.81077575E9)</f>
        <v>9810775750</v>
      </c>
      <c r="D32" s="1">
        <f>IFERROR(__xludf.DUMMYFUNCTION("""COMPUTED_VALUE"""),2.0)</f>
        <v>2</v>
      </c>
      <c r="E32" s="3">
        <f>IFERROR(__xludf.DUMMYFUNCTION("""COMPUTED_VALUE"""),0.06111111110658385)</f>
        <v>0.06111111111</v>
      </c>
      <c r="F32" s="1" t="str">
        <f>IFERROR(__xludf.DUMMYFUNCTION("""COMPUTED_VALUE"""),"Antic")</f>
        <v>Antic</v>
      </c>
      <c r="G32" s="1" t="str">
        <f>IFERROR(__xludf.DUMMYFUNCTION("""COMPUTED_VALUE"""),"Chhaya")</f>
        <v>Chhaya</v>
      </c>
      <c r="H32" s="1"/>
      <c r="I32" s="1" t="str">
        <f>IFERROR(__xludf.DUMMYFUNCTION("""COMPUTED_VALUE"""),"Kundan set remaking ")</f>
        <v>Kundan set remaking </v>
      </c>
      <c r="J32" s="1" t="str">
        <f>IFERROR(__xludf.DUMMYFUNCTION("""COMPUTED_VALUE"""),"Next kitty batch will be customer start kitty")</f>
        <v>Next kitty batch will be customer start kitty</v>
      </c>
      <c r="K32" s="3">
        <f>IFERROR(__xludf.DUMMYFUNCTION("""COMPUTED_VALUE"""),0.10416666666424135)</f>
        <v>0.1041666667</v>
      </c>
      <c r="L32" s="1" t="str">
        <f>IFERROR(__xludf.DUMMYFUNCTION("""COMPUTED_VALUE"""),"Yes")</f>
        <v>Yes</v>
      </c>
      <c r="M32" s="1" t="str">
        <f>IFERROR(__xludf.DUMMYFUNCTION("""COMPUTED_VALUE"""),"Already done")</f>
        <v>Already done</v>
      </c>
      <c r="N32" s="1" t="str">
        <f>IFERROR(__xludf.DUMMYFUNCTION("""COMPUTED_VALUE"""),"Already done")</f>
        <v>Already done</v>
      </c>
      <c r="O32" s="1" t="str">
        <f>IFERROR(__xludf.DUMMYFUNCTION("""COMPUTED_VALUE"""),"WA ONLY")</f>
        <v>WA ONLY</v>
      </c>
      <c r="P32" s="1" t="str">
        <f>IFERROR(__xludf.DUMMYFUNCTION("""COMPUTED_VALUE"""),"Madam")</f>
        <v>Madam</v>
      </c>
      <c r="Q32" s="1"/>
      <c r="R32" s="1"/>
      <c r="S32" s="1"/>
    </row>
    <row r="33">
      <c r="A33" s="2">
        <f>IFERROR(__xludf.DUMMYFUNCTION("""COMPUTED_VALUE"""),45290.68137435185)</f>
        <v>45290.68137</v>
      </c>
      <c r="B33" s="1" t="str">
        <f>IFERROR(__xludf.DUMMYFUNCTION("""COMPUTED_VALUE"""),"Satish yadav")</f>
        <v>Satish yadav</v>
      </c>
      <c r="C33" s="1">
        <f>IFERROR(__xludf.DUMMYFUNCTION("""COMPUTED_VALUE"""),9.2122710187E10)</f>
        <v>92122710187</v>
      </c>
      <c r="D33" s="1">
        <f>IFERROR(__xludf.DUMMYFUNCTION("""COMPUTED_VALUE"""),1.0)</f>
        <v>1</v>
      </c>
      <c r="E33" s="3">
        <f>IFERROR(__xludf.DUMMYFUNCTION("""COMPUTED_VALUE"""),0.17083333333721384)</f>
        <v>0.1708333333</v>
      </c>
      <c r="F33" s="1" t="str">
        <f>IFERROR(__xludf.DUMMYFUNCTION("""COMPUTED_VALUE"""),"Gold")</f>
        <v>Gold</v>
      </c>
      <c r="G33" s="1" t="str">
        <f>IFERROR(__xludf.DUMMYFUNCTION("""COMPUTED_VALUE"""),"Mansa, bhumika")</f>
        <v>Mansa, bhumika</v>
      </c>
      <c r="H33" s="1"/>
      <c r="I33" s="1" t="str">
        <f>IFERROR(__xludf.DUMMYFUNCTION("""COMPUTED_VALUE"""),"Tomorrow customer visit store with wife and want gold set")</f>
        <v>Tomorrow customer visit store with wife and want gold set</v>
      </c>
      <c r="J33" s="1" t="str">
        <f>IFERROR(__xludf.DUMMYFUNCTION("""COMPUTED_VALUE"""),"Tomorrow come ")</f>
        <v>Tomorrow come </v>
      </c>
      <c r="K33" s="3">
        <f>IFERROR(__xludf.DUMMYFUNCTION("""COMPUTED_VALUE"""),0.17777777777519077)</f>
        <v>0.1777777778</v>
      </c>
      <c r="L33" s="1" t="str">
        <f>IFERROR(__xludf.DUMMYFUNCTION("""COMPUTED_VALUE"""),"Yes")</f>
        <v>Yes</v>
      </c>
      <c r="M33" s="1" t="str">
        <f>IFERROR(__xludf.DUMMYFUNCTION("""COMPUTED_VALUE"""),"Tomorrow come")</f>
        <v>Tomorrow come</v>
      </c>
      <c r="N33" s="1" t="str">
        <f>IFERROR(__xludf.DUMMYFUNCTION("""COMPUTED_VALUE"""),"Tomorrow come")</f>
        <v>Tomorrow come</v>
      </c>
      <c r="O33" s="1" t="str">
        <f>IFERROR(__xludf.DUMMYFUNCTION("""COMPUTED_VALUE"""),"WA ONLY")</f>
        <v>WA ONLY</v>
      </c>
      <c r="P33" s="1" t="str">
        <f>IFERROR(__xludf.DUMMYFUNCTION("""COMPUTED_VALUE"""),"Sir")</f>
        <v>Sir</v>
      </c>
      <c r="Q33" s="1"/>
      <c r="R33" s="1"/>
      <c r="S33" s="1"/>
    </row>
    <row r="34">
      <c r="A34" s="2">
        <f>IFERROR(__xludf.DUMMYFUNCTION("""COMPUTED_VALUE"""),45290.77260210648)</f>
        <v>45290.7726</v>
      </c>
      <c r="B34" s="1" t="str">
        <f>IFERROR(__xludf.DUMMYFUNCTION("""COMPUTED_VALUE"""),"Deepak")</f>
        <v>Deepak</v>
      </c>
      <c r="C34" s="1">
        <f>IFERROR(__xludf.DUMMYFUNCTION("""COMPUTED_VALUE"""),9.811172888E9)</f>
        <v>9811172888</v>
      </c>
      <c r="D34" s="1">
        <f>IFERROR(__xludf.DUMMYFUNCTION("""COMPUTED_VALUE"""),1.0)</f>
        <v>1</v>
      </c>
      <c r="E34" s="3">
        <f>IFERROR(__xludf.DUMMYFUNCTION("""COMPUTED_VALUE"""),0.12638888889341615)</f>
        <v>0.1263888889</v>
      </c>
      <c r="F34" s="1" t="str">
        <f>IFERROR(__xludf.DUMMYFUNCTION("""COMPUTED_VALUE"""),"Gold,antic")</f>
        <v>Gold,antic</v>
      </c>
      <c r="G34" s="1" t="str">
        <f>IFERROR(__xludf.DUMMYFUNCTION("""COMPUTED_VALUE"""),"Bhumika,chhaya pooja,msnsa")</f>
        <v>Bhumika,chhaya pooja,msnsa</v>
      </c>
      <c r="H34" s="1"/>
      <c r="I34" s="1" t="str">
        <f>IFERROR(__xludf.DUMMYFUNCTION("""COMPUTED_VALUE"""),"Again visit")</f>
        <v>Again visit</v>
      </c>
      <c r="J34" s="1" t="str">
        <f>IFERROR(__xludf.DUMMYFUNCTION("""COMPUTED_VALUE"""),"Again visit")</f>
        <v>Again visit</v>
      </c>
      <c r="K34" s="3">
        <f>IFERROR(__xludf.DUMMYFUNCTION("""COMPUTED_VALUE"""),0.25902777777810115)</f>
        <v>0.2590277778</v>
      </c>
      <c r="L34" s="1" t="str">
        <f>IFERROR(__xludf.DUMMYFUNCTION("""COMPUTED_VALUE"""),"Yes")</f>
        <v>Yes</v>
      </c>
      <c r="M34" s="1" t="str">
        <f>IFERROR(__xludf.DUMMYFUNCTION("""COMPUTED_VALUE"""),"After purchasing")</f>
        <v>After purchasing</v>
      </c>
      <c r="N34" s="1" t="str">
        <f>IFERROR(__xludf.DUMMYFUNCTION("""COMPUTED_VALUE"""),"After purchasing")</f>
        <v>After purchasing</v>
      </c>
      <c r="O34" s="1" t="str">
        <f>IFERROR(__xludf.DUMMYFUNCTION("""COMPUTED_VALUE"""),"WA ONLY, OWNER CONTACT ONLY")</f>
        <v>WA ONLY, OWNER CONTACT ONLY</v>
      </c>
      <c r="P34" s="1" t="str">
        <f>IFERROR(__xludf.DUMMYFUNCTION("""COMPUTED_VALUE"""),"Sir")</f>
        <v>Sir</v>
      </c>
      <c r="Q34" s="1"/>
      <c r="R34" s="1"/>
      <c r="S34" s="1"/>
    </row>
    <row r="35">
      <c r="A35" s="2">
        <f>IFERROR(__xludf.DUMMYFUNCTION("""COMPUTED_VALUE"""),45290.77379936342)</f>
        <v>45290.7738</v>
      </c>
      <c r="B35" s="1" t="str">
        <f>IFERROR(__xludf.DUMMYFUNCTION("""COMPUTED_VALUE"""),"Om parkash")</f>
        <v>Om parkash</v>
      </c>
      <c r="C35" s="1">
        <f>IFERROR(__xludf.DUMMYFUNCTION("""COMPUTED_VALUE"""),9.811023449E9)</f>
        <v>9811023449</v>
      </c>
      <c r="D35" s="1">
        <f>IFERROR(__xludf.DUMMYFUNCTION("""COMPUTED_VALUE"""),1.0)</f>
        <v>1</v>
      </c>
      <c r="E35" s="3">
        <f>IFERROR(__xludf.DUMMYFUNCTION("""COMPUTED_VALUE"""),0.24513888888759539)</f>
        <v>0.2451388889</v>
      </c>
      <c r="F35" s="1" t="str">
        <f>IFERROR(__xludf.DUMMYFUNCTION("""COMPUTED_VALUE"""),"Gold")</f>
        <v>Gold</v>
      </c>
      <c r="G35" s="1"/>
      <c r="H35" s="1"/>
      <c r="I35" s="1" t="str">
        <f>IFERROR(__xludf.DUMMYFUNCTION("""COMPUTED_VALUE"""),"Balance full fill")</f>
        <v>Balance full fill</v>
      </c>
      <c r="J35" s="1" t="str">
        <f>IFERROR(__xludf.DUMMYFUNCTION("""COMPUTED_VALUE"""),"Not interested ")</f>
        <v>Not interested </v>
      </c>
      <c r="K35" s="3">
        <f>IFERROR(__xludf.DUMMYFUNCTION("""COMPUTED_VALUE"""),0.2569444444452529)</f>
        <v>0.2569444444</v>
      </c>
      <c r="L35" s="1" t="str">
        <f>IFERROR(__xludf.DUMMYFUNCTION("""COMPUTED_VALUE"""),"Yes")</f>
        <v>Yes</v>
      </c>
      <c r="M35" s="1" t="str">
        <f>IFERROR(__xludf.DUMMYFUNCTION("""COMPUTED_VALUE"""),"Already done")</f>
        <v>Already done</v>
      </c>
      <c r="N35" s="1" t="str">
        <f>IFERROR(__xludf.DUMMYFUNCTION("""COMPUTED_VALUE"""),"Already done")</f>
        <v>Already done</v>
      </c>
      <c r="O35" s="1" t="str">
        <f>IFERROR(__xludf.DUMMYFUNCTION("""COMPUTED_VALUE"""),"WA ONLY")</f>
        <v>WA ONLY</v>
      </c>
      <c r="P35" s="1" t="str">
        <f>IFERROR(__xludf.DUMMYFUNCTION("""COMPUTED_VALUE"""),"Sir")</f>
        <v>Sir</v>
      </c>
      <c r="Q35" s="1"/>
      <c r="R35" s="1"/>
      <c r="S35" s="1"/>
    </row>
    <row r="36">
      <c r="A36" s="2">
        <f>IFERROR(__xludf.DUMMYFUNCTION("""COMPUTED_VALUE"""),45290.78080778936)</f>
        <v>45290.78081</v>
      </c>
      <c r="B36" s="1" t="str">
        <f>IFERROR(__xludf.DUMMYFUNCTION("""COMPUTED_VALUE"""),"Priyanka ")</f>
        <v>Priyanka </v>
      </c>
      <c r="C36" s="1">
        <f>IFERROR(__xludf.DUMMYFUNCTION("""COMPUTED_VALUE"""),9.818668439E9)</f>
        <v>9818668439</v>
      </c>
      <c r="D36" s="1">
        <f>IFERROR(__xludf.DUMMYFUNCTION("""COMPUTED_VALUE"""),2.0)</f>
        <v>2</v>
      </c>
      <c r="E36" s="3">
        <f>IFERROR(__xludf.DUMMYFUNCTION("""COMPUTED_VALUE"""),0.24513888888759539)</f>
        <v>0.2451388889</v>
      </c>
      <c r="F36" s="1" t="str">
        <f>IFERROR(__xludf.DUMMYFUNCTION("""COMPUTED_VALUE"""),"Antic")</f>
        <v>Antic</v>
      </c>
      <c r="G36" s="1" t="str">
        <f>IFERROR(__xludf.DUMMYFUNCTION("""COMPUTED_VALUE"""),"Pooja,chhaya,seema mam")</f>
        <v>Pooja,chhaya,seema mam</v>
      </c>
      <c r="H36" s="1"/>
      <c r="I36" s="1" t="str">
        <f>IFERROR(__xludf.DUMMYFUNCTION("""COMPUTED_VALUE"""),"Aging visit")</f>
        <v>Aging visit</v>
      </c>
      <c r="J36" s="1"/>
      <c r="K36" s="3">
        <f>IFERROR(__xludf.DUMMYFUNCTION("""COMPUTED_VALUE"""),0.27986111110658385)</f>
        <v>0.2798611111</v>
      </c>
      <c r="L36" s="1" t="str">
        <f>IFERROR(__xludf.DUMMYFUNCTION("""COMPUTED_VALUE"""),"Yes")</f>
        <v>Yes</v>
      </c>
      <c r="M36" s="1" t="str">
        <f>IFERROR(__xludf.DUMMYFUNCTION("""COMPUTED_VALUE"""),"Again visit")</f>
        <v>Again visit</v>
      </c>
      <c r="N36" s="1" t="str">
        <f>IFERROR(__xludf.DUMMYFUNCTION("""COMPUTED_VALUE"""),"Not use")</f>
        <v>Not use</v>
      </c>
      <c r="O36" s="1" t="str">
        <f>IFERROR(__xludf.DUMMYFUNCTION("""COMPUTED_VALUE"""),"WA ONLY, OWNER CONTACT ONLY")</f>
        <v>WA ONLY, OWNER CONTACT ONLY</v>
      </c>
      <c r="P36" s="1" t="str">
        <f>IFERROR(__xludf.DUMMYFUNCTION("""COMPUTED_VALUE"""),"Madam")</f>
        <v>Madam</v>
      </c>
      <c r="Q36" s="1"/>
      <c r="R36" s="1"/>
      <c r="S36" s="1"/>
    </row>
    <row r="37">
      <c r="A37" s="2">
        <f>IFERROR(__xludf.DUMMYFUNCTION("""COMPUTED_VALUE"""),45290.81456275463)</f>
        <v>45290.81456</v>
      </c>
      <c r="B37" s="1" t="str">
        <f>IFERROR(__xludf.DUMMYFUNCTION("""COMPUTED_VALUE"""),"Atoshi")</f>
        <v>Atoshi</v>
      </c>
      <c r="C37" s="1">
        <f>IFERROR(__xludf.DUMMYFUNCTION("""COMPUTED_VALUE"""),8.700173741E9)</f>
        <v>8700173741</v>
      </c>
      <c r="D37" s="1">
        <f>IFERROR(__xludf.DUMMYFUNCTION("""COMPUTED_VALUE"""),2.0)</f>
        <v>2</v>
      </c>
      <c r="E37" s="3">
        <f>IFERROR(__xludf.DUMMYFUNCTION("""COMPUTED_VALUE"""),0.29166666666424135)</f>
        <v>0.2916666667</v>
      </c>
      <c r="F37" s="1" t="str">
        <f>IFERROR(__xludf.DUMMYFUNCTION("""COMPUTED_VALUE"""),"Gold")</f>
        <v>Gold</v>
      </c>
      <c r="G37" s="1" t="str">
        <f>IFERROR(__xludf.DUMMYFUNCTION("""COMPUTED_VALUE"""),"Bhumika,mansa")</f>
        <v>Bhumika,mansa</v>
      </c>
      <c r="H37" s="1" t="str">
        <f>IFERROR(__xludf.DUMMYFUNCTION("""COMPUTED_VALUE"""),"Silver coin 20 gm")</f>
        <v>Silver coin 20 gm</v>
      </c>
      <c r="I37" s="1"/>
      <c r="J37" s="1" t="str">
        <f>IFERROR(__xludf.DUMMYFUNCTION("""COMPUTED_VALUE"""),"Already done")</f>
        <v>Already done</v>
      </c>
      <c r="K37" s="3">
        <f>IFERROR(__xludf.DUMMYFUNCTION("""COMPUTED_VALUE"""),0.3194444444452529)</f>
        <v>0.3194444444</v>
      </c>
      <c r="L37" s="1" t="str">
        <f>IFERROR(__xludf.DUMMYFUNCTION("""COMPUTED_VALUE"""),"Yes")</f>
        <v>Yes</v>
      </c>
      <c r="M37" s="1" t="str">
        <f>IFERROR(__xludf.DUMMYFUNCTION("""COMPUTED_VALUE"""),"Already done")</f>
        <v>Already done</v>
      </c>
      <c r="N37" s="1" t="str">
        <f>IFERROR(__xludf.DUMMYFUNCTION("""COMPUTED_VALUE"""),"Already done")</f>
        <v>Already done</v>
      </c>
      <c r="O37" s="1" t="str">
        <f>IFERROR(__xludf.DUMMYFUNCTION("""COMPUTED_VALUE"""),"WA ONLY")</f>
        <v>WA ONLY</v>
      </c>
      <c r="P37" s="1" t="str">
        <f>IFERROR(__xludf.DUMMYFUNCTION("""COMPUTED_VALUE"""),"Madam")</f>
        <v>Madam</v>
      </c>
      <c r="Q37" s="1"/>
      <c r="R37" s="1"/>
      <c r="S37" s="1"/>
    </row>
    <row r="38">
      <c r="A38" s="2">
        <f>IFERROR(__xludf.DUMMYFUNCTION("""COMPUTED_VALUE"""),45291.69340123843)</f>
        <v>45291.6934</v>
      </c>
      <c r="B38" s="1" t="str">
        <f>IFERROR(__xludf.DUMMYFUNCTION("""COMPUTED_VALUE"""),"Mini")</f>
        <v>Mini</v>
      </c>
      <c r="C38" s="1">
        <f>IFERROR(__xludf.DUMMYFUNCTION("""COMPUTED_VALUE"""),9.818926153E9)</f>
        <v>9818926153</v>
      </c>
      <c r="D38" s="1">
        <f>IFERROR(__xludf.DUMMYFUNCTION("""COMPUTED_VALUE"""),1.0)</f>
        <v>1</v>
      </c>
      <c r="E38" s="3">
        <f>IFERROR(__xludf.DUMMYFUNCTION("""COMPUTED_VALUE"""),0.5263888888875954)</f>
        <v>0.5263888889</v>
      </c>
      <c r="F38" s="1" t="str">
        <f>IFERROR(__xludf.DUMMYFUNCTION("""COMPUTED_VALUE"""),"Gold")</f>
        <v>Gold</v>
      </c>
      <c r="G38" s="1" t="str">
        <f>IFERROR(__xludf.DUMMYFUNCTION("""COMPUTED_VALUE"""),"Bhumika")</f>
        <v>Bhumika</v>
      </c>
      <c r="H38" s="1"/>
      <c r="I38" s="1" t="str">
        <f>IFERROR(__xludf.DUMMYFUNCTION("""COMPUTED_VALUE"""),"Repair diamond set")</f>
        <v>Repair diamond set</v>
      </c>
      <c r="J38" s="1" t="str">
        <f>IFERROR(__xludf.DUMMYFUNCTION("""COMPUTED_VALUE"""),"Not interested ")</f>
        <v>Not interested </v>
      </c>
      <c r="K38" s="3">
        <f>IFERROR(__xludf.DUMMYFUNCTION("""COMPUTED_VALUE"""),0.11111111110949423)</f>
        <v>0.1111111111</v>
      </c>
      <c r="L38" s="1" t="str">
        <f>IFERROR(__xludf.DUMMYFUNCTION("""COMPUTED_VALUE"""),"Yes")</f>
        <v>Yes</v>
      </c>
      <c r="M38" s="1" t="str">
        <f>IFERROR(__xludf.DUMMYFUNCTION("""COMPUTED_VALUE"""),"Already done")</f>
        <v>Already done</v>
      </c>
      <c r="N38" s="1" t="str">
        <f>IFERROR(__xludf.DUMMYFUNCTION("""COMPUTED_VALUE"""),"Already done")</f>
        <v>Already done</v>
      </c>
      <c r="O38" s="1" t="str">
        <f>IFERROR(__xludf.DUMMYFUNCTION("""COMPUTED_VALUE"""),"WA ONLY")</f>
        <v>WA ONLY</v>
      </c>
      <c r="P38" s="1" t="str">
        <f>IFERROR(__xludf.DUMMYFUNCTION("""COMPUTED_VALUE"""),"Madam")</f>
        <v>Madam</v>
      </c>
      <c r="Q38" s="1"/>
      <c r="R38" s="1"/>
      <c r="S38" s="1"/>
    </row>
    <row r="39">
      <c r="A39" s="2">
        <f>IFERROR(__xludf.DUMMYFUNCTION("""COMPUTED_VALUE"""),45291.69438215278)</f>
        <v>45291.69438</v>
      </c>
      <c r="B39" s="1" t="str">
        <f>IFERROR(__xludf.DUMMYFUNCTION("""COMPUTED_VALUE"""),"Ritu rathi")</f>
        <v>Ritu rathi</v>
      </c>
      <c r="C39" s="1">
        <f>IFERROR(__xludf.DUMMYFUNCTION("""COMPUTED_VALUE"""),9.81880272E9)</f>
        <v>9818802720</v>
      </c>
      <c r="D39" s="1">
        <f>IFERROR(__xludf.DUMMYFUNCTION("""COMPUTED_VALUE"""),1.0)</f>
        <v>1</v>
      </c>
      <c r="E39" s="3">
        <f>IFERROR(__xludf.DUMMYFUNCTION("""COMPUTED_VALUE"""),0.06041666666715173)</f>
        <v>0.06041666667</v>
      </c>
      <c r="F39" s="1" t="str">
        <f>IFERROR(__xludf.DUMMYFUNCTION("""COMPUTED_VALUE"""),"Diamond ")</f>
        <v>Diamond </v>
      </c>
      <c r="G39" s="1" t="str">
        <f>IFERROR(__xludf.DUMMYFUNCTION("""COMPUTED_VALUE"""),"Reena")</f>
        <v>Reena</v>
      </c>
      <c r="H39" s="1"/>
      <c r="I39" s="1" t="str">
        <f>IFERROR(__xludf.DUMMYFUNCTION("""COMPUTED_VALUE"""),"One diamond ring order ")</f>
        <v>One diamond ring order </v>
      </c>
      <c r="J39" s="1" t="str">
        <f>IFERROR(__xludf.DUMMYFUNCTION("""COMPUTED_VALUE"""),"Already taken")</f>
        <v>Already taken</v>
      </c>
      <c r="K39" s="3">
        <f>IFERROR(__xludf.DUMMYFUNCTION("""COMPUTED_VALUE"""),0.08958333333430346)</f>
        <v>0.08958333333</v>
      </c>
      <c r="L39" s="1" t="str">
        <f>IFERROR(__xludf.DUMMYFUNCTION("""COMPUTED_VALUE"""),"Yes")</f>
        <v>Yes</v>
      </c>
      <c r="M39" s="1" t="str">
        <f>IFERROR(__xludf.DUMMYFUNCTION("""COMPUTED_VALUE"""),"Already done")</f>
        <v>Already done</v>
      </c>
      <c r="N39" s="1" t="str">
        <f>IFERROR(__xludf.DUMMYFUNCTION("""COMPUTED_VALUE"""),"Already done")</f>
        <v>Already done</v>
      </c>
      <c r="O39" s="1" t="str">
        <f>IFERROR(__xludf.DUMMYFUNCTION("""COMPUTED_VALUE"""),"WA ONLY, OWNER CONTACT ONLY")</f>
        <v>WA ONLY, OWNER CONTACT ONLY</v>
      </c>
      <c r="P39" s="1" t="str">
        <f>IFERROR(__xludf.DUMMYFUNCTION("""COMPUTED_VALUE"""),"Sir, Madam")</f>
        <v>Sir, Madam</v>
      </c>
      <c r="Q39" s="1"/>
      <c r="R39" s="1"/>
      <c r="S39" s="1"/>
    </row>
    <row r="40">
      <c r="A40" s="2">
        <f>IFERROR(__xludf.DUMMYFUNCTION("""COMPUTED_VALUE"""),45291.69560637731)</f>
        <v>45291.69561</v>
      </c>
      <c r="B40" s="1" t="str">
        <f>IFERROR(__xludf.DUMMYFUNCTION("""COMPUTED_VALUE"""),"Vinita")</f>
        <v>Vinita</v>
      </c>
      <c r="C40" s="1">
        <f>IFERROR(__xludf.DUMMYFUNCTION("""COMPUTED_VALUE"""),9.811488999E9)</f>
        <v>9811488999</v>
      </c>
      <c r="D40" s="1">
        <f>IFERROR(__xludf.DUMMYFUNCTION("""COMPUTED_VALUE"""),2.0)</f>
        <v>2</v>
      </c>
      <c r="E40" s="3">
        <f>IFERROR(__xludf.DUMMYFUNCTION("""COMPUTED_VALUE"""),0.13611111111094942)</f>
        <v>0.1361111111</v>
      </c>
      <c r="F40" s="1" t="str">
        <f>IFERROR(__xludf.DUMMYFUNCTION("""COMPUTED_VALUE"""),"Gold")</f>
        <v>Gold</v>
      </c>
      <c r="G40" s="1" t="str">
        <f>IFERROR(__xludf.DUMMYFUNCTION("""COMPUTED_VALUE"""),"Bhumika ")</f>
        <v>Bhumika </v>
      </c>
      <c r="H40" s="1"/>
      <c r="I40" s="1" t="str">
        <f>IFERROR(__xludf.DUMMYFUNCTION("""COMPUTED_VALUE"""),"Polki set order ")</f>
        <v>Polki set order </v>
      </c>
      <c r="J40" s="1"/>
      <c r="K40" s="3">
        <f>IFERROR(__xludf.DUMMYFUNCTION("""COMPUTED_VALUE"""),0.15902777777955635)</f>
        <v>0.1590277778</v>
      </c>
      <c r="L40" s="1" t="str">
        <f>IFERROR(__xludf.DUMMYFUNCTION("""COMPUTED_VALUE"""),"Yes")</f>
        <v>Yes</v>
      </c>
      <c r="M40" s="1" t="str">
        <f>IFERROR(__xludf.DUMMYFUNCTION("""COMPUTED_VALUE"""),"Already done")</f>
        <v>Already done</v>
      </c>
      <c r="N40" s="1" t="str">
        <f>IFERROR(__xludf.DUMMYFUNCTION("""COMPUTED_VALUE"""),"Already done")</f>
        <v>Already done</v>
      </c>
      <c r="O40" s="1" t="str">
        <f>IFERROR(__xludf.DUMMYFUNCTION("""COMPUTED_VALUE"""),"WA ONLY, OWNER CONTACT ONLY")</f>
        <v>WA ONLY, OWNER CONTACT ONLY</v>
      </c>
      <c r="P40" s="1" t="str">
        <f>IFERROR(__xludf.DUMMYFUNCTION("""COMPUTED_VALUE"""),"Madam")</f>
        <v>Madam</v>
      </c>
      <c r="Q40" s="1"/>
      <c r="R40" s="1"/>
      <c r="S40" s="1"/>
    </row>
    <row r="41">
      <c r="A41" s="2">
        <f>IFERROR(__xludf.DUMMYFUNCTION("""COMPUTED_VALUE"""),45291.77541819445)</f>
        <v>45291.77542</v>
      </c>
      <c r="B41" s="1" t="str">
        <f>IFERROR(__xludf.DUMMYFUNCTION("""COMPUTED_VALUE"""),"Tushar")</f>
        <v>Tushar</v>
      </c>
      <c r="C41" s="1">
        <f>IFERROR(__xludf.DUMMYFUNCTION("""COMPUTED_VALUE"""),9.953450909E9)</f>
        <v>9953450909</v>
      </c>
      <c r="D41" s="1">
        <f>IFERROR(__xludf.DUMMYFUNCTION("""COMPUTED_VALUE"""),1.0)</f>
        <v>1</v>
      </c>
      <c r="E41" s="3">
        <f>IFERROR(__xludf.DUMMYFUNCTION("""COMPUTED_VALUE"""),0.25347222221898846)</f>
        <v>0.2534722222</v>
      </c>
      <c r="F41" s="1" t="str">
        <f>IFERROR(__xludf.DUMMYFUNCTION("""COMPUTED_VALUE"""),"Antic")</f>
        <v>Antic</v>
      </c>
      <c r="G41" s="1" t="str">
        <f>IFERROR(__xludf.DUMMYFUNCTION("""COMPUTED_VALUE"""),"Pooja")</f>
        <v>Pooja</v>
      </c>
      <c r="H41" s="1"/>
      <c r="I41" s="1" t="str">
        <f>IFERROR(__xludf.DUMMYFUNCTION("""COMPUTED_VALUE"""),"Pic the order ")</f>
        <v>Pic the order </v>
      </c>
      <c r="J41" s="1" t="str">
        <f>IFERROR(__xludf.DUMMYFUNCTION("""COMPUTED_VALUE"""),"Not interested ")</f>
        <v>Not interested </v>
      </c>
      <c r="K41" s="3">
        <f>IFERROR(__xludf.DUMMYFUNCTION("""COMPUTED_VALUE"""),0.2743055555547471)</f>
        <v>0.2743055556</v>
      </c>
      <c r="L41" s="1" t="str">
        <f>IFERROR(__xludf.DUMMYFUNCTION("""COMPUTED_VALUE"""),"Yes")</f>
        <v>Yes</v>
      </c>
      <c r="M41" s="1" t="str">
        <f>IFERROR(__xludf.DUMMYFUNCTION("""COMPUTED_VALUE"""),"Already done")</f>
        <v>Already done</v>
      </c>
      <c r="N41" s="1" t="str">
        <f>IFERROR(__xludf.DUMMYFUNCTION("""COMPUTED_VALUE"""),"Already done")</f>
        <v>Already done</v>
      </c>
      <c r="O41" s="1" t="str">
        <f>IFERROR(__xludf.DUMMYFUNCTION("""COMPUTED_VALUE"""),"WA ONLY")</f>
        <v>WA ONLY</v>
      </c>
      <c r="P41" s="1" t="str">
        <f>IFERROR(__xludf.DUMMYFUNCTION("""COMPUTED_VALUE"""),"Sir, Madam")</f>
        <v>Sir, Madam</v>
      </c>
      <c r="Q41" s="1"/>
      <c r="R41" s="1"/>
      <c r="S41" s="1"/>
    </row>
    <row r="42">
      <c r="A42" s="2">
        <f>IFERROR(__xludf.DUMMYFUNCTION("""COMPUTED_VALUE"""),45293.78131431713)</f>
        <v>45293.78131</v>
      </c>
      <c r="B42" s="1" t="str">
        <f>IFERROR(__xludf.DUMMYFUNCTION("""COMPUTED_VALUE"""),"Nikita goel")</f>
        <v>Nikita goel</v>
      </c>
      <c r="C42" s="1">
        <f>IFERROR(__xludf.DUMMYFUNCTION("""COMPUTED_VALUE"""),9.811795829E9)</f>
        <v>9811795829</v>
      </c>
      <c r="D42" s="1">
        <f>IFERROR(__xludf.DUMMYFUNCTION("""COMPUTED_VALUE"""),3.0)</f>
        <v>3</v>
      </c>
      <c r="E42" s="3">
        <f>IFERROR(__xludf.DUMMYFUNCTION("""COMPUTED_VALUE"""),0.12638888889341615)</f>
        <v>0.1263888889</v>
      </c>
      <c r="F42" s="1" t="str">
        <f>IFERROR(__xludf.DUMMYFUNCTION("""COMPUTED_VALUE"""),"Diamond, gold")</f>
        <v>Diamond, gold</v>
      </c>
      <c r="G42" s="1" t="str">
        <f>IFERROR(__xludf.DUMMYFUNCTION("""COMPUTED_VALUE"""),"Mansa,pooja,reena")</f>
        <v>Mansa,pooja,reena</v>
      </c>
      <c r="H42" s="1" t="str">
        <f>IFERROR(__xludf.DUMMYFUNCTION("""COMPUTED_VALUE"""),"Gold tops")</f>
        <v>Gold tops</v>
      </c>
      <c r="I42" s="1" t="str">
        <f>IFERROR(__xludf.DUMMYFUNCTION("""COMPUTED_VALUE"""),"Change Diamond bangle and order gold chudi")</f>
        <v>Change Diamond bangle and order gold chudi</v>
      </c>
      <c r="J42" s="1" t="str">
        <f>IFERROR(__xludf.DUMMYFUNCTION("""COMPUTED_VALUE"""),"Not interested ")</f>
        <v>Not interested </v>
      </c>
      <c r="K42" s="3">
        <f>IFERROR(__xludf.DUMMYFUNCTION("""COMPUTED_VALUE"""),0.19652777777810115)</f>
        <v>0.1965277778</v>
      </c>
      <c r="L42" s="1" t="str">
        <f>IFERROR(__xludf.DUMMYFUNCTION("""COMPUTED_VALUE"""),"Yes")</f>
        <v>Yes</v>
      </c>
      <c r="M42" s="1" t="str">
        <f>IFERROR(__xludf.DUMMYFUNCTION("""COMPUTED_VALUE"""),"Already done")</f>
        <v>Already done</v>
      </c>
      <c r="N42" s="1" t="str">
        <f>IFERROR(__xludf.DUMMYFUNCTION("""COMPUTED_VALUE"""),"Already done")</f>
        <v>Already done</v>
      </c>
      <c r="O42" s="1" t="str">
        <f>IFERROR(__xludf.DUMMYFUNCTION("""COMPUTED_VALUE"""),"WA ONLY")</f>
        <v>WA ONLY</v>
      </c>
      <c r="P42" s="1" t="str">
        <f>IFERROR(__xludf.DUMMYFUNCTION("""COMPUTED_VALUE"""),"Sir, Madam")</f>
        <v>Sir, Madam</v>
      </c>
      <c r="Q42" s="1"/>
      <c r="R42" s="1"/>
      <c r="S42" s="1"/>
    </row>
    <row r="43">
      <c r="A43" s="2">
        <f>IFERROR(__xludf.DUMMYFUNCTION("""COMPUTED_VALUE"""),45293.782149907405)</f>
        <v>45293.78215</v>
      </c>
      <c r="B43" s="1" t="str">
        <f>IFERROR(__xludf.DUMMYFUNCTION("""COMPUTED_VALUE"""),"Sandeep")</f>
        <v>Sandeep</v>
      </c>
      <c r="C43" s="1">
        <f>IFERROR(__xludf.DUMMYFUNCTION("""COMPUTED_VALUE"""),8.860211768E9)</f>
        <v>8860211768</v>
      </c>
      <c r="D43" s="1">
        <f>IFERROR(__xludf.DUMMYFUNCTION("""COMPUTED_VALUE"""),1.0)</f>
        <v>1</v>
      </c>
      <c r="E43" s="3">
        <f>IFERROR(__xludf.DUMMYFUNCTION("""COMPUTED_VALUE"""),0.17777777777519077)</f>
        <v>0.1777777778</v>
      </c>
      <c r="F43" s="1" t="str">
        <f>IFERROR(__xludf.DUMMYFUNCTION("""COMPUTED_VALUE"""),"Antic ")</f>
        <v>Antic </v>
      </c>
      <c r="G43" s="1" t="str">
        <f>IFERROR(__xludf.DUMMYFUNCTION("""COMPUTED_VALUE"""),"Pooja")</f>
        <v>Pooja</v>
      </c>
      <c r="H43" s="1" t="str">
        <f>IFERROR(__xludf.DUMMYFUNCTION("""COMPUTED_VALUE"""),"Silver payal")</f>
        <v>Silver payal</v>
      </c>
      <c r="I43" s="1"/>
      <c r="J43" s="1" t="str">
        <f>IFERROR(__xludf.DUMMYFUNCTION("""COMPUTED_VALUE"""),"Visit again sunday")</f>
        <v>Visit again sunday</v>
      </c>
      <c r="K43" s="3">
        <f>IFERROR(__xludf.DUMMYFUNCTION("""COMPUTED_VALUE"""),0.21041666666860692)</f>
        <v>0.2104166667</v>
      </c>
      <c r="L43" s="1" t="str">
        <f>IFERROR(__xludf.DUMMYFUNCTION("""COMPUTED_VALUE"""),"Yes")</f>
        <v>Yes</v>
      </c>
      <c r="M43" s="1" t="str">
        <f>IFERROR(__xludf.DUMMYFUNCTION("""COMPUTED_VALUE"""),"Yes")</f>
        <v>Yes</v>
      </c>
      <c r="N43" s="1" t="str">
        <f>IFERROR(__xludf.DUMMYFUNCTION("""COMPUTED_VALUE"""),"Yes")</f>
        <v>Yes</v>
      </c>
      <c r="O43" s="1" t="str">
        <f>IFERROR(__xludf.DUMMYFUNCTION("""COMPUTED_VALUE"""),"WA ONLY")</f>
        <v>WA ONLY</v>
      </c>
      <c r="P43" s="1" t="str">
        <f>IFERROR(__xludf.DUMMYFUNCTION("""COMPUTED_VALUE"""),"Sir, Madam")</f>
        <v>Sir, Madam</v>
      </c>
      <c r="Q43" s="1"/>
      <c r="R43" s="1"/>
      <c r="S43" s="1"/>
    </row>
    <row r="44">
      <c r="A44" s="2">
        <f>IFERROR(__xludf.DUMMYFUNCTION("""COMPUTED_VALUE"""),45294.67071131944)</f>
        <v>45294.67071</v>
      </c>
      <c r="B44" s="1" t="str">
        <f>IFERROR(__xludf.DUMMYFUNCTION("""COMPUTED_VALUE"""),"Shallja")</f>
        <v>Shallja</v>
      </c>
      <c r="C44" s="1">
        <f>IFERROR(__xludf.DUMMYFUNCTION("""COMPUTED_VALUE"""),8.826313399E9)</f>
        <v>8826313399</v>
      </c>
      <c r="D44" s="1">
        <f>IFERROR(__xludf.DUMMYFUNCTION("""COMPUTED_VALUE"""),3.0)</f>
        <v>3</v>
      </c>
      <c r="E44" s="3">
        <f>IFERROR(__xludf.DUMMYFUNCTION("""COMPUTED_VALUE"""),0.09027777778101154)</f>
        <v>0.09027777778</v>
      </c>
      <c r="F44" s="1" t="str">
        <f>IFERROR(__xludf.DUMMYFUNCTION("""COMPUTED_VALUE"""),"Diamond ")</f>
        <v>Diamond </v>
      </c>
      <c r="G44" s="1" t="str">
        <f>IFERROR(__xludf.DUMMYFUNCTION("""COMPUTED_VALUE"""),"Reena")</f>
        <v>Reena</v>
      </c>
      <c r="H44" s="1"/>
      <c r="I44" s="1" t="str">
        <f>IFERROR(__xludf.DUMMYFUNCTION("""COMPUTED_VALUE"""),"Visit again ")</f>
        <v>Visit again </v>
      </c>
      <c r="J44" s="1" t="str">
        <f>IFERROR(__xludf.DUMMYFUNCTION("""COMPUTED_VALUE"""),"Visit again ")</f>
        <v>Visit again </v>
      </c>
      <c r="K44" s="3">
        <f>IFERROR(__xludf.DUMMYFUNCTION("""COMPUTED_VALUE"""),0.13541666666424135)</f>
        <v>0.1354166667</v>
      </c>
      <c r="L44" s="1" t="str">
        <f>IFERROR(__xludf.DUMMYFUNCTION("""COMPUTED_VALUE"""),"Yes")</f>
        <v>Yes</v>
      </c>
      <c r="M44" s="1" t="str">
        <f>IFERROR(__xludf.DUMMYFUNCTION("""COMPUTED_VALUE"""),"Yes")</f>
        <v>Yes</v>
      </c>
      <c r="N44" s="1" t="str">
        <f>IFERROR(__xludf.DUMMYFUNCTION("""COMPUTED_VALUE"""),"Yes")</f>
        <v>Yes</v>
      </c>
      <c r="O44" s="1" t="str">
        <f>IFERROR(__xludf.DUMMYFUNCTION("""COMPUTED_VALUE"""),"WA ONLY")</f>
        <v>WA ONLY</v>
      </c>
      <c r="P44" s="1" t="str">
        <f>IFERROR(__xludf.DUMMYFUNCTION("""COMPUTED_VALUE"""),"Madam")</f>
        <v>Madam</v>
      </c>
      <c r="Q44" s="1"/>
      <c r="R44" s="1"/>
      <c r="S44" s="1"/>
    </row>
    <row r="45">
      <c r="A45" s="2">
        <f>IFERROR(__xludf.DUMMYFUNCTION("""COMPUTED_VALUE"""),45294.81035994213)</f>
        <v>45294.81036</v>
      </c>
      <c r="B45" s="1" t="str">
        <f>IFERROR(__xludf.DUMMYFUNCTION("""COMPUTED_VALUE"""),"Ranbeer kumar ")</f>
        <v>Ranbeer kumar </v>
      </c>
      <c r="C45" s="1">
        <f>IFERROR(__xludf.DUMMYFUNCTION("""COMPUTED_VALUE"""),9.810100011E9)</f>
        <v>9810100011</v>
      </c>
      <c r="D45" s="1">
        <f>IFERROR(__xludf.DUMMYFUNCTION("""COMPUTED_VALUE"""),2.0)</f>
        <v>2</v>
      </c>
      <c r="E45" s="3">
        <f>IFERROR(__xludf.DUMMYFUNCTION("""COMPUTED_VALUE"""),0.09375)</f>
        <v>0.09375</v>
      </c>
      <c r="F45" s="1" t="str">
        <f>IFERROR(__xludf.DUMMYFUNCTION("""COMPUTED_VALUE"""),"Gold")</f>
        <v>Gold</v>
      </c>
      <c r="G45" s="1" t="str">
        <f>IFERROR(__xludf.DUMMYFUNCTION("""COMPUTED_VALUE"""),"Bhumika")</f>
        <v>Bhumika</v>
      </c>
      <c r="H45" s="1"/>
      <c r="I45" s="1" t="str">
        <f>IFERROR(__xludf.DUMMYFUNCTION("""COMPUTED_VALUE"""),"Pic the order ")</f>
        <v>Pic the order </v>
      </c>
      <c r="J45" s="1" t="str">
        <f>IFERROR(__xludf.DUMMYFUNCTION("""COMPUTED_VALUE"""),"Already done")</f>
        <v>Already done</v>
      </c>
      <c r="K45" s="3">
        <f>IFERROR(__xludf.DUMMYFUNCTION("""COMPUTED_VALUE"""),0.17777777777519077)</f>
        <v>0.1777777778</v>
      </c>
      <c r="L45" s="1" t="str">
        <f>IFERROR(__xludf.DUMMYFUNCTION("""COMPUTED_VALUE"""),"Yes")</f>
        <v>Yes</v>
      </c>
      <c r="M45" s="1" t="str">
        <f>IFERROR(__xludf.DUMMYFUNCTION("""COMPUTED_VALUE"""),"Already done")</f>
        <v>Already done</v>
      </c>
      <c r="N45" s="1" t="str">
        <f>IFERROR(__xludf.DUMMYFUNCTION("""COMPUTED_VALUE"""),"Already done")</f>
        <v>Already done</v>
      </c>
      <c r="O45" s="1" t="str">
        <f>IFERROR(__xludf.DUMMYFUNCTION("""COMPUTED_VALUE"""),"WA ONLY")</f>
        <v>WA ONLY</v>
      </c>
      <c r="P45" s="1" t="str">
        <f>IFERROR(__xludf.DUMMYFUNCTION("""COMPUTED_VALUE"""),"Madam")</f>
        <v>Madam</v>
      </c>
      <c r="Q45" s="1"/>
      <c r="R45" s="1"/>
      <c r="S45" s="1"/>
    </row>
    <row r="46">
      <c r="A46" s="2">
        <f>IFERROR(__xludf.DUMMYFUNCTION("""COMPUTED_VALUE"""),45295.67432399305)</f>
        <v>45295.67432</v>
      </c>
      <c r="B46" s="1" t="str">
        <f>IFERROR(__xludf.DUMMYFUNCTION("""COMPUTED_VALUE"""),"Subhash")</f>
        <v>Subhash</v>
      </c>
      <c r="C46" s="1">
        <f>IFERROR(__xludf.DUMMYFUNCTION("""COMPUTED_VALUE"""),8.920285128E9)</f>
        <v>8920285128</v>
      </c>
      <c r="D46" s="1">
        <f>IFERROR(__xludf.DUMMYFUNCTION("""COMPUTED_VALUE"""),1.0)</f>
        <v>1</v>
      </c>
      <c r="E46" s="3">
        <f>IFERROR(__xludf.DUMMYFUNCTION("""COMPUTED_VALUE"""),0.04444444444379769)</f>
        <v>0.04444444444</v>
      </c>
      <c r="F46" s="1" t="str">
        <f>IFERROR(__xludf.DUMMYFUNCTION("""COMPUTED_VALUE"""),"Gold")</f>
        <v>Gold</v>
      </c>
      <c r="G46" s="1" t="str">
        <f>IFERROR(__xludf.DUMMYFUNCTION("""COMPUTED_VALUE"""),"Bhumika")</f>
        <v>Bhumika</v>
      </c>
      <c r="H46" s="1"/>
      <c r="I46" s="1" t="str">
        <f>IFERROR(__xludf.DUMMYFUNCTION("""COMPUTED_VALUE"""),"Customer not satisfied with tops design ")</f>
        <v>Customer not satisfied with tops design </v>
      </c>
      <c r="J46" s="1"/>
      <c r="K46" s="3">
        <f>IFERROR(__xludf.DUMMYFUNCTION("""COMPUTED_VALUE"""),0.06597222221898846)</f>
        <v>0.06597222222</v>
      </c>
      <c r="L46" s="1" t="str">
        <f>IFERROR(__xludf.DUMMYFUNCTION("""COMPUTED_VALUE"""),"No")</f>
        <v>No</v>
      </c>
      <c r="M46" s="1" t="str">
        <f>IFERROR(__xludf.DUMMYFUNCTION("""COMPUTED_VALUE"""),"No")</f>
        <v>No</v>
      </c>
      <c r="N46" s="1" t="str">
        <f>IFERROR(__xludf.DUMMYFUNCTION("""COMPUTED_VALUE"""),"No")</f>
        <v>No</v>
      </c>
      <c r="O46" s="1" t="str">
        <f>IFERROR(__xludf.DUMMYFUNCTION("""COMPUTED_VALUE"""),"WA ONLY")</f>
        <v>WA ONLY</v>
      </c>
      <c r="P46" s="1" t="str">
        <f>IFERROR(__xludf.DUMMYFUNCTION("""COMPUTED_VALUE"""),"Sir")</f>
        <v>Sir</v>
      </c>
      <c r="Q46" s="1"/>
      <c r="R46" s="1"/>
      <c r="S46" s="1"/>
    </row>
    <row r="47">
      <c r="A47" s="2">
        <f>IFERROR(__xludf.DUMMYFUNCTION("""COMPUTED_VALUE"""),45295.76565918981)</f>
        <v>45295.76566</v>
      </c>
      <c r="B47" s="1" t="str">
        <f>IFERROR(__xludf.DUMMYFUNCTION("""COMPUTED_VALUE"""),"Renu manchanda")</f>
        <v>Renu manchanda</v>
      </c>
      <c r="C47" s="1">
        <f>IFERROR(__xludf.DUMMYFUNCTION("""COMPUTED_VALUE"""),8.920731234E9)</f>
        <v>8920731234</v>
      </c>
      <c r="D47" s="1">
        <f>IFERROR(__xludf.DUMMYFUNCTION("""COMPUTED_VALUE"""),2.0)</f>
        <v>2</v>
      </c>
      <c r="E47" s="3">
        <f>IFERROR(__xludf.DUMMYFUNCTION("""COMPUTED_VALUE"""),0.19791666666424135)</f>
        <v>0.1979166667</v>
      </c>
      <c r="F47" s="1" t="str">
        <f>IFERROR(__xludf.DUMMYFUNCTION("""COMPUTED_VALUE"""),"Diamond ")</f>
        <v>Diamond </v>
      </c>
      <c r="G47" s="1" t="str">
        <f>IFERROR(__xludf.DUMMYFUNCTION("""COMPUTED_VALUE"""),"Reena")</f>
        <v>Reena</v>
      </c>
      <c r="H47" s="1"/>
      <c r="I47" s="1" t="str">
        <f>IFERROR(__xludf.DUMMYFUNCTION("""COMPUTED_VALUE"""),"Pic the order ")</f>
        <v>Pic the order </v>
      </c>
      <c r="J47" s="1"/>
      <c r="K47" s="3">
        <f>IFERROR(__xludf.DUMMYFUNCTION("""COMPUTED_VALUE"""),0.26388888889050577)</f>
        <v>0.2638888889</v>
      </c>
      <c r="L47" s="1" t="str">
        <f>IFERROR(__xludf.DUMMYFUNCTION("""COMPUTED_VALUE"""),"Yes")</f>
        <v>Yes</v>
      </c>
      <c r="M47" s="1" t="str">
        <f>IFERROR(__xludf.DUMMYFUNCTION("""COMPUTED_VALUE"""),"Already done")</f>
        <v>Already done</v>
      </c>
      <c r="N47" s="1" t="str">
        <f>IFERROR(__xludf.DUMMYFUNCTION("""COMPUTED_VALUE"""),"Already done")</f>
        <v>Already done</v>
      </c>
      <c r="O47" s="1" t="str">
        <f>IFERROR(__xludf.DUMMYFUNCTION("""COMPUTED_VALUE"""),"WA ONLY")</f>
        <v>WA ONLY</v>
      </c>
      <c r="P47" s="1" t="str">
        <f>IFERROR(__xludf.DUMMYFUNCTION("""COMPUTED_VALUE"""),"Madam")</f>
        <v>Madam</v>
      </c>
      <c r="Q47" s="1"/>
      <c r="R47" s="1"/>
      <c r="S47" s="1"/>
    </row>
    <row r="48">
      <c r="A48" s="2">
        <f>IFERROR(__xludf.DUMMYFUNCTION("""COMPUTED_VALUE"""),45296.77452090278)</f>
        <v>45296.77452</v>
      </c>
      <c r="B48" s="1" t="str">
        <f>IFERROR(__xludf.DUMMYFUNCTION("""COMPUTED_VALUE"""),"Krishna")</f>
        <v>Krishna</v>
      </c>
      <c r="C48" s="1">
        <f>IFERROR(__xludf.DUMMYFUNCTION("""COMPUTED_VALUE"""),7.053000572E9)</f>
        <v>7053000572</v>
      </c>
      <c r="D48" s="1">
        <f>IFERROR(__xludf.DUMMYFUNCTION("""COMPUTED_VALUE"""),1.0)</f>
        <v>1</v>
      </c>
      <c r="E48" s="3">
        <f>IFERROR(__xludf.DUMMYFUNCTION("""COMPUTED_VALUE"""),0.5361111111124046)</f>
        <v>0.5361111111</v>
      </c>
      <c r="F48" s="1" t="str">
        <f>IFERROR(__xludf.DUMMYFUNCTION("""COMPUTED_VALUE"""),"Gold")</f>
        <v>Gold</v>
      </c>
      <c r="G48" s="1" t="str">
        <f>IFERROR(__xludf.DUMMYFUNCTION("""COMPUTED_VALUE"""),"Mansa,bhumika")</f>
        <v>Mansa,bhumika</v>
      </c>
      <c r="H48" s="1"/>
      <c r="I48" s="1" t="str">
        <f>IFERROR(__xludf.DUMMYFUNCTION("""COMPUTED_VALUE"""),"Customer confirm gold rate")</f>
        <v>Customer confirm gold rate</v>
      </c>
      <c r="J48" s="1" t="str">
        <f>IFERROR(__xludf.DUMMYFUNCTION("""COMPUTED_VALUE"""),"Visit again ")</f>
        <v>Visit again </v>
      </c>
      <c r="K48" s="3">
        <f>IFERROR(__xludf.DUMMYFUNCTION("""COMPUTED_VALUE"""),0.04722222222335404)</f>
        <v>0.04722222222</v>
      </c>
      <c r="L48" s="1" t="str">
        <f>IFERROR(__xludf.DUMMYFUNCTION("""COMPUTED_VALUE"""),"No")</f>
        <v>No</v>
      </c>
      <c r="M48" s="1" t="str">
        <f>IFERROR(__xludf.DUMMYFUNCTION("""COMPUTED_VALUE"""),"No")</f>
        <v>No</v>
      </c>
      <c r="N48" s="1" t="str">
        <f>IFERROR(__xludf.DUMMYFUNCTION("""COMPUTED_VALUE"""),"No")</f>
        <v>No</v>
      </c>
      <c r="O48" s="1" t="str">
        <f>IFERROR(__xludf.DUMMYFUNCTION("""COMPUTED_VALUE"""),"WA ONLY")</f>
        <v>WA ONLY</v>
      </c>
      <c r="P48" s="1" t="str">
        <f>IFERROR(__xludf.DUMMYFUNCTION("""COMPUTED_VALUE"""),"Sir")</f>
        <v>Sir</v>
      </c>
      <c r="Q48" s="1"/>
      <c r="R48" s="1"/>
      <c r="S48" s="1"/>
    </row>
    <row r="49">
      <c r="A49" s="2">
        <f>IFERROR(__xludf.DUMMYFUNCTION("""COMPUTED_VALUE"""),45296.77572989583)</f>
        <v>45296.77573</v>
      </c>
      <c r="B49" s="1" t="str">
        <f>IFERROR(__xludf.DUMMYFUNCTION("""COMPUTED_VALUE"""),"Zaid")</f>
        <v>Zaid</v>
      </c>
      <c r="C49" s="1">
        <f>IFERROR(__xludf.DUMMYFUNCTION("""COMPUTED_VALUE"""),9.582588575E9)</f>
        <v>9582588575</v>
      </c>
      <c r="D49" s="1">
        <f>IFERROR(__xludf.DUMMYFUNCTION("""COMPUTED_VALUE"""),2.0)</f>
        <v>2</v>
      </c>
      <c r="E49" s="3">
        <f>IFERROR(__xludf.DUMMYFUNCTION("""COMPUTED_VALUE"""),0.15763888889341615)</f>
        <v>0.1576388889</v>
      </c>
      <c r="F49" s="1" t="str">
        <f>IFERROR(__xludf.DUMMYFUNCTION("""COMPUTED_VALUE"""),"Antic")</f>
        <v>Antic</v>
      </c>
      <c r="G49" s="1" t="str">
        <f>IFERROR(__xludf.DUMMYFUNCTION("""COMPUTED_VALUE"""),"Pooja,chhaya")</f>
        <v>Pooja,chhaya</v>
      </c>
      <c r="H49" s="1"/>
      <c r="I49" s="1" t="str">
        <f>IFERROR(__xludf.DUMMYFUNCTION("""COMPUTED_VALUE"""),"Pic the order gold chain")</f>
        <v>Pic the order gold chain</v>
      </c>
      <c r="J49" s="1"/>
      <c r="K49" s="3">
        <f>IFERROR(__xludf.DUMMYFUNCTION("""COMPUTED_VALUE"""),0.2006944444437977)</f>
        <v>0.2006944444</v>
      </c>
      <c r="L49" s="1" t="str">
        <f>IFERROR(__xludf.DUMMYFUNCTION("""COMPUTED_VALUE"""),"Yes")</f>
        <v>Yes</v>
      </c>
      <c r="M49" s="1" t="str">
        <f>IFERROR(__xludf.DUMMYFUNCTION("""COMPUTED_VALUE"""),"Yes")</f>
        <v>Yes</v>
      </c>
      <c r="N49" s="1" t="str">
        <f>IFERROR(__xludf.DUMMYFUNCTION("""COMPUTED_VALUE"""),"Yes")</f>
        <v>Yes</v>
      </c>
      <c r="O49" s="1" t="str">
        <f>IFERROR(__xludf.DUMMYFUNCTION("""COMPUTED_VALUE"""),"WA ONLY")</f>
        <v>WA ONLY</v>
      </c>
      <c r="P49" s="1" t="str">
        <f>IFERROR(__xludf.DUMMYFUNCTION("""COMPUTED_VALUE"""),"Madam")</f>
        <v>Madam</v>
      </c>
      <c r="Q49" s="1"/>
      <c r="R49" s="1"/>
      <c r="S49" s="1"/>
    </row>
    <row r="50">
      <c r="A50" s="2">
        <f>IFERROR(__xludf.DUMMYFUNCTION("""COMPUTED_VALUE"""),45296.77788579861)</f>
        <v>45296.77789</v>
      </c>
      <c r="B50" s="1" t="str">
        <f>IFERROR(__xludf.DUMMYFUNCTION("""COMPUTED_VALUE"""),"Krishna ")</f>
        <v>Krishna </v>
      </c>
      <c r="C50" s="1">
        <f>IFERROR(__xludf.DUMMYFUNCTION("""COMPUTED_VALUE"""),7.053000572E9)</f>
        <v>7053000572</v>
      </c>
      <c r="D50" s="1">
        <f>IFERROR(__xludf.DUMMYFUNCTION("""COMPUTED_VALUE"""),2.0)</f>
        <v>2</v>
      </c>
      <c r="E50" s="3">
        <f>IFERROR(__xludf.DUMMYFUNCTION("""COMPUTED_VALUE"""),0.15902777777955635)</f>
        <v>0.1590277778</v>
      </c>
      <c r="F50" s="1" t="str">
        <f>IFERROR(__xludf.DUMMYFUNCTION("""COMPUTED_VALUE"""),"Gold")</f>
        <v>Gold</v>
      </c>
      <c r="G50" s="1" t="str">
        <f>IFERROR(__xludf.DUMMYFUNCTION("""COMPUTED_VALUE"""),"Mansa,bhumika")</f>
        <v>Mansa,bhumika</v>
      </c>
      <c r="H50" s="1" t="str">
        <f>IFERROR(__xludf.DUMMYFUNCTION("""COMPUTED_VALUE"""),"10 gold coins")</f>
        <v>10 gold coins</v>
      </c>
      <c r="I50" s="1"/>
      <c r="J50" s="1" t="str">
        <f>IFERROR(__xludf.DUMMYFUNCTION("""COMPUTED_VALUE"""),"Not interested ")</f>
        <v>Not interested </v>
      </c>
      <c r="K50" s="3">
        <f>IFERROR(__xludf.DUMMYFUNCTION("""COMPUTED_VALUE"""),0.25)</f>
        <v>0.25</v>
      </c>
      <c r="L50" s="1" t="str">
        <f>IFERROR(__xludf.DUMMYFUNCTION("""COMPUTED_VALUE"""),"Yes")</f>
        <v>Yes</v>
      </c>
      <c r="M50" s="1" t="str">
        <f>IFERROR(__xludf.DUMMYFUNCTION("""COMPUTED_VALUE"""),"Yes")</f>
        <v>Yes</v>
      </c>
      <c r="N50" s="1" t="str">
        <f>IFERROR(__xludf.DUMMYFUNCTION("""COMPUTED_VALUE"""),"Yes")</f>
        <v>Yes</v>
      </c>
      <c r="O50" s="1" t="str">
        <f>IFERROR(__xludf.DUMMYFUNCTION("""COMPUTED_VALUE"""),"WA ONLY")</f>
        <v>WA ONLY</v>
      </c>
      <c r="P50" s="1" t="str">
        <f>IFERROR(__xludf.DUMMYFUNCTION("""COMPUTED_VALUE"""),"Sir")</f>
        <v>Sir</v>
      </c>
      <c r="Q50" s="1"/>
      <c r="R50" s="1"/>
      <c r="S50" s="1"/>
    </row>
    <row r="51">
      <c r="A51" s="2">
        <f>IFERROR(__xludf.DUMMYFUNCTION("""COMPUTED_VALUE"""),45296.802358553236)</f>
        <v>45296.80236</v>
      </c>
      <c r="B51" s="1" t="str">
        <f>IFERROR(__xludf.DUMMYFUNCTION("""COMPUTED_VALUE"""),"Kamal rajput")</f>
        <v>Kamal rajput</v>
      </c>
      <c r="C51" s="1">
        <f>IFERROR(__xludf.DUMMYFUNCTION("""COMPUTED_VALUE"""),9.999882673E9)</f>
        <v>9999882673</v>
      </c>
      <c r="D51" s="1">
        <f>IFERROR(__xludf.DUMMYFUNCTION("""COMPUTED_VALUE"""),4.0)</f>
        <v>4</v>
      </c>
      <c r="E51" s="3">
        <f>IFERROR(__xludf.DUMMYFUNCTION("""COMPUTED_VALUE"""),0.25)</f>
        <v>0.25</v>
      </c>
      <c r="F51" s="1" t="str">
        <f>IFERROR(__xludf.DUMMYFUNCTION("""COMPUTED_VALUE"""),"Diamond ")</f>
        <v>Diamond </v>
      </c>
      <c r="G51" s="1" t="str">
        <f>IFERROR(__xludf.DUMMYFUNCTION("""COMPUTED_VALUE"""),"Reena")</f>
        <v>Reena</v>
      </c>
      <c r="H51" s="1" t="str">
        <f>IFERROR(__xludf.DUMMYFUNCTION("""COMPUTED_VALUE"""),"Gold ginni chain")</f>
        <v>Gold ginni chain</v>
      </c>
      <c r="I51" s="1"/>
      <c r="J51" s="1" t="str">
        <f>IFERROR(__xludf.DUMMYFUNCTION("""COMPUTED_VALUE"""),"Not interested ")</f>
        <v>Not interested </v>
      </c>
      <c r="K51" s="3">
        <f>IFERROR(__xludf.DUMMYFUNCTION("""COMPUTED_VALUE"""),0.29513888889050577)</f>
        <v>0.2951388889</v>
      </c>
      <c r="L51" s="1" t="str">
        <f>IFERROR(__xludf.DUMMYFUNCTION("""COMPUTED_VALUE"""),"Yes")</f>
        <v>Yes</v>
      </c>
      <c r="M51" s="1" t="str">
        <f>IFERROR(__xludf.DUMMYFUNCTION("""COMPUTED_VALUE"""),"Already done")</f>
        <v>Already done</v>
      </c>
      <c r="N51" s="1" t="str">
        <f>IFERROR(__xludf.DUMMYFUNCTION("""COMPUTED_VALUE"""),"Already done")</f>
        <v>Already done</v>
      </c>
      <c r="O51" s="1" t="str">
        <f>IFERROR(__xludf.DUMMYFUNCTION("""COMPUTED_VALUE"""),"WA ONLY")</f>
        <v>WA ONLY</v>
      </c>
      <c r="P51" s="1" t="str">
        <f>IFERROR(__xludf.DUMMYFUNCTION("""COMPUTED_VALUE"""),"Sir, Madam")</f>
        <v>Sir, Madam</v>
      </c>
      <c r="Q51" s="1"/>
      <c r="R51" s="1"/>
      <c r="S51" s="1"/>
    </row>
    <row r="52">
      <c r="A52" s="2">
        <f>IFERROR(__xludf.DUMMYFUNCTION("""COMPUTED_VALUE"""),45297.64062337963)</f>
        <v>45297.64062</v>
      </c>
      <c r="B52" s="1" t="str">
        <f>IFERROR(__xludf.DUMMYFUNCTION("""COMPUTED_VALUE"""),"Miqal")</f>
        <v>Miqal</v>
      </c>
      <c r="C52" s="1">
        <f>IFERROR(__xludf.DUMMYFUNCTION("""COMPUTED_VALUE"""),7.390880818E9)</f>
        <v>7390880818</v>
      </c>
      <c r="D52" s="1">
        <f>IFERROR(__xludf.DUMMYFUNCTION("""COMPUTED_VALUE"""),1.0)</f>
        <v>1</v>
      </c>
      <c r="E52" s="3">
        <f>IFERROR(__xludf.DUMMYFUNCTION("""COMPUTED_VALUE"""),0.059722222220443655)</f>
        <v>0.05972222222</v>
      </c>
      <c r="F52" s="1" t="str">
        <f>IFERROR(__xludf.DUMMYFUNCTION("""COMPUTED_VALUE"""),"Diamond ")</f>
        <v>Diamond </v>
      </c>
      <c r="G52" s="1" t="str">
        <f>IFERROR(__xludf.DUMMYFUNCTION("""COMPUTED_VALUE"""),"Mansa,reena")</f>
        <v>Mansa,reena</v>
      </c>
      <c r="H52" s="1"/>
      <c r="I52" s="1" t="str">
        <f>IFERROR(__xludf.DUMMYFUNCTION("""COMPUTED_VALUE"""),"Confirm diamond charges ")</f>
        <v>Confirm diamond charges </v>
      </c>
      <c r="J52" s="1" t="str">
        <f>IFERROR(__xludf.DUMMYFUNCTION("""COMPUTED_VALUE"""),"Not interested ")</f>
        <v>Not interested </v>
      </c>
      <c r="K52" s="3">
        <f>IFERROR(__xludf.DUMMYFUNCTION("""COMPUTED_VALUE"""),0.11111111110949423)</f>
        <v>0.1111111111</v>
      </c>
      <c r="L52" s="1" t="str">
        <f>IFERROR(__xludf.DUMMYFUNCTION("""COMPUTED_VALUE"""),"Yes")</f>
        <v>Yes</v>
      </c>
      <c r="M52" s="1" t="str">
        <f>IFERROR(__xludf.DUMMYFUNCTION("""COMPUTED_VALUE"""),"No")</f>
        <v>No</v>
      </c>
      <c r="N52" s="1" t="str">
        <f>IFERROR(__xludf.DUMMYFUNCTION("""COMPUTED_VALUE"""),"No")</f>
        <v>No</v>
      </c>
      <c r="O52" s="1" t="str">
        <f>IFERROR(__xludf.DUMMYFUNCTION("""COMPUTED_VALUE"""),"WA ONLY")</f>
        <v>WA ONLY</v>
      </c>
      <c r="P52" s="1" t="str">
        <f>IFERROR(__xludf.DUMMYFUNCTION("""COMPUTED_VALUE"""),"Sir")</f>
        <v>Sir</v>
      </c>
      <c r="Q52" s="1"/>
      <c r="R52" s="1"/>
      <c r="S52" s="1"/>
    </row>
    <row r="53">
      <c r="A53" s="2">
        <f>IFERROR(__xludf.DUMMYFUNCTION("""COMPUTED_VALUE"""),45297.64202353009)</f>
        <v>45297.64202</v>
      </c>
      <c r="B53" s="1" t="str">
        <f>IFERROR(__xludf.DUMMYFUNCTION("""COMPUTED_VALUE"""),"Purshotam")</f>
        <v>Purshotam</v>
      </c>
      <c r="C53" s="1">
        <f>IFERROR(__xludf.DUMMYFUNCTION("""COMPUTED_VALUE"""),8.929184477E9)</f>
        <v>8929184477</v>
      </c>
      <c r="D53" s="1">
        <f>IFERROR(__xludf.DUMMYFUNCTION("""COMPUTED_VALUE"""),2.0)</f>
        <v>2</v>
      </c>
      <c r="E53" s="3">
        <f>IFERROR(__xludf.DUMMYFUNCTION("""COMPUTED_VALUE"""),0.06736111111240461)</f>
        <v>0.06736111111</v>
      </c>
      <c r="F53" s="1" t="str">
        <f>IFERROR(__xludf.DUMMYFUNCTION("""COMPUTED_VALUE"""),"Gold")</f>
        <v>Gold</v>
      </c>
      <c r="G53" s="1" t="str">
        <f>IFERROR(__xludf.DUMMYFUNCTION("""COMPUTED_VALUE"""),"Bhumika")</f>
        <v>Bhumika</v>
      </c>
      <c r="H53" s="1"/>
      <c r="I53" s="1" t="str">
        <f>IFERROR(__xludf.DUMMYFUNCTION("""COMPUTED_VALUE"""),"Customer wants nose pin but not satisfied design ")</f>
        <v>Customer wants nose pin but not satisfied design </v>
      </c>
      <c r="J53" s="1" t="str">
        <f>IFERROR(__xludf.DUMMYFUNCTION("""COMPUTED_VALUE"""),"Not interested ")</f>
        <v>Not interested </v>
      </c>
      <c r="K53" s="3">
        <f>IFERROR(__xludf.DUMMYFUNCTION("""COMPUTED_VALUE"""),0.07291666666424135)</f>
        <v>0.07291666666</v>
      </c>
      <c r="L53" s="1" t="str">
        <f>IFERROR(__xludf.DUMMYFUNCTION("""COMPUTED_VALUE"""),"Yes")</f>
        <v>Yes</v>
      </c>
      <c r="M53" s="1" t="str">
        <f>IFERROR(__xludf.DUMMYFUNCTION("""COMPUTED_VALUE"""),"After porches ")</f>
        <v>After porches </v>
      </c>
      <c r="N53" s="1" t="str">
        <f>IFERROR(__xludf.DUMMYFUNCTION("""COMPUTED_VALUE"""),"After porches")</f>
        <v>After porches</v>
      </c>
      <c r="O53" s="1" t="str">
        <f>IFERROR(__xludf.DUMMYFUNCTION("""COMPUTED_VALUE"""),"WA ONLY")</f>
        <v>WA ONLY</v>
      </c>
      <c r="P53" s="1" t="str">
        <f>IFERROR(__xludf.DUMMYFUNCTION("""COMPUTED_VALUE"""),"Sir, Madam")</f>
        <v>Sir, Madam</v>
      </c>
      <c r="Q53" s="1"/>
      <c r="R53" s="1"/>
      <c r="S53" s="1"/>
    </row>
    <row r="54">
      <c r="A54" s="2">
        <f>IFERROR(__xludf.DUMMYFUNCTION("""COMPUTED_VALUE"""),45297.64357185185)</f>
        <v>45297.64357</v>
      </c>
      <c r="B54" s="1" t="str">
        <f>IFERROR(__xludf.DUMMYFUNCTION("""COMPUTED_VALUE"""),"Shushil kumar")</f>
        <v>Shushil kumar</v>
      </c>
      <c r="C54" s="1">
        <f>IFERROR(__xludf.DUMMYFUNCTION("""COMPUTED_VALUE"""),9.971389387E9)</f>
        <v>9971389387</v>
      </c>
      <c r="D54" s="1">
        <f>IFERROR(__xludf.DUMMYFUNCTION("""COMPUTED_VALUE"""),2.0)</f>
        <v>2</v>
      </c>
      <c r="E54" s="3">
        <f>IFERROR(__xludf.DUMMYFUNCTION("""COMPUTED_VALUE"""),0.10694444444379769)</f>
        <v>0.1069444444</v>
      </c>
      <c r="F54" s="1" t="str">
        <f>IFERROR(__xludf.DUMMYFUNCTION("""COMPUTED_VALUE"""),"Antic")</f>
        <v>Antic</v>
      </c>
      <c r="G54" s="1" t="str">
        <f>IFERROR(__xludf.DUMMYFUNCTION("""COMPUTED_VALUE"""),"Pooja,chhaya")</f>
        <v>Pooja,chhaya</v>
      </c>
      <c r="H54" s="1"/>
      <c r="I54" s="1" t="str">
        <f>IFERROR(__xludf.DUMMYFUNCTION("""COMPUTED_VALUE"""),"Customer pic order ")</f>
        <v>Customer pic order </v>
      </c>
      <c r="J54" s="1" t="str">
        <f>IFERROR(__xludf.DUMMYFUNCTION("""COMPUTED_VALUE"""),"Not interested ")</f>
        <v>Not interested </v>
      </c>
      <c r="K54" s="3">
        <f>IFERROR(__xludf.DUMMYFUNCTION("""COMPUTED_VALUE"""),0.11250000000291038)</f>
        <v>0.1125</v>
      </c>
      <c r="L54" s="1" t="str">
        <f>IFERROR(__xludf.DUMMYFUNCTION("""COMPUTED_VALUE"""),"Yes")</f>
        <v>Yes</v>
      </c>
      <c r="M54" s="1" t="str">
        <f>IFERROR(__xludf.DUMMYFUNCTION("""COMPUTED_VALUE"""),"Already done")</f>
        <v>Already done</v>
      </c>
      <c r="N54" s="1" t="str">
        <f>IFERROR(__xludf.DUMMYFUNCTION("""COMPUTED_VALUE"""),"Already done")</f>
        <v>Already done</v>
      </c>
      <c r="O54" s="1" t="str">
        <f>IFERROR(__xludf.DUMMYFUNCTION("""COMPUTED_VALUE"""),"CELLS")</f>
        <v>CELLS</v>
      </c>
      <c r="P54" s="1" t="str">
        <f>IFERROR(__xludf.DUMMYFUNCTION("""COMPUTED_VALUE"""),"Sir, Madam")</f>
        <v>Sir, Madam</v>
      </c>
      <c r="Q54" s="1"/>
      <c r="R54" s="1"/>
      <c r="S54" s="1"/>
    </row>
    <row r="55">
      <c r="A55" s="2">
        <f>IFERROR(__xludf.DUMMYFUNCTION("""COMPUTED_VALUE"""),45297.644990995366)</f>
        <v>45297.64499</v>
      </c>
      <c r="B55" s="1" t="str">
        <f>IFERROR(__xludf.DUMMYFUNCTION("""COMPUTED_VALUE"""),"Jitender")</f>
        <v>Jitender</v>
      </c>
      <c r="C55" s="1">
        <f>IFERROR(__xludf.DUMMYFUNCTION("""COMPUTED_VALUE"""),9.21317156E9)</f>
        <v>9213171560</v>
      </c>
      <c r="D55" s="1">
        <f>IFERROR(__xludf.DUMMYFUNCTION("""COMPUTED_VALUE"""),3.0)</f>
        <v>3</v>
      </c>
      <c r="E55" s="3">
        <f>IFERROR(__xludf.DUMMYFUNCTION("""COMPUTED_VALUE"""),0.11527777777519077)</f>
        <v>0.1152777778</v>
      </c>
      <c r="F55" s="1" t="str">
        <f>IFERROR(__xludf.DUMMYFUNCTION("""COMPUTED_VALUE"""),"Antic")</f>
        <v>Antic</v>
      </c>
      <c r="G55" s="1" t="str">
        <f>IFERROR(__xludf.DUMMYFUNCTION("""COMPUTED_VALUE"""),"Pooja,chhaya,mansa")</f>
        <v>Pooja,chhaya,mansa</v>
      </c>
      <c r="H55" s="1"/>
      <c r="I55" s="1" t="str">
        <f>IFERROR(__xludf.DUMMYFUNCTION("""COMPUTED_VALUE"""),"Customer confirm making charges antic gold Customer visit again")</f>
        <v>Customer confirm making charges antic gold Customer visit again</v>
      </c>
      <c r="J55" s="1" t="str">
        <f>IFERROR(__xludf.DUMMYFUNCTION("""COMPUTED_VALUE"""),"Visit again ")</f>
        <v>Visit again </v>
      </c>
      <c r="K55" s="3">
        <f>IFERROR(__xludf.DUMMYFUNCTION("""COMPUTED_VALUE"""),0.13472222222480923)</f>
        <v>0.1347222222</v>
      </c>
      <c r="L55" s="1" t="str">
        <f>IFERROR(__xludf.DUMMYFUNCTION("""COMPUTED_VALUE"""),"Yes")</f>
        <v>Yes</v>
      </c>
      <c r="M55" s="1" t="str">
        <f>IFERROR(__xludf.DUMMYFUNCTION("""COMPUTED_VALUE"""),"After parches ")</f>
        <v>After parches </v>
      </c>
      <c r="N55" s="1" t="str">
        <f>IFERROR(__xludf.DUMMYFUNCTION("""COMPUTED_VALUE"""),"After parches")</f>
        <v>After parches</v>
      </c>
      <c r="O55" s="1" t="str">
        <f>IFERROR(__xludf.DUMMYFUNCTION("""COMPUTED_VALUE"""),"WA ONLY")</f>
        <v>WA ONLY</v>
      </c>
      <c r="P55" s="1" t="str">
        <f>IFERROR(__xludf.DUMMYFUNCTION("""COMPUTED_VALUE"""),"Sir")</f>
        <v>Sir</v>
      </c>
      <c r="Q55" s="1"/>
      <c r="R55" s="1"/>
      <c r="S55" s="1"/>
    </row>
    <row r="56">
      <c r="A56" s="2">
        <f>IFERROR(__xludf.DUMMYFUNCTION("""COMPUTED_VALUE"""),45297.76428887731)</f>
        <v>45297.76429</v>
      </c>
      <c r="B56" s="1" t="str">
        <f>IFERROR(__xludf.DUMMYFUNCTION("""COMPUTED_VALUE"""),"Ronak parveen")</f>
        <v>Ronak parveen</v>
      </c>
      <c r="C56" s="1">
        <f>IFERROR(__xludf.DUMMYFUNCTION("""COMPUTED_VALUE"""),8.587085269E9)</f>
        <v>8587085269</v>
      </c>
      <c r="D56" s="1">
        <f>IFERROR(__xludf.DUMMYFUNCTION("""COMPUTED_VALUE"""),2.0)</f>
        <v>2</v>
      </c>
      <c r="E56" s="3">
        <f>IFERROR(__xludf.DUMMYFUNCTION("""COMPUTED_VALUE"""),0.18680555555329192)</f>
        <v>0.1868055556</v>
      </c>
      <c r="F56" s="1" t="str">
        <f>IFERROR(__xludf.DUMMYFUNCTION("""COMPUTED_VALUE"""),"Antic")</f>
        <v>Antic</v>
      </c>
      <c r="G56" s="1" t="str">
        <f>IFERROR(__xludf.DUMMYFUNCTION("""COMPUTED_VALUE"""),"Chhaya")</f>
        <v>Chhaya</v>
      </c>
      <c r="H56" s="1"/>
      <c r="I56" s="1" t="str">
        <f>IFERROR(__xludf.DUMMYFUNCTION("""COMPUTED_VALUE"""),"Repair ")</f>
        <v>Repair </v>
      </c>
      <c r="J56" s="1"/>
      <c r="K56" s="3">
        <f>IFERROR(__xludf.DUMMYFUNCTION("""COMPUTED_VALUE"""),0.19791666666424135)</f>
        <v>0.1979166667</v>
      </c>
      <c r="L56" s="1" t="str">
        <f>IFERROR(__xludf.DUMMYFUNCTION("""COMPUTED_VALUE"""),"Yes")</f>
        <v>Yes</v>
      </c>
      <c r="M56" s="1" t="str">
        <f>IFERROR(__xludf.DUMMYFUNCTION("""COMPUTED_VALUE"""),"Already done")</f>
        <v>Already done</v>
      </c>
      <c r="N56" s="1" t="str">
        <f>IFERROR(__xludf.DUMMYFUNCTION("""COMPUTED_VALUE"""),"Already done")</f>
        <v>Already done</v>
      </c>
      <c r="O56" s="1" t="str">
        <f>IFERROR(__xludf.DUMMYFUNCTION("""COMPUTED_VALUE"""),"CELLS")</f>
        <v>CELLS</v>
      </c>
      <c r="P56" s="1" t="str">
        <f>IFERROR(__xludf.DUMMYFUNCTION("""COMPUTED_VALUE"""),"Sir, Madam")</f>
        <v>Sir, Madam</v>
      </c>
      <c r="Q56" s="1"/>
      <c r="R56" s="1"/>
      <c r="S56" s="1"/>
    </row>
    <row r="57">
      <c r="A57" s="2">
        <f>IFERROR(__xludf.DUMMYFUNCTION("""COMPUTED_VALUE"""),45297.76578094908)</f>
        <v>45297.76578</v>
      </c>
      <c r="B57" s="1" t="str">
        <f>IFERROR(__xludf.DUMMYFUNCTION("""COMPUTED_VALUE"""),"Dipti")</f>
        <v>Dipti</v>
      </c>
      <c r="C57" s="1">
        <f>IFERROR(__xludf.DUMMYFUNCTION("""COMPUTED_VALUE"""),9.818756677E9)</f>
        <v>9818756677</v>
      </c>
      <c r="D57" s="1">
        <f>IFERROR(__xludf.DUMMYFUNCTION("""COMPUTED_VALUE"""),3.0)</f>
        <v>3</v>
      </c>
      <c r="E57" s="3">
        <f>IFERROR(__xludf.DUMMYFUNCTION("""COMPUTED_VALUE"""),0.18888888889341615)</f>
        <v>0.1888888889</v>
      </c>
      <c r="F57" s="1" t="str">
        <f>IFERROR(__xludf.DUMMYFUNCTION("""COMPUTED_VALUE"""),"Antic")</f>
        <v>Antic</v>
      </c>
      <c r="G57" s="1" t="str">
        <f>IFERROR(__xludf.DUMMYFUNCTION("""COMPUTED_VALUE"""),"Chhaya,mansa,pooja")</f>
        <v>Chhaya,mansa,pooja</v>
      </c>
      <c r="H57" s="1"/>
      <c r="I57" s="1" t="str">
        <f>IFERROR(__xludf.DUMMYFUNCTION("""COMPUTED_VALUE"""),"Customer discuss with family than dissaide ")</f>
        <v>Customer discuss with family than dissaide </v>
      </c>
      <c r="J57" s="1"/>
      <c r="K57" s="3">
        <f>IFERROR(__xludf.DUMMYFUNCTION("""COMPUTED_VALUE"""),0.26041666666424135)</f>
        <v>0.2604166667</v>
      </c>
      <c r="L57" s="1" t="str">
        <f>IFERROR(__xludf.DUMMYFUNCTION("""COMPUTED_VALUE"""),"Yes")</f>
        <v>Yes</v>
      </c>
      <c r="M57" s="1" t="str">
        <f>IFERROR(__xludf.DUMMYFUNCTION("""COMPUTED_VALUE"""),"Already done")</f>
        <v>Already done</v>
      </c>
      <c r="N57" s="1" t="str">
        <f>IFERROR(__xludf.DUMMYFUNCTION("""COMPUTED_VALUE"""),"Already done")</f>
        <v>Already done</v>
      </c>
      <c r="O57" s="1" t="str">
        <f>IFERROR(__xludf.DUMMYFUNCTION("""COMPUTED_VALUE"""),"WA ONLY")</f>
        <v>WA ONLY</v>
      </c>
      <c r="P57" s="1" t="str">
        <f>IFERROR(__xludf.DUMMYFUNCTION("""COMPUTED_VALUE"""),"Sir, Madam")</f>
        <v>Sir, Madam</v>
      </c>
      <c r="Q57" s="1"/>
      <c r="R57" s="1"/>
      <c r="S57" s="1"/>
    </row>
    <row r="58">
      <c r="A58" s="2">
        <f>IFERROR(__xludf.DUMMYFUNCTION("""COMPUTED_VALUE"""),45298.75940483796)</f>
        <v>45298.7594</v>
      </c>
      <c r="B58" s="1" t="str">
        <f>IFERROR(__xludf.DUMMYFUNCTION("""COMPUTED_VALUE"""),"Atoshi")</f>
        <v>Atoshi</v>
      </c>
      <c r="C58" s="1">
        <f>IFERROR(__xludf.DUMMYFUNCTION("""COMPUTED_VALUE"""),8.700173741E9)</f>
        <v>8700173741</v>
      </c>
      <c r="D58" s="1">
        <f>IFERROR(__xludf.DUMMYFUNCTION("""COMPUTED_VALUE"""),3.0)</f>
        <v>3</v>
      </c>
      <c r="E58" s="3">
        <f>IFERROR(__xludf.DUMMYFUNCTION("""COMPUTED_VALUE"""),0.07361111111094942)</f>
        <v>0.07361111111</v>
      </c>
      <c r="F58" s="1" t="str">
        <f>IFERROR(__xludf.DUMMYFUNCTION("""COMPUTED_VALUE"""),"Diamond  gold")</f>
        <v>Diamond  gold</v>
      </c>
      <c r="G58" s="1" t="str">
        <f>IFERROR(__xludf.DUMMYFUNCTION("""COMPUTED_VALUE"""),"Bhumika,reena")</f>
        <v>Bhumika,reena</v>
      </c>
      <c r="H58" s="1" t="str">
        <f>IFERROR(__xludf.DUMMYFUNCTION("""COMPUTED_VALUE"""),"Gold ring")</f>
        <v>Gold ring</v>
      </c>
      <c r="I58" s="1"/>
      <c r="J58" s="1"/>
      <c r="K58" s="3">
        <f>IFERROR(__xludf.DUMMYFUNCTION("""COMPUTED_VALUE"""),0.13194444444525288)</f>
        <v>0.1319444444</v>
      </c>
      <c r="L58" s="1" t="str">
        <f>IFERROR(__xludf.DUMMYFUNCTION("""COMPUTED_VALUE"""),"Yes")</f>
        <v>Yes</v>
      </c>
      <c r="M58" s="1" t="str">
        <f>IFERROR(__xludf.DUMMYFUNCTION("""COMPUTED_VALUE"""),"Already done")</f>
        <v>Already done</v>
      </c>
      <c r="N58" s="1" t="str">
        <f>IFERROR(__xludf.DUMMYFUNCTION("""COMPUTED_VALUE"""),"Already done")</f>
        <v>Already done</v>
      </c>
      <c r="O58" s="1" t="str">
        <f>IFERROR(__xludf.DUMMYFUNCTION("""COMPUTED_VALUE"""),"WA ONLY")</f>
        <v>WA ONLY</v>
      </c>
      <c r="P58" s="1" t="str">
        <f>IFERROR(__xludf.DUMMYFUNCTION("""COMPUTED_VALUE"""),"Madam")</f>
        <v>Madam</v>
      </c>
      <c r="Q58" s="1"/>
      <c r="R58" s="1"/>
      <c r="S58" s="1"/>
    </row>
    <row r="59">
      <c r="A59" s="2">
        <f>IFERROR(__xludf.DUMMYFUNCTION("""COMPUTED_VALUE"""),45298.760306956014)</f>
        <v>45298.76031</v>
      </c>
      <c r="B59" s="1" t="str">
        <f>IFERROR(__xludf.DUMMYFUNCTION("""COMPUTED_VALUE"""),"Ritu Choudhary ")</f>
        <v>Ritu Choudhary </v>
      </c>
      <c r="C59" s="1">
        <f>IFERROR(__xludf.DUMMYFUNCTION("""COMPUTED_VALUE"""),9.868120901E9)</f>
        <v>9868120901</v>
      </c>
      <c r="D59" s="1">
        <f>IFERROR(__xludf.DUMMYFUNCTION("""COMPUTED_VALUE"""),2.0)</f>
        <v>2</v>
      </c>
      <c r="E59" s="3">
        <f>IFERROR(__xludf.DUMMYFUNCTION("""COMPUTED_VALUE"""),0.11180555555620231)</f>
        <v>0.1118055556</v>
      </c>
      <c r="F59" s="1" t="str">
        <f>IFERROR(__xludf.DUMMYFUNCTION("""COMPUTED_VALUE"""),"Antic ")</f>
        <v>Antic </v>
      </c>
      <c r="G59" s="1" t="str">
        <f>IFERROR(__xludf.DUMMYFUNCTION("""COMPUTED_VALUE"""),"Pooja,chhaya")</f>
        <v>Pooja,chhaya</v>
      </c>
      <c r="H59" s="1" t="str">
        <f>IFERROR(__xludf.DUMMYFUNCTION("""COMPUTED_VALUE"""),"Gold chain")</f>
        <v>Gold chain</v>
      </c>
      <c r="I59" s="1"/>
      <c r="J59" s="1" t="str">
        <f>IFERROR(__xludf.DUMMYFUNCTION("""COMPUTED_VALUE"""),"Not interested ")</f>
        <v>Not interested </v>
      </c>
      <c r="K59" s="3">
        <f>IFERROR(__xludf.DUMMYFUNCTION("""COMPUTED_VALUE"""),0.16666666666424135)</f>
        <v>0.1666666667</v>
      </c>
      <c r="L59" s="1" t="str">
        <f>IFERROR(__xludf.DUMMYFUNCTION("""COMPUTED_VALUE"""),"Yes")</f>
        <v>Yes</v>
      </c>
      <c r="M59" s="1" t="str">
        <f>IFERROR(__xludf.DUMMYFUNCTION("""COMPUTED_VALUE"""),"Already done")</f>
        <v>Already done</v>
      </c>
      <c r="N59" s="1" t="str">
        <f>IFERROR(__xludf.DUMMYFUNCTION("""COMPUTED_VALUE"""),"Already done")</f>
        <v>Already done</v>
      </c>
      <c r="O59" s="1" t="str">
        <f>IFERROR(__xludf.DUMMYFUNCTION("""COMPUTED_VALUE"""),"WA ONLY")</f>
        <v>WA ONLY</v>
      </c>
      <c r="P59" s="1" t="str">
        <f>IFERROR(__xludf.DUMMYFUNCTION("""COMPUTED_VALUE"""),"Sir, Madam")</f>
        <v>Sir, Madam</v>
      </c>
      <c r="Q59" s="1"/>
      <c r="R59" s="1"/>
      <c r="S59" s="1"/>
    </row>
    <row r="60">
      <c r="A60" s="2">
        <f>IFERROR(__xludf.DUMMYFUNCTION("""COMPUTED_VALUE"""),45298.761335138886)</f>
        <v>45298.76134</v>
      </c>
      <c r="B60" s="1" t="str">
        <f>IFERROR(__xludf.DUMMYFUNCTION("""COMPUTED_VALUE"""),"Abbasudin")</f>
        <v>Abbasudin</v>
      </c>
      <c r="C60" s="1"/>
      <c r="D60" s="1">
        <f>IFERROR(__xludf.DUMMYFUNCTION("""COMPUTED_VALUE"""),2.0)</f>
        <v>2</v>
      </c>
      <c r="E60" s="3">
        <f>IFERROR(__xludf.DUMMYFUNCTION("""COMPUTED_VALUE"""),0.17777777777519077)</f>
        <v>0.1777777778</v>
      </c>
      <c r="F60" s="1" t="str">
        <f>IFERROR(__xludf.DUMMYFUNCTION("""COMPUTED_VALUE"""),"Antic")</f>
        <v>Antic</v>
      </c>
      <c r="G60" s="1" t="str">
        <f>IFERROR(__xludf.DUMMYFUNCTION("""COMPUTED_VALUE"""),"Pooja chhaya")</f>
        <v>Pooja chhaya</v>
      </c>
      <c r="H60" s="1"/>
      <c r="I60" s="1" t="str">
        <f>IFERROR(__xludf.DUMMYFUNCTION("""COMPUTED_VALUE"""),"Pic the order ")</f>
        <v>Pic the order </v>
      </c>
      <c r="J60" s="1" t="str">
        <f>IFERROR(__xludf.DUMMYFUNCTION("""COMPUTED_VALUE"""),"Not interested ")</f>
        <v>Not interested </v>
      </c>
      <c r="K60" s="3">
        <f>IFERROR(__xludf.DUMMYFUNCTION("""COMPUTED_VALUE"""),0.2569444444452529)</f>
        <v>0.2569444444</v>
      </c>
      <c r="L60" s="1" t="str">
        <f>IFERROR(__xludf.DUMMYFUNCTION("""COMPUTED_VALUE"""),"Yes")</f>
        <v>Yes</v>
      </c>
      <c r="M60" s="1" t="str">
        <f>IFERROR(__xludf.DUMMYFUNCTION("""COMPUTED_VALUE"""),"Already done")</f>
        <v>Already done</v>
      </c>
      <c r="N60" s="1" t="str">
        <f>IFERROR(__xludf.DUMMYFUNCTION("""COMPUTED_VALUE"""),"Already done")</f>
        <v>Already done</v>
      </c>
      <c r="O60" s="1" t="str">
        <f>IFERROR(__xludf.DUMMYFUNCTION("""COMPUTED_VALUE"""),"WA ONLY")</f>
        <v>WA ONLY</v>
      </c>
      <c r="P60" s="1" t="str">
        <f>IFERROR(__xludf.DUMMYFUNCTION("""COMPUTED_VALUE"""),"Sir")</f>
        <v>Sir</v>
      </c>
      <c r="Q60" s="1"/>
      <c r="R60" s="1"/>
      <c r="S60" s="1"/>
    </row>
    <row r="61">
      <c r="A61" s="2">
        <f>IFERROR(__xludf.DUMMYFUNCTION("""COMPUTED_VALUE"""),45298.76515759259)</f>
        <v>45298.76516</v>
      </c>
      <c r="B61" s="1" t="str">
        <f>IFERROR(__xludf.DUMMYFUNCTION("""COMPUTED_VALUE"""),"MD salehin")</f>
        <v>MD salehin</v>
      </c>
      <c r="C61" s="1">
        <f>IFERROR(__xludf.DUMMYFUNCTION("""COMPUTED_VALUE"""),9.525203641E9)</f>
        <v>9525203641</v>
      </c>
      <c r="D61" s="1">
        <f>IFERROR(__xludf.DUMMYFUNCTION("""COMPUTED_VALUE"""),2.0)</f>
        <v>2</v>
      </c>
      <c r="E61" s="3">
        <f>IFERROR(__xludf.DUMMYFUNCTION("""COMPUTED_VALUE"""),0.20625000000291038)</f>
        <v>0.20625</v>
      </c>
      <c r="F61" s="1" t="str">
        <f>IFERROR(__xludf.DUMMYFUNCTION("""COMPUTED_VALUE"""),"Diamond ")</f>
        <v>Diamond </v>
      </c>
      <c r="G61" s="1" t="str">
        <f>IFERROR(__xludf.DUMMYFUNCTION("""COMPUTED_VALUE"""),"Reena")</f>
        <v>Reena</v>
      </c>
      <c r="H61" s="1" t="str">
        <f>IFERROR(__xludf.DUMMYFUNCTION("""COMPUTED_VALUE"""),"Gold ring")</f>
        <v>Gold ring</v>
      </c>
      <c r="I61" s="1"/>
      <c r="J61" s="1" t="str">
        <f>IFERROR(__xludf.DUMMYFUNCTION("""COMPUTED_VALUE"""),"Not interested ")</f>
        <v>Not interested </v>
      </c>
      <c r="K61" s="3">
        <f>IFERROR(__xludf.DUMMYFUNCTION("""COMPUTED_VALUE"""),0.2381944444423425)</f>
        <v>0.2381944444</v>
      </c>
      <c r="L61" s="1" t="str">
        <f>IFERROR(__xludf.DUMMYFUNCTION("""COMPUTED_VALUE"""),"Yes")</f>
        <v>Yes</v>
      </c>
      <c r="M61" s="1" t="str">
        <f>IFERROR(__xludf.DUMMYFUNCTION("""COMPUTED_VALUE"""),"Yes")</f>
        <v>Yes</v>
      </c>
      <c r="N61" s="1" t="str">
        <f>IFERROR(__xludf.DUMMYFUNCTION("""COMPUTED_VALUE"""),"Yes")</f>
        <v>Yes</v>
      </c>
      <c r="O61" s="1" t="str">
        <f>IFERROR(__xludf.DUMMYFUNCTION("""COMPUTED_VALUE"""),"WA ONLY")</f>
        <v>WA ONLY</v>
      </c>
      <c r="P61" s="1" t="str">
        <f>IFERROR(__xludf.DUMMYFUNCTION("""COMPUTED_VALUE"""),"Sir, Madam")</f>
        <v>Sir, Madam</v>
      </c>
      <c r="Q61" s="1"/>
      <c r="R61" s="1"/>
      <c r="S61" s="1"/>
    </row>
    <row r="62">
      <c r="A62" s="2">
        <f>IFERROR(__xludf.DUMMYFUNCTION("""COMPUTED_VALUE"""),45298.766068275465)</f>
        <v>45298.76607</v>
      </c>
      <c r="B62" s="1" t="str">
        <f>IFERROR(__xludf.DUMMYFUNCTION("""COMPUTED_VALUE"""),"Gorav")</f>
        <v>Gorav</v>
      </c>
      <c r="C62" s="1">
        <f>IFERROR(__xludf.DUMMYFUNCTION("""COMPUTED_VALUE"""),9.999507907E9)</f>
        <v>9999507907</v>
      </c>
      <c r="D62" s="1">
        <f>IFERROR(__xludf.DUMMYFUNCTION("""COMPUTED_VALUE"""),1.0)</f>
        <v>1</v>
      </c>
      <c r="E62" s="3">
        <f>IFERROR(__xludf.DUMMYFUNCTION("""COMPUTED_VALUE"""),0.21180555555474712)</f>
        <v>0.2118055556</v>
      </c>
      <c r="F62" s="1" t="str">
        <f>IFERROR(__xludf.DUMMYFUNCTION("""COMPUTED_VALUE"""),"Gold")</f>
        <v>Gold</v>
      </c>
      <c r="G62" s="1" t="str">
        <f>IFERROR(__xludf.DUMMYFUNCTION("""COMPUTED_VALUE"""),"Pooja")</f>
        <v>Pooja</v>
      </c>
      <c r="H62" s="1"/>
      <c r="I62" s="1" t="str">
        <f>IFERROR(__xludf.DUMMYFUNCTION("""COMPUTED_VALUE"""),"Ring repairing ")</f>
        <v>Ring repairing </v>
      </c>
      <c r="J62" s="1"/>
      <c r="K62" s="3">
        <f>IFERROR(__xludf.DUMMYFUNCTION("""COMPUTED_VALUE"""),0.21666666666715173)</f>
        <v>0.2166666667</v>
      </c>
      <c r="L62" s="1" t="str">
        <f>IFERROR(__xludf.DUMMYFUNCTION("""COMPUTED_VALUE"""),"Yes")</f>
        <v>Yes</v>
      </c>
      <c r="M62" s="1" t="str">
        <f>IFERROR(__xludf.DUMMYFUNCTION("""COMPUTED_VALUE"""),"Visit again ")</f>
        <v>Visit again </v>
      </c>
      <c r="N62" s="1" t="str">
        <f>IFERROR(__xludf.DUMMYFUNCTION("""COMPUTED_VALUE"""),"Visit again ")</f>
        <v>Visit again </v>
      </c>
      <c r="O62" s="1" t="str">
        <f>IFERROR(__xludf.DUMMYFUNCTION("""COMPUTED_VALUE"""),"WA ONLY")</f>
        <v>WA ONLY</v>
      </c>
      <c r="P62" s="1" t="str">
        <f>IFERROR(__xludf.DUMMYFUNCTION("""COMPUTED_VALUE"""),"Sir")</f>
        <v>Sir</v>
      </c>
      <c r="Q62" s="1"/>
      <c r="R62" s="1"/>
      <c r="S62" s="1"/>
    </row>
    <row r="63">
      <c r="A63" s="2">
        <f>IFERROR(__xludf.DUMMYFUNCTION("""COMPUTED_VALUE"""),45298.773632488424)</f>
        <v>45298.77363</v>
      </c>
      <c r="B63" s="1" t="str">
        <f>IFERROR(__xludf.DUMMYFUNCTION("""COMPUTED_VALUE"""),"Manjeet")</f>
        <v>Manjeet</v>
      </c>
      <c r="C63" s="1">
        <f>IFERROR(__xludf.DUMMYFUNCTION("""COMPUTED_VALUE"""),9.643705979E9)</f>
        <v>9643705979</v>
      </c>
      <c r="D63" s="1">
        <f>IFERROR(__xludf.DUMMYFUNCTION("""COMPUTED_VALUE"""),3.0)</f>
        <v>3</v>
      </c>
      <c r="E63" s="3">
        <f>IFERROR(__xludf.DUMMYFUNCTION("""COMPUTED_VALUE"""),0.15833333333284827)</f>
        <v>0.1583333333</v>
      </c>
      <c r="F63" s="1" t="str">
        <f>IFERROR(__xludf.DUMMYFUNCTION("""COMPUTED_VALUE"""),"Antic")</f>
        <v>Antic</v>
      </c>
      <c r="G63" s="1" t="str">
        <f>IFERROR(__xludf.DUMMYFUNCTION("""COMPUTED_VALUE"""),"Pooja,chhaya")</f>
        <v>Pooja,chhaya</v>
      </c>
      <c r="H63" s="1"/>
      <c r="I63" s="1" t="str">
        <f>IFERROR(__xludf.DUMMYFUNCTION("""COMPUTED_VALUE"""),"Antic set order ")</f>
        <v>Antic set order </v>
      </c>
      <c r="J63" s="1"/>
      <c r="K63" s="3">
        <f>IFERROR(__xludf.DUMMYFUNCTION("""COMPUTED_VALUE"""),0.2694444444423425)</f>
        <v>0.2694444444</v>
      </c>
      <c r="L63" s="1" t="str">
        <f>IFERROR(__xludf.DUMMYFUNCTION("""COMPUTED_VALUE"""),"Yes")</f>
        <v>Yes</v>
      </c>
      <c r="M63" s="1" t="str">
        <f>IFERROR(__xludf.DUMMYFUNCTION("""COMPUTED_VALUE"""),"Yes")</f>
        <v>Yes</v>
      </c>
      <c r="N63" s="1" t="str">
        <f>IFERROR(__xludf.DUMMYFUNCTION("""COMPUTED_VALUE"""),"Yes")</f>
        <v>Yes</v>
      </c>
      <c r="O63" s="1" t="str">
        <f>IFERROR(__xludf.DUMMYFUNCTION("""COMPUTED_VALUE"""),"WA ONLY")</f>
        <v>WA ONLY</v>
      </c>
      <c r="P63" s="1" t="str">
        <f>IFERROR(__xludf.DUMMYFUNCTION("""COMPUTED_VALUE"""),"Sir, Madam")</f>
        <v>Sir, Madam</v>
      </c>
      <c r="Q63" s="1"/>
      <c r="R63" s="1"/>
      <c r="S63" s="1"/>
    </row>
    <row r="64">
      <c r="A64" s="2">
        <f>IFERROR(__xludf.DUMMYFUNCTION("""COMPUTED_VALUE"""),45298.80313747685)</f>
        <v>45298.80314</v>
      </c>
      <c r="B64" s="1" t="str">
        <f>IFERROR(__xludf.DUMMYFUNCTION("""COMPUTED_VALUE"""),"Neena")</f>
        <v>Neena</v>
      </c>
      <c r="C64" s="1">
        <f>IFERROR(__xludf.DUMMYFUNCTION("""COMPUTED_VALUE"""),9.312229038E9)</f>
        <v>9312229038</v>
      </c>
      <c r="D64" s="1">
        <f>IFERROR(__xludf.DUMMYFUNCTION("""COMPUTED_VALUE"""),2.0)</f>
        <v>2</v>
      </c>
      <c r="E64" s="3">
        <f>IFERROR(__xludf.DUMMYFUNCTION("""COMPUTED_VALUE"""),0.1680555555576575)</f>
        <v>0.1680555556</v>
      </c>
      <c r="F64" s="1" t="str">
        <f>IFERROR(__xludf.DUMMYFUNCTION("""COMPUTED_VALUE"""),"Diamond ")</f>
        <v>Diamond </v>
      </c>
      <c r="G64" s="1" t="str">
        <f>IFERROR(__xludf.DUMMYFUNCTION("""COMPUTED_VALUE"""),"Reena")</f>
        <v>Reena</v>
      </c>
      <c r="H64" s="1" t="str">
        <f>IFERROR(__xludf.DUMMYFUNCTION("""COMPUTED_VALUE"""),"Gokd pendent ")</f>
        <v>Gokd pendent </v>
      </c>
      <c r="I64" s="1"/>
      <c r="J64" s="1" t="str">
        <f>IFERROR(__xludf.DUMMYFUNCTION("""COMPUTED_VALUE"""),"Already done")</f>
        <v>Already done</v>
      </c>
      <c r="K64" s="3">
        <f>IFERROR(__xludf.DUMMYFUNCTION("""COMPUTED_VALUE"""),0.29791666666278616)</f>
        <v>0.2979166667</v>
      </c>
      <c r="L64" s="1" t="str">
        <f>IFERROR(__xludf.DUMMYFUNCTION("""COMPUTED_VALUE"""),"Yes")</f>
        <v>Yes</v>
      </c>
      <c r="M64" s="1" t="str">
        <f>IFERROR(__xludf.DUMMYFUNCTION("""COMPUTED_VALUE"""),"Already done")</f>
        <v>Already done</v>
      </c>
      <c r="N64" s="1" t="str">
        <f>IFERROR(__xludf.DUMMYFUNCTION("""COMPUTED_VALUE"""),"Already done")</f>
        <v>Already done</v>
      </c>
      <c r="O64" s="1" t="str">
        <f>IFERROR(__xludf.DUMMYFUNCTION("""COMPUTED_VALUE"""),"WA ONLY, OWNER CONTACT ONLY")</f>
        <v>WA ONLY, OWNER CONTACT ONLY</v>
      </c>
      <c r="P64" s="1" t="str">
        <f>IFERROR(__xludf.DUMMYFUNCTION("""COMPUTED_VALUE"""),"Madam")</f>
        <v>Madam</v>
      </c>
      <c r="Q64" s="1"/>
      <c r="R64" s="1"/>
      <c r="S64" s="1"/>
    </row>
    <row r="65">
      <c r="A65" s="2">
        <f>IFERROR(__xludf.DUMMYFUNCTION("""COMPUTED_VALUE"""),45298.822281458335)</f>
        <v>45298.82228</v>
      </c>
      <c r="B65" s="1" t="str">
        <f>IFERROR(__xludf.DUMMYFUNCTION("""COMPUTED_VALUE"""),"Ina")</f>
        <v>Ina</v>
      </c>
      <c r="C65" s="1">
        <f>IFERROR(__xludf.DUMMYFUNCTION("""COMPUTED_VALUE"""),9.886328522E9)</f>
        <v>9886328522</v>
      </c>
      <c r="D65" s="1">
        <f>IFERROR(__xludf.DUMMYFUNCTION("""COMPUTED_VALUE"""),3.0)</f>
        <v>3</v>
      </c>
      <c r="E65" s="3">
        <f>IFERROR(__xludf.DUMMYFUNCTION("""COMPUTED_VALUE"""),0.26388888889050577)</f>
        <v>0.2638888889</v>
      </c>
      <c r="F65" s="1" t="str">
        <f>IFERROR(__xludf.DUMMYFUNCTION("""COMPUTED_VALUE"""),"Gold")</f>
        <v>Gold</v>
      </c>
      <c r="G65" s="1" t="str">
        <f>IFERROR(__xludf.DUMMYFUNCTION("""COMPUTED_VALUE"""),"Bhumika")</f>
        <v>Bhumika</v>
      </c>
      <c r="H65" s="1" t="str">
        <f>IFERROR(__xludf.DUMMYFUNCTION("""COMPUTED_VALUE"""),"Ina")</f>
        <v>Ina</v>
      </c>
      <c r="I65" s="1"/>
      <c r="J65" s="1" t="str">
        <f>IFERROR(__xludf.DUMMYFUNCTION("""COMPUTED_VALUE"""),"Visit again ")</f>
        <v>Visit again </v>
      </c>
      <c r="K65" s="3">
        <f>IFERROR(__xludf.DUMMYFUNCTION("""COMPUTED_VALUE"""),0.32291666666424135)</f>
        <v>0.3229166667</v>
      </c>
      <c r="L65" s="1" t="str">
        <f>IFERROR(__xludf.DUMMYFUNCTION("""COMPUTED_VALUE"""),"Yes")</f>
        <v>Yes</v>
      </c>
      <c r="M65" s="1" t="str">
        <f>IFERROR(__xludf.DUMMYFUNCTION("""COMPUTED_VALUE"""),"Yes")</f>
        <v>Yes</v>
      </c>
      <c r="N65" s="1" t="str">
        <f>IFERROR(__xludf.DUMMYFUNCTION("""COMPUTED_VALUE"""),"Yes")</f>
        <v>Yes</v>
      </c>
      <c r="O65" s="1" t="str">
        <f>IFERROR(__xludf.DUMMYFUNCTION("""COMPUTED_VALUE"""),"WA ONLY")</f>
        <v>WA ONLY</v>
      </c>
      <c r="P65" s="1" t="str">
        <f>IFERROR(__xludf.DUMMYFUNCTION("""COMPUTED_VALUE"""),"Sir, Madam")</f>
        <v>Sir, Madam</v>
      </c>
      <c r="Q65" s="1"/>
      <c r="R65" s="1"/>
      <c r="S65" s="1"/>
    </row>
    <row r="66">
      <c r="A66" s="2">
        <f>IFERROR(__xludf.DUMMYFUNCTION("""COMPUTED_VALUE"""),45298.824689050925)</f>
        <v>45298.82469</v>
      </c>
      <c r="B66" s="1" t="str">
        <f>IFERROR(__xludf.DUMMYFUNCTION("""COMPUTED_VALUE"""),"Sagar")</f>
        <v>Sagar</v>
      </c>
      <c r="C66" s="1">
        <f>IFERROR(__xludf.DUMMYFUNCTION("""COMPUTED_VALUE"""),9.654141505E9)</f>
        <v>9654141505</v>
      </c>
      <c r="D66" s="1">
        <f>IFERROR(__xludf.DUMMYFUNCTION("""COMPUTED_VALUE"""),2.0)</f>
        <v>2</v>
      </c>
      <c r="E66" s="3">
        <f>IFERROR(__xludf.DUMMYFUNCTION("""COMPUTED_VALUE"""),0.2131944444408873)</f>
        <v>0.2131944444</v>
      </c>
      <c r="F66" s="1" t="str">
        <f>IFERROR(__xludf.DUMMYFUNCTION("""COMPUTED_VALUE"""),"Antic")</f>
        <v>Antic</v>
      </c>
      <c r="G66" s="1" t="str">
        <f>IFERROR(__xludf.DUMMYFUNCTION("""COMPUTED_VALUE"""),"Chhaya")</f>
        <v>Chhaya</v>
      </c>
      <c r="H66" s="1"/>
      <c r="I66" s="1" t="str">
        <f>IFERROR(__xludf.DUMMYFUNCTION("""COMPUTED_VALUE"""),"Antic gold set dissed advance payment done")</f>
        <v>Antic gold set dissed advance payment done</v>
      </c>
      <c r="J66" s="1"/>
      <c r="K66" s="1"/>
      <c r="L66" s="1" t="str">
        <f>IFERROR(__xludf.DUMMYFUNCTION("""COMPUTED_VALUE"""),"Yes")</f>
        <v>Yes</v>
      </c>
      <c r="M66" s="1" t="str">
        <f>IFERROR(__xludf.DUMMYFUNCTION("""COMPUTED_VALUE"""),"Yes")</f>
        <v>Yes</v>
      </c>
      <c r="N66" s="1" t="str">
        <f>IFERROR(__xludf.DUMMYFUNCTION("""COMPUTED_VALUE"""),"Yes")</f>
        <v>Yes</v>
      </c>
      <c r="O66" s="1" t="str">
        <f>IFERROR(__xludf.DUMMYFUNCTION("""COMPUTED_VALUE"""),"WA ONLY")</f>
        <v>WA ONLY</v>
      </c>
      <c r="P66" s="1" t="str">
        <f>IFERROR(__xludf.DUMMYFUNCTION("""COMPUTED_VALUE"""),"Sir, Madam")</f>
        <v>Sir, Madam</v>
      </c>
      <c r="Q66" s="1"/>
      <c r="R66" s="1"/>
      <c r="S66" s="1"/>
    </row>
    <row r="67">
      <c r="A67" s="2">
        <f>IFERROR(__xludf.DUMMYFUNCTION("""COMPUTED_VALUE"""),45300.738871064816)</f>
        <v>45300.73887</v>
      </c>
      <c r="B67" s="1" t="str">
        <f>IFERROR(__xludf.DUMMYFUNCTION("""COMPUTED_VALUE"""),"Ritu rathi")</f>
        <v>Ritu rathi</v>
      </c>
      <c r="C67" s="1">
        <f>IFERROR(__xludf.DUMMYFUNCTION("""COMPUTED_VALUE"""),9.818802702E9)</f>
        <v>9818802702</v>
      </c>
      <c r="D67" s="1">
        <f>IFERROR(__xludf.DUMMYFUNCTION("""COMPUTED_VALUE"""),2.0)</f>
        <v>2</v>
      </c>
      <c r="E67" s="3">
        <f>IFERROR(__xludf.DUMMYFUNCTION("""COMPUTED_VALUE"""),0.5131944444437977)</f>
        <v>0.5131944444</v>
      </c>
      <c r="F67" s="1" t="str">
        <f>IFERROR(__xludf.DUMMYFUNCTION("""COMPUTED_VALUE"""),"Antic")</f>
        <v>Antic</v>
      </c>
      <c r="G67" s="1" t="str">
        <f>IFERROR(__xludf.DUMMYFUNCTION("""COMPUTED_VALUE"""),"Pooja")</f>
        <v>Pooja</v>
      </c>
      <c r="H67" s="1" t="str">
        <f>IFERROR(__xludf.DUMMYFUNCTION("""COMPUTED_VALUE"""),"Gold tops")</f>
        <v>Gold tops</v>
      </c>
      <c r="I67" s="1"/>
      <c r="J67" s="1" t="str">
        <f>IFERROR(__xludf.DUMMYFUNCTION("""COMPUTED_VALUE"""),"Done")</f>
        <v>Done</v>
      </c>
      <c r="K67" s="3">
        <f>IFERROR(__xludf.DUMMYFUNCTION("""COMPUTED_VALUE"""),0.08333333333575865)</f>
        <v>0.08333333334</v>
      </c>
      <c r="L67" s="1" t="str">
        <f>IFERROR(__xludf.DUMMYFUNCTION("""COMPUTED_VALUE"""),"Yes")</f>
        <v>Yes</v>
      </c>
      <c r="M67" s="1" t="str">
        <f>IFERROR(__xludf.DUMMYFUNCTION("""COMPUTED_VALUE"""),"Already done")</f>
        <v>Already done</v>
      </c>
      <c r="N67" s="1" t="str">
        <f>IFERROR(__xludf.DUMMYFUNCTION("""COMPUTED_VALUE"""),"Already done")</f>
        <v>Already done</v>
      </c>
      <c r="O67" s="1" t="str">
        <f>IFERROR(__xludf.DUMMYFUNCTION("""COMPUTED_VALUE"""),"WA ONLY")</f>
        <v>WA ONLY</v>
      </c>
      <c r="P67" s="1" t="str">
        <f>IFERROR(__xludf.DUMMYFUNCTION("""COMPUTED_VALUE"""),"Madam")</f>
        <v>Madam</v>
      </c>
      <c r="Q67" s="1"/>
      <c r="R67" s="1"/>
      <c r="S67" s="1"/>
    </row>
    <row r="68">
      <c r="A68" s="2">
        <f>IFERROR(__xludf.DUMMYFUNCTION("""COMPUTED_VALUE"""),45300.74003880787)</f>
        <v>45300.74004</v>
      </c>
      <c r="B68" s="1" t="str">
        <f>IFERROR(__xludf.DUMMYFUNCTION("""COMPUTED_VALUE"""),"Shivani")</f>
        <v>Shivani</v>
      </c>
      <c r="C68" s="1">
        <f>IFERROR(__xludf.DUMMYFUNCTION("""COMPUTED_VALUE"""),9.56034111E9)</f>
        <v>9560341110</v>
      </c>
      <c r="D68" s="1">
        <f>IFERROR(__xludf.DUMMYFUNCTION("""COMPUTED_VALUE"""),4.0)</f>
        <v>4</v>
      </c>
      <c r="E68" s="3">
        <f>IFERROR(__xludf.DUMMYFUNCTION("""COMPUTED_VALUE"""),0.5131944444437977)</f>
        <v>0.5131944444</v>
      </c>
      <c r="F68" s="1" t="str">
        <f>IFERROR(__xludf.DUMMYFUNCTION("""COMPUTED_VALUE"""),"Diamond ")</f>
        <v>Diamond </v>
      </c>
      <c r="G68" s="1" t="str">
        <f>IFERROR(__xludf.DUMMYFUNCTION("""COMPUTED_VALUE"""),"Chhaya")</f>
        <v>Chhaya</v>
      </c>
      <c r="H68" s="1"/>
      <c r="I68" s="1" t="str">
        <f>IFERROR(__xludf.DUMMYFUNCTION("""COMPUTED_VALUE"""),"Order diamond ring")</f>
        <v>Order diamond ring</v>
      </c>
      <c r="J68" s="1" t="str">
        <f>IFERROR(__xludf.DUMMYFUNCTION("""COMPUTED_VALUE"""),"Kitty done")</f>
        <v>Kitty done</v>
      </c>
      <c r="K68" s="3">
        <f>IFERROR(__xludf.DUMMYFUNCTION("""COMPUTED_VALUE"""),0.05138888888905058)</f>
        <v>0.05138888889</v>
      </c>
      <c r="L68" s="1" t="str">
        <f>IFERROR(__xludf.DUMMYFUNCTION("""COMPUTED_VALUE"""),"Yes")</f>
        <v>Yes</v>
      </c>
      <c r="M68" s="1" t="str">
        <f>IFERROR(__xludf.DUMMYFUNCTION("""COMPUTED_VALUE"""),"Already done")</f>
        <v>Already done</v>
      </c>
      <c r="N68" s="1" t="str">
        <f>IFERROR(__xludf.DUMMYFUNCTION("""COMPUTED_VALUE"""),"Already done")</f>
        <v>Already done</v>
      </c>
      <c r="O68" s="1" t="str">
        <f>IFERROR(__xludf.DUMMYFUNCTION("""COMPUTED_VALUE"""),"WA ONLY")</f>
        <v>WA ONLY</v>
      </c>
      <c r="P68" s="1" t="str">
        <f>IFERROR(__xludf.DUMMYFUNCTION("""COMPUTED_VALUE"""),"Madam")</f>
        <v>Madam</v>
      </c>
      <c r="Q68" s="1"/>
      <c r="R68" s="1"/>
      <c r="S68" s="1"/>
    </row>
    <row r="69">
      <c r="A69" s="2">
        <f>IFERROR(__xludf.DUMMYFUNCTION("""COMPUTED_VALUE"""),45300.7410861574)</f>
        <v>45300.74109</v>
      </c>
      <c r="B69" s="1" t="str">
        <f>IFERROR(__xludf.DUMMYFUNCTION("""COMPUTED_VALUE"""),"Khushbu vijay")</f>
        <v>Khushbu vijay</v>
      </c>
      <c r="C69" s="1">
        <f>IFERROR(__xludf.DUMMYFUNCTION("""COMPUTED_VALUE"""),7.021020509E9)</f>
        <v>7021020509</v>
      </c>
      <c r="D69" s="1">
        <f>IFERROR(__xludf.DUMMYFUNCTION("""COMPUTED_VALUE"""),2.0)</f>
        <v>2</v>
      </c>
      <c r="E69" s="3">
        <f>IFERROR(__xludf.DUMMYFUNCTION("""COMPUTED_VALUE"""),0.06805555555911269)</f>
        <v>0.06805555556</v>
      </c>
      <c r="F69" s="1" t="str">
        <f>IFERROR(__xludf.DUMMYFUNCTION("""COMPUTED_VALUE"""),"Gold")</f>
        <v>Gold</v>
      </c>
      <c r="G69" s="1" t="str">
        <f>IFERROR(__xludf.DUMMYFUNCTION("""COMPUTED_VALUE"""),"Chhaya")</f>
        <v>Chhaya</v>
      </c>
      <c r="H69" s="1"/>
      <c r="I69" s="1" t="str">
        <f>IFERROR(__xludf.DUMMYFUNCTION("""COMPUTED_VALUE"""),"Order ")</f>
        <v>Order </v>
      </c>
      <c r="J69" s="1"/>
      <c r="K69" s="3">
        <f>IFERROR(__xludf.DUMMYFUNCTION("""COMPUTED_VALUE"""),0.10694444444379769)</f>
        <v>0.1069444444</v>
      </c>
      <c r="L69" s="1" t="str">
        <f>IFERROR(__xludf.DUMMYFUNCTION("""COMPUTED_VALUE"""),"Yes")</f>
        <v>Yes</v>
      </c>
      <c r="M69" s="1" t="str">
        <f>IFERROR(__xludf.DUMMYFUNCTION("""COMPUTED_VALUE"""),"Already done")</f>
        <v>Already done</v>
      </c>
      <c r="N69" s="1" t="str">
        <f>IFERROR(__xludf.DUMMYFUNCTION("""COMPUTED_VALUE"""),"Already done")</f>
        <v>Already done</v>
      </c>
      <c r="O69" s="1" t="str">
        <f>IFERROR(__xludf.DUMMYFUNCTION("""COMPUTED_VALUE"""),"WA ONLY")</f>
        <v>WA ONLY</v>
      </c>
      <c r="P69" s="1" t="str">
        <f>IFERROR(__xludf.DUMMYFUNCTION("""COMPUTED_VALUE"""),"Sir, Madam")</f>
        <v>Sir, Madam</v>
      </c>
      <c r="Q69" s="1"/>
      <c r="R69" s="1"/>
      <c r="S69" s="1"/>
    </row>
    <row r="70">
      <c r="A70" s="2">
        <f>IFERROR(__xludf.DUMMYFUNCTION("""COMPUTED_VALUE"""),45301.75851650463)</f>
        <v>45301.75852</v>
      </c>
      <c r="B70" s="1" t="str">
        <f>IFERROR(__xludf.DUMMYFUNCTION("""COMPUTED_VALUE"""),"Rakesh ravi")</f>
        <v>Rakesh ravi</v>
      </c>
      <c r="C70" s="1">
        <f>IFERROR(__xludf.DUMMYFUNCTION("""COMPUTED_VALUE"""),9.711428669E9)</f>
        <v>9711428669</v>
      </c>
      <c r="D70" s="1">
        <f>IFERROR(__xludf.DUMMYFUNCTION("""COMPUTED_VALUE"""),1.0)</f>
        <v>1</v>
      </c>
      <c r="E70" s="3">
        <f>IFERROR(__xludf.DUMMYFUNCTION("""COMPUTED_VALUE"""),0.09722222221898846)</f>
        <v>0.09722222222</v>
      </c>
      <c r="F70" s="1" t="str">
        <f>IFERROR(__xludf.DUMMYFUNCTION("""COMPUTED_VALUE"""),"Diamond ")</f>
        <v>Diamond </v>
      </c>
      <c r="G70" s="1" t="str">
        <f>IFERROR(__xludf.DUMMYFUNCTION("""COMPUTED_VALUE"""),"Reena")</f>
        <v>Reena</v>
      </c>
      <c r="H70" s="1" t="str">
        <f>IFERROR(__xludf.DUMMYFUNCTION("""COMPUTED_VALUE"""),"Silver god")</f>
        <v>Silver god</v>
      </c>
      <c r="I70" s="1"/>
      <c r="J70" s="1" t="str">
        <f>IFERROR(__xludf.DUMMYFUNCTION("""COMPUTED_VALUE"""),"Not interested ")</f>
        <v>Not interested </v>
      </c>
      <c r="K70" s="3">
        <f>IFERROR(__xludf.DUMMYFUNCTION("""COMPUTED_VALUE"""),0.12847222221898846)</f>
        <v>0.1284722222</v>
      </c>
      <c r="L70" s="1" t="str">
        <f>IFERROR(__xludf.DUMMYFUNCTION("""COMPUTED_VALUE"""),"Yes")</f>
        <v>Yes</v>
      </c>
      <c r="M70" s="1" t="str">
        <f>IFERROR(__xludf.DUMMYFUNCTION("""COMPUTED_VALUE"""),"Yes")</f>
        <v>Yes</v>
      </c>
      <c r="N70" s="1" t="str">
        <f>IFERROR(__xludf.DUMMYFUNCTION("""COMPUTED_VALUE"""),"Yes")</f>
        <v>Yes</v>
      </c>
      <c r="O70" s="1" t="str">
        <f>IFERROR(__xludf.DUMMYFUNCTION("""COMPUTED_VALUE"""),"WA ONLY")</f>
        <v>WA ONLY</v>
      </c>
      <c r="P70" s="1" t="str">
        <f>IFERROR(__xludf.DUMMYFUNCTION("""COMPUTED_VALUE"""),"Sir")</f>
        <v>Sir</v>
      </c>
      <c r="Q70" s="1"/>
      <c r="R70" s="1"/>
      <c r="S70" s="1"/>
    </row>
    <row r="71">
      <c r="A71" s="2">
        <f>IFERROR(__xludf.DUMMYFUNCTION("""COMPUTED_VALUE"""),45301.76110664352)</f>
        <v>45301.76111</v>
      </c>
      <c r="B71" s="1" t="str">
        <f>IFERROR(__xludf.DUMMYFUNCTION("""COMPUTED_VALUE"""),"Shiba")</f>
        <v>Shiba</v>
      </c>
      <c r="C71" s="1">
        <f>IFERROR(__xludf.DUMMYFUNCTION("""COMPUTED_VALUE"""),4.88017818E8)</f>
        <v>488017818</v>
      </c>
      <c r="D71" s="1">
        <f>IFERROR(__xludf.DUMMYFUNCTION("""COMPUTED_VALUE"""),4.0)</f>
        <v>4</v>
      </c>
      <c r="E71" s="3">
        <f>IFERROR(__xludf.DUMMYFUNCTION("""COMPUTED_VALUE"""),0.1055555555576575)</f>
        <v>0.1055555556</v>
      </c>
      <c r="F71" s="1" t="str">
        <f>IFERROR(__xludf.DUMMYFUNCTION("""COMPUTED_VALUE"""),"Diamond ")</f>
        <v>Diamond </v>
      </c>
      <c r="G71" s="1" t="str">
        <f>IFERROR(__xludf.DUMMYFUNCTION("""COMPUTED_VALUE"""),"Kamini")</f>
        <v>Kamini</v>
      </c>
      <c r="H71" s="1"/>
      <c r="I71" s="1" t="str">
        <f>IFERROR(__xludf.DUMMYFUNCTION("""COMPUTED_VALUE"""),"Diamond earing order ")</f>
        <v>Diamond earing order </v>
      </c>
      <c r="J71" s="1"/>
      <c r="K71" s="3">
        <f>IFERROR(__xludf.DUMMYFUNCTION("""COMPUTED_VALUE"""),0.15347222222044365)</f>
        <v>0.1534722222</v>
      </c>
      <c r="L71" s="1" t="str">
        <f>IFERROR(__xludf.DUMMYFUNCTION("""COMPUTED_VALUE"""),"Yes")</f>
        <v>Yes</v>
      </c>
      <c r="M71" s="1" t="str">
        <f>IFERROR(__xludf.DUMMYFUNCTION("""COMPUTED_VALUE"""),"Already done")</f>
        <v>Already done</v>
      </c>
      <c r="N71" s="1" t="str">
        <f>IFERROR(__xludf.DUMMYFUNCTION("""COMPUTED_VALUE"""),"Already done")</f>
        <v>Already done</v>
      </c>
      <c r="O71" s="1" t="str">
        <f>IFERROR(__xludf.DUMMYFUNCTION("""COMPUTED_VALUE"""),"WA ONLY")</f>
        <v>WA ONLY</v>
      </c>
      <c r="P71" s="1" t="str">
        <f>IFERROR(__xludf.DUMMYFUNCTION("""COMPUTED_VALUE"""),"Madam")</f>
        <v>Madam</v>
      </c>
      <c r="Q71" s="1"/>
      <c r="R71" s="1"/>
      <c r="S71" s="1"/>
    </row>
    <row r="72">
      <c r="A72" s="2">
        <f>IFERROR(__xludf.DUMMYFUNCTION("""COMPUTED_VALUE"""),45301.76203751157)</f>
        <v>45301.76204</v>
      </c>
      <c r="B72" s="1" t="str">
        <f>IFERROR(__xludf.DUMMYFUNCTION("""COMPUTED_VALUE"""),"Manjeet")</f>
        <v>Manjeet</v>
      </c>
      <c r="C72" s="1">
        <f>IFERROR(__xludf.DUMMYFUNCTION("""COMPUTED_VALUE"""),9.743705979E9)</f>
        <v>9743705979</v>
      </c>
      <c r="D72" s="1">
        <f>IFERROR(__xludf.DUMMYFUNCTION("""COMPUTED_VALUE"""),2.0)</f>
        <v>2</v>
      </c>
      <c r="E72" s="3">
        <f>IFERROR(__xludf.DUMMYFUNCTION("""COMPUTED_VALUE"""),0.09930555555911269)</f>
        <v>0.09930555556</v>
      </c>
      <c r="F72" s="1" t="str">
        <f>IFERROR(__xludf.DUMMYFUNCTION("""COMPUTED_VALUE"""),"Antic")</f>
        <v>Antic</v>
      </c>
      <c r="G72" s="1" t="str">
        <f>IFERROR(__xludf.DUMMYFUNCTION("""COMPUTED_VALUE"""),"Chhaya")</f>
        <v>Chhaya</v>
      </c>
      <c r="H72" s="1" t="str">
        <f>IFERROR(__xludf.DUMMYFUNCTION("""COMPUTED_VALUE"""),"Antic gold set, silver payal")</f>
        <v>Antic gold set, silver payal</v>
      </c>
      <c r="I72" s="1"/>
      <c r="J72" s="1" t="str">
        <f>IFERROR(__xludf.DUMMYFUNCTION("""COMPUTED_VALUE"""),"Not interested ")</f>
        <v>Not interested </v>
      </c>
      <c r="K72" s="3">
        <f>IFERROR(__xludf.DUMMYFUNCTION("""COMPUTED_VALUE"""),0.19861111111094942)</f>
        <v>0.1986111111</v>
      </c>
      <c r="L72" s="1" t="str">
        <f>IFERROR(__xludf.DUMMYFUNCTION("""COMPUTED_VALUE"""),"Yes")</f>
        <v>Yes</v>
      </c>
      <c r="M72" s="1" t="str">
        <f>IFERROR(__xludf.DUMMYFUNCTION("""COMPUTED_VALUE"""),"Already done")</f>
        <v>Already done</v>
      </c>
      <c r="N72" s="1" t="str">
        <f>IFERROR(__xludf.DUMMYFUNCTION("""COMPUTED_VALUE"""),"Already done")</f>
        <v>Already done</v>
      </c>
      <c r="O72" s="1" t="str">
        <f>IFERROR(__xludf.DUMMYFUNCTION("""COMPUTED_VALUE"""),"WA ONLY")</f>
        <v>WA ONLY</v>
      </c>
      <c r="P72" s="1" t="str">
        <f>IFERROR(__xludf.DUMMYFUNCTION("""COMPUTED_VALUE"""),"Sir, Madam")</f>
        <v>Sir, Madam</v>
      </c>
      <c r="Q72" s="1"/>
      <c r="R72" s="1"/>
      <c r="S72" s="1"/>
    </row>
    <row r="73">
      <c r="A73" s="2">
        <f>IFERROR(__xludf.DUMMYFUNCTION("""COMPUTED_VALUE"""),45301.7630774537)</f>
        <v>45301.76308</v>
      </c>
      <c r="B73" s="1" t="str">
        <f>IFERROR(__xludf.DUMMYFUNCTION("""COMPUTED_VALUE"""),"Sanchit")</f>
        <v>Sanchit</v>
      </c>
      <c r="C73" s="1">
        <f>IFERROR(__xludf.DUMMYFUNCTION("""COMPUTED_VALUE"""),9.821136219E9)</f>
        <v>9821136219</v>
      </c>
      <c r="D73" s="1">
        <f>IFERROR(__xludf.DUMMYFUNCTION("""COMPUTED_VALUE"""),1.0)</f>
        <v>1</v>
      </c>
      <c r="E73" s="3">
        <f>IFERROR(__xludf.DUMMYFUNCTION("""COMPUTED_VALUE"""),0.14513888888905058)</f>
        <v>0.1451388889</v>
      </c>
      <c r="F73" s="1" t="str">
        <f>IFERROR(__xludf.DUMMYFUNCTION("""COMPUTED_VALUE"""),"Antic")</f>
        <v>Antic</v>
      </c>
      <c r="G73" s="1" t="str">
        <f>IFERROR(__xludf.DUMMYFUNCTION("""COMPUTED_VALUE"""),"Pooja")</f>
        <v>Pooja</v>
      </c>
      <c r="H73" s="1"/>
      <c r="I73" s="1" t="str">
        <f>IFERROR(__xludf.DUMMYFUNCTION("""COMPUTED_VALUE"""),"Visit again ")</f>
        <v>Visit again </v>
      </c>
      <c r="J73" s="1" t="str">
        <f>IFERROR(__xludf.DUMMYFUNCTION("""COMPUTED_VALUE"""),"Visit again ")</f>
        <v>Visit again </v>
      </c>
      <c r="K73" s="3">
        <f>IFERROR(__xludf.DUMMYFUNCTION("""COMPUTED_VALUE"""),0.1506944444408873)</f>
        <v>0.1506944444</v>
      </c>
      <c r="L73" s="1" t="str">
        <f>IFERROR(__xludf.DUMMYFUNCTION("""COMPUTED_VALUE"""),"Yes")</f>
        <v>Yes</v>
      </c>
      <c r="M73" s="1" t="str">
        <f>IFERROR(__xludf.DUMMYFUNCTION("""COMPUTED_VALUE"""),"After purchase ")</f>
        <v>After purchase </v>
      </c>
      <c r="N73" s="1" t="str">
        <f>IFERROR(__xludf.DUMMYFUNCTION("""COMPUTED_VALUE"""),"After purchase")</f>
        <v>After purchase</v>
      </c>
      <c r="O73" s="1" t="str">
        <f>IFERROR(__xludf.DUMMYFUNCTION("""COMPUTED_VALUE"""),"WA ONLY")</f>
        <v>WA ONLY</v>
      </c>
      <c r="P73" s="1" t="str">
        <f>IFERROR(__xludf.DUMMYFUNCTION("""COMPUTED_VALUE"""),"Sir")</f>
        <v>Sir</v>
      </c>
      <c r="Q73" s="1"/>
      <c r="R73" s="1"/>
      <c r="S73" s="1"/>
    </row>
    <row r="74">
      <c r="A74" s="2">
        <f>IFERROR(__xludf.DUMMYFUNCTION("""COMPUTED_VALUE"""),45302.77454033565)</f>
        <v>45302.77454</v>
      </c>
      <c r="B74" s="1" t="str">
        <f>IFERROR(__xludf.DUMMYFUNCTION("""COMPUTED_VALUE"""),"Pc sharma")</f>
        <v>Pc sharma</v>
      </c>
      <c r="C74" s="1">
        <f>IFERROR(__xludf.DUMMYFUNCTION("""COMPUTED_VALUE"""),9.810068111E9)</f>
        <v>9810068111</v>
      </c>
      <c r="D74" s="1">
        <f>IFERROR(__xludf.DUMMYFUNCTION("""COMPUTED_VALUE"""),2.0)</f>
        <v>2</v>
      </c>
      <c r="E74" s="3">
        <f>IFERROR(__xludf.DUMMYFUNCTION("""COMPUTED_VALUE"""),0.04513888889050577)</f>
        <v>0.04513888889</v>
      </c>
      <c r="F74" s="1" t="str">
        <f>IFERROR(__xludf.DUMMYFUNCTION("""COMPUTED_VALUE"""),"Diamond ")</f>
        <v>Diamond </v>
      </c>
      <c r="G74" s="1" t="str">
        <f>IFERROR(__xludf.DUMMYFUNCTION("""COMPUTED_VALUE"""),"Reena")</f>
        <v>Reena</v>
      </c>
      <c r="H74" s="1" t="str">
        <f>IFERROR(__xludf.DUMMYFUNCTION("""COMPUTED_VALUE"""),"Chain with diamond pendant ")</f>
        <v>Chain with diamond pendant </v>
      </c>
      <c r="I74" s="1"/>
      <c r="J74" s="1" t="str">
        <f>IFERROR(__xludf.DUMMYFUNCTION("""COMPUTED_VALUE"""),"Not interested ")</f>
        <v>Not interested </v>
      </c>
      <c r="K74" s="3">
        <f>IFERROR(__xludf.DUMMYFUNCTION("""COMPUTED_VALUE"""),0.08680555555474712)</f>
        <v>0.08680555555</v>
      </c>
      <c r="L74" s="1" t="str">
        <f>IFERROR(__xludf.DUMMYFUNCTION("""COMPUTED_VALUE"""),"Yes")</f>
        <v>Yes</v>
      </c>
      <c r="M74" s="1" t="str">
        <f>IFERROR(__xludf.DUMMYFUNCTION("""COMPUTED_VALUE"""),"No")</f>
        <v>No</v>
      </c>
      <c r="N74" s="1" t="str">
        <f>IFERROR(__xludf.DUMMYFUNCTION("""COMPUTED_VALUE"""),"Not use")</f>
        <v>Not use</v>
      </c>
      <c r="O74" s="1" t="str">
        <f>IFERROR(__xludf.DUMMYFUNCTION("""COMPUTED_VALUE"""),"WA ONLY")</f>
        <v>WA ONLY</v>
      </c>
      <c r="P74" s="1" t="str">
        <f>IFERROR(__xludf.DUMMYFUNCTION("""COMPUTED_VALUE"""),"Sir, Madam")</f>
        <v>Sir, Madam</v>
      </c>
      <c r="Q74" s="1"/>
      <c r="R74" s="1"/>
      <c r="S74" s="1"/>
    </row>
    <row r="75">
      <c r="A75" s="2">
        <f>IFERROR(__xludf.DUMMYFUNCTION("""COMPUTED_VALUE"""),45302.77574606481)</f>
        <v>45302.77575</v>
      </c>
      <c r="B75" s="1" t="str">
        <f>IFERROR(__xludf.DUMMYFUNCTION("""COMPUTED_VALUE"""),"Shiba")</f>
        <v>Shiba</v>
      </c>
      <c r="C75" s="1" t="str">
        <f>IFERROR(__xludf.DUMMYFUNCTION("""COMPUTED_VALUE"""),"61+488017818")</f>
        <v>61+488017818</v>
      </c>
      <c r="D75" s="1">
        <f>IFERROR(__xludf.DUMMYFUNCTION("""COMPUTED_VALUE"""),1.0)</f>
        <v>1</v>
      </c>
      <c r="E75" s="3">
        <f>IFERROR(__xludf.DUMMYFUNCTION("""COMPUTED_VALUE"""),0.11805555555474712)</f>
        <v>0.1180555556</v>
      </c>
      <c r="F75" s="1" t="str">
        <f>IFERROR(__xludf.DUMMYFUNCTION("""COMPUTED_VALUE"""),"Diamond ")</f>
        <v>Diamond </v>
      </c>
      <c r="G75" s="1" t="str">
        <f>IFERROR(__xludf.DUMMYFUNCTION("""COMPUTED_VALUE"""),"Kamini")</f>
        <v>Kamini</v>
      </c>
      <c r="H75" s="1"/>
      <c r="I75" s="1" t="str">
        <f>IFERROR(__xludf.DUMMYFUNCTION("""COMPUTED_VALUE"""),"Repair ")</f>
        <v>Repair </v>
      </c>
      <c r="J75" s="1" t="str">
        <f>IFERROR(__xludf.DUMMYFUNCTION("""COMPUTED_VALUE"""),"Not interested ")</f>
        <v>Not interested </v>
      </c>
      <c r="K75" s="3">
        <f>IFERROR(__xludf.DUMMYFUNCTION("""COMPUTED_VALUE"""),0.13541666666424135)</f>
        <v>0.1354166667</v>
      </c>
      <c r="L75" s="1" t="str">
        <f>IFERROR(__xludf.DUMMYFUNCTION("""COMPUTED_VALUE"""),"Yes")</f>
        <v>Yes</v>
      </c>
      <c r="M75" s="1" t="str">
        <f>IFERROR(__xludf.DUMMYFUNCTION("""COMPUTED_VALUE"""),"Yes")</f>
        <v>Yes</v>
      </c>
      <c r="N75" s="1" t="str">
        <f>IFERROR(__xludf.DUMMYFUNCTION("""COMPUTED_VALUE"""),"Already done")</f>
        <v>Already done</v>
      </c>
      <c r="O75" s="1" t="str">
        <f>IFERROR(__xludf.DUMMYFUNCTION("""COMPUTED_VALUE"""),"WA ONLY")</f>
        <v>WA ONLY</v>
      </c>
      <c r="P75" s="1" t="str">
        <f>IFERROR(__xludf.DUMMYFUNCTION("""COMPUTED_VALUE"""),"Madam")</f>
        <v>Madam</v>
      </c>
      <c r="Q75" s="1"/>
      <c r="R75" s="1"/>
      <c r="S75" s="1"/>
    </row>
    <row r="76">
      <c r="A76" s="2">
        <f>IFERROR(__xludf.DUMMYFUNCTION("""COMPUTED_VALUE"""),45302.77721719907)</f>
        <v>45302.77722</v>
      </c>
      <c r="B76" s="1" t="str">
        <f>IFERROR(__xludf.DUMMYFUNCTION("""COMPUTED_VALUE"""),"Sumit ")</f>
        <v>Sumit </v>
      </c>
      <c r="C76" s="1">
        <f>IFERROR(__xludf.DUMMYFUNCTION("""COMPUTED_VALUE"""),9.89922268E9)</f>
        <v>9899222680</v>
      </c>
      <c r="D76" s="1">
        <f>IFERROR(__xludf.DUMMYFUNCTION("""COMPUTED_VALUE"""),2.0)</f>
        <v>2</v>
      </c>
      <c r="E76" s="3">
        <f>IFERROR(__xludf.DUMMYFUNCTION("""COMPUTED_VALUE"""),0.18402777778101154)</f>
        <v>0.1840277778</v>
      </c>
      <c r="F76" s="1" t="str">
        <f>IFERROR(__xludf.DUMMYFUNCTION("""COMPUTED_VALUE"""),"Diamond ")</f>
        <v>Diamond </v>
      </c>
      <c r="G76" s="1" t="str">
        <f>IFERROR(__xludf.DUMMYFUNCTION("""COMPUTED_VALUE"""),"Reena")</f>
        <v>Reena</v>
      </c>
      <c r="H76" s="1"/>
      <c r="I76" s="1" t="str">
        <f>IFERROR(__xludf.DUMMYFUNCTION("""COMPUTED_VALUE"""),"Repair ")</f>
        <v>Repair </v>
      </c>
      <c r="J76" s="1"/>
      <c r="K76" s="3">
        <f>IFERROR(__xludf.DUMMYFUNCTION("""COMPUTED_VALUE"""),0.2055555555562023)</f>
        <v>0.2055555556</v>
      </c>
      <c r="L76" s="1" t="str">
        <f>IFERROR(__xludf.DUMMYFUNCTION("""COMPUTED_VALUE"""),"Yes")</f>
        <v>Yes</v>
      </c>
      <c r="M76" s="1" t="str">
        <f>IFERROR(__xludf.DUMMYFUNCTION("""COMPUTED_VALUE"""),"Already done")</f>
        <v>Already done</v>
      </c>
      <c r="N76" s="1" t="str">
        <f>IFERROR(__xludf.DUMMYFUNCTION("""COMPUTED_VALUE"""),"Already done")</f>
        <v>Already done</v>
      </c>
      <c r="O76" s="1" t="str">
        <f>IFERROR(__xludf.DUMMYFUNCTION("""COMPUTED_VALUE"""),"WA ONLY")</f>
        <v>WA ONLY</v>
      </c>
      <c r="P76" s="1" t="str">
        <f>IFERROR(__xludf.DUMMYFUNCTION("""COMPUTED_VALUE"""),"Sir, Madam")</f>
        <v>Sir, Madam</v>
      </c>
      <c r="Q76" s="1"/>
      <c r="R76" s="1"/>
      <c r="S76" s="1"/>
    </row>
    <row r="77">
      <c r="A77" s="2">
        <f>IFERROR(__xludf.DUMMYFUNCTION("""COMPUTED_VALUE"""),45302.80746491898)</f>
        <v>45302.80746</v>
      </c>
      <c r="B77" s="1" t="str">
        <f>IFERROR(__xludf.DUMMYFUNCTION("""COMPUTED_VALUE"""),"Vabhav garg")</f>
        <v>Vabhav garg</v>
      </c>
      <c r="C77" s="1" t="str">
        <f>IFERROR(__xludf.DUMMYFUNCTION("""COMPUTED_VALUE"""),"0911019947")</f>
        <v>0911019947</v>
      </c>
      <c r="D77" s="1">
        <f>IFERROR(__xludf.DUMMYFUNCTION("""COMPUTED_VALUE"""),1.0)</f>
        <v>1</v>
      </c>
      <c r="E77" s="3">
        <f>IFERROR(__xludf.DUMMYFUNCTION("""COMPUTED_VALUE"""),0.26041666666424135)</f>
        <v>0.2604166667</v>
      </c>
      <c r="F77" s="1" t="str">
        <f>IFERROR(__xludf.DUMMYFUNCTION("""COMPUTED_VALUE"""),"Gold")</f>
        <v>Gold</v>
      </c>
      <c r="G77" s="1" t="str">
        <f>IFERROR(__xludf.DUMMYFUNCTION("""COMPUTED_VALUE"""),"Bhumika ")</f>
        <v>Bhumika </v>
      </c>
      <c r="H77" s="1"/>
      <c r="I77" s="1" t="str">
        <f>IFERROR(__xludf.DUMMYFUNCTION("""COMPUTED_VALUE"""),"Confirm gold rate")</f>
        <v>Confirm gold rate</v>
      </c>
      <c r="J77" s="1" t="str">
        <f>IFERROR(__xludf.DUMMYFUNCTION("""COMPUTED_VALUE"""),"Visit again ")</f>
        <v>Visit again </v>
      </c>
      <c r="K77" s="3">
        <f>IFERROR(__xludf.DUMMYFUNCTION("""COMPUTED_VALUE"""),0.2930555555576575)</f>
        <v>0.2930555556</v>
      </c>
      <c r="L77" s="1" t="str">
        <f>IFERROR(__xludf.DUMMYFUNCTION("""COMPUTED_VALUE"""),"Yes")</f>
        <v>Yes</v>
      </c>
      <c r="M77" s="1" t="str">
        <f>IFERROR(__xludf.DUMMYFUNCTION("""COMPUTED_VALUE"""),"Visit again ")</f>
        <v>Visit again </v>
      </c>
      <c r="N77" s="1" t="str">
        <f>IFERROR(__xludf.DUMMYFUNCTION("""COMPUTED_VALUE"""),"Visit again")</f>
        <v>Visit again</v>
      </c>
      <c r="O77" s="1" t="str">
        <f>IFERROR(__xludf.DUMMYFUNCTION("""COMPUTED_VALUE"""),"WA ONLY")</f>
        <v>WA ONLY</v>
      </c>
      <c r="P77" s="1" t="str">
        <f>IFERROR(__xludf.DUMMYFUNCTION("""COMPUTED_VALUE"""),"Sir")</f>
        <v>Sir</v>
      </c>
      <c r="Q77" s="1"/>
      <c r="R77" s="1"/>
      <c r="S77" s="1"/>
    </row>
    <row r="78">
      <c r="A78" s="2">
        <f>IFERROR(__xludf.DUMMYFUNCTION("""COMPUTED_VALUE"""),45302.808311064815)</f>
        <v>45302.80831</v>
      </c>
      <c r="B78" s="1" t="str">
        <f>IFERROR(__xludf.DUMMYFUNCTION("""COMPUTED_VALUE"""),"Rajni")</f>
        <v>Rajni</v>
      </c>
      <c r="C78" s="1">
        <f>IFERROR(__xludf.DUMMYFUNCTION("""COMPUTED_VALUE"""),9.711216574E9)</f>
        <v>9711216574</v>
      </c>
      <c r="D78" s="1">
        <f>IFERROR(__xludf.DUMMYFUNCTION("""COMPUTED_VALUE"""),3.0)</f>
        <v>3</v>
      </c>
      <c r="E78" s="3">
        <f>IFERROR(__xludf.DUMMYFUNCTION("""COMPUTED_VALUE"""),0.2881944444452529)</f>
        <v>0.2881944444</v>
      </c>
      <c r="F78" s="1" t="str">
        <f>IFERROR(__xludf.DUMMYFUNCTION("""COMPUTED_VALUE"""),"Diamond ")</f>
        <v>Diamond </v>
      </c>
      <c r="G78" s="1" t="str">
        <f>IFERROR(__xludf.DUMMYFUNCTION("""COMPUTED_VALUE"""),"Reena,pooja")</f>
        <v>Reena,pooja</v>
      </c>
      <c r="H78" s="1"/>
      <c r="I78" s="1" t="str">
        <f>IFERROR(__xludf.DUMMYFUNCTION("""COMPUTED_VALUE"""),"Visit again")</f>
        <v>Visit again</v>
      </c>
      <c r="J78" s="1" t="str">
        <f>IFERROR(__xludf.DUMMYFUNCTION("""COMPUTED_VALUE"""),"Visit again")</f>
        <v>Visit again</v>
      </c>
      <c r="K78" s="3">
        <f>IFERROR(__xludf.DUMMYFUNCTION("""COMPUTED_VALUE"""),0.2930555555576575)</f>
        <v>0.2930555556</v>
      </c>
      <c r="L78" s="1" t="str">
        <f>IFERROR(__xludf.DUMMYFUNCTION("""COMPUTED_VALUE"""),"Yes")</f>
        <v>Yes</v>
      </c>
      <c r="M78" s="1" t="str">
        <f>IFERROR(__xludf.DUMMYFUNCTION("""COMPUTED_VALUE"""),"After purchase")</f>
        <v>After purchase</v>
      </c>
      <c r="N78" s="1" t="str">
        <f>IFERROR(__xludf.DUMMYFUNCTION("""COMPUTED_VALUE"""),"After purchase")</f>
        <v>After purchase</v>
      </c>
      <c r="O78" s="1" t="str">
        <f>IFERROR(__xludf.DUMMYFUNCTION("""COMPUTED_VALUE"""),"WA ONLY")</f>
        <v>WA ONLY</v>
      </c>
      <c r="P78" s="1" t="str">
        <f>IFERROR(__xludf.DUMMYFUNCTION("""COMPUTED_VALUE"""),"Madam")</f>
        <v>Madam</v>
      </c>
      <c r="Q78" s="1"/>
      <c r="R78" s="1"/>
      <c r="S78" s="1"/>
    </row>
    <row r="79">
      <c r="A79" s="2">
        <f>IFERROR(__xludf.DUMMYFUNCTION("""COMPUTED_VALUE"""),45303.77224979167)</f>
        <v>45303.77225</v>
      </c>
      <c r="B79" s="1" t="str">
        <f>IFERROR(__xludf.DUMMYFUNCTION("""COMPUTED_VALUE"""),"Anita kapoor")</f>
        <v>Anita kapoor</v>
      </c>
      <c r="C79" s="1">
        <f>IFERROR(__xludf.DUMMYFUNCTION("""COMPUTED_VALUE"""),8.010046101E9)</f>
        <v>8010046101</v>
      </c>
      <c r="D79" s="1">
        <f>IFERROR(__xludf.DUMMYFUNCTION("""COMPUTED_VALUE"""),2.0)</f>
        <v>2</v>
      </c>
      <c r="E79" s="3">
        <f>IFERROR(__xludf.DUMMYFUNCTION("""COMPUTED_VALUE"""),0.5395833333313931)</f>
        <v>0.5395833333</v>
      </c>
      <c r="F79" s="1" t="str">
        <f>IFERROR(__xludf.DUMMYFUNCTION("""COMPUTED_VALUE"""),"Diamond ")</f>
        <v>Diamond </v>
      </c>
      <c r="G79" s="1" t="str">
        <f>IFERROR(__xludf.DUMMYFUNCTION("""COMPUTED_VALUE"""),"Reena")</f>
        <v>Reena</v>
      </c>
      <c r="H79" s="1"/>
      <c r="I79" s="1" t="str">
        <f>IFERROR(__xludf.DUMMYFUNCTION("""COMPUTED_VALUE"""),"Repair ")</f>
        <v>Repair </v>
      </c>
      <c r="J79" s="1" t="str">
        <f>IFERROR(__xludf.DUMMYFUNCTION("""COMPUTED_VALUE"""),"Done")</f>
        <v>Done</v>
      </c>
      <c r="K79" s="3">
        <f>IFERROR(__xludf.DUMMYFUNCTION("""COMPUTED_VALUE"""),0.04166666666424135)</f>
        <v>0.04166666666</v>
      </c>
      <c r="L79" s="1" t="str">
        <f>IFERROR(__xludf.DUMMYFUNCTION("""COMPUTED_VALUE"""),"Yes")</f>
        <v>Yes</v>
      </c>
      <c r="M79" s="1" t="str">
        <f>IFERROR(__xludf.DUMMYFUNCTION("""COMPUTED_VALUE"""),"Already done")</f>
        <v>Already done</v>
      </c>
      <c r="N79" s="1" t="str">
        <f>IFERROR(__xludf.DUMMYFUNCTION("""COMPUTED_VALUE"""),"Already done")</f>
        <v>Already done</v>
      </c>
      <c r="O79" s="1" t="str">
        <f>IFERROR(__xludf.DUMMYFUNCTION("""COMPUTED_VALUE"""),"WA ONLY")</f>
        <v>WA ONLY</v>
      </c>
      <c r="P79" s="1" t="str">
        <f>IFERROR(__xludf.DUMMYFUNCTION("""COMPUTED_VALUE"""),"Sir, Madam")</f>
        <v>Sir, Madam</v>
      </c>
      <c r="Q79" s="1"/>
      <c r="R79" s="1"/>
      <c r="S79" s="1"/>
    </row>
    <row r="80">
      <c r="A80" s="2">
        <f>IFERROR(__xludf.DUMMYFUNCTION("""COMPUTED_VALUE"""),45304.74393373843)</f>
        <v>45304.74393</v>
      </c>
      <c r="B80" s="1" t="str">
        <f>IFERROR(__xludf.DUMMYFUNCTION("""COMPUTED_VALUE"""),"Seema")</f>
        <v>Seema</v>
      </c>
      <c r="C80" s="1">
        <f>IFERROR(__xludf.DUMMYFUNCTION("""COMPUTED_VALUE"""),9.643705979E9)</f>
        <v>9643705979</v>
      </c>
      <c r="D80" s="1">
        <f>IFERROR(__xludf.DUMMYFUNCTION("""COMPUTED_VALUE"""),2.0)</f>
        <v>2</v>
      </c>
      <c r="E80" s="3">
        <f>IFERROR(__xludf.DUMMYFUNCTION("""COMPUTED_VALUE"""),0.04166666666424135)</f>
        <v>0.04166666666</v>
      </c>
      <c r="F80" s="1" t="str">
        <f>IFERROR(__xludf.DUMMYFUNCTION("""COMPUTED_VALUE"""),"Gold")</f>
        <v>Gold</v>
      </c>
      <c r="G80" s="1" t="str">
        <f>IFERROR(__xludf.DUMMYFUNCTION("""COMPUTED_VALUE"""),"Bhumika")</f>
        <v>Bhumika</v>
      </c>
      <c r="H80" s="1"/>
      <c r="I80" s="1" t="str">
        <f>IFERROR(__xludf.DUMMYFUNCTION("""COMPUTED_VALUE"""),"Payment done")</f>
        <v>Payment done</v>
      </c>
      <c r="J80" s="1" t="str">
        <f>IFERROR(__xludf.DUMMYFUNCTION("""COMPUTED_VALUE"""),"Done")</f>
        <v>Done</v>
      </c>
      <c r="K80" s="3">
        <f>IFERROR(__xludf.DUMMYFUNCTION("""COMPUTED_VALUE"""),0.07291666666424135)</f>
        <v>0.07291666666</v>
      </c>
      <c r="L80" s="1" t="str">
        <f>IFERROR(__xludf.DUMMYFUNCTION("""COMPUTED_VALUE"""),"Yes")</f>
        <v>Yes</v>
      </c>
      <c r="M80" s="1" t="str">
        <f>IFERROR(__xludf.DUMMYFUNCTION("""COMPUTED_VALUE"""),"Already done")</f>
        <v>Already done</v>
      </c>
      <c r="N80" s="1" t="str">
        <f>IFERROR(__xludf.DUMMYFUNCTION("""COMPUTED_VALUE"""),"Already done")</f>
        <v>Already done</v>
      </c>
      <c r="O80" s="1" t="str">
        <f>IFERROR(__xludf.DUMMYFUNCTION("""COMPUTED_VALUE"""),"WA ONLY")</f>
        <v>WA ONLY</v>
      </c>
      <c r="P80" s="1" t="str">
        <f>IFERROR(__xludf.DUMMYFUNCTION("""COMPUTED_VALUE"""),"Madam")</f>
        <v>Madam</v>
      </c>
      <c r="Q80" s="1"/>
      <c r="R80" s="1"/>
      <c r="S80" s="1"/>
    </row>
    <row r="81">
      <c r="A81" s="2">
        <f>IFERROR(__xludf.DUMMYFUNCTION("""COMPUTED_VALUE"""),45304.747411550925)</f>
        <v>45304.74741</v>
      </c>
      <c r="B81" s="1" t="str">
        <f>IFERROR(__xludf.DUMMYFUNCTION("""COMPUTED_VALUE"""),"Hina")</f>
        <v>Hina</v>
      </c>
      <c r="C81" s="1">
        <f>IFERROR(__xludf.DUMMYFUNCTION("""COMPUTED_VALUE"""),9.780560701E9)</f>
        <v>9780560701</v>
      </c>
      <c r="D81" s="1">
        <f>IFERROR(__xludf.DUMMYFUNCTION("""COMPUTED_VALUE"""),3.0)</f>
        <v>3</v>
      </c>
      <c r="E81" s="3">
        <f>IFERROR(__xludf.DUMMYFUNCTION("""COMPUTED_VALUE"""),0.07361111111094942)</f>
        <v>0.07361111111</v>
      </c>
      <c r="F81" s="1" t="str">
        <f>IFERROR(__xludf.DUMMYFUNCTION("""COMPUTED_VALUE"""),"Gold")</f>
        <v>Gold</v>
      </c>
      <c r="G81" s="1" t="str">
        <f>IFERROR(__xludf.DUMMYFUNCTION("""COMPUTED_VALUE"""),"Bhumika")</f>
        <v>Bhumika</v>
      </c>
      <c r="H81" s="1"/>
      <c r="I81" s="1" t="str">
        <f>IFERROR(__xludf.DUMMYFUNCTION("""COMPUTED_VALUE"""),"Size issue gold bangles ")</f>
        <v>Size issue gold bangles </v>
      </c>
      <c r="J81" s="1" t="str">
        <f>IFERROR(__xludf.DUMMYFUNCTION("""COMPUTED_VALUE"""),"Visit again ")</f>
        <v>Visit again </v>
      </c>
      <c r="K81" s="3">
        <f>IFERROR(__xludf.DUMMYFUNCTION("""COMPUTED_VALUE"""),0.10902777777664596)</f>
        <v>0.1090277778</v>
      </c>
      <c r="L81" s="1" t="str">
        <f>IFERROR(__xludf.DUMMYFUNCTION("""COMPUTED_VALUE"""),"Yes")</f>
        <v>Yes</v>
      </c>
      <c r="M81" s="1" t="str">
        <f>IFERROR(__xludf.DUMMYFUNCTION("""COMPUTED_VALUE"""),"Visit again ")</f>
        <v>Visit again </v>
      </c>
      <c r="N81" s="1" t="str">
        <f>IFERROR(__xludf.DUMMYFUNCTION("""COMPUTED_VALUE"""),"Visit again ")</f>
        <v>Visit again </v>
      </c>
      <c r="O81" s="1" t="str">
        <f>IFERROR(__xludf.DUMMYFUNCTION("""COMPUTED_VALUE"""),"WA ONLY")</f>
        <v>WA ONLY</v>
      </c>
      <c r="P81" s="1" t="str">
        <f>IFERROR(__xludf.DUMMYFUNCTION("""COMPUTED_VALUE"""),"Sir, Madam")</f>
        <v>Sir, Madam</v>
      </c>
      <c r="Q81" s="1"/>
      <c r="R81" s="1"/>
      <c r="S81" s="1"/>
    </row>
    <row r="82">
      <c r="A82" s="2">
        <f>IFERROR(__xludf.DUMMYFUNCTION("""COMPUTED_VALUE"""),45304.748456967594)</f>
        <v>45304.74846</v>
      </c>
      <c r="B82" s="1" t="str">
        <f>IFERROR(__xludf.DUMMYFUNCTION("""COMPUTED_VALUE"""),"Poonam")</f>
        <v>Poonam</v>
      </c>
      <c r="C82" s="1">
        <f>IFERROR(__xludf.DUMMYFUNCTION("""COMPUTED_VALUE"""),8.700909391E9)</f>
        <v>8700909391</v>
      </c>
      <c r="D82" s="1">
        <f>IFERROR(__xludf.DUMMYFUNCTION("""COMPUTED_VALUE"""),2.0)</f>
        <v>2</v>
      </c>
      <c r="E82" s="3">
        <f>IFERROR(__xludf.DUMMYFUNCTION("""COMPUTED_VALUE"""),0.1444444444423425)</f>
        <v>0.1444444444</v>
      </c>
      <c r="F82" s="1" t="str">
        <f>IFERROR(__xludf.DUMMYFUNCTION("""COMPUTED_VALUE"""),"Diamond ")</f>
        <v>Diamond </v>
      </c>
      <c r="G82" s="1" t="str">
        <f>IFERROR(__xludf.DUMMYFUNCTION("""COMPUTED_VALUE"""),"Reena")</f>
        <v>Reena</v>
      </c>
      <c r="H82" s="1" t="str">
        <f>IFERROR(__xludf.DUMMYFUNCTION("""COMPUTED_VALUE"""),"Gold bali")</f>
        <v>Gold bali</v>
      </c>
      <c r="I82" s="1"/>
      <c r="J82" s="1" t="str">
        <f>IFERROR(__xludf.DUMMYFUNCTION("""COMPUTED_VALUE"""),"Not interested ")</f>
        <v>Not interested </v>
      </c>
      <c r="K82" s="3">
        <f>IFERROR(__xludf.DUMMYFUNCTION("""COMPUTED_VALUE"""),0.17708333333575865)</f>
        <v>0.1770833333</v>
      </c>
      <c r="L82" s="1" t="str">
        <f>IFERROR(__xludf.DUMMYFUNCTION("""COMPUTED_VALUE"""),"Yes")</f>
        <v>Yes</v>
      </c>
      <c r="M82" s="1" t="str">
        <f>IFERROR(__xludf.DUMMYFUNCTION("""COMPUTED_VALUE"""),"Yes")</f>
        <v>Yes</v>
      </c>
      <c r="N82" s="1" t="str">
        <f>IFERROR(__xludf.DUMMYFUNCTION("""COMPUTED_VALUE"""),"Yes")</f>
        <v>Yes</v>
      </c>
      <c r="O82" s="1" t="str">
        <f>IFERROR(__xludf.DUMMYFUNCTION("""COMPUTED_VALUE"""),"WA ONLY")</f>
        <v>WA ONLY</v>
      </c>
      <c r="P82" s="1" t="str">
        <f>IFERROR(__xludf.DUMMYFUNCTION("""COMPUTED_VALUE"""),"Sir, Madam")</f>
        <v>Sir, Madam</v>
      </c>
      <c r="Q82" s="1"/>
      <c r="R82" s="1"/>
      <c r="S82" s="1"/>
    </row>
    <row r="83">
      <c r="A83" s="2">
        <f>IFERROR(__xludf.DUMMYFUNCTION("""COMPUTED_VALUE"""),45304.74926564815)</f>
        <v>45304.74927</v>
      </c>
      <c r="B83" s="1" t="str">
        <f>IFERROR(__xludf.DUMMYFUNCTION("""COMPUTED_VALUE"""),"Kavita")</f>
        <v>Kavita</v>
      </c>
      <c r="C83" s="1">
        <f>IFERROR(__xludf.DUMMYFUNCTION("""COMPUTED_VALUE"""),8.860036737E9)</f>
        <v>8860036737</v>
      </c>
      <c r="D83" s="1">
        <f>IFERROR(__xludf.DUMMYFUNCTION("""COMPUTED_VALUE"""),3.0)</f>
        <v>3</v>
      </c>
      <c r="E83" s="3">
        <f>IFERROR(__xludf.DUMMYFUNCTION("""COMPUTED_VALUE"""),0.18333333333430346)</f>
        <v>0.1833333333</v>
      </c>
      <c r="F83" s="1" t="str">
        <f>IFERROR(__xludf.DUMMYFUNCTION("""COMPUTED_VALUE"""),"Gold")</f>
        <v>Gold</v>
      </c>
      <c r="G83" s="1" t="str">
        <f>IFERROR(__xludf.DUMMYFUNCTION("""COMPUTED_VALUE"""),"Bhumika")</f>
        <v>Bhumika</v>
      </c>
      <c r="H83" s="1"/>
      <c r="I83" s="1" t="str">
        <f>IFERROR(__xludf.DUMMYFUNCTION("""COMPUTED_VALUE"""),"Gents silver ring")</f>
        <v>Gents silver ring</v>
      </c>
      <c r="J83" s="1"/>
      <c r="K83" s="3">
        <f>IFERROR(__xludf.DUMMYFUNCTION("""COMPUTED_VALUE"""),0.17708333333575865)</f>
        <v>0.1770833333</v>
      </c>
      <c r="L83" s="1" t="str">
        <f>IFERROR(__xludf.DUMMYFUNCTION("""COMPUTED_VALUE"""),"Yes")</f>
        <v>Yes</v>
      </c>
      <c r="M83" s="1" t="str">
        <f>IFERROR(__xludf.DUMMYFUNCTION("""COMPUTED_VALUE"""),"No")</f>
        <v>No</v>
      </c>
      <c r="N83" s="1" t="str">
        <f>IFERROR(__xludf.DUMMYFUNCTION("""COMPUTED_VALUE"""),"No")</f>
        <v>No</v>
      </c>
      <c r="O83" s="1" t="str">
        <f>IFERROR(__xludf.DUMMYFUNCTION("""COMPUTED_VALUE"""),"WA ONLY")</f>
        <v>WA ONLY</v>
      </c>
      <c r="P83" s="1" t="str">
        <f>IFERROR(__xludf.DUMMYFUNCTION("""COMPUTED_VALUE"""),"Sir, Madam")</f>
        <v>Sir, Madam</v>
      </c>
      <c r="Q83" s="1"/>
      <c r="R83" s="1"/>
      <c r="S83" s="1"/>
    </row>
    <row r="84">
      <c r="A84" s="2">
        <f>IFERROR(__xludf.DUMMYFUNCTION("""COMPUTED_VALUE"""),45305.75186694444)</f>
        <v>45305.75187</v>
      </c>
      <c r="B84" s="1" t="str">
        <f>IFERROR(__xludf.DUMMYFUNCTION("""COMPUTED_VALUE"""),"Umera")</f>
        <v>Umera</v>
      </c>
      <c r="C84" s="1">
        <f>IFERROR(__xludf.DUMMYFUNCTION("""COMPUTED_VALUE"""),7.385216713E9)</f>
        <v>7385216713</v>
      </c>
      <c r="D84" s="1">
        <f>IFERROR(__xludf.DUMMYFUNCTION("""COMPUTED_VALUE"""),2.0)</f>
        <v>2</v>
      </c>
      <c r="E84" s="3">
        <f>IFERROR(__xludf.DUMMYFUNCTION("""COMPUTED_VALUE"""),0.06041666666715173)</f>
        <v>0.06041666667</v>
      </c>
      <c r="F84" s="1" t="str">
        <f>IFERROR(__xludf.DUMMYFUNCTION("""COMPUTED_VALUE"""),"Gold")</f>
        <v>Gold</v>
      </c>
      <c r="G84" s="1" t="str">
        <f>IFERROR(__xludf.DUMMYFUNCTION("""COMPUTED_VALUE"""),"Bhumika")</f>
        <v>Bhumika</v>
      </c>
      <c r="H84" s="1"/>
      <c r="I84" s="1" t="str">
        <f>IFERROR(__xludf.DUMMYFUNCTION("""COMPUTED_VALUE"""),"Customer not satisfied with nose pin design gold")</f>
        <v>Customer not satisfied with nose pin design gold</v>
      </c>
      <c r="J84" s="1"/>
      <c r="K84" s="3">
        <f>IFERROR(__xludf.DUMMYFUNCTION("""COMPUTED_VALUE"""),0.04652777777664596)</f>
        <v>0.04652777778</v>
      </c>
      <c r="L84" s="1" t="str">
        <f>IFERROR(__xludf.DUMMYFUNCTION("""COMPUTED_VALUE"""),"Yes")</f>
        <v>Yes</v>
      </c>
      <c r="M84" s="1" t="str">
        <f>IFERROR(__xludf.DUMMYFUNCTION("""COMPUTED_VALUE"""),"No")</f>
        <v>No</v>
      </c>
      <c r="N84" s="1" t="str">
        <f>IFERROR(__xludf.DUMMYFUNCTION("""COMPUTED_VALUE"""),"No")</f>
        <v>No</v>
      </c>
      <c r="O84" s="1" t="str">
        <f>IFERROR(__xludf.DUMMYFUNCTION("""COMPUTED_VALUE"""),"WA ONLY")</f>
        <v>WA ONLY</v>
      </c>
      <c r="P84" s="1" t="str">
        <f>IFERROR(__xludf.DUMMYFUNCTION("""COMPUTED_VALUE"""),"Sir, Madam")</f>
        <v>Sir, Madam</v>
      </c>
      <c r="Q84" s="1"/>
      <c r="R84" s="1"/>
      <c r="S84" s="1"/>
    </row>
    <row r="85">
      <c r="A85" s="2">
        <f>IFERROR(__xludf.DUMMYFUNCTION("""COMPUTED_VALUE"""),45305.752595555554)</f>
        <v>45305.7526</v>
      </c>
      <c r="B85" s="1" t="str">
        <f>IFERROR(__xludf.DUMMYFUNCTION("""COMPUTED_VALUE"""),"Gagan")</f>
        <v>Gagan</v>
      </c>
      <c r="C85" s="1">
        <f>IFERROR(__xludf.DUMMYFUNCTION("""COMPUTED_VALUE"""),9.810337136E9)</f>
        <v>9810337136</v>
      </c>
      <c r="D85" s="1">
        <f>IFERROR(__xludf.DUMMYFUNCTION("""COMPUTED_VALUE"""),2.0)</f>
        <v>2</v>
      </c>
      <c r="E85" s="3">
        <f>IFERROR(__xludf.DUMMYFUNCTION("""COMPUTED_VALUE"""),0.12916666666569654)</f>
        <v>0.1291666667</v>
      </c>
      <c r="F85" s="1" t="str">
        <f>IFERROR(__xludf.DUMMYFUNCTION("""COMPUTED_VALUE"""),"Diamond ")</f>
        <v>Diamond </v>
      </c>
      <c r="G85" s="1" t="str">
        <f>IFERROR(__xludf.DUMMYFUNCTION("""COMPUTED_VALUE"""),"Reena")</f>
        <v>Reena</v>
      </c>
      <c r="H85" s="1"/>
      <c r="I85" s="1" t="str">
        <f>IFERROR(__xludf.DUMMYFUNCTION("""COMPUTED_VALUE"""),"Visit again")</f>
        <v>Visit again</v>
      </c>
      <c r="J85" s="1" t="str">
        <f>IFERROR(__xludf.DUMMYFUNCTION("""COMPUTED_VALUE"""),"Visit again")</f>
        <v>Visit again</v>
      </c>
      <c r="K85" s="3">
        <f>IFERROR(__xludf.DUMMYFUNCTION("""COMPUTED_VALUE"""),0.148611111115315)</f>
        <v>0.1486111111</v>
      </c>
      <c r="L85" s="1" t="str">
        <f>IFERROR(__xludf.DUMMYFUNCTION("""COMPUTED_VALUE"""),"Yes")</f>
        <v>Yes</v>
      </c>
      <c r="M85" s="1" t="str">
        <f>IFERROR(__xludf.DUMMYFUNCTION("""COMPUTED_VALUE"""),"No")</f>
        <v>No</v>
      </c>
      <c r="N85" s="1" t="str">
        <f>IFERROR(__xludf.DUMMYFUNCTION("""COMPUTED_VALUE"""),"No")</f>
        <v>No</v>
      </c>
      <c r="O85" s="1" t="str">
        <f>IFERROR(__xludf.DUMMYFUNCTION("""COMPUTED_VALUE"""),"WA ONLY")</f>
        <v>WA ONLY</v>
      </c>
      <c r="P85" s="1" t="str">
        <f>IFERROR(__xludf.DUMMYFUNCTION("""COMPUTED_VALUE"""),"Sir, Madam")</f>
        <v>Sir, Madam</v>
      </c>
      <c r="Q85" s="1"/>
      <c r="R85" s="1"/>
      <c r="S85" s="1"/>
    </row>
    <row r="86">
      <c r="A86" s="2">
        <f>IFERROR(__xludf.DUMMYFUNCTION("""COMPUTED_VALUE"""),45305.75386645833)</f>
        <v>45305.75387</v>
      </c>
      <c r="B86" s="1" t="str">
        <f>IFERROR(__xludf.DUMMYFUNCTION("""COMPUTED_VALUE"""),"Sanjay")</f>
        <v>Sanjay</v>
      </c>
      <c r="C86" s="1">
        <f>IFERROR(__xludf.DUMMYFUNCTION("""COMPUTED_VALUE"""),9.899442938E9)</f>
        <v>9899442938</v>
      </c>
      <c r="D86" s="1">
        <f>IFERROR(__xludf.DUMMYFUNCTION("""COMPUTED_VALUE"""),2.0)</f>
        <v>2</v>
      </c>
      <c r="E86" s="3">
        <f>IFERROR(__xludf.DUMMYFUNCTION("""COMPUTED_VALUE"""),0.125)</f>
        <v>0.125</v>
      </c>
      <c r="F86" s="1" t="str">
        <f>IFERROR(__xludf.DUMMYFUNCTION("""COMPUTED_VALUE"""),"Antic")</f>
        <v>Antic</v>
      </c>
      <c r="G86" s="1" t="str">
        <f>IFERROR(__xludf.DUMMYFUNCTION("""COMPUTED_VALUE"""),"Bhumika")</f>
        <v>Bhumika</v>
      </c>
      <c r="H86" s="1" t="str">
        <f>IFERROR(__xludf.DUMMYFUNCTION("""COMPUTED_VALUE"""),"Gold chain")</f>
        <v>Gold chain</v>
      </c>
      <c r="I86" s="1"/>
      <c r="J86" s="1" t="str">
        <f>IFERROR(__xludf.DUMMYFUNCTION("""COMPUTED_VALUE"""),"Not interested ")</f>
        <v>Not interested </v>
      </c>
      <c r="K86" s="3">
        <f>IFERROR(__xludf.DUMMYFUNCTION("""COMPUTED_VALUE"""),0.148611111115315)</f>
        <v>0.1486111111</v>
      </c>
      <c r="L86" s="1" t="str">
        <f>IFERROR(__xludf.DUMMYFUNCTION("""COMPUTED_VALUE"""),"Yes")</f>
        <v>Yes</v>
      </c>
      <c r="M86" s="1" t="str">
        <f>IFERROR(__xludf.DUMMYFUNCTION("""COMPUTED_VALUE"""),"Yes")</f>
        <v>Yes</v>
      </c>
      <c r="N86" s="1" t="str">
        <f>IFERROR(__xludf.DUMMYFUNCTION("""COMPUTED_VALUE"""),"Yes")</f>
        <v>Yes</v>
      </c>
      <c r="O86" s="1" t="str">
        <f>IFERROR(__xludf.DUMMYFUNCTION("""COMPUTED_VALUE"""),"WA ONLY")</f>
        <v>WA ONLY</v>
      </c>
      <c r="P86" s="1" t="str">
        <f>IFERROR(__xludf.DUMMYFUNCTION("""COMPUTED_VALUE"""),"Sir, Madam")</f>
        <v>Sir, Madam</v>
      </c>
      <c r="Q86" s="1"/>
      <c r="R86" s="1"/>
      <c r="S86" s="1"/>
    </row>
    <row r="87">
      <c r="A87" s="2">
        <f>IFERROR(__xludf.DUMMYFUNCTION("""COMPUTED_VALUE"""),45305.75533459491)</f>
        <v>45305.75533</v>
      </c>
      <c r="B87" s="1" t="str">
        <f>IFERROR(__xludf.DUMMYFUNCTION("""COMPUTED_VALUE"""),"Rahul")</f>
        <v>Rahul</v>
      </c>
      <c r="C87" s="1">
        <f>IFERROR(__xludf.DUMMYFUNCTION("""COMPUTED_VALUE"""),9.81144932E8)</f>
        <v>981144932</v>
      </c>
      <c r="D87" s="1">
        <f>IFERROR(__xludf.DUMMYFUNCTION("""COMPUTED_VALUE"""),1.0)</f>
        <v>1</v>
      </c>
      <c r="E87" s="3">
        <f>IFERROR(__xludf.DUMMYFUNCTION("""COMPUTED_VALUE"""),0.21875)</f>
        <v>0.21875</v>
      </c>
      <c r="F87" s="1" t="str">
        <f>IFERROR(__xludf.DUMMYFUNCTION("""COMPUTED_VALUE"""),"Gold")</f>
        <v>Gold</v>
      </c>
      <c r="G87" s="1" t="str">
        <f>IFERROR(__xludf.DUMMYFUNCTION("""COMPUTED_VALUE"""),"Bhumika")</f>
        <v>Bhumika</v>
      </c>
      <c r="H87" s="1"/>
      <c r="I87" s="1" t="str">
        <f>IFERROR(__xludf.DUMMYFUNCTION("""COMPUTED_VALUE"""),"Visit again Tuesday ")</f>
        <v>Visit again Tuesday </v>
      </c>
      <c r="J87" s="1" t="str">
        <f>IFERROR(__xludf.DUMMYFUNCTION("""COMPUTED_VALUE"""),"Visit again Tuesday ")</f>
        <v>Visit again Tuesday </v>
      </c>
      <c r="K87" s="3">
        <f>IFERROR(__xludf.DUMMYFUNCTION("""COMPUTED_VALUE"""),0.24652777778101154)</f>
        <v>0.2465277778</v>
      </c>
      <c r="L87" s="1" t="str">
        <f>IFERROR(__xludf.DUMMYFUNCTION("""COMPUTED_VALUE"""),"Yes")</f>
        <v>Yes</v>
      </c>
      <c r="M87" s="1" t="str">
        <f>IFERROR(__xludf.DUMMYFUNCTION("""COMPUTED_VALUE"""),"Visit again ")</f>
        <v>Visit again </v>
      </c>
      <c r="N87" s="1" t="str">
        <f>IFERROR(__xludf.DUMMYFUNCTION("""COMPUTED_VALUE"""),"Visit again")</f>
        <v>Visit again</v>
      </c>
      <c r="O87" s="1" t="str">
        <f>IFERROR(__xludf.DUMMYFUNCTION("""COMPUTED_VALUE"""),"WA ONLY")</f>
        <v>WA ONLY</v>
      </c>
      <c r="P87" s="1" t="str">
        <f>IFERROR(__xludf.DUMMYFUNCTION("""COMPUTED_VALUE"""),"Sir")</f>
        <v>Sir</v>
      </c>
      <c r="Q87" s="1"/>
      <c r="R87" s="1"/>
      <c r="S87" s="1"/>
    </row>
    <row r="88">
      <c r="A88" s="2">
        <f>IFERROR(__xludf.DUMMYFUNCTION("""COMPUTED_VALUE"""),45305.81436773148)</f>
        <v>45305.81437</v>
      </c>
      <c r="B88" s="1" t="str">
        <f>IFERROR(__xludf.DUMMYFUNCTION("""COMPUTED_VALUE"""),"Rahul")</f>
        <v>Rahul</v>
      </c>
      <c r="C88" s="1">
        <f>IFERROR(__xludf.DUMMYFUNCTION("""COMPUTED_VALUE"""),9.811448932E9)</f>
        <v>9811448932</v>
      </c>
      <c r="D88" s="1">
        <f>IFERROR(__xludf.DUMMYFUNCTION("""COMPUTED_VALUE"""),1.0)</f>
        <v>1</v>
      </c>
      <c r="E88" s="3">
        <f>IFERROR(__xludf.DUMMYFUNCTION("""COMPUTED_VALUE"""),0.21875)</f>
        <v>0.21875</v>
      </c>
      <c r="F88" s="1" t="str">
        <f>IFERROR(__xludf.DUMMYFUNCTION("""COMPUTED_VALUE"""),"Diamond ")</f>
        <v>Diamond </v>
      </c>
      <c r="G88" s="1" t="str">
        <f>IFERROR(__xludf.DUMMYFUNCTION("""COMPUTED_VALUE"""),"Reena")</f>
        <v>Reena</v>
      </c>
      <c r="H88" s="1"/>
      <c r="I88" s="1" t="str">
        <f>IFERROR(__xludf.DUMMYFUNCTION("""COMPUTED_VALUE"""),"Payment done diamond set ordered ")</f>
        <v>Payment done diamond set ordered </v>
      </c>
      <c r="J88" s="1"/>
      <c r="K88" s="3">
        <f>IFERROR(__xludf.DUMMYFUNCTION("""COMPUTED_VALUE"""),0.24652777778101154)</f>
        <v>0.2465277778</v>
      </c>
      <c r="L88" s="1" t="str">
        <f>IFERROR(__xludf.DUMMYFUNCTION("""COMPUTED_VALUE"""),"Yes")</f>
        <v>Yes</v>
      </c>
      <c r="M88" s="1" t="str">
        <f>IFERROR(__xludf.DUMMYFUNCTION("""COMPUTED_VALUE"""),"No")</f>
        <v>No</v>
      </c>
      <c r="N88" s="1" t="str">
        <f>IFERROR(__xludf.DUMMYFUNCTION("""COMPUTED_VALUE"""),"No")</f>
        <v>No</v>
      </c>
      <c r="O88" s="1" t="str">
        <f>IFERROR(__xludf.DUMMYFUNCTION("""COMPUTED_VALUE"""),"WA ONLY")</f>
        <v>WA ONLY</v>
      </c>
      <c r="P88" s="1" t="str">
        <f>IFERROR(__xludf.DUMMYFUNCTION("""COMPUTED_VALUE"""),"Sir, Madam")</f>
        <v>Sir, Madam</v>
      </c>
      <c r="Q88" s="1"/>
      <c r="R88" s="1"/>
      <c r="S88" s="1"/>
    </row>
    <row r="89">
      <c r="A89" s="2">
        <f>IFERROR(__xludf.DUMMYFUNCTION("""COMPUTED_VALUE"""),45305.81533745371)</f>
        <v>45305.81534</v>
      </c>
      <c r="B89" s="1" t="str">
        <f>IFERROR(__xludf.DUMMYFUNCTION("""COMPUTED_VALUE"""),"Aanad ")</f>
        <v>Aanad </v>
      </c>
      <c r="C89" s="1">
        <f>IFERROR(__xludf.DUMMYFUNCTION("""COMPUTED_VALUE"""),9.810857727E9)</f>
        <v>9810857727</v>
      </c>
      <c r="D89" s="1">
        <f>IFERROR(__xludf.DUMMYFUNCTION("""COMPUTED_VALUE"""),2.0)</f>
        <v>2</v>
      </c>
      <c r="E89" s="3">
        <f>IFERROR(__xludf.DUMMYFUNCTION("""COMPUTED_VALUE"""),0.22708333333139308)</f>
        <v>0.2270833333</v>
      </c>
      <c r="F89" s="1" t="str">
        <f>IFERROR(__xludf.DUMMYFUNCTION("""COMPUTED_VALUE"""),"Diamond ")</f>
        <v>Diamond </v>
      </c>
      <c r="G89" s="1" t="str">
        <f>IFERROR(__xludf.DUMMYFUNCTION("""COMPUTED_VALUE"""),"Reena")</f>
        <v>Reena</v>
      </c>
      <c r="H89" s="1"/>
      <c r="I89" s="1" t="str">
        <f>IFERROR(__xludf.DUMMYFUNCTION("""COMPUTED_VALUE"""),"Visit again")</f>
        <v>Visit again</v>
      </c>
      <c r="J89" s="1"/>
      <c r="K89" s="3">
        <f>IFERROR(__xludf.DUMMYFUNCTION("""COMPUTED_VALUE"""),0.28402777777955635)</f>
        <v>0.2840277778</v>
      </c>
      <c r="L89" s="1" t="str">
        <f>IFERROR(__xludf.DUMMYFUNCTION("""COMPUTED_VALUE"""),"Yes")</f>
        <v>Yes</v>
      </c>
      <c r="M89" s="1" t="str">
        <f>IFERROR(__xludf.DUMMYFUNCTION("""COMPUTED_VALUE"""),"Already done")</f>
        <v>Already done</v>
      </c>
      <c r="N89" s="1" t="str">
        <f>IFERROR(__xludf.DUMMYFUNCTION("""COMPUTED_VALUE"""),"Already done")</f>
        <v>Already done</v>
      </c>
      <c r="O89" s="1" t="str">
        <f>IFERROR(__xludf.DUMMYFUNCTION("""COMPUTED_VALUE"""),"WA ONLY")</f>
        <v>WA ONLY</v>
      </c>
      <c r="P89" s="1" t="str">
        <f>IFERROR(__xludf.DUMMYFUNCTION("""COMPUTED_VALUE"""),"Sir, Madam")</f>
        <v>Sir, Madam</v>
      </c>
      <c r="Q89" s="1"/>
      <c r="R89" s="1"/>
      <c r="S89" s="1"/>
    </row>
    <row r="90">
      <c r="A90" s="2">
        <f>IFERROR(__xludf.DUMMYFUNCTION("""COMPUTED_VALUE"""),45307.76233760417)</f>
        <v>45307.76234</v>
      </c>
      <c r="B90" s="1" t="str">
        <f>IFERROR(__xludf.DUMMYFUNCTION("""COMPUTED_VALUE"""),"Hardeep ")</f>
        <v>Hardeep </v>
      </c>
      <c r="C90" s="1">
        <f>IFERROR(__xludf.DUMMYFUNCTION("""COMPUTED_VALUE"""),9.999446004E9)</f>
        <v>9999446004</v>
      </c>
      <c r="D90" s="1">
        <f>IFERROR(__xludf.DUMMYFUNCTION("""COMPUTED_VALUE"""),2.0)</f>
        <v>2</v>
      </c>
      <c r="E90" s="3">
        <f>IFERROR(__xludf.DUMMYFUNCTION("""COMPUTED_VALUE"""),0.10347222222480923)</f>
        <v>0.1034722222</v>
      </c>
      <c r="F90" s="1" t="str">
        <f>IFERROR(__xludf.DUMMYFUNCTION("""COMPUTED_VALUE"""),"Gold")</f>
        <v>Gold</v>
      </c>
      <c r="G90" s="1" t="str">
        <f>IFERROR(__xludf.DUMMYFUNCTION("""COMPUTED_VALUE"""),"Bhumika")</f>
        <v>Bhumika</v>
      </c>
      <c r="H90" s="1"/>
      <c r="I90" s="1" t="str">
        <f>IFERROR(__xludf.DUMMYFUNCTION("""COMPUTED_VALUE"""),"Diamond ring order ")</f>
        <v>Diamond ring order </v>
      </c>
      <c r="J90" s="1"/>
      <c r="K90" s="3">
        <f>IFERROR(__xludf.DUMMYFUNCTION("""COMPUTED_VALUE"""),0.17847222222189885)</f>
        <v>0.1784722222</v>
      </c>
      <c r="L90" s="1" t="str">
        <f>IFERROR(__xludf.DUMMYFUNCTION("""COMPUTED_VALUE"""),"Yes")</f>
        <v>Yes</v>
      </c>
      <c r="M90" s="1" t="str">
        <f>IFERROR(__xludf.DUMMYFUNCTION("""COMPUTED_VALUE"""),"Already done")</f>
        <v>Already done</v>
      </c>
      <c r="N90" s="1" t="str">
        <f>IFERROR(__xludf.DUMMYFUNCTION("""COMPUTED_VALUE"""),"Already done")</f>
        <v>Already done</v>
      </c>
      <c r="O90" s="1" t="str">
        <f>IFERROR(__xludf.DUMMYFUNCTION("""COMPUTED_VALUE"""),"WA ONLY")</f>
        <v>WA ONLY</v>
      </c>
      <c r="P90" s="1" t="str">
        <f>IFERROR(__xludf.DUMMYFUNCTION("""COMPUTED_VALUE"""),"Sir, Madam")</f>
        <v>Sir, Madam</v>
      </c>
      <c r="Q90" s="1"/>
      <c r="R90" s="1"/>
      <c r="S90" s="1"/>
    </row>
    <row r="91">
      <c r="A91" s="2">
        <f>IFERROR(__xludf.DUMMYFUNCTION("""COMPUTED_VALUE"""),45308.75525844908)</f>
        <v>45308.75526</v>
      </c>
      <c r="B91" s="1" t="str">
        <f>IFERROR(__xludf.DUMMYFUNCTION("""COMPUTED_VALUE"""),"Annu")</f>
        <v>Annu</v>
      </c>
      <c r="C91" s="1">
        <f>IFERROR(__xludf.DUMMYFUNCTION("""COMPUTED_VALUE"""),9.319319976E9)</f>
        <v>9319319976</v>
      </c>
      <c r="D91" s="1">
        <f>IFERROR(__xludf.DUMMYFUNCTION("""COMPUTED_VALUE"""),1.0)</f>
        <v>1</v>
      </c>
      <c r="E91" s="3">
        <f>IFERROR(__xludf.DUMMYFUNCTION("""COMPUTED_VALUE"""),0.06388888889341615)</f>
        <v>0.06388888889</v>
      </c>
      <c r="F91" s="1" t="str">
        <f>IFERROR(__xludf.DUMMYFUNCTION("""COMPUTED_VALUE"""),"Diamond ")</f>
        <v>Diamond </v>
      </c>
      <c r="G91" s="1" t="str">
        <f>IFERROR(__xludf.DUMMYFUNCTION("""COMPUTED_VALUE"""),"Reena")</f>
        <v>Reena</v>
      </c>
      <c r="H91" s="1"/>
      <c r="I91" s="1" t="str">
        <f>IFERROR(__xludf.DUMMYFUNCTION("""COMPUTED_VALUE"""),"Visit again ")</f>
        <v>Visit again </v>
      </c>
      <c r="J91" s="1" t="str">
        <f>IFERROR(__xludf.DUMMYFUNCTION("""COMPUTED_VALUE"""),"Visit again ")</f>
        <v>Visit again </v>
      </c>
      <c r="K91" s="3">
        <f>IFERROR(__xludf.DUMMYFUNCTION("""COMPUTED_VALUE"""),0.09166666666715173)</f>
        <v>0.09166666667</v>
      </c>
      <c r="L91" s="1" t="str">
        <f>IFERROR(__xludf.DUMMYFUNCTION("""COMPUTED_VALUE"""),"Yes")</f>
        <v>Yes</v>
      </c>
      <c r="M91" s="1" t="str">
        <f>IFERROR(__xludf.DUMMYFUNCTION("""COMPUTED_VALUE"""),"Visit again ")</f>
        <v>Visit again </v>
      </c>
      <c r="N91" s="1" t="str">
        <f>IFERROR(__xludf.DUMMYFUNCTION("""COMPUTED_VALUE"""),"Visit again ")</f>
        <v>Visit again </v>
      </c>
      <c r="O91" s="1" t="str">
        <f>IFERROR(__xludf.DUMMYFUNCTION("""COMPUTED_VALUE"""),"WA ONLY")</f>
        <v>WA ONLY</v>
      </c>
      <c r="P91" s="1" t="str">
        <f>IFERROR(__xludf.DUMMYFUNCTION("""COMPUTED_VALUE"""),"Madam")</f>
        <v>Madam</v>
      </c>
      <c r="Q91" s="1"/>
      <c r="R91" s="1"/>
      <c r="S91" s="1"/>
    </row>
    <row r="92">
      <c r="A92" s="2">
        <f>IFERROR(__xludf.DUMMYFUNCTION("""COMPUTED_VALUE"""),45308.778058275464)</f>
        <v>45308.77806</v>
      </c>
      <c r="B92" s="1" t="str">
        <f>IFERROR(__xludf.DUMMYFUNCTION("""COMPUTED_VALUE"""),"Neven cutuc")</f>
        <v>Neven cutuc</v>
      </c>
      <c r="C92" s="1" t="str">
        <f>IFERROR(__xludf.DUMMYFUNCTION("""COMPUTED_VALUE"""),"+38592246190")</f>
        <v>+38592246190</v>
      </c>
      <c r="D92" s="1">
        <f>IFERROR(__xludf.DUMMYFUNCTION("""COMPUTED_VALUE"""),1.0)</f>
        <v>1</v>
      </c>
      <c r="E92" s="3">
        <f>IFERROR(__xludf.DUMMYFUNCTION("""COMPUTED_VALUE"""),0.15138888888759539)</f>
        <v>0.1513888889</v>
      </c>
      <c r="F92" s="1" t="str">
        <f>IFERROR(__xludf.DUMMYFUNCTION("""COMPUTED_VALUE"""),"Diamond ")</f>
        <v>Diamond </v>
      </c>
      <c r="G92" s="1" t="str">
        <f>IFERROR(__xludf.DUMMYFUNCTION("""COMPUTED_VALUE"""),"Reena")</f>
        <v>Reena</v>
      </c>
      <c r="H92" s="1"/>
      <c r="I92" s="1" t="str">
        <f>IFERROR(__xludf.DUMMYFUNCTION("""COMPUTED_VALUE"""),"Visit again ")</f>
        <v>Visit again </v>
      </c>
      <c r="J92" s="1" t="str">
        <f>IFERROR(__xludf.DUMMYFUNCTION("""COMPUTED_VALUE"""),"Visit Alain ")</f>
        <v>Visit Alain </v>
      </c>
      <c r="K92" s="3">
        <f>IFERROR(__xludf.DUMMYFUNCTION("""COMPUTED_VALUE"""),0.17847222222189885)</f>
        <v>0.1784722222</v>
      </c>
      <c r="L92" s="1" t="str">
        <f>IFERROR(__xludf.DUMMYFUNCTION("""COMPUTED_VALUE"""),"Yes")</f>
        <v>Yes</v>
      </c>
      <c r="M92" s="1" t="str">
        <f>IFERROR(__xludf.DUMMYFUNCTION("""COMPUTED_VALUE"""),"Visit again ")</f>
        <v>Visit again </v>
      </c>
      <c r="N92" s="1" t="str">
        <f>IFERROR(__xludf.DUMMYFUNCTION("""COMPUTED_VALUE"""),"Visit again ")</f>
        <v>Visit again </v>
      </c>
      <c r="O92" s="1" t="str">
        <f>IFERROR(__xludf.DUMMYFUNCTION("""COMPUTED_VALUE"""),"WA ONLY")</f>
        <v>WA ONLY</v>
      </c>
      <c r="P92" s="1" t="str">
        <f>IFERROR(__xludf.DUMMYFUNCTION("""COMPUTED_VALUE"""),"Sir")</f>
        <v>Sir</v>
      </c>
      <c r="Q92" s="1"/>
      <c r="R92" s="1"/>
      <c r="S92" s="1"/>
    </row>
    <row r="93">
      <c r="A93" s="2">
        <f>IFERROR(__xludf.DUMMYFUNCTION("""COMPUTED_VALUE"""),45308.77899302084)</f>
        <v>45308.77899</v>
      </c>
      <c r="B93" s="1" t="str">
        <f>IFERROR(__xludf.DUMMYFUNCTION("""COMPUTED_VALUE"""),"Sanchit")</f>
        <v>Sanchit</v>
      </c>
      <c r="C93" s="1">
        <f>IFERROR(__xludf.DUMMYFUNCTION("""COMPUTED_VALUE"""),9.821136219E9)</f>
        <v>9821136219</v>
      </c>
      <c r="D93" s="1">
        <f>IFERROR(__xludf.DUMMYFUNCTION("""COMPUTED_VALUE"""),2.0)</f>
        <v>2</v>
      </c>
      <c r="E93" s="3">
        <f>IFERROR(__xludf.DUMMYFUNCTION("""COMPUTED_VALUE"""),0.19097222221898846)</f>
        <v>0.1909722222</v>
      </c>
      <c r="F93" s="1" t="str">
        <f>IFERROR(__xludf.DUMMYFUNCTION("""COMPUTED_VALUE"""),"Antic")</f>
        <v>Antic</v>
      </c>
      <c r="G93" s="1" t="str">
        <f>IFERROR(__xludf.DUMMYFUNCTION("""COMPUTED_VALUE"""),"Pooja,chhaya")</f>
        <v>Pooja,chhaya</v>
      </c>
      <c r="H93" s="1"/>
      <c r="I93" s="1"/>
      <c r="J93" s="1" t="str">
        <f>IFERROR(__xludf.DUMMYFUNCTION("""COMPUTED_VALUE"""),"Visit again ")</f>
        <v>Visit again </v>
      </c>
      <c r="K93" s="3">
        <f>IFERROR(__xludf.DUMMYFUNCTION("""COMPUTED_VALUE"""),0.2243055555591127)</f>
        <v>0.2243055556</v>
      </c>
      <c r="L93" s="1" t="str">
        <f>IFERROR(__xludf.DUMMYFUNCTION("""COMPUTED_VALUE"""),"Yes")</f>
        <v>Yes</v>
      </c>
      <c r="M93" s="1" t="str">
        <f>IFERROR(__xludf.DUMMYFUNCTION("""COMPUTED_VALUE"""),"Visit again")</f>
        <v>Visit again</v>
      </c>
      <c r="N93" s="1" t="str">
        <f>IFERROR(__xludf.DUMMYFUNCTION("""COMPUTED_VALUE"""),"Visit again")</f>
        <v>Visit again</v>
      </c>
      <c r="O93" s="1" t="str">
        <f>IFERROR(__xludf.DUMMYFUNCTION("""COMPUTED_VALUE"""),"WA ONLY")</f>
        <v>WA ONLY</v>
      </c>
      <c r="P93" s="1" t="str">
        <f>IFERROR(__xludf.DUMMYFUNCTION("""COMPUTED_VALUE"""),"Sir")</f>
        <v>Sir</v>
      </c>
      <c r="Q93" s="1"/>
      <c r="R93" s="1"/>
      <c r="S93" s="1"/>
    </row>
    <row r="94">
      <c r="A94" s="2">
        <f>IFERROR(__xludf.DUMMYFUNCTION("""COMPUTED_VALUE"""),45308.805003368056)</f>
        <v>45308.805</v>
      </c>
      <c r="B94" s="1" t="str">
        <f>IFERROR(__xludf.DUMMYFUNCTION("""COMPUTED_VALUE"""),"Renu manchanda")</f>
        <v>Renu manchanda</v>
      </c>
      <c r="C94" s="1">
        <f>IFERROR(__xludf.DUMMYFUNCTION("""COMPUTED_VALUE"""),9.820731234E9)</f>
        <v>9820731234</v>
      </c>
      <c r="D94" s="1">
        <f>IFERROR(__xludf.DUMMYFUNCTION("""COMPUTED_VALUE"""),3.0)</f>
        <v>3</v>
      </c>
      <c r="E94" s="3">
        <f>IFERROR(__xludf.DUMMYFUNCTION("""COMPUTED_VALUE"""),0.2555555555591127)</f>
        <v>0.2555555556</v>
      </c>
      <c r="F94" s="1" t="str">
        <f>IFERROR(__xludf.DUMMYFUNCTION("""COMPUTED_VALUE"""),"Antic")</f>
        <v>Antic</v>
      </c>
      <c r="G94" s="1" t="str">
        <f>IFERROR(__xludf.DUMMYFUNCTION("""COMPUTED_VALUE"""),"Chhaya")</f>
        <v>Chhaya</v>
      </c>
      <c r="H94" s="1"/>
      <c r="I94" s="1" t="str">
        <f>IFERROR(__xludf.DUMMYFUNCTION("""COMPUTED_VALUE"""),"Pic the order ")</f>
        <v>Pic the order </v>
      </c>
      <c r="J94" s="1"/>
      <c r="K94" s="3">
        <f>IFERROR(__xludf.DUMMYFUNCTION("""COMPUTED_VALUE"""),0.3041666666686069)</f>
        <v>0.3041666667</v>
      </c>
      <c r="L94" s="1" t="str">
        <f>IFERROR(__xludf.DUMMYFUNCTION("""COMPUTED_VALUE"""),"Yes")</f>
        <v>Yes</v>
      </c>
      <c r="M94" s="1" t="str">
        <f>IFERROR(__xludf.DUMMYFUNCTION("""COMPUTED_VALUE"""),"Already done")</f>
        <v>Already done</v>
      </c>
      <c r="N94" s="1" t="str">
        <f>IFERROR(__xludf.DUMMYFUNCTION("""COMPUTED_VALUE"""),"Already done")</f>
        <v>Already done</v>
      </c>
      <c r="O94" s="1" t="str">
        <f>IFERROR(__xludf.DUMMYFUNCTION("""COMPUTED_VALUE"""),"WA ONLY")</f>
        <v>WA ONLY</v>
      </c>
      <c r="P94" s="1" t="str">
        <f>IFERROR(__xludf.DUMMYFUNCTION("""COMPUTED_VALUE"""),"Madam")</f>
        <v>Madam</v>
      </c>
      <c r="Q94" s="1"/>
      <c r="R94" s="1"/>
      <c r="S94" s="1"/>
    </row>
    <row r="95">
      <c r="A95" s="2">
        <f>IFERROR(__xludf.DUMMYFUNCTION("""COMPUTED_VALUE"""),45309.784350856484)</f>
        <v>45309.78435</v>
      </c>
      <c r="B95" s="1" t="str">
        <f>IFERROR(__xludf.DUMMYFUNCTION("""COMPUTED_VALUE"""),"Sunal")</f>
        <v>Sunal</v>
      </c>
      <c r="C95" s="1">
        <f>IFERROR(__xludf.DUMMYFUNCTION("""COMPUTED_VALUE"""),9.971989789E9)</f>
        <v>9971989789</v>
      </c>
      <c r="D95" s="1">
        <f>IFERROR(__xludf.DUMMYFUNCTION("""COMPUTED_VALUE"""),3.0)</f>
        <v>3</v>
      </c>
      <c r="E95" s="3">
        <f>IFERROR(__xludf.DUMMYFUNCTION("""COMPUTED_VALUE"""),0.11805555555474712)</f>
        <v>0.1180555556</v>
      </c>
      <c r="F95" s="1" t="str">
        <f>IFERROR(__xludf.DUMMYFUNCTION("""COMPUTED_VALUE"""),"Diamond")</f>
        <v>Diamond</v>
      </c>
      <c r="G95" s="1" t="str">
        <f>IFERROR(__xludf.DUMMYFUNCTION("""COMPUTED_VALUE"""),"Reena")</f>
        <v>Reena</v>
      </c>
      <c r="H95" s="1"/>
      <c r="I95" s="1" t="str">
        <f>IFERROR(__xludf.DUMMYFUNCTION("""COMPUTED_VALUE"""),"Visit again")</f>
        <v>Visit again</v>
      </c>
      <c r="J95" s="1" t="str">
        <f>IFERROR(__xludf.DUMMYFUNCTION("""COMPUTED_VALUE"""),"Visit again ")</f>
        <v>Visit again </v>
      </c>
      <c r="K95" s="3">
        <f>IFERROR(__xludf.DUMMYFUNCTION("""COMPUTED_VALUE"""),0.12083333333430346)</f>
        <v>0.1208333333</v>
      </c>
      <c r="L95" s="1" t="str">
        <f>IFERROR(__xludf.DUMMYFUNCTION("""COMPUTED_VALUE"""),"Yes")</f>
        <v>Yes</v>
      </c>
      <c r="M95" s="1" t="str">
        <f>IFERROR(__xludf.DUMMYFUNCTION("""COMPUTED_VALUE"""),"After purchase ")</f>
        <v>After purchase </v>
      </c>
      <c r="N95" s="1" t="str">
        <f>IFERROR(__xludf.DUMMYFUNCTION("""COMPUTED_VALUE"""),"After purchase ")</f>
        <v>After purchase </v>
      </c>
      <c r="O95" s="1" t="str">
        <f>IFERROR(__xludf.DUMMYFUNCTION("""COMPUTED_VALUE"""),"WA ONLY")</f>
        <v>WA ONLY</v>
      </c>
      <c r="P95" s="1" t="str">
        <f>IFERROR(__xludf.DUMMYFUNCTION("""COMPUTED_VALUE"""),"Sir, Madam")</f>
        <v>Sir, Madam</v>
      </c>
      <c r="Q95" s="1"/>
      <c r="R95" s="1"/>
      <c r="S95" s="1"/>
    </row>
    <row r="96">
      <c r="A96" s="2">
        <f>IFERROR(__xludf.DUMMYFUNCTION("""COMPUTED_VALUE"""),45309.78554482639)</f>
        <v>45309.78554</v>
      </c>
      <c r="B96" s="1" t="str">
        <f>IFERROR(__xludf.DUMMYFUNCTION("""COMPUTED_VALUE"""),"Neven")</f>
        <v>Neven</v>
      </c>
      <c r="C96" s="1" t="str">
        <f>IFERROR(__xludf.DUMMYFUNCTION("""COMPUTED_VALUE"""),"+385922462190")</f>
        <v>+385922462190</v>
      </c>
      <c r="D96" s="1">
        <f>IFERROR(__xludf.DUMMYFUNCTION("""COMPUTED_VALUE"""),1.0)</f>
        <v>1</v>
      </c>
      <c r="E96" s="3">
        <f>IFERROR(__xludf.DUMMYFUNCTION("""COMPUTED_VALUE"""),0.14791666666860692)</f>
        <v>0.1479166667</v>
      </c>
      <c r="F96" s="1" t="str">
        <f>IFERROR(__xludf.DUMMYFUNCTION("""COMPUTED_VALUE"""),"Diamond ")</f>
        <v>Diamond </v>
      </c>
      <c r="G96" s="1" t="str">
        <f>IFERROR(__xludf.DUMMYFUNCTION("""COMPUTED_VALUE"""),"Reena")</f>
        <v>Reena</v>
      </c>
      <c r="H96" s="1"/>
      <c r="I96" s="1" t="str">
        <f>IFERROR(__xludf.DUMMYFUNCTION("""COMPUTED_VALUE"""),"Visit again ")</f>
        <v>Visit again </v>
      </c>
      <c r="J96" s="1" t="str">
        <f>IFERROR(__xludf.DUMMYFUNCTION("""COMPUTED_VALUE"""),"Visit again ")</f>
        <v>Visit again </v>
      </c>
      <c r="K96" s="3">
        <f>IFERROR(__xludf.DUMMYFUNCTION("""COMPUTED_VALUE"""),0.15277777778101154)</f>
        <v>0.1527777778</v>
      </c>
      <c r="L96" s="1" t="str">
        <f>IFERROR(__xludf.DUMMYFUNCTION("""COMPUTED_VALUE"""),"Yes")</f>
        <v>Yes</v>
      </c>
      <c r="M96" s="1" t="str">
        <f>IFERROR(__xludf.DUMMYFUNCTION("""COMPUTED_VALUE"""),"After purchase ")</f>
        <v>After purchase </v>
      </c>
      <c r="N96" s="1" t="str">
        <f>IFERROR(__xludf.DUMMYFUNCTION("""COMPUTED_VALUE"""),"After purchase ")</f>
        <v>After purchase </v>
      </c>
      <c r="O96" s="1" t="str">
        <f>IFERROR(__xludf.DUMMYFUNCTION("""COMPUTED_VALUE"""),"WA ONLY")</f>
        <v>WA ONLY</v>
      </c>
      <c r="P96" s="1" t="str">
        <f>IFERROR(__xludf.DUMMYFUNCTION("""COMPUTED_VALUE"""),"Sir")</f>
        <v>Sir</v>
      </c>
      <c r="Q96" s="1"/>
      <c r="R96" s="1"/>
      <c r="S96" s="1"/>
    </row>
    <row r="97">
      <c r="A97" s="2">
        <f>IFERROR(__xludf.DUMMYFUNCTION("""COMPUTED_VALUE"""),45310.78584300926)</f>
        <v>45310.78584</v>
      </c>
      <c r="B97" s="1" t="str">
        <f>IFERROR(__xludf.DUMMYFUNCTION("""COMPUTED_VALUE"""),"Meetu ")</f>
        <v>Meetu </v>
      </c>
      <c r="C97" s="1">
        <f>IFERROR(__xludf.DUMMYFUNCTION("""COMPUTED_VALUE"""),9.560915533E9)</f>
        <v>9560915533</v>
      </c>
      <c r="D97" s="1">
        <f>IFERROR(__xludf.DUMMYFUNCTION("""COMPUTED_VALUE"""),2.0)</f>
        <v>2</v>
      </c>
      <c r="E97" s="3">
        <f>IFERROR(__xludf.DUMMYFUNCTION("""COMPUTED_VALUE"""),0.15833333333284827)</f>
        <v>0.1583333333</v>
      </c>
      <c r="F97" s="1" t="str">
        <f>IFERROR(__xludf.DUMMYFUNCTION("""COMPUTED_VALUE"""),"Diamond ")</f>
        <v>Diamond </v>
      </c>
      <c r="G97" s="1" t="str">
        <f>IFERROR(__xludf.DUMMYFUNCTION("""COMPUTED_VALUE"""),"Reena")</f>
        <v>Reena</v>
      </c>
      <c r="H97" s="1"/>
      <c r="I97" s="1" t="str">
        <f>IFERROR(__xludf.DUMMYFUNCTION("""COMPUTED_VALUE"""),"Pic the diamond set ")</f>
        <v>Pic the diamond set </v>
      </c>
      <c r="J97" s="1"/>
      <c r="K97" s="3">
        <f>IFERROR(__xludf.DUMMYFUNCTION("""COMPUTED_VALUE"""),0.2243055555591127)</f>
        <v>0.2243055556</v>
      </c>
      <c r="L97" s="1" t="str">
        <f>IFERROR(__xludf.DUMMYFUNCTION("""COMPUTED_VALUE"""),"Yes")</f>
        <v>Yes</v>
      </c>
      <c r="M97" s="1"/>
      <c r="N97" s="1" t="str">
        <f>IFERROR(__xludf.DUMMYFUNCTION("""COMPUTED_VALUE"""),"already done")</f>
        <v>already done</v>
      </c>
      <c r="O97" s="1" t="str">
        <f>IFERROR(__xludf.DUMMYFUNCTION("""COMPUTED_VALUE"""),"WA ONLY")</f>
        <v>WA ONLY</v>
      </c>
      <c r="P97" s="1" t="str">
        <f>IFERROR(__xludf.DUMMYFUNCTION("""COMPUTED_VALUE"""),"Sir, Madam")</f>
        <v>Sir, Madam</v>
      </c>
      <c r="Q97" s="1"/>
      <c r="R97" s="1"/>
      <c r="S97" s="1"/>
    </row>
    <row r="98">
      <c r="A98" s="2">
        <f>IFERROR(__xludf.DUMMYFUNCTION("""COMPUTED_VALUE"""),45310.805226446755)</f>
        <v>45310.80523</v>
      </c>
      <c r="B98" s="1" t="str">
        <f>IFERROR(__xludf.DUMMYFUNCTION("""COMPUTED_VALUE"""),"Sabera")</f>
        <v>Sabera</v>
      </c>
      <c r="C98" s="1">
        <f>IFERROR(__xludf.DUMMYFUNCTION("""COMPUTED_VALUE"""),5.253172E7)</f>
        <v>52531720</v>
      </c>
      <c r="D98" s="1">
        <f>IFERROR(__xludf.DUMMYFUNCTION("""COMPUTED_VALUE"""),2.0)</f>
        <v>2</v>
      </c>
      <c r="E98" s="3">
        <f>IFERROR(__xludf.DUMMYFUNCTION("""COMPUTED_VALUE"""),0.15833333333284827)</f>
        <v>0.1583333333</v>
      </c>
      <c r="F98" s="1" t="str">
        <f>IFERROR(__xludf.DUMMYFUNCTION("""COMPUTED_VALUE"""),"Gold")</f>
        <v>Gold</v>
      </c>
      <c r="G98" s="1" t="str">
        <f>IFERROR(__xludf.DUMMYFUNCTION("""COMPUTED_VALUE"""),"Chhaya")</f>
        <v>Chhaya</v>
      </c>
      <c r="H98" s="1" t="str">
        <f>IFERROR(__xludf.DUMMYFUNCTION("""COMPUTED_VALUE"""),"Gold bangles,gold chain")</f>
        <v>Gold bangles,gold chain</v>
      </c>
      <c r="I98" s="1"/>
      <c r="J98" s="1" t="str">
        <f>IFERROR(__xludf.DUMMYFUNCTION("""COMPUTED_VALUE"""),"Not interested because it's forner")</f>
        <v>Not interested because it's forner</v>
      </c>
      <c r="K98" s="3">
        <f>IFERROR(__xludf.DUMMYFUNCTION("""COMPUTED_VALUE"""),0.3125)</f>
        <v>0.3125</v>
      </c>
      <c r="L98" s="1" t="str">
        <f>IFERROR(__xludf.DUMMYFUNCTION("""COMPUTED_VALUE"""),"Yes")</f>
        <v>Yes</v>
      </c>
      <c r="M98" s="1" t="str">
        <f>IFERROR(__xludf.DUMMYFUNCTION("""COMPUTED_VALUE"""),"No")</f>
        <v>No</v>
      </c>
      <c r="N98" s="1" t="str">
        <f>IFERROR(__xludf.DUMMYFUNCTION("""COMPUTED_VALUE"""),"No")</f>
        <v>No</v>
      </c>
      <c r="O98" s="1" t="str">
        <f>IFERROR(__xludf.DUMMYFUNCTION("""COMPUTED_VALUE"""),"WA ONLY")</f>
        <v>WA ONLY</v>
      </c>
      <c r="P98" s="1" t="str">
        <f>IFERROR(__xludf.DUMMYFUNCTION("""COMPUTED_VALUE"""),"Madam")</f>
        <v>Madam</v>
      </c>
      <c r="Q98" s="1"/>
      <c r="R98" s="1"/>
      <c r="S98" s="1"/>
    </row>
    <row r="99">
      <c r="A99" s="2">
        <f>IFERROR(__xludf.DUMMYFUNCTION("""COMPUTED_VALUE"""),45311.76602185185)</f>
        <v>45311.76602</v>
      </c>
      <c r="B99" s="1" t="str">
        <f>IFERROR(__xludf.DUMMYFUNCTION("""COMPUTED_VALUE"""),"Deepshi")</f>
        <v>Deepshi</v>
      </c>
      <c r="C99" s="1">
        <f>IFERROR(__xludf.DUMMYFUNCTION("""COMPUTED_VALUE"""),8.218058775E9)</f>
        <v>8218058775</v>
      </c>
      <c r="D99" s="1">
        <f>IFERROR(__xludf.DUMMYFUNCTION("""COMPUTED_VALUE"""),2.0)</f>
        <v>2</v>
      </c>
      <c r="E99" s="3">
        <f>IFERROR(__xludf.DUMMYFUNCTION("""COMPUTED_VALUE"""),0.15555555555329192)</f>
        <v>0.1555555556</v>
      </c>
      <c r="F99" s="1" t="str">
        <f>IFERROR(__xludf.DUMMYFUNCTION("""COMPUTED_VALUE"""),"Gold")</f>
        <v>Gold</v>
      </c>
      <c r="G99" s="1" t="str">
        <f>IFERROR(__xludf.DUMMYFUNCTION("""COMPUTED_VALUE"""),"Pooja")</f>
        <v>Pooja</v>
      </c>
      <c r="H99" s="1" t="str">
        <f>IFERROR(__xludf.DUMMYFUNCTION("""COMPUTED_VALUE"""),"Silver payal,bichhue.")</f>
        <v>Silver payal,bichhue.</v>
      </c>
      <c r="I99" s="1"/>
      <c r="J99" s="1" t="str">
        <f>IFERROR(__xludf.DUMMYFUNCTION("""COMPUTED_VALUE"""),"Not interested ")</f>
        <v>Not interested </v>
      </c>
      <c r="K99" s="3">
        <f>IFERROR(__xludf.DUMMYFUNCTION("""COMPUTED_VALUE"""),0.23263888889050577)</f>
        <v>0.2326388889</v>
      </c>
      <c r="L99" s="1" t="str">
        <f>IFERROR(__xludf.DUMMYFUNCTION("""COMPUTED_VALUE"""),"Yes")</f>
        <v>Yes</v>
      </c>
      <c r="M99" s="1" t="str">
        <f>IFERROR(__xludf.DUMMYFUNCTION("""COMPUTED_VALUE"""),"Yes")</f>
        <v>Yes</v>
      </c>
      <c r="N99" s="1" t="str">
        <f>IFERROR(__xludf.DUMMYFUNCTION("""COMPUTED_VALUE"""),"Yes")</f>
        <v>Yes</v>
      </c>
      <c r="O99" s="1" t="str">
        <f>IFERROR(__xludf.DUMMYFUNCTION("""COMPUTED_VALUE"""),"WA ONLY")</f>
        <v>WA ONLY</v>
      </c>
      <c r="P99" s="1" t="str">
        <f>IFERROR(__xludf.DUMMYFUNCTION("""COMPUTED_VALUE"""),"Sir, Madam")</f>
        <v>Sir, Madam</v>
      </c>
      <c r="Q99" s="1"/>
      <c r="R99" s="1"/>
      <c r="S99" s="1"/>
    </row>
    <row r="100">
      <c r="A100" s="2">
        <f>IFERROR(__xludf.DUMMYFUNCTION("""COMPUTED_VALUE"""),45311.766860393516)</f>
        <v>45311.76686</v>
      </c>
      <c r="B100" s="1" t="str">
        <f>IFERROR(__xludf.DUMMYFUNCTION("""COMPUTED_VALUE"""),"Urmil")</f>
        <v>Urmil</v>
      </c>
      <c r="C100" s="1">
        <f>IFERROR(__xludf.DUMMYFUNCTION("""COMPUTED_VALUE"""),9.81077575E9)</f>
        <v>9810775750</v>
      </c>
      <c r="D100" s="1">
        <f>IFERROR(__xludf.DUMMYFUNCTION("""COMPUTED_VALUE"""),1.0)</f>
        <v>1</v>
      </c>
      <c r="E100" s="3">
        <f>IFERROR(__xludf.DUMMYFUNCTION("""COMPUTED_VALUE"""),0.15277777778101154)</f>
        <v>0.1527777778</v>
      </c>
      <c r="F100" s="1" t="str">
        <f>IFERROR(__xludf.DUMMYFUNCTION("""COMPUTED_VALUE"""),"Antic")</f>
        <v>Antic</v>
      </c>
      <c r="G100" s="1" t="str">
        <f>IFERROR(__xludf.DUMMYFUNCTION("""COMPUTED_VALUE"""),"Chhaya")</f>
        <v>Chhaya</v>
      </c>
      <c r="H100" s="1"/>
      <c r="I100" s="1" t="str">
        <f>IFERROR(__xludf.DUMMYFUNCTION("""COMPUTED_VALUE"""),"Order ")</f>
        <v>Order </v>
      </c>
      <c r="J100" s="1"/>
      <c r="K100" s="3">
        <f>IFERROR(__xludf.DUMMYFUNCTION("""COMPUTED_VALUE"""),0.18958333333284827)</f>
        <v>0.1895833333</v>
      </c>
      <c r="L100" s="1" t="str">
        <f>IFERROR(__xludf.DUMMYFUNCTION("""COMPUTED_VALUE"""),"Yes")</f>
        <v>Yes</v>
      </c>
      <c r="M100" s="1" t="str">
        <f>IFERROR(__xludf.DUMMYFUNCTION("""COMPUTED_VALUE"""),"Already done")</f>
        <v>Already done</v>
      </c>
      <c r="N100" s="1" t="str">
        <f>IFERROR(__xludf.DUMMYFUNCTION("""COMPUTED_VALUE"""),"Already done")</f>
        <v>Already done</v>
      </c>
      <c r="O100" s="1" t="str">
        <f>IFERROR(__xludf.DUMMYFUNCTION("""COMPUTED_VALUE"""),"WA ONLY")</f>
        <v>WA ONLY</v>
      </c>
      <c r="P100" s="1" t="str">
        <f>IFERROR(__xludf.DUMMYFUNCTION("""COMPUTED_VALUE"""),"Madam")</f>
        <v>Madam</v>
      </c>
      <c r="Q100" s="1"/>
      <c r="R100" s="1"/>
      <c r="S100" s="1"/>
    </row>
    <row r="101">
      <c r="A101" s="2">
        <f>IFERROR(__xludf.DUMMYFUNCTION("""COMPUTED_VALUE"""),45311.76787664352)</f>
        <v>45311.76788</v>
      </c>
      <c r="B101" s="1" t="str">
        <f>IFERROR(__xludf.DUMMYFUNCTION("""COMPUTED_VALUE"""),"Sagar")</f>
        <v>Sagar</v>
      </c>
      <c r="C101" s="1">
        <f>IFERROR(__xludf.DUMMYFUNCTION("""COMPUTED_VALUE"""),9.654141505E9)</f>
        <v>9654141505</v>
      </c>
      <c r="D101" s="1">
        <f>IFERROR(__xludf.DUMMYFUNCTION("""COMPUTED_VALUE"""),1.0)</f>
        <v>1</v>
      </c>
      <c r="E101" s="3">
        <f>IFERROR(__xludf.DUMMYFUNCTION("""COMPUTED_VALUE"""),0.1812500000014552)</f>
        <v>0.18125</v>
      </c>
      <c r="F101" s="1" t="str">
        <f>IFERROR(__xludf.DUMMYFUNCTION("""COMPUTED_VALUE"""),"Antic ")</f>
        <v>Antic </v>
      </c>
      <c r="G101" s="1" t="str">
        <f>IFERROR(__xludf.DUMMYFUNCTION("""COMPUTED_VALUE"""),"Bhumika,chhaya")</f>
        <v>Bhumika,chhaya</v>
      </c>
      <c r="H101" s="1"/>
      <c r="I101" s="1" t="str">
        <f>IFERROR(__xludf.DUMMYFUNCTION("""COMPUTED_VALUE"""),"Customer not satisfied diamond ring design ")</f>
        <v>Customer not satisfied diamond ring design </v>
      </c>
      <c r="J101" s="1" t="str">
        <f>IFERROR(__xludf.DUMMYFUNCTION("""COMPUTED_VALUE"""),"Not interested ")</f>
        <v>Not interested </v>
      </c>
      <c r="K101" s="3">
        <f>IFERROR(__xludf.DUMMYFUNCTION("""COMPUTED_VALUE"""),0.211111111115315)</f>
        <v>0.2111111111</v>
      </c>
      <c r="L101" s="1" t="str">
        <f>IFERROR(__xludf.DUMMYFUNCTION("""COMPUTED_VALUE"""),"Yes")</f>
        <v>Yes</v>
      </c>
      <c r="M101" s="1" t="str">
        <f>IFERROR(__xludf.DUMMYFUNCTION("""COMPUTED_VALUE"""),"Already done")</f>
        <v>Already done</v>
      </c>
      <c r="N101" s="1" t="str">
        <f>IFERROR(__xludf.DUMMYFUNCTION("""COMPUTED_VALUE"""),"Already done ")</f>
        <v>Already done </v>
      </c>
      <c r="O101" s="1" t="str">
        <f>IFERROR(__xludf.DUMMYFUNCTION("""COMPUTED_VALUE"""),"WA ONLY")</f>
        <v>WA ONLY</v>
      </c>
      <c r="P101" s="1" t="str">
        <f>IFERROR(__xludf.DUMMYFUNCTION("""COMPUTED_VALUE"""),"Sir")</f>
        <v>Sir</v>
      </c>
      <c r="Q101" s="1"/>
      <c r="R101" s="1"/>
      <c r="S101" s="1"/>
    </row>
    <row r="102">
      <c r="A102" s="2">
        <f>IFERROR(__xludf.DUMMYFUNCTION("""COMPUTED_VALUE"""),45312.791593842594)</f>
        <v>45312.79159</v>
      </c>
      <c r="B102" s="1" t="str">
        <f>IFERROR(__xludf.DUMMYFUNCTION("""COMPUTED_VALUE"""),"Ms sharukh ")</f>
        <v>Ms sharukh </v>
      </c>
      <c r="C102" s="1">
        <f>IFERROR(__xludf.DUMMYFUNCTION("""COMPUTED_VALUE"""),9.311691012E9)</f>
        <v>9311691012</v>
      </c>
      <c r="D102" s="1">
        <f>IFERROR(__xludf.DUMMYFUNCTION("""COMPUTED_VALUE"""),4.0)</f>
        <v>4</v>
      </c>
      <c r="E102" s="3">
        <f>IFERROR(__xludf.DUMMYFUNCTION("""COMPUTED_VALUE"""),0.054861111115315)</f>
        <v>0.05486111112</v>
      </c>
      <c r="F102" s="1" t="str">
        <f>IFERROR(__xludf.DUMMYFUNCTION("""COMPUTED_VALUE"""),"Antic")</f>
        <v>Antic</v>
      </c>
      <c r="G102" s="1" t="str">
        <f>IFERROR(__xludf.DUMMYFUNCTION("""COMPUTED_VALUE"""),"Pooja")</f>
        <v>Pooja</v>
      </c>
      <c r="H102" s="1" t="str">
        <f>IFERROR(__xludf.DUMMYFUNCTION("""COMPUTED_VALUE"""),"Gold chain ")</f>
        <v>Gold chain </v>
      </c>
      <c r="I102" s="1"/>
      <c r="J102" s="1"/>
      <c r="K102" s="3">
        <f>IFERROR(__xludf.DUMMYFUNCTION("""COMPUTED_VALUE"""),0.20972222222189885)</f>
        <v>0.2097222222</v>
      </c>
      <c r="L102" s="1" t="str">
        <f>IFERROR(__xludf.DUMMYFUNCTION("""COMPUTED_VALUE"""),"Yes")</f>
        <v>Yes</v>
      </c>
      <c r="M102" s="1" t="str">
        <f>IFERROR(__xludf.DUMMYFUNCTION("""COMPUTED_VALUE"""),"Already done")</f>
        <v>Already done</v>
      </c>
      <c r="N102" s="1" t="str">
        <f>IFERROR(__xludf.DUMMYFUNCTION("""COMPUTED_VALUE"""),"Already done")</f>
        <v>Already done</v>
      </c>
      <c r="O102" s="1" t="str">
        <f>IFERROR(__xludf.DUMMYFUNCTION("""COMPUTED_VALUE"""),"WA ONLY")</f>
        <v>WA ONLY</v>
      </c>
      <c r="P102" s="1" t="str">
        <f>IFERROR(__xludf.DUMMYFUNCTION("""COMPUTED_VALUE"""),"Sir, Madam")</f>
        <v>Sir, Madam</v>
      </c>
      <c r="Q102" s="1"/>
      <c r="R102" s="1"/>
      <c r="S102" s="1"/>
    </row>
    <row r="103">
      <c r="A103" s="2">
        <f>IFERROR(__xludf.DUMMYFUNCTION("""COMPUTED_VALUE"""),45312.792758310185)</f>
        <v>45312.79276</v>
      </c>
      <c r="B103" s="1" t="str">
        <f>IFERROR(__xludf.DUMMYFUNCTION("""COMPUTED_VALUE"""),"Parmod")</f>
        <v>Parmod</v>
      </c>
      <c r="C103" s="1">
        <f>IFERROR(__xludf.DUMMYFUNCTION("""COMPUTED_VALUE"""),9.891143023E9)</f>
        <v>9891143023</v>
      </c>
      <c r="D103" s="1">
        <f>IFERROR(__xludf.DUMMYFUNCTION("""COMPUTED_VALUE"""),2.0)</f>
        <v>2</v>
      </c>
      <c r="E103" s="3">
        <f>IFERROR(__xludf.DUMMYFUNCTION("""COMPUTED_VALUE"""),0.10416666666424135)</f>
        <v>0.1041666667</v>
      </c>
      <c r="F103" s="1" t="str">
        <f>IFERROR(__xludf.DUMMYFUNCTION("""COMPUTED_VALUE"""),"Diamond ")</f>
        <v>Diamond </v>
      </c>
      <c r="G103" s="1" t="str">
        <f>IFERROR(__xludf.DUMMYFUNCTION("""COMPUTED_VALUE"""),"Kamini")</f>
        <v>Kamini</v>
      </c>
      <c r="H103" s="1"/>
      <c r="I103" s="1" t="str">
        <f>IFERROR(__xludf.DUMMYFUNCTION("""COMPUTED_VALUE"""),"Discuss with family ")</f>
        <v>Discuss with family </v>
      </c>
      <c r="J103" s="1" t="str">
        <f>IFERROR(__xludf.DUMMYFUNCTION("""COMPUTED_VALUE"""),"Discuss with family ")</f>
        <v>Discuss with family </v>
      </c>
      <c r="K103" s="3">
        <f>IFERROR(__xludf.DUMMYFUNCTION("""COMPUTED_VALUE"""),0.13888888889050577)</f>
        <v>0.1388888889</v>
      </c>
      <c r="L103" s="1" t="str">
        <f>IFERROR(__xludf.DUMMYFUNCTION("""COMPUTED_VALUE"""),"Yes")</f>
        <v>Yes</v>
      </c>
      <c r="M103" s="1" t="str">
        <f>IFERROR(__xludf.DUMMYFUNCTION("""COMPUTED_VALUE"""),"No after purchase ")</f>
        <v>No after purchase </v>
      </c>
      <c r="N103" s="1" t="str">
        <f>IFERROR(__xludf.DUMMYFUNCTION("""COMPUTED_VALUE"""),"No after purchase ")</f>
        <v>No after purchase </v>
      </c>
      <c r="O103" s="1" t="str">
        <f>IFERROR(__xludf.DUMMYFUNCTION("""COMPUTED_VALUE"""),"WA ONLY")</f>
        <v>WA ONLY</v>
      </c>
      <c r="P103" s="1" t="str">
        <f>IFERROR(__xludf.DUMMYFUNCTION("""COMPUTED_VALUE"""),"Sir, Madam")</f>
        <v>Sir, Madam</v>
      </c>
      <c r="Q103" s="1"/>
      <c r="R103" s="1"/>
      <c r="S103" s="1"/>
    </row>
    <row r="104">
      <c r="A104" s="2">
        <f>IFERROR(__xludf.DUMMYFUNCTION("""COMPUTED_VALUE"""),45312.79392561343)</f>
        <v>45312.79393</v>
      </c>
      <c r="B104" s="1" t="str">
        <f>IFERROR(__xludf.DUMMYFUNCTION("""COMPUTED_VALUE"""),"Pargati")</f>
        <v>Pargati</v>
      </c>
      <c r="C104" s="1">
        <f>IFERROR(__xludf.DUMMYFUNCTION("""COMPUTED_VALUE"""),8.375933947E9)</f>
        <v>8375933947</v>
      </c>
      <c r="D104" s="1">
        <f>IFERROR(__xludf.DUMMYFUNCTION("""COMPUTED_VALUE"""),1.0)</f>
        <v>1</v>
      </c>
      <c r="E104" s="3">
        <f>IFERROR(__xludf.DUMMYFUNCTION("""COMPUTED_VALUE"""),0.13611111111094942)</f>
        <v>0.1361111111</v>
      </c>
      <c r="F104" s="1" t="str">
        <f>IFERROR(__xludf.DUMMYFUNCTION("""COMPUTED_VALUE"""),"Diamond ")</f>
        <v>Diamond </v>
      </c>
      <c r="G104" s="1" t="str">
        <f>IFERROR(__xludf.DUMMYFUNCTION("""COMPUTED_VALUE"""),"Kamini ")</f>
        <v>Kamini </v>
      </c>
      <c r="H104" s="1"/>
      <c r="I104" s="1" t="str">
        <f>IFERROR(__xludf.DUMMYFUNCTION("""COMPUTED_VALUE"""),"Customer discuss family ")</f>
        <v>Customer discuss family </v>
      </c>
      <c r="J104" s="1"/>
      <c r="K104" s="3">
        <f>IFERROR(__xludf.DUMMYFUNCTION("""COMPUTED_VALUE"""),0.21666666666715173)</f>
        <v>0.2166666667</v>
      </c>
      <c r="L104" s="1" t="str">
        <f>IFERROR(__xludf.DUMMYFUNCTION("""COMPUTED_VALUE"""),"Yes")</f>
        <v>Yes</v>
      </c>
      <c r="M104" s="1" t="str">
        <f>IFERROR(__xludf.DUMMYFUNCTION("""COMPUTED_VALUE"""),"After purchase ")</f>
        <v>After purchase </v>
      </c>
      <c r="N104" s="1" t="str">
        <f>IFERROR(__xludf.DUMMYFUNCTION("""COMPUTED_VALUE"""),"After purchase ")</f>
        <v>After purchase </v>
      </c>
      <c r="O104" s="1" t="str">
        <f>IFERROR(__xludf.DUMMYFUNCTION("""COMPUTED_VALUE"""),"WA ONLY")</f>
        <v>WA ONLY</v>
      </c>
      <c r="P104" s="1" t="str">
        <f>IFERROR(__xludf.DUMMYFUNCTION("""COMPUTED_VALUE"""),"Sir, Madam")</f>
        <v>Sir, Madam</v>
      </c>
      <c r="Q104" s="1"/>
      <c r="R104" s="1"/>
      <c r="S104" s="1"/>
    </row>
    <row r="105">
      <c r="A105" s="2">
        <f>IFERROR(__xludf.DUMMYFUNCTION("""COMPUTED_VALUE"""),45312.794784791666)</f>
        <v>45312.79478</v>
      </c>
      <c r="B105" s="1" t="str">
        <f>IFERROR(__xludf.DUMMYFUNCTION("""COMPUTED_VALUE"""),"Pargati")</f>
        <v>Pargati</v>
      </c>
      <c r="C105" s="1">
        <f>IFERROR(__xludf.DUMMYFUNCTION("""COMPUTED_VALUE"""),8.375933947E9)</f>
        <v>8375933947</v>
      </c>
      <c r="D105" s="1">
        <f>IFERROR(__xludf.DUMMYFUNCTION("""COMPUTED_VALUE"""),1.0)</f>
        <v>1</v>
      </c>
      <c r="E105" s="3">
        <f>IFERROR(__xludf.DUMMYFUNCTION("""COMPUTED_VALUE"""),0.13611111111094942)</f>
        <v>0.1361111111</v>
      </c>
      <c r="F105" s="1" t="str">
        <f>IFERROR(__xludf.DUMMYFUNCTION("""COMPUTED_VALUE"""),"Diamond ")</f>
        <v>Diamond </v>
      </c>
      <c r="G105" s="1" t="str">
        <f>IFERROR(__xludf.DUMMYFUNCTION("""COMPUTED_VALUE"""),"Kamini")</f>
        <v>Kamini</v>
      </c>
      <c r="H105" s="1" t="str">
        <f>IFERROR(__xludf.DUMMYFUNCTION("""COMPUTED_VALUE"""),"Gold gents kada")</f>
        <v>Gold gents kada</v>
      </c>
      <c r="I105" s="1"/>
      <c r="J105" s="1" t="str">
        <f>IFERROR(__xludf.DUMMYFUNCTION("""COMPUTED_VALUE"""),"Not interested ")</f>
        <v>Not interested </v>
      </c>
      <c r="K105" s="3">
        <f>IFERROR(__xludf.DUMMYFUNCTION("""COMPUTED_VALUE"""),0.19999999999708962)</f>
        <v>0.2</v>
      </c>
      <c r="L105" s="1" t="str">
        <f>IFERROR(__xludf.DUMMYFUNCTION("""COMPUTED_VALUE"""),"Yes")</f>
        <v>Yes</v>
      </c>
      <c r="M105" s="1" t="str">
        <f>IFERROR(__xludf.DUMMYFUNCTION("""COMPUTED_VALUE"""),"Yes")</f>
        <v>Yes</v>
      </c>
      <c r="N105" s="1" t="str">
        <f>IFERROR(__xludf.DUMMYFUNCTION("""COMPUTED_VALUE"""),"Yes")</f>
        <v>Yes</v>
      </c>
      <c r="O105" s="1" t="str">
        <f>IFERROR(__xludf.DUMMYFUNCTION("""COMPUTED_VALUE"""),"WA ONLY")</f>
        <v>WA ONLY</v>
      </c>
      <c r="P105" s="1" t="str">
        <f>IFERROR(__xludf.DUMMYFUNCTION("""COMPUTED_VALUE"""),"Sir, Madam")</f>
        <v>Sir, Madam</v>
      </c>
      <c r="Q105" s="1"/>
      <c r="R105" s="1"/>
      <c r="S105" s="1"/>
    </row>
    <row r="106">
      <c r="A106" s="2">
        <f>IFERROR(__xludf.DUMMYFUNCTION("""COMPUTED_VALUE"""),45312.81749888889)</f>
        <v>45312.8175</v>
      </c>
      <c r="B106" s="1" t="str">
        <f>IFERROR(__xludf.DUMMYFUNCTION("""COMPUTED_VALUE"""),"Alifiya")</f>
        <v>Alifiya</v>
      </c>
      <c r="C106" s="1">
        <f>IFERROR(__xludf.DUMMYFUNCTION("""COMPUTED_VALUE"""),7.83840825E9)</f>
        <v>7838408250</v>
      </c>
      <c r="D106" s="1">
        <f>IFERROR(__xludf.DUMMYFUNCTION("""COMPUTED_VALUE"""),6.0)</f>
        <v>6</v>
      </c>
      <c r="E106" s="3">
        <f>IFERROR(__xludf.DUMMYFUNCTION("""COMPUTED_VALUE"""),0.31111111110658385)</f>
        <v>0.3111111111</v>
      </c>
      <c r="F106" s="1" t="str">
        <f>IFERROR(__xludf.DUMMYFUNCTION("""COMPUTED_VALUE"""),"eena")</f>
        <v>eena</v>
      </c>
      <c r="G106" s="1"/>
      <c r="H106" s="1"/>
      <c r="I106" s="1" t="str">
        <f>IFERROR(__xludf.DUMMYFUNCTION("""COMPUTED_VALUE"""),"Customer not satisfied gold ring design ")</f>
        <v>Customer not satisfied gold ring design </v>
      </c>
      <c r="J106" s="1" t="str">
        <f>IFERROR(__xludf.DUMMYFUNCTION("""COMPUTED_VALUE"""),"Not interested ")</f>
        <v>Not interested </v>
      </c>
      <c r="K106" s="3">
        <f>IFERROR(__xludf.DUMMYFUNCTION("""COMPUTED_VALUE"""),0.3173611111124046)</f>
        <v>0.3173611111</v>
      </c>
      <c r="L106" s="1" t="str">
        <f>IFERROR(__xludf.DUMMYFUNCTION("""COMPUTED_VALUE"""),"Yes")</f>
        <v>Yes</v>
      </c>
      <c r="M106" s="1" t="str">
        <f>IFERROR(__xludf.DUMMYFUNCTION("""COMPUTED_VALUE"""),"No after purchase ")</f>
        <v>No after purchase </v>
      </c>
      <c r="N106" s="1" t="str">
        <f>IFERROR(__xludf.DUMMYFUNCTION("""COMPUTED_VALUE"""),"No after purchase ")</f>
        <v>No after purchase </v>
      </c>
      <c r="O106" s="1" t="str">
        <f>IFERROR(__xludf.DUMMYFUNCTION("""COMPUTED_VALUE"""),"WA ONLY")</f>
        <v>WA ONLY</v>
      </c>
      <c r="P106" s="1" t="str">
        <f>IFERROR(__xludf.DUMMYFUNCTION("""COMPUTED_VALUE"""),"Sir, Madam")</f>
        <v>Sir, Madam</v>
      </c>
      <c r="Q106" s="1"/>
      <c r="R106" s="1"/>
      <c r="S106" s="1"/>
    </row>
    <row r="107">
      <c r="A107" s="2">
        <f>IFERROR(__xludf.DUMMYFUNCTION("""COMPUTED_VALUE"""),45314.74846353009)</f>
        <v>45314.74846</v>
      </c>
      <c r="B107" s="1" t="str">
        <f>IFERROR(__xludf.DUMMYFUNCTION("""COMPUTED_VALUE"""),"Ankush sharma")</f>
        <v>Ankush sharma</v>
      </c>
      <c r="C107" s="1">
        <f>IFERROR(__xludf.DUMMYFUNCTION("""COMPUTED_VALUE"""),9.817922929E9)</f>
        <v>9817922929</v>
      </c>
      <c r="D107" s="1">
        <f>IFERROR(__xludf.DUMMYFUNCTION("""COMPUTED_VALUE"""),1.0)</f>
        <v>1</v>
      </c>
      <c r="E107" s="3">
        <f>IFERROR(__xludf.DUMMYFUNCTION("""COMPUTED_VALUE"""),0.08263888888905058)</f>
        <v>0.08263888889</v>
      </c>
      <c r="F107" s="1" t="str">
        <f>IFERROR(__xludf.DUMMYFUNCTION("""COMPUTED_VALUE"""),"Diamond ")</f>
        <v>Diamond </v>
      </c>
      <c r="G107" s="1" t="str">
        <f>IFERROR(__xludf.DUMMYFUNCTION("""COMPUTED_VALUE"""),"Reena")</f>
        <v>Reena</v>
      </c>
      <c r="H107" s="1"/>
      <c r="I107" s="1" t="str">
        <f>IFERROR(__xludf.DUMMYFUNCTION("""COMPUTED_VALUE"""),"Confirm diamond rate with kerot ")</f>
        <v>Confirm diamond rate with kerot </v>
      </c>
      <c r="J107" s="1" t="str">
        <f>IFERROR(__xludf.DUMMYFUNCTION("""COMPUTED_VALUE"""),"Not interested ")</f>
        <v>Not interested </v>
      </c>
      <c r="K107" s="3">
        <f>IFERROR(__xludf.DUMMYFUNCTION("""COMPUTED_VALUE"""),0.08472222222189885)</f>
        <v>0.08472222222</v>
      </c>
      <c r="L107" s="1" t="str">
        <f>IFERROR(__xludf.DUMMYFUNCTION("""COMPUTED_VALUE"""),"Yes")</f>
        <v>Yes</v>
      </c>
      <c r="M107" s="1" t="str">
        <f>IFERROR(__xludf.DUMMYFUNCTION("""COMPUTED_VALUE"""),"No ")</f>
        <v>No </v>
      </c>
      <c r="N107" s="1" t="str">
        <f>IFERROR(__xludf.DUMMYFUNCTION("""COMPUTED_VALUE"""),"No")</f>
        <v>No</v>
      </c>
      <c r="O107" s="1" t="str">
        <f>IFERROR(__xludf.DUMMYFUNCTION("""COMPUTED_VALUE"""),"WA ONLY")</f>
        <v>WA ONLY</v>
      </c>
      <c r="P107" s="1" t="str">
        <f>IFERROR(__xludf.DUMMYFUNCTION("""COMPUTED_VALUE"""),"Sir")</f>
        <v>Sir</v>
      </c>
      <c r="Q107" s="1"/>
      <c r="R107" s="1"/>
      <c r="S107" s="1"/>
    </row>
    <row r="108">
      <c r="A108" s="2">
        <f>IFERROR(__xludf.DUMMYFUNCTION("""COMPUTED_VALUE"""),45314.74939701389)</f>
        <v>45314.7494</v>
      </c>
      <c r="B108" s="1" t="str">
        <f>IFERROR(__xludf.DUMMYFUNCTION("""COMPUTED_VALUE"""),"Anita")</f>
        <v>Anita</v>
      </c>
      <c r="C108" s="1">
        <f>IFERROR(__xludf.DUMMYFUNCTION("""COMPUTED_VALUE"""),8.010046101E9)</f>
        <v>8010046101</v>
      </c>
      <c r="D108" s="1">
        <f>IFERROR(__xludf.DUMMYFUNCTION("""COMPUTED_VALUE"""),2.0)</f>
        <v>2</v>
      </c>
      <c r="E108" s="3">
        <f>IFERROR(__xludf.DUMMYFUNCTION("""COMPUTED_VALUE"""),0.11666666666860692)</f>
        <v>0.1166666667</v>
      </c>
      <c r="F108" s="1" t="str">
        <f>IFERROR(__xludf.DUMMYFUNCTION("""COMPUTED_VALUE"""),"Antic")</f>
        <v>Antic</v>
      </c>
      <c r="G108" s="1" t="str">
        <f>IFERROR(__xludf.DUMMYFUNCTION("""COMPUTED_VALUE"""),"Chhaya")</f>
        <v>Chhaya</v>
      </c>
      <c r="H108" s="1"/>
      <c r="I108" s="1" t="str">
        <f>IFERROR(__xludf.DUMMYFUNCTION("""COMPUTED_VALUE"""),"Done the payment ")</f>
        <v>Done the payment </v>
      </c>
      <c r="J108" s="1" t="str">
        <f>IFERROR(__xludf.DUMMYFUNCTION("""COMPUTED_VALUE"""),"Not interested ")</f>
        <v>Not interested </v>
      </c>
      <c r="K108" s="3">
        <f>IFERROR(__xludf.DUMMYFUNCTION("""COMPUTED_VALUE"""),0.13541666666424135)</f>
        <v>0.1354166667</v>
      </c>
      <c r="L108" s="1" t="str">
        <f>IFERROR(__xludf.DUMMYFUNCTION("""COMPUTED_VALUE"""),"Yes")</f>
        <v>Yes</v>
      </c>
      <c r="M108" s="1" t="str">
        <f>IFERROR(__xludf.DUMMYFUNCTION("""COMPUTED_VALUE"""),"Already done")</f>
        <v>Already done</v>
      </c>
      <c r="N108" s="1" t="str">
        <f>IFERROR(__xludf.DUMMYFUNCTION("""COMPUTED_VALUE"""),"Already done")</f>
        <v>Already done</v>
      </c>
      <c r="O108" s="1" t="str">
        <f>IFERROR(__xludf.DUMMYFUNCTION("""COMPUTED_VALUE"""),"WA ONLY")</f>
        <v>WA ONLY</v>
      </c>
      <c r="P108" s="1" t="str">
        <f>IFERROR(__xludf.DUMMYFUNCTION("""COMPUTED_VALUE"""),"Sir, Madam")</f>
        <v>Sir, Madam</v>
      </c>
      <c r="Q108" s="1"/>
      <c r="R108" s="1"/>
      <c r="S108" s="1"/>
    </row>
    <row r="109">
      <c r="A109" s="2">
        <f>IFERROR(__xludf.DUMMYFUNCTION("""COMPUTED_VALUE"""),45314.75030623843)</f>
        <v>45314.75031</v>
      </c>
      <c r="B109" s="1" t="str">
        <f>IFERROR(__xludf.DUMMYFUNCTION("""COMPUTED_VALUE"""),"Rajeev gera")</f>
        <v>Rajeev gera</v>
      </c>
      <c r="C109" s="1">
        <f>IFERROR(__xludf.DUMMYFUNCTION("""COMPUTED_VALUE"""),9.990145453E9)</f>
        <v>9990145453</v>
      </c>
      <c r="D109" s="1">
        <f>IFERROR(__xludf.DUMMYFUNCTION("""COMPUTED_VALUE"""),1.0)</f>
        <v>1</v>
      </c>
      <c r="E109" s="3">
        <f>IFERROR(__xludf.DUMMYFUNCTION("""COMPUTED_VALUE"""),0.12222222222044365)</f>
        <v>0.1222222222</v>
      </c>
      <c r="F109" s="1" t="str">
        <f>IFERROR(__xludf.DUMMYFUNCTION("""COMPUTED_VALUE"""),"Gold")</f>
        <v>Gold</v>
      </c>
      <c r="G109" s="1" t="str">
        <f>IFERROR(__xludf.DUMMYFUNCTION("""COMPUTED_VALUE"""),"Bhumika ")</f>
        <v>Bhumika </v>
      </c>
      <c r="H109" s="1" t="str">
        <f>IFERROR(__xludf.DUMMYFUNCTION("""COMPUTED_VALUE"""),"Antic gold set")</f>
        <v>Antic gold set</v>
      </c>
      <c r="I109" s="1"/>
      <c r="J109" s="1" t="str">
        <f>IFERROR(__xludf.DUMMYFUNCTION("""COMPUTED_VALUE"""),"Not interested ")</f>
        <v>Not interested </v>
      </c>
      <c r="K109" s="3">
        <f>IFERROR(__xludf.DUMMYFUNCTION("""COMPUTED_VALUE"""),0.20972222222189885)</f>
        <v>0.2097222222</v>
      </c>
      <c r="L109" s="1" t="str">
        <f>IFERROR(__xludf.DUMMYFUNCTION("""COMPUTED_VALUE"""),"Yes")</f>
        <v>Yes</v>
      </c>
      <c r="M109" s="1" t="str">
        <f>IFERROR(__xludf.DUMMYFUNCTION("""COMPUTED_VALUE"""),"Already done")</f>
        <v>Already done</v>
      </c>
      <c r="N109" s="1" t="str">
        <f>IFERROR(__xludf.DUMMYFUNCTION("""COMPUTED_VALUE"""),"Already done")</f>
        <v>Already done</v>
      </c>
      <c r="O109" s="1" t="str">
        <f>IFERROR(__xludf.DUMMYFUNCTION("""COMPUTED_VALUE"""),"WA ONLY, OWNER CONTACT ONLY")</f>
        <v>WA ONLY, OWNER CONTACT ONLY</v>
      </c>
      <c r="P109" s="1" t="str">
        <f>IFERROR(__xludf.DUMMYFUNCTION("""COMPUTED_VALUE"""),"Sir, Madam")</f>
        <v>Sir, Madam</v>
      </c>
      <c r="Q109" s="1"/>
      <c r="R109" s="1"/>
      <c r="S109" s="1"/>
    </row>
    <row r="110">
      <c r="A110" s="2">
        <f>IFERROR(__xludf.DUMMYFUNCTION("""COMPUTED_VALUE"""),45314.75455716436)</f>
        <v>45314.75456</v>
      </c>
      <c r="B110" s="1" t="str">
        <f>IFERROR(__xludf.DUMMYFUNCTION("""COMPUTED_VALUE"""),"Saloni")</f>
        <v>Saloni</v>
      </c>
      <c r="C110" s="1">
        <f>IFERROR(__xludf.DUMMYFUNCTION("""COMPUTED_VALUE"""),8.287645704E9)</f>
        <v>8287645704</v>
      </c>
      <c r="D110" s="1">
        <f>IFERROR(__xludf.DUMMYFUNCTION("""COMPUTED_VALUE"""),1.0)</f>
        <v>1</v>
      </c>
      <c r="E110" s="3">
        <f>IFERROR(__xludf.DUMMYFUNCTION("""COMPUTED_VALUE"""),0.14027777777664596)</f>
        <v>0.1402777778</v>
      </c>
      <c r="F110" s="1" t="str">
        <f>IFERROR(__xludf.DUMMYFUNCTION("""COMPUTED_VALUE"""),"Diamond ")</f>
        <v>Diamond </v>
      </c>
      <c r="G110" s="1" t="str">
        <f>IFERROR(__xludf.DUMMYFUNCTION("""COMPUTED_VALUE"""),"Kamini")</f>
        <v>Kamini</v>
      </c>
      <c r="H110" s="1"/>
      <c r="I110" s="1" t="str">
        <f>IFERROR(__xludf.DUMMYFUNCTION("""COMPUTED_VALUE"""),"Visit again with family ")</f>
        <v>Visit again with family </v>
      </c>
      <c r="J110" s="1" t="str">
        <f>IFERROR(__xludf.DUMMYFUNCTION("""COMPUTED_VALUE"""),"Visit again with family ")</f>
        <v>Visit again with family </v>
      </c>
      <c r="K110" s="3">
        <f>IFERROR(__xludf.DUMMYFUNCTION("""COMPUTED_VALUE"""),0.16319444444525288)</f>
        <v>0.1631944444</v>
      </c>
      <c r="L110" s="1" t="str">
        <f>IFERROR(__xludf.DUMMYFUNCTION("""COMPUTED_VALUE"""),"Yes")</f>
        <v>Yes</v>
      </c>
      <c r="M110" s="1" t="str">
        <f>IFERROR(__xludf.DUMMYFUNCTION("""COMPUTED_VALUE"""),"After purchase ")</f>
        <v>After purchase </v>
      </c>
      <c r="N110" s="1" t="str">
        <f>IFERROR(__xludf.DUMMYFUNCTION("""COMPUTED_VALUE"""),"After purchase ")</f>
        <v>After purchase </v>
      </c>
      <c r="O110" s="1" t="str">
        <f>IFERROR(__xludf.DUMMYFUNCTION("""COMPUTED_VALUE"""),"WA ONLY")</f>
        <v>WA ONLY</v>
      </c>
      <c r="P110" s="1" t="str">
        <f>IFERROR(__xludf.DUMMYFUNCTION("""COMPUTED_VALUE"""),"Madam")</f>
        <v>Madam</v>
      </c>
      <c r="Q110" s="1"/>
      <c r="R110" s="1"/>
      <c r="S110" s="1"/>
    </row>
    <row r="111">
      <c r="A111" s="2">
        <f>IFERROR(__xludf.DUMMYFUNCTION("""COMPUTED_VALUE"""),45314.7575331713)</f>
        <v>45314.75753</v>
      </c>
      <c r="B111" s="1" t="str">
        <f>IFERROR(__xludf.DUMMYFUNCTION("""COMPUTED_VALUE"""),"Anjli")</f>
        <v>Anjli</v>
      </c>
      <c r="C111" s="1" t="str">
        <f>IFERROR(__xludf.DUMMYFUNCTION("""COMPUTED_VALUE"""),"+23052526697")</f>
        <v>+23052526697</v>
      </c>
      <c r="D111" s="1">
        <f>IFERROR(__xludf.DUMMYFUNCTION("""COMPUTED_VALUE"""),1.0)</f>
        <v>1</v>
      </c>
      <c r="E111" s="3">
        <f>IFERROR(__xludf.DUMMYFUNCTION("""COMPUTED_VALUE"""),0.22986111111094942)</f>
        <v>0.2298611111</v>
      </c>
      <c r="F111" s="1" t="str">
        <f>IFERROR(__xludf.DUMMYFUNCTION("""COMPUTED_VALUE"""),"Antic")</f>
        <v>Antic</v>
      </c>
      <c r="G111" s="1" t="str">
        <f>IFERROR(__xludf.DUMMYFUNCTION("""COMPUTED_VALUE"""),"Pooja")</f>
        <v>Pooja</v>
      </c>
      <c r="H111" s="1"/>
      <c r="I111" s="1" t="str">
        <f>IFERROR(__xludf.DUMMYFUNCTION("""COMPUTED_VALUE"""),"Customer not satisfied with bangle design ")</f>
        <v>Customer not satisfied with bangle design </v>
      </c>
      <c r="J111" s="1" t="str">
        <f>IFERROR(__xludf.DUMMYFUNCTION("""COMPUTED_VALUE"""),"Not interested ")</f>
        <v>Not interested </v>
      </c>
      <c r="K111" s="3">
        <f>IFERROR(__xludf.DUMMYFUNCTION("""COMPUTED_VALUE"""),0.23472222222335404)</f>
        <v>0.2347222222</v>
      </c>
      <c r="L111" s="1" t="str">
        <f>IFERROR(__xludf.DUMMYFUNCTION("""COMPUTED_VALUE"""),"Yes")</f>
        <v>Yes</v>
      </c>
      <c r="M111" s="1" t="str">
        <f>IFERROR(__xludf.DUMMYFUNCTION("""COMPUTED_VALUE"""),"No")</f>
        <v>No</v>
      </c>
      <c r="N111" s="1" t="str">
        <f>IFERROR(__xludf.DUMMYFUNCTION("""COMPUTED_VALUE"""),"No")</f>
        <v>No</v>
      </c>
      <c r="O111" s="1" t="str">
        <f>IFERROR(__xludf.DUMMYFUNCTION("""COMPUTED_VALUE"""),"WA ONLY")</f>
        <v>WA ONLY</v>
      </c>
      <c r="P111" s="1" t="str">
        <f>IFERROR(__xludf.DUMMYFUNCTION("""COMPUTED_VALUE"""),"Madam")</f>
        <v>Madam</v>
      </c>
      <c r="Q111" s="1"/>
      <c r="R111" s="1"/>
      <c r="S111" s="1"/>
    </row>
    <row r="112">
      <c r="A112" s="2">
        <f>IFERROR(__xludf.DUMMYFUNCTION("""COMPUTED_VALUE"""),45316.78653577546)</f>
        <v>45316.78654</v>
      </c>
      <c r="B112" s="1" t="str">
        <f>IFERROR(__xludf.DUMMYFUNCTION("""COMPUTED_VALUE"""),"Anjali")</f>
        <v>Anjali</v>
      </c>
      <c r="C112" s="1" t="str">
        <f>IFERROR(__xludf.DUMMYFUNCTION("""COMPUTED_VALUE"""),"+23052526697")</f>
        <v>+23052526697</v>
      </c>
      <c r="D112" s="1">
        <f>IFERROR(__xludf.DUMMYFUNCTION("""COMPUTED_VALUE"""),1.0)</f>
        <v>1</v>
      </c>
      <c r="E112" s="3">
        <f>IFERROR(__xludf.DUMMYFUNCTION("""COMPUTED_VALUE"""),0.5173611111094942)</f>
        <v>0.5173611111</v>
      </c>
      <c r="F112" s="1" t="str">
        <f>IFERROR(__xludf.DUMMYFUNCTION("""COMPUTED_VALUE"""),"Diamond ")</f>
        <v>Diamond </v>
      </c>
      <c r="G112" s="1" t="str">
        <f>IFERROR(__xludf.DUMMYFUNCTION("""COMPUTED_VALUE"""),"Reena")</f>
        <v>Reena</v>
      </c>
      <c r="H112" s="1"/>
      <c r="I112" s="1" t="str">
        <f>IFERROR(__xludf.DUMMYFUNCTION("""COMPUTED_VALUE"""),"Customer not satisfied gold Bali design ")</f>
        <v>Customer not satisfied gold Bali design </v>
      </c>
      <c r="J112" s="1" t="str">
        <f>IFERROR(__xludf.DUMMYFUNCTION("""COMPUTED_VALUE"""),"Not interested ")</f>
        <v>Not interested </v>
      </c>
      <c r="K112" s="3">
        <f>IFERROR(__xludf.DUMMYFUNCTION("""COMPUTED_VALUE"""),0.5291666666671517)</f>
        <v>0.5291666667</v>
      </c>
      <c r="L112" s="1" t="str">
        <f>IFERROR(__xludf.DUMMYFUNCTION("""COMPUTED_VALUE"""),"Yes")</f>
        <v>Yes</v>
      </c>
      <c r="M112" s="1" t="str">
        <f>IFERROR(__xludf.DUMMYFUNCTION("""COMPUTED_VALUE"""),"After purchase ")</f>
        <v>After purchase </v>
      </c>
      <c r="N112" s="1" t="str">
        <f>IFERROR(__xludf.DUMMYFUNCTION("""COMPUTED_VALUE"""),"After purchase ")</f>
        <v>After purchase </v>
      </c>
      <c r="O112" s="1" t="str">
        <f>IFERROR(__xludf.DUMMYFUNCTION("""COMPUTED_VALUE"""),"WA ONLY")</f>
        <v>WA ONLY</v>
      </c>
      <c r="P112" s="1" t="str">
        <f>IFERROR(__xludf.DUMMYFUNCTION("""COMPUTED_VALUE"""),"Madam")</f>
        <v>Madam</v>
      </c>
      <c r="Q112" s="1"/>
      <c r="R112" s="1"/>
      <c r="S112" s="1"/>
    </row>
    <row r="113">
      <c r="A113" s="2">
        <f>IFERROR(__xludf.DUMMYFUNCTION("""COMPUTED_VALUE"""),45316.787613611115)</f>
        <v>45316.78761</v>
      </c>
      <c r="B113" s="1" t="str">
        <f>IFERROR(__xludf.DUMMYFUNCTION("""COMPUTED_VALUE"""),"Pargati")</f>
        <v>Pargati</v>
      </c>
      <c r="C113" s="1">
        <f>IFERROR(__xludf.DUMMYFUNCTION("""COMPUTED_VALUE"""),8.375933947E9)</f>
        <v>8375933947</v>
      </c>
      <c r="D113" s="1">
        <f>IFERROR(__xludf.DUMMYFUNCTION("""COMPUTED_VALUE"""),2.0)</f>
        <v>2</v>
      </c>
      <c r="E113" s="3">
        <f>IFERROR(__xludf.DUMMYFUNCTION("""COMPUTED_VALUE"""),0.22152777777955635)</f>
        <v>0.2215277778</v>
      </c>
      <c r="F113" s="1" t="str">
        <f>IFERROR(__xludf.DUMMYFUNCTION("""COMPUTED_VALUE"""),"Diamond ")</f>
        <v>Diamond </v>
      </c>
      <c r="G113" s="1" t="str">
        <f>IFERROR(__xludf.DUMMYFUNCTION("""COMPUTED_VALUE"""),"Kamini")</f>
        <v>Kamini</v>
      </c>
      <c r="H113" s="1"/>
      <c r="I113" s="1" t="str">
        <f>IFERROR(__xludf.DUMMYFUNCTION("""COMPUTED_VALUE"""),"Pic the oder ")</f>
        <v>Pic the oder </v>
      </c>
      <c r="J113" s="1" t="str">
        <f>IFERROR(__xludf.DUMMYFUNCTION("""COMPUTED_VALUE"""),"Not interested ")</f>
        <v>Not interested </v>
      </c>
      <c r="K113" s="3">
        <f>IFERROR(__xludf.DUMMYFUNCTION("""COMPUTED_VALUE"""),0.24652777778101154)</f>
        <v>0.2465277778</v>
      </c>
      <c r="L113" s="1" t="str">
        <f>IFERROR(__xludf.DUMMYFUNCTION("""COMPUTED_VALUE"""),"Yes")</f>
        <v>Yes</v>
      </c>
      <c r="M113" s="1" t="str">
        <f>IFERROR(__xludf.DUMMYFUNCTION("""COMPUTED_VALUE"""),"Already done")</f>
        <v>Already done</v>
      </c>
      <c r="N113" s="1" t="str">
        <f>IFERROR(__xludf.DUMMYFUNCTION("""COMPUTED_VALUE"""),"Already done")</f>
        <v>Already done</v>
      </c>
      <c r="O113" s="1" t="str">
        <f>IFERROR(__xludf.DUMMYFUNCTION("""COMPUTED_VALUE"""),"WA ONLY")</f>
        <v>WA ONLY</v>
      </c>
      <c r="P113" s="1" t="str">
        <f>IFERROR(__xludf.DUMMYFUNCTION("""COMPUTED_VALUE"""),"Madam")</f>
        <v>Madam</v>
      </c>
      <c r="Q113" s="1"/>
      <c r="R113" s="1"/>
      <c r="S113" s="1"/>
    </row>
    <row r="114">
      <c r="A114" s="2">
        <f>IFERROR(__xludf.DUMMYFUNCTION("""COMPUTED_VALUE"""),45319.72063599537)</f>
        <v>45319.72064</v>
      </c>
      <c r="B114" s="1" t="str">
        <f>IFERROR(__xludf.DUMMYFUNCTION("""COMPUTED_VALUE"""),"Monika")</f>
        <v>Monika</v>
      </c>
      <c r="C114" s="1">
        <f>IFERROR(__xludf.DUMMYFUNCTION("""COMPUTED_VALUE"""),7.300620421E9)</f>
        <v>7300620421</v>
      </c>
      <c r="D114" s="1">
        <f>IFERROR(__xludf.DUMMYFUNCTION("""COMPUTED_VALUE"""),1.0)</f>
        <v>1</v>
      </c>
      <c r="E114" s="3">
        <f>IFERROR(__xludf.DUMMYFUNCTION("""COMPUTED_VALUE"""),0.05000000000291038)</f>
        <v>0.05</v>
      </c>
      <c r="F114" s="1" t="str">
        <f>IFERROR(__xludf.DUMMYFUNCTION("""COMPUTED_VALUE"""),"Antic")</f>
        <v>Antic</v>
      </c>
      <c r="G114" s="1" t="str">
        <f>IFERROR(__xludf.DUMMYFUNCTION("""COMPUTED_VALUE"""),"Pooja")</f>
        <v>Pooja</v>
      </c>
      <c r="H114" s="1"/>
      <c r="I114" s="1" t="str">
        <f>IFERROR(__xludf.DUMMYFUNCTION("""COMPUTED_VALUE"""),"Visit again ")</f>
        <v>Visit again </v>
      </c>
      <c r="J114" s="1" t="str">
        <f>IFERROR(__xludf.DUMMYFUNCTION("""COMPUTED_VALUE"""),"Not interested ")</f>
        <v>Not interested </v>
      </c>
      <c r="K114" s="3">
        <f>IFERROR(__xludf.DUMMYFUNCTION("""COMPUTED_VALUE"""),0.0625)</f>
        <v>0.0625</v>
      </c>
      <c r="L114" s="1" t="str">
        <f>IFERROR(__xludf.DUMMYFUNCTION("""COMPUTED_VALUE"""),"Yes")</f>
        <v>Yes</v>
      </c>
      <c r="M114" s="1" t="str">
        <f>IFERROR(__xludf.DUMMYFUNCTION("""COMPUTED_VALUE"""),"Already done")</f>
        <v>Already done</v>
      </c>
      <c r="N114" s="1" t="str">
        <f>IFERROR(__xludf.DUMMYFUNCTION("""COMPUTED_VALUE"""),"Already done")</f>
        <v>Already done</v>
      </c>
      <c r="O114" s="1" t="str">
        <f>IFERROR(__xludf.DUMMYFUNCTION("""COMPUTED_VALUE"""),"WA ONLY")</f>
        <v>WA ONLY</v>
      </c>
      <c r="P114" s="1" t="str">
        <f>IFERROR(__xludf.DUMMYFUNCTION("""COMPUTED_VALUE"""),"Madam")</f>
        <v>Madam</v>
      </c>
      <c r="Q114" s="1"/>
      <c r="R114" s="1"/>
      <c r="S114" s="1"/>
    </row>
    <row r="115">
      <c r="A115" s="2">
        <f>IFERROR(__xludf.DUMMYFUNCTION("""COMPUTED_VALUE"""),45319.72209420139)</f>
        <v>45319.72209</v>
      </c>
      <c r="B115" s="1" t="str">
        <f>IFERROR(__xludf.DUMMYFUNCTION("""COMPUTED_VALUE"""),"Atoshi")</f>
        <v>Atoshi</v>
      </c>
      <c r="C115" s="1">
        <f>IFERROR(__xludf.DUMMYFUNCTION("""COMPUTED_VALUE"""),8.700173741E9)</f>
        <v>8700173741</v>
      </c>
      <c r="D115" s="1">
        <f>IFERROR(__xludf.DUMMYFUNCTION("""COMPUTED_VALUE"""),1.0)</f>
        <v>1</v>
      </c>
      <c r="E115" s="3">
        <f>IFERROR(__xludf.DUMMYFUNCTION("""COMPUTED_VALUE"""),0.179861111115315)</f>
        <v>0.1798611111</v>
      </c>
      <c r="F115" s="1" t="str">
        <f>IFERROR(__xludf.DUMMYFUNCTION("""COMPUTED_VALUE"""),"Antic")</f>
        <v>Antic</v>
      </c>
      <c r="G115" s="1" t="str">
        <f>IFERROR(__xludf.DUMMYFUNCTION("""COMPUTED_VALUE"""),"Pooja")</f>
        <v>Pooja</v>
      </c>
      <c r="H115" s="1"/>
      <c r="I115" s="1" t="str">
        <f>IFERROR(__xludf.DUMMYFUNCTION("""COMPUTED_VALUE"""),"Payment done and oder ")</f>
        <v>Payment done and oder </v>
      </c>
      <c r="J115" s="1" t="str">
        <f>IFERROR(__xludf.DUMMYFUNCTION("""COMPUTED_VALUE"""),"Not interested ")</f>
        <v>Not interested </v>
      </c>
      <c r="K115" s="3">
        <f>IFERROR(__xludf.DUMMYFUNCTION("""COMPUTED_VALUE"""),0.2069444444423425)</f>
        <v>0.2069444444</v>
      </c>
      <c r="L115" s="1" t="str">
        <f>IFERROR(__xludf.DUMMYFUNCTION("""COMPUTED_VALUE"""),"Yes")</f>
        <v>Yes</v>
      </c>
      <c r="M115" s="1" t="str">
        <f>IFERROR(__xludf.DUMMYFUNCTION("""COMPUTED_VALUE"""),"Already done ")</f>
        <v>Already done </v>
      </c>
      <c r="N115" s="1" t="str">
        <f>IFERROR(__xludf.DUMMYFUNCTION("""COMPUTED_VALUE"""),"Already done ")</f>
        <v>Already done </v>
      </c>
      <c r="O115" s="1" t="str">
        <f>IFERROR(__xludf.DUMMYFUNCTION("""COMPUTED_VALUE"""),"WA ONLY")</f>
        <v>WA ONLY</v>
      </c>
      <c r="P115" s="1" t="str">
        <f>IFERROR(__xludf.DUMMYFUNCTION("""COMPUTED_VALUE"""),"Madam")</f>
        <v>Madam</v>
      </c>
      <c r="Q115" s="1"/>
      <c r="R115" s="1"/>
      <c r="S115" s="1"/>
    </row>
    <row r="116">
      <c r="A116" s="2">
        <f>IFERROR(__xludf.DUMMYFUNCTION("""COMPUTED_VALUE"""),45319.72302320602)</f>
        <v>45319.72302</v>
      </c>
      <c r="B116" s="1" t="str">
        <f>IFERROR(__xludf.DUMMYFUNCTION("""COMPUTED_VALUE"""),"Naidu")</f>
        <v>Naidu</v>
      </c>
      <c r="C116" s="1">
        <f>IFERROR(__xludf.DUMMYFUNCTION("""COMPUTED_VALUE"""),9.717611464E9)</f>
        <v>9717611464</v>
      </c>
      <c r="D116" s="1">
        <f>IFERROR(__xludf.DUMMYFUNCTION("""COMPUTED_VALUE"""),2.0)</f>
        <v>2</v>
      </c>
      <c r="E116" s="3">
        <f>IFERROR(__xludf.DUMMYFUNCTION("""COMPUTED_VALUE"""),0.25)</f>
        <v>0.25</v>
      </c>
      <c r="F116" s="1" t="str">
        <f>IFERROR(__xludf.DUMMYFUNCTION("""COMPUTED_VALUE"""),"Antic")</f>
        <v>Antic</v>
      </c>
      <c r="G116" s="1" t="str">
        <f>IFERROR(__xludf.DUMMYFUNCTION("""COMPUTED_VALUE"""),"Pooja")</f>
        <v>Pooja</v>
      </c>
      <c r="H116" s="1" t="str">
        <f>IFERROR(__xludf.DUMMYFUNCTION("""COMPUTED_VALUE"""),"Gold kids earing ")</f>
        <v>Gold kids earing </v>
      </c>
      <c r="I116" s="1"/>
      <c r="J116" s="1" t="str">
        <f>IFERROR(__xludf.DUMMYFUNCTION("""COMPUTED_VALUE"""),"Not interested ")</f>
        <v>Not interested </v>
      </c>
      <c r="K116" s="3">
        <f>IFERROR(__xludf.DUMMYFUNCTION("""COMPUTED_VALUE"""),0.3041666666686069)</f>
        <v>0.3041666667</v>
      </c>
      <c r="L116" s="1" t="str">
        <f>IFERROR(__xludf.DUMMYFUNCTION("""COMPUTED_VALUE"""),"Yes")</f>
        <v>Yes</v>
      </c>
      <c r="M116" s="1" t="str">
        <f>IFERROR(__xludf.DUMMYFUNCTION("""COMPUTED_VALUE"""),"Yes")</f>
        <v>Yes</v>
      </c>
      <c r="N116" s="1" t="str">
        <f>IFERROR(__xludf.DUMMYFUNCTION("""COMPUTED_VALUE"""),"Yes")</f>
        <v>Yes</v>
      </c>
      <c r="O116" s="1" t="str">
        <f>IFERROR(__xludf.DUMMYFUNCTION("""COMPUTED_VALUE"""),"WA ONLY")</f>
        <v>WA ONLY</v>
      </c>
      <c r="P116" s="1" t="str">
        <f>IFERROR(__xludf.DUMMYFUNCTION("""COMPUTED_VALUE"""),"Sir, Madam")</f>
        <v>Sir, Madam</v>
      </c>
      <c r="Q116" s="1"/>
      <c r="R116" s="1"/>
      <c r="S116" s="1"/>
    </row>
    <row r="117">
      <c r="A117" s="2">
        <f>IFERROR(__xludf.DUMMYFUNCTION("""COMPUTED_VALUE"""),45319.724210092594)</f>
        <v>45319.72421</v>
      </c>
      <c r="B117" s="1" t="str">
        <f>IFERROR(__xludf.DUMMYFUNCTION("""COMPUTED_VALUE"""),"Priyal")</f>
        <v>Priyal</v>
      </c>
      <c r="C117" s="1">
        <f>IFERROR(__xludf.DUMMYFUNCTION("""COMPUTED_VALUE"""),9.910925269E9)</f>
        <v>9910925269</v>
      </c>
      <c r="D117" s="1">
        <f>IFERROR(__xludf.DUMMYFUNCTION("""COMPUTED_VALUE"""),1.0)</f>
        <v>1</v>
      </c>
      <c r="E117" s="3">
        <f>IFERROR(__xludf.DUMMYFUNCTION("""COMPUTED_VALUE"""),0.29166666666424135)</f>
        <v>0.2916666667</v>
      </c>
      <c r="F117" s="1" t="str">
        <f>IFERROR(__xludf.DUMMYFUNCTION("""COMPUTED_VALUE"""),"Diamond ")</f>
        <v>Diamond </v>
      </c>
      <c r="G117" s="1" t="str">
        <f>IFERROR(__xludf.DUMMYFUNCTION("""COMPUTED_VALUE"""),"Kamini ")</f>
        <v>Kamini </v>
      </c>
      <c r="H117" s="1" t="str">
        <f>IFERROR(__xludf.DUMMYFUNCTION("""COMPUTED_VALUE"""),"Two breslet diamond ")</f>
        <v>Two breslet diamond </v>
      </c>
      <c r="I117" s="1"/>
      <c r="J117" s="1" t="str">
        <f>IFERROR(__xludf.DUMMYFUNCTION("""COMPUTED_VALUE"""),"Not interested ")</f>
        <v>Not interested </v>
      </c>
      <c r="K117" s="3">
        <f>IFERROR(__xludf.DUMMYFUNCTION("""COMPUTED_VALUE"""),0.3631944444423425)</f>
        <v>0.3631944444</v>
      </c>
      <c r="L117" s="1" t="str">
        <f>IFERROR(__xludf.DUMMYFUNCTION("""COMPUTED_VALUE"""),"Yes")</f>
        <v>Yes</v>
      </c>
      <c r="M117" s="1" t="str">
        <f>IFERROR(__xludf.DUMMYFUNCTION("""COMPUTED_VALUE"""),"Already done")</f>
        <v>Already done</v>
      </c>
      <c r="N117" s="1" t="str">
        <f>IFERROR(__xludf.DUMMYFUNCTION("""COMPUTED_VALUE"""),"Already done")</f>
        <v>Already done</v>
      </c>
      <c r="O117" s="1" t="str">
        <f>IFERROR(__xludf.DUMMYFUNCTION("""COMPUTED_VALUE"""),"WA ONLY")</f>
        <v>WA ONLY</v>
      </c>
      <c r="P117" s="1" t="str">
        <f>IFERROR(__xludf.DUMMYFUNCTION("""COMPUTED_VALUE"""),"Sir, Madam")</f>
        <v>Sir, Madam</v>
      </c>
      <c r="Q117" s="1"/>
      <c r="R117" s="1"/>
      <c r="S117" s="1"/>
    </row>
    <row r="118">
      <c r="A118" s="2">
        <f>IFERROR(__xludf.DUMMYFUNCTION("""COMPUTED_VALUE"""),45319.72542054398)</f>
        <v>45319.72542</v>
      </c>
      <c r="B118" s="1" t="str">
        <f>IFERROR(__xludf.DUMMYFUNCTION("""COMPUTED_VALUE"""),"Dr. Mehta")</f>
        <v>Dr. Mehta</v>
      </c>
      <c r="C118" s="1">
        <f>IFERROR(__xludf.DUMMYFUNCTION("""COMPUTED_VALUE"""),9.310857548E9)</f>
        <v>9310857548</v>
      </c>
      <c r="D118" s="1">
        <f>IFERROR(__xludf.DUMMYFUNCTION("""COMPUTED_VALUE"""),1.0)</f>
        <v>1</v>
      </c>
      <c r="E118" s="3">
        <f>IFERROR(__xludf.DUMMYFUNCTION("""COMPUTED_VALUE"""),0.5270833333343035)</f>
        <v>0.5270833333</v>
      </c>
      <c r="F118" s="1" t="str">
        <f>IFERROR(__xludf.DUMMYFUNCTION("""COMPUTED_VALUE"""),"Diamond ")</f>
        <v>Diamond </v>
      </c>
      <c r="G118" s="1" t="str">
        <f>IFERROR(__xludf.DUMMYFUNCTION("""COMPUTED_VALUE"""),"Reena")</f>
        <v>Reena</v>
      </c>
      <c r="H118" s="1"/>
      <c r="I118" s="1" t="str">
        <f>IFERROR(__xludf.DUMMYFUNCTION("""COMPUTED_VALUE"""),"2 diamond set approval ")</f>
        <v>2 diamond set approval </v>
      </c>
      <c r="J118" s="1" t="str">
        <f>IFERROR(__xludf.DUMMYFUNCTION("""COMPUTED_VALUE"""),"Not interested ")</f>
        <v>Not interested </v>
      </c>
      <c r="K118" s="1"/>
      <c r="L118" s="1"/>
      <c r="M118" s="1" t="str">
        <f>IFERROR(__xludf.DUMMYFUNCTION("""COMPUTED_VALUE"""),"Already done")</f>
        <v>Already done</v>
      </c>
      <c r="N118" s="1" t="str">
        <f>IFERROR(__xludf.DUMMYFUNCTION("""COMPUTED_VALUE"""),"Already done")</f>
        <v>Already done</v>
      </c>
      <c r="O118" s="1" t="str">
        <f>IFERROR(__xludf.DUMMYFUNCTION("""COMPUTED_VALUE"""),"WA ONLY")</f>
        <v>WA ONLY</v>
      </c>
      <c r="P118" s="1" t="str">
        <f>IFERROR(__xludf.DUMMYFUNCTION("""COMPUTED_VALUE"""),"Sir")</f>
        <v>Sir</v>
      </c>
      <c r="Q118" s="1"/>
      <c r="R118" s="1"/>
      <c r="S118" s="1"/>
    </row>
    <row r="119">
      <c r="A119" s="2">
        <f>IFERROR(__xludf.DUMMYFUNCTION("""COMPUTED_VALUE"""),45319.726796296294)</f>
        <v>45319.7268</v>
      </c>
      <c r="B119" s="1" t="str">
        <f>IFERROR(__xludf.DUMMYFUNCTION("""COMPUTED_VALUE"""),"Shivani manchanda")</f>
        <v>Shivani manchanda</v>
      </c>
      <c r="C119" s="1">
        <f>IFERROR(__xludf.DUMMYFUNCTION("""COMPUTED_VALUE"""),9.56034111E9)</f>
        <v>9560341110</v>
      </c>
      <c r="D119" s="1">
        <f>IFERROR(__xludf.DUMMYFUNCTION("""COMPUTED_VALUE"""),1.0)</f>
        <v>1</v>
      </c>
      <c r="E119" s="3">
        <f>IFERROR(__xludf.DUMMYFUNCTION("""COMPUTED_VALUE"""),0.04930555555620231)</f>
        <v>0.04930555556</v>
      </c>
      <c r="F119" s="1" t="str">
        <f>IFERROR(__xludf.DUMMYFUNCTION("""COMPUTED_VALUE"""),"Antic ")</f>
        <v>Antic </v>
      </c>
      <c r="G119" s="1" t="str">
        <f>IFERROR(__xludf.DUMMYFUNCTION("""COMPUTED_VALUE"""),"Chhaya")</f>
        <v>Chhaya</v>
      </c>
      <c r="H119" s="1"/>
      <c r="I119" s="1" t="str">
        <f>IFERROR(__xludf.DUMMYFUNCTION("""COMPUTED_VALUE"""),"Pic the order ")</f>
        <v>Pic the order </v>
      </c>
      <c r="J119" s="1"/>
      <c r="K119" s="3">
        <f>IFERROR(__xludf.DUMMYFUNCTION("""COMPUTED_VALUE"""),0.07499999999708962)</f>
        <v>0.075</v>
      </c>
      <c r="L119" s="1" t="str">
        <f>IFERROR(__xludf.DUMMYFUNCTION("""COMPUTED_VALUE"""),"Yes")</f>
        <v>Yes</v>
      </c>
      <c r="M119" s="1" t="str">
        <f>IFERROR(__xludf.DUMMYFUNCTION("""COMPUTED_VALUE"""),"Already done ")</f>
        <v>Already done </v>
      </c>
      <c r="N119" s="1" t="str">
        <f>IFERROR(__xludf.DUMMYFUNCTION("""COMPUTED_VALUE"""),"Already done ")</f>
        <v>Already done </v>
      </c>
      <c r="O119" s="1" t="str">
        <f>IFERROR(__xludf.DUMMYFUNCTION("""COMPUTED_VALUE"""),"WA ONLY")</f>
        <v>WA ONLY</v>
      </c>
      <c r="P119" s="1" t="str">
        <f>IFERROR(__xludf.DUMMYFUNCTION("""COMPUTED_VALUE"""),"Madam")</f>
        <v>Madam</v>
      </c>
      <c r="Q119" s="1"/>
      <c r="R119" s="1"/>
      <c r="S119" s="1"/>
    </row>
    <row r="120">
      <c r="A120" s="2">
        <f>IFERROR(__xludf.DUMMYFUNCTION("""COMPUTED_VALUE"""),45319.727684467594)</f>
        <v>45319.72768</v>
      </c>
      <c r="B120" s="1" t="str">
        <f>IFERROR(__xludf.DUMMYFUNCTION("""COMPUTED_VALUE"""),"Bharti")</f>
        <v>Bharti</v>
      </c>
      <c r="C120" s="1">
        <f>IFERROR(__xludf.DUMMYFUNCTION("""COMPUTED_VALUE"""),9.873833656E9)</f>
        <v>9873833656</v>
      </c>
      <c r="D120" s="1">
        <f>IFERROR(__xludf.DUMMYFUNCTION("""COMPUTED_VALUE"""),1.0)</f>
        <v>1</v>
      </c>
      <c r="E120" s="3">
        <f>IFERROR(__xludf.DUMMYFUNCTION("""COMPUTED_VALUE"""),0.0625)</f>
        <v>0.0625</v>
      </c>
      <c r="F120" s="1" t="str">
        <f>IFERROR(__xludf.DUMMYFUNCTION("""COMPUTED_VALUE"""),"Gold")</f>
        <v>Gold</v>
      </c>
      <c r="G120" s="1" t="str">
        <f>IFERROR(__xludf.DUMMYFUNCTION("""COMPUTED_VALUE"""),"Bhumika")</f>
        <v>Bhumika</v>
      </c>
      <c r="H120" s="1" t="str">
        <f>IFERROR(__xludf.DUMMYFUNCTION("""COMPUTED_VALUE"""),"Gaems stone")</f>
        <v>Gaems stone</v>
      </c>
      <c r="I120" s="1"/>
      <c r="J120" s="1" t="str">
        <f>IFERROR(__xludf.DUMMYFUNCTION("""COMPUTED_VALUE"""),"Not interested ")</f>
        <v>Not interested </v>
      </c>
      <c r="K120" s="3">
        <f>IFERROR(__xludf.DUMMYFUNCTION("""COMPUTED_VALUE"""),0.07152777777810115)</f>
        <v>0.07152777778</v>
      </c>
      <c r="L120" s="1" t="str">
        <f>IFERROR(__xludf.DUMMYFUNCTION("""COMPUTED_VALUE"""),"Yes")</f>
        <v>Yes</v>
      </c>
      <c r="M120" s="1" t="str">
        <f>IFERROR(__xludf.DUMMYFUNCTION("""COMPUTED_VALUE"""),"Already done")</f>
        <v>Already done</v>
      </c>
      <c r="N120" s="1" t="str">
        <f>IFERROR(__xludf.DUMMYFUNCTION("""COMPUTED_VALUE"""),"Already done")</f>
        <v>Already done</v>
      </c>
      <c r="O120" s="1" t="str">
        <f>IFERROR(__xludf.DUMMYFUNCTION("""COMPUTED_VALUE"""),"WA ONLY")</f>
        <v>WA ONLY</v>
      </c>
      <c r="P120" s="1" t="str">
        <f>IFERROR(__xludf.DUMMYFUNCTION("""COMPUTED_VALUE"""),"Madam")</f>
        <v>Madam</v>
      </c>
      <c r="Q120" s="1"/>
      <c r="R120" s="1"/>
      <c r="S120" s="1"/>
    </row>
    <row r="121">
      <c r="A121" s="2">
        <f>IFERROR(__xludf.DUMMYFUNCTION("""COMPUTED_VALUE"""),45319.72986340278)</f>
        <v>45319.72986</v>
      </c>
      <c r="B121" s="1" t="str">
        <f>IFERROR(__xludf.DUMMYFUNCTION("""COMPUTED_VALUE"""),"P.d sharma")</f>
        <v>P.d sharma</v>
      </c>
      <c r="C121" s="1">
        <f>IFERROR(__xludf.DUMMYFUNCTION("""COMPUTED_VALUE"""),9.971097482E9)</f>
        <v>9971097482</v>
      </c>
      <c r="D121" s="1">
        <f>IFERROR(__xludf.DUMMYFUNCTION("""COMPUTED_VALUE"""),1.0)</f>
        <v>1</v>
      </c>
      <c r="E121" s="3">
        <f>IFERROR(__xludf.DUMMYFUNCTION("""COMPUTED_VALUE"""),0.09236111110658385)</f>
        <v>0.09236111111</v>
      </c>
      <c r="F121" s="1" t="str">
        <f>IFERROR(__xludf.DUMMYFUNCTION("""COMPUTED_VALUE"""),"Gold")</f>
        <v>Gold</v>
      </c>
      <c r="G121" s="1" t="str">
        <f>IFERROR(__xludf.DUMMYFUNCTION("""COMPUTED_VALUE"""),"Bhumika ")</f>
        <v>Bhumika </v>
      </c>
      <c r="H121" s="1"/>
      <c r="I121" s="1" t="str">
        <f>IFERROR(__xludf.DUMMYFUNCTION("""COMPUTED_VALUE"""),"Customer not satisfied gold Bali making charges ")</f>
        <v>Customer not satisfied gold Bali making charges </v>
      </c>
      <c r="J121" s="1" t="str">
        <f>IFERROR(__xludf.DUMMYFUNCTION("""COMPUTED_VALUE"""),"Not interested ")</f>
        <v>Not interested </v>
      </c>
      <c r="K121" s="3">
        <f>IFERROR(__xludf.DUMMYFUNCTION("""COMPUTED_VALUE"""),0.09583333333284827)</f>
        <v>0.09583333333</v>
      </c>
      <c r="L121" s="1" t="str">
        <f>IFERROR(__xludf.DUMMYFUNCTION("""COMPUTED_VALUE"""),"Yes")</f>
        <v>Yes</v>
      </c>
      <c r="M121" s="1" t="str">
        <f>IFERROR(__xludf.DUMMYFUNCTION("""COMPUTED_VALUE"""),"No")</f>
        <v>No</v>
      </c>
      <c r="N121" s="1" t="str">
        <f>IFERROR(__xludf.DUMMYFUNCTION("""COMPUTED_VALUE"""),"No")</f>
        <v>No</v>
      </c>
      <c r="O121" s="1" t="str">
        <f>IFERROR(__xludf.DUMMYFUNCTION("""COMPUTED_VALUE"""),"WA ONLY")</f>
        <v>WA ONLY</v>
      </c>
      <c r="P121" s="1" t="str">
        <f>IFERROR(__xludf.DUMMYFUNCTION("""COMPUTED_VALUE"""),"Sir, Madam")</f>
        <v>Sir, Madam</v>
      </c>
      <c r="Q121" s="1"/>
      <c r="R121" s="1"/>
      <c r="S121" s="1"/>
    </row>
    <row r="122">
      <c r="A122" s="2">
        <f>IFERROR(__xludf.DUMMYFUNCTION("""COMPUTED_VALUE"""),45319.73098153935)</f>
        <v>45319.73098</v>
      </c>
      <c r="B122" s="1" t="str">
        <f>IFERROR(__xludf.DUMMYFUNCTION("""COMPUTED_VALUE"""),"Tahir")</f>
        <v>Tahir</v>
      </c>
      <c r="C122" s="1">
        <f>IFERROR(__xludf.DUMMYFUNCTION("""COMPUTED_VALUE"""),6.20520388E9)</f>
        <v>6205203880</v>
      </c>
      <c r="D122" s="1">
        <f>IFERROR(__xludf.DUMMYFUNCTION("""COMPUTED_VALUE"""),1.0)</f>
        <v>1</v>
      </c>
      <c r="E122" s="3">
        <f>IFERROR(__xludf.DUMMYFUNCTION("""COMPUTED_VALUE"""),0.09236111110658385)</f>
        <v>0.09236111111</v>
      </c>
      <c r="F122" s="1" t="str">
        <f>IFERROR(__xludf.DUMMYFUNCTION("""COMPUTED_VALUE"""),"Gold")</f>
        <v>Gold</v>
      </c>
      <c r="G122" s="1" t="str">
        <f>IFERROR(__xludf.DUMMYFUNCTION("""COMPUTED_VALUE"""),"Bhumika")</f>
        <v>Bhumika</v>
      </c>
      <c r="H122" s="1" t="str">
        <f>IFERROR(__xludf.DUMMYFUNCTION("""COMPUTED_VALUE"""),"Gold chain")</f>
        <v>Gold chain</v>
      </c>
      <c r="I122" s="1"/>
      <c r="J122" s="1" t="str">
        <f>IFERROR(__xludf.DUMMYFUNCTION("""COMPUTED_VALUE"""),"Not interested ")</f>
        <v>Not interested </v>
      </c>
      <c r="K122" s="3">
        <f>IFERROR(__xludf.DUMMYFUNCTION("""COMPUTED_VALUE"""),0.1680555555576575)</f>
        <v>0.1680555556</v>
      </c>
      <c r="L122" s="1" t="str">
        <f>IFERROR(__xludf.DUMMYFUNCTION("""COMPUTED_VALUE"""),"Yes")</f>
        <v>Yes</v>
      </c>
      <c r="M122" s="1" t="str">
        <f>IFERROR(__xludf.DUMMYFUNCTION("""COMPUTED_VALUE"""),"Yes")</f>
        <v>Yes</v>
      </c>
      <c r="N122" s="1" t="str">
        <f>IFERROR(__xludf.DUMMYFUNCTION("""COMPUTED_VALUE"""),"Yes")</f>
        <v>Yes</v>
      </c>
      <c r="O122" s="1" t="str">
        <f>IFERROR(__xludf.DUMMYFUNCTION("""COMPUTED_VALUE"""),"WA ONLY")</f>
        <v>WA ONLY</v>
      </c>
      <c r="P122" s="1" t="str">
        <f>IFERROR(__xludf.DUMMYFUNCTION("""COMPUTED_VALUE"""),"Sir, Madam")</f>
        <v>Sir, Madam</v>
      </c>
      <c r="Q122" s="1"/>
      <c r="R122" s="1"/>
      <c r="S122" s="1"/>
    </row>
    <row r="123">
      <c r="A123" s="2">
        <f>IFERROR(__xludf.DUMMYFUNCTION("""COMPUTED_VALUE"""),45319.73225648148)</f>
        <v>45319.73226</v>
      </c>
      <c r="B123" s="1" t="str">
        <f>IFERROR(__xludf.DUMMYFUNCTION("""COMPUTED_VALUE"""),"R.k tiwari")</f>
        <v>R.k tiwari</v>
      </c>
      <c r="C123" s="1">
        <f>IFERROR(__xludf.DUMMYFUNCTION("""COMPUTED_VALUE"""),9.555152166E9)</f>
        <v>9555152166</v>
      </c>
      <c r="D123" s="1">
        <f>IFERROR(__xludf.DUMMYFUNCTION("""COMPUTED_VALUE"""),1.0)</f>
        <v>1</v>
      </c>
      <c r="E123" s="3">
        <f>IFERROR(__xludf.DUMMYFUNCTION("""COMPUTED_VALUE"""),0.14375000000291038)</f>
        <v>0.14375</v>
      </c>
      <c r="F123" s="1" t="str">
        <f>IFERROR(__xludf.DUMMYFUNCTION("""COMPUTED_VALUE"""),"Gold")</f>
        <v>Gold</v>
      </c>
      <c r="G123" s="1" t="str">
        <f>IFERROR(__xludf.DUMMYFUNCTION("""COMPUTED_VALUE"""),"Pooja")</f>
        <v>Pooja</v>
      </c>
      <c r="H123" s="1"/>
      <c r="I123" s="1" t="str">
        <f>IFERROR(__xludf.DUMMYFUNCTION("""COMPUTED_VALUE"""),"Customer not satisfied with hold jhumki design ")</f>
        <v>Customer not satisfied with hold jhumki design </v>
      </c>
      <c r="J123" s="1" t="str">
        <f>IFERROR(__xludf.DUMMYFUNCTION("""COMPUTED_VALUE"""),"Not interested ")</f>
        <v>Not interested </v>
      </c>
      <c r="K123" s="3">
        <f>IFERROR(__xludf.DUMMYFUNCTION("""COMPUTED_VALUE"""),0.15972222221898846)</f>
        <v>0.1597222222</v>
      </c>
      <c r="L123" s="1" t="str">
        <f>IFERROR(__xludf.DUMMYFUNCTION("""COMPUTED_VALUE"""),"Yes")</f>
        <v>Yes</v>
      </c>
      <c r="M123" s="1" t="str">
        <f>IFERROR(__xludf.DUMMYFUNCTION("""COMPUTED_VALUE"""),"No ")</f>
        <v>No </v>
      </c>
      <c r="N123" s="1" t="str">
        <f>IFERROR(__xludf.DUMMYFUNCTION("""COMPUTED_VALUE"""),"No")</f>
        <v>No</v>
      </c>
      <c r="O123" s="1" t="str">
        <f>IFERROR(__xludf.DUMMYFUNCTION("""COMPUTED_VALUE"""),"WA ONLY")</f>
        <v>WA ONLY</v>
      </c>
      <c r="P123" s="1" t="str">
        <f>IFERROR(__xludf.DUMMYFUNCTION("""COMPUTED_VALUE"""),"Sir, Madam")</f>
        <v>Sir, Madam</v>
      </c>
      <c r="Q123" s="1"/>
      <c r="R123" s="1"/>
      <c r="S123" s="1"/>
    </row>
    <row r="124">
      <c r="A124" s="2">
        <f>IFERROR(__xludf.DUMMYFUNCTION("""COMPUTED_VALUE"""),45319.73313965277)</f>
        <v>45319.73314</v>
      </c>
      <c r="B124" s="1" t="str">
        <f>IFERROR(__xludf.DUMMYFUNCTION("""COMPUTED_VALUE"""),"Gurman Singh ")</f>
        <v>Gurman Singh </v>
      </c>
      <c r="C124" s="1">
        <f>IFERROR(__xludf.DUMMYFUNCTION("""COMPUTED_VALUE"""),9.899226225E9)</f>
        <v>9899226225</v>
      </c>
      <c r="D124" s="1">
        <f>IFERROR(__xludf.DUMMYFUNCTION("""COMPUTED_VALUE"""),1.0)</f>
        <v>1</v>
      </c>
      <c r="E124" s="3">
        <f>IFERROR(__xludf.DUMMYFUNCTION("""COMPUTED_VALUE"""),0.10277777777810115)</f>
        <v>0.1027777778</v>
      </c>
      <c r="F124" s="1" t="str">
        <f>IFERROR(__xludf.DUMMYFUNCTION("""COMPUTED_VALUE"""),"Diamond ")</f>
        <v>Diamond </v>
      </c>
      <c r="G124" s="1" t="str">
        <f>IFERROR(__xludf.DUMMYFUNCTION("""COMPUTED_VALUE"""),"Reena")</f>
        <v>Reena</v>
      </c>
      <c r="H124" s="1" t="str">
        <f>IFERROR(__xludf.DUMMYFUNCTION("""COMPUTED_VALUE"""),"Diamond pendent set")</f>
        <v>Diamond pendent set</v>
      </c>
      <c r="I124" s="1"/>
      <c r="J124" s="1" t="str">
        <f>IFERROR(__xludf.DUMMYFUNCTION("""COMPUTED_VALUE"""),"Not interested ")</f>
        <v>Not interested </v>
      </c>
      <c r="K124" s="3">
        <f>IFERROR(__xludf.DUMMYFUNCTION("""COMPUTED_VALUE"""),0.16041666666569654)</f>
        <v>0.1604166667</v>
      </c>
      <c r="L124" s="1" t="str">
        <f>IFERROR(__xludf.DUMMYFUNCTION("""COMPUTED_VALUE"""),"Yes")</f>
        <v>Yes</v>
      </c>
      <c r="M124" s="1" t="str">
        <f>IFERROR(__xludf.DUMMYFUNCTION("""COMPUTED_VALUE"""),"Already done")</f>
        <v>Already done</v>
      </c>
      <c r="N124" s="1" t="str">
        <f>IFERROR(__xludf.DUMMYFUNCTION("""COMPUTED_VALUE"""),"Already done")</f>
        <v>Already done</v>
      </c>
      <c r="O124" s="1" t="str">
        <f>IFERROR(__xludf.DUMMYFUNCTION("""COMPUTED_VALUE"""),"WA ONLY")</f>
        <v>WA ONLY</v>
      </c>
      <c r="P124" s="1" t="str">
        <f>IFERROR(__xludf.DUMMYFUNCTION("""COMPUTED_VALUE"""),"Sir")</f>
        <v>Sir</v>
      </c>
      <c r="Q124" s="1"/>
      <c r="R124" s="1"/>
      <c r="S124" s="1"/>
    </row>
    <row r="125">
      <c r="A125" s="2">
        <f>IFERROR(__xludf.DUMMYFUNCTION("""COMPUTED_VALUE"""),45319.76601378473)</f>
        <v>45319.76601</v>
      </c>
      <c r="B125" s="1" t="str">
        <f>IFERROR(__xludf.DUMMYFUNCTION("""COMPUTED_VALUE"""),"Mehek dhawan")</f>
        <v>Mehek dhawan</v>
      </c>
      <c r="C125" s="1">
        <f>IFERROR(__xludf.DUMMYFUNCTION("""COMPUTED_VALUE"""),9.999678088E9)</f>
        <v>9999678088</v>
      </c>
      <c r="D125" s="1">
        <f>IFERROR(__xludf.DUMMYFUNCTION("""COMPUTED_VALUE"""),2.0)</f>
        <v>2</v>
      </c>
      <c r="E125" s="3">
        <f>IFERROR(__xludf.DUMMYFUNCTION("""COMPUTED_VALUE"""),0.22916666666424135)</f>
        <v>0.2291666667</v>
      </c>
      <c r="F125" s="1" t="str">
        <f>IFERROR(__xludf.DUMMYFUNCTION("""COMPUTED_VALUE"""),"Antic")</f>
        <v>Antic</v>
      </c>
      <c r="G125" s="1" t="str">
        <f>IFERROR(__xludf.DUMMYFUNCTION("""COMPUTED_VALUE"""),"Chhaya")</f>
        <v>Chhaya</v>
      </c>
      <c r="H125" s="1"/>
      <c r="I125" s="1" t="str">
        <f>IFERROR(__xludf.DUMMYFUNCTION("""COMPUTED_VALUE"""),"Customer discuss with family and visit again ")</f>
        <v>Customer discuss with family and visit again </v>
      </c>
      <c r="J125" s="1" t="str">
        <f>IFERROR(__xludf.DUMMYFUNCTION("""COMPUTED_VALUE"""),"Not interested ")</f>
        <v>Not interested </v>
      </c>
      <c r="K125" s="3">
        <f>IFERROR(__xludf.DUMMYFUNCTION("""COMPUTED_VALUE"""),0.26458333333721384)</f>
        <v>0.2645833333</v>
      </c>
      <c r="L125" s="1" t="str">
        <f>IFERROR(__xludf.DUMMYFUNCTION("""COMPUTED_VALUE"""),"Yes")</f>
        <v>Yes</v>
      </c>
      <c r="M125" s="1" t="str">
        <f>IFERROR(__xludf.DUMMYFUNCTION("""COMPUTED_VALUE"""),"No")</f>
        <v>No</v>
      </c>
      <c r="N125" s="1" t="str">
        <f>IFERROR(__xludf.DUMMYFUNCTION("""COMPUTED_VALUE"""),"No")</f>
        <v>No</v>
      </c>
      <c r="O125" s="1" t="str">
        <f>IFERROR(__xludf.DUMMYFUNCTION("""COMPUTED_VALUE"""),"WA ONLY")</f>
        <v>WA ONLY</v>
      </c>
      <c r="P125" s="1" t="str">
        <f>IFERROR(__xludf.DUMMYFUNCTION("""COMPUTED_VALUE"""),"Sir, Madam")</f>
        <v>Sir, Madam</v>
      </c>
      <c r="Q125" s="1"/>
      <c r="R125" s="1"/>
      <c r="S125" s="1"/>
    </row>
    <row r="126">
      <c r="A126" s="2">
        <f>IFERROR(__xludf.DUMMYFUNCTION("""COMPUTED_VALUE"""),45319.79879693287)</f>
        <v>45319.7988</v>
      </c>
      <c r="B126" s="1" t="str">
        <f>IFERROR(__xludf.DUMMYFUNCTION("""COMPUTED_VALUE"""),"Anil Choudhary ")</f>
        <v>Anil Choudhary </v>
      </c>
      <c r="C126" s="1">
        <f>IFERROR(__xludf.DUMMYFUNCTION("""COMPUTED_VALUE"""),9.811456708E9)</f>
        <v>9811456708</v>
      </c>
      <c r="D126" s="1">
        <f>IFERROR(__xludf.DUMMYFUNCTION("""COMPUTED_VALUE"""),1.0)</f>
        <v>1</v>
      </c>
      <c r="E126" s="3">
        <f>IFERROR(__xludf.DUMMYFUNCTION("""COMPUTED_VALUE"""),0.2930555555576575)</f>
        <v>0.2930555556</v>
      </c>
      <c r="F126" s="1" t="str">
        <f>IFERROR(__xludf.DUMMYFUNCTION("""COMPUTED_VALUE"""),"Gold")</f>
        <v>Gold</v>
      </c>
      <c r="G126" s="1" t="str">
        <f>IFERROR(__xludf.DUMMYFUNCTION("""COMPUTED_VALUE"""),"Bhumika")</f>
        <v>Bhumika</v>
      </c>
      <c r="H126" s="1"/>
      <c r="I126" s="1" t="str">
        <f>IFERROR(__xludf.DUMMYFUNCTION("""COMPUTED_VALUE"""),"Visit again ")</f>
        <v>Visit again </v>
      </c>
      <c r="J126" s="1" t="str">
        <f>IFERROR(__xludf.DUMMYFUNCTION("""COMPUTED_VALUE"""),"Visit again ")</f>
        <v>Visit again </v>
      </c>
      <c r="K126" s="3">
        <f>IFERROR(__xludf.DUMMYFUNCTION("""COMPUTED_VALUE"""),0.29791666666278616)</f>
        <v>0.2979166667</v>
      </c>
      <c r="L126" s="1" t="str">
        <f>IFERROR(__xludf.DUMMYFUNCTION("""COMPUTED_VALUE"""),"Yes")</f>
        <v>Yes</v>
      </c>
      <c r="M126" s="1" t="str">
        <f>IFERROR(__xludf.DUMMYFUNCTION("""COMPUTED_VALUE"""),"No")</f>
        <v>No</v>
      </c>
      <c r="N126" s="1" t="str">
        <f>IFERROR(__xludf.DUMMYFUNCTION("""COMPUTED_VALUE"""),"No")</f>
        <v>No</v>
      </c>
      <c r="O126" s="1" t="str">
        <f>IFERROR(__xludf.DUMMYFUNCTION("""COMPUTED_VALUE"""),"WA ONLY")</f>
        <v>WA ONLY</v>
      </c>
      <c r="P126" s="1" t="str">
        <f>IFERROR(__xludf.DUMMYFUNCTION("""COMPUTED_VALUE"""),"Sir, Madam")</f>
        <v>Sir, Madam</v>
      </c>
      <c r="Q126" s="1"/>
      <c r="R126" s="1"/>
      <c r="S126" s="1"/>
    </row>
    <row r="127">
      <c r="A127" s="2">
        <f>IFERROR(__xludf.DUMMYFUNCTION("""COMPUTED_VALUE"""),45322.72754475694)</f>
        <v>45322.72754</v>
      </c>
      <c r="B127" s="1" t="str">
        <f>IFERROR(__xludf.DUMMYFUNCTION("""COMPUTED_VALUE"""),"Gurmeet")</f>
        <v>Gurmeet</v>
      </c>
      <c r="C127" s="1">
        <f>IFERROR(__xludf.DUMMYFUNCTION("""COMPUTED_VALUE"""),9.971052404E9)</f>
        <v>9971052404</v>
      </c>
      <c r="D127" s="1">
        <f>IFERROR(__xludf.DUMMYFUNCTION("""COMPUTED_VALUE"""),1.0)</f>
        <v>1</v>
      </c>
      <c r="E127" s="3">
        <f>IFERROR(__xludf.DUMMYFUNCTION("""COMPUTED_VALUE"""),0.14236111110949423)</f>
        <v>0.1423611111</v>
      </c>
      <c r="F127" s="1" t="str">
        <f>IFERROR(__xludf.DUMMYFUNCTION("""COMPUTED_VALUE"""),"Gold,diamond ")</f>
        <v>Gold,diamond </v>
      </c>
      <c r="G127" s="1" t="str">
        <f>IFERROR(__xludf.DUMMYFUNCTION("""COMPUTED_VALUE"""),"Reena")</f>
        <v>Reena</v>
      </c>
      <c r="H127" s="1" t="str">
        <f>IFERROR(__xludf.DUMMYFUNCTION("""COMPUTED_VALUE"""),"Silver ganesh and Laxmi murti")</f>
        <v>Silver ganesh and Laxmi murti</v>
      </c>
      <c r="I127" s="1"/>
      <c r="J127" s="1" t="str">
        <f>IFERROR(__xludf.DUMMYFUNCTION("""COMPUTED_VALUE"""),"Not interested ")</f>
        <v>Not interested </v>
      </c>
      <c r="K127" s="3">
        <f>IFERROR(__xludf.DUMMYFUNCTION("""COMPUTED_VALUE"""),0.19097222221898846)</f>
        <v>0.1909722222</v>
      </c>
      <c r="L127" s="1" t="str">
        <f>IFERROR(__xludf.DUMMYFUNCTION("""COMPUTED_VALUE"""),"Yes")</f>
        <v>Yes</v>
      </c>
      <c r="M127" s="1" t="str">
        <f>IFERROR(__xludf.DUMMYFUNCTION("""COMPUTED_VALUE"""),"Yes")</f>
        <v>Yes</v>
      </c>
      <c r="N127" s="1" t="str">
        <f>IFERROR(__xludf.DUMMYFUNCTION("""COMPUTED_VALUE"""),"Not use")</f>
        <v>Not use</v>
      </c>
      <c r="O127" s="1" t="str">
        <f>IFERROR(__xludf.DUMMYFUNCTION("""COMPUTED_VALUE"""),"WA ONLY")</f>
        <v>WA ONLY</v>
      </c>
      <c r="P127" s="1" t="str">
        <f>IFERROR(__xludf.DUMMYFUNCTION("""COMPUTED_VALUE"""),"Sir, Madam")</f>
        <v>Sir, Madam</v>
      </c>
      <c r="Q127" s="1"/>
      <c r="R127" s="1"/>
      <c r="S127" s="1"/>
    </row>
    <row r="128">
      <c r="A128" s="2">
        <f>IFERROR(__xludf.DUMMYFUNCTION("""COMPUTED_VALUE"""),45323.76687248843)</f>
        <v>45323.76687</v>
      </c>
      <c r="B128" s="1" t="str">
        <f>IFERROR(__xludf.DUMMYFUNCTION("""COMPUTED_VALUE"""),"Shushil kumar")</f>
        <v>Shushil kumar</v>
      </c>
      <c r="C128" s="1">
        <f>IFERROR(__xludf.DUMMYFUNCTION("""COMPUTED_VALUE"""),9.971389387E9)</f>
        <v>9971389387</v>
      </c>
      <c r="D128" s="1">
        <f>IFERROR(__xludf.DUMMYFUNCTION("""COMPUTED_VALUE"""),1.0)</f>
        <v>1</v>
      </c>
      <c r="E128" s="3">
        <f>IFERROR(__xludf.DUMMYFUNCTION("""COMPUTED_VALUE"""),0.17708333333575865)</f>
        <v>0.1770833333</v>
      </c>
      <c r="F128" s="1" t="str">
        <f>IFERROR(__xludf.DUMMYFUNCTION("""COMPUTED_VALUE"""),"Antic")</f>
        <v>Antic</v>
      </c>
      <c r="G128" s="1" t="str">
        <f>IFERROR(__xludf.DUMMYFUNCTION("""COMPUTED_VALUE"""),"Chhaya,pooja")</f>
        <v>Chhaya,pooja</v>
      </c>
      <c r="H128" s="1"/>
      <c r="I128" s="1" t="str">
        <f>IFERROR(__xludf.DUMMYFUNCTION("""COMPUTED_VALUE"""),"Advance payment done")</f>
        <v>Advance payment done</v>
      </c>
      <c r="J128" s="1" t="str">
        <f>IFERROR(__xludf.DUMMYFUNCTION("""COMPUTED_VALUE"""),"Not interested ")</f>
        <v>Not interested </v>
      </c>
      <c r="K128" s="3">
        <f>IFERROR(__xludf.DUMMYFUNCTION("""COMPUTED_VALUE"""),0.23333333333721384)</f>
        <v>0.2333333333</v>
      </c>
      <c r="L128" s="1" t="str">
        <f>IFERROR(__xludf.DUMMYFUNCTION("""COMPUTED_VALUE"""),"Yes")</f>
        <v>Yes</v>
      </c>
      <c r="M128" s="1" t="str">
        <f>IFERROR(__xludf.DUMMYFUNCTION("""COMPUTED_VALUE"""),"Already done")</f>
        <v>Already done</v>
      </c>
      <c r="N128" s="1" t="str">
        <f>IFERROR(__xludf.DUMMYFUNCTION("""COMPUTED_VALUE"""),"Already done")</f>
        <v>Already done</v>
      </c>
      <c r="O128" s="1" t="str">
        <f>IFERROR(__xludf.DUMMYFUNCTION("""COMPUTED_VALUE"""),"WA ONLY")</f>
        <v>WA ONLY</v>
      </c>
      <c r="P128" s="1" t="str">
        <f>IFERROR(__xludf.DUMMYFUNCTION("""COMPUTED_VALUE"""),"Sir, Madam")</f>
        <v>Sir, Madam</v>
      </c>
      <c r="Q128" s="1"/>
      <c r="R128" s="1"/>
      <c r="S128" s="1"/>
    </row>
    <row r="129">
      <c r="A129" s="2">
        <f>IFERROR(__xludf.DUMMYFUNCTION("""COMPUTED_VALUE"""),45323.76783680556)</f>
        <v>45323.76784</v>
      </c>
      <c r="B129" s="1" t="str">
        <f>IFERROR(__xludf.DUMMYFUNCTION("""COMPUTED_VALUE"""),"Atoshi")</f>
        <v>Atoshi</v>
      </c>
      <c r="C129" s="1">
        <f>IFERROR(__xludf.DUMMYFUNCTION("""COMPUTED_VALUE"""),8.700173741E9)</f>
        <v>8700173741</v>
      </c>
      <c r="D129" s="1">
        <f>IFERROR(__xludf.DUMMYFUNCTION("""COMPUTED_VALUE"""),1.0)</f>
        <v>1</v>
      </c>
      <c r="E129" s="3">
        <f>IFERROR(__xludf.DUMMYFUNCTION("""COMPUTED_VALUE"""),0.2555555555591127)</f>
        <v>0.2555555556</v>
      </c>
      <c r="F129" s="1" t="str">
        <f>IFERROR(__xludf.DUMMYFUNCTION("""COMPUTED_VALUE"""),"Antic ")</f>
        <v>Antic </v>
      </c>
      <c r="G129" s="1" t="str">
        <f>IFERROR(__xludf.DUMMYFUNCTION("""COMPUTED_VALUE"""),"Pooja")</f>
        <v>Pooja</v>
      </c>
      <c r="H129" s="1"/>
      <c r="I129" s="1" t="str">
        <f>IFERROR(__xludf.DUMMYFUNCTION("""COMPUTED_VALUE"""),"Pic the order ")</f>
        <v>Pic the order </v>
      </c>
      <c r="J129" s="1" t="str">
        <f>IFERROR(__xludf.DUMMYFUNCTION("""COMPUTED_VALUE"""),"Not interested ")</f>
        <v>Not interested </v>
      </c>
      <c r="K129" s="3">
        <f>IFERROR(__xludf.DUMMYFUNCTION("""COMPUTED_VALUE"""),0.25902777777810115)</f>
        <v>0.2590277778</v>
      </c>
      <c r="L129" s="1" t="str">
        <f>IFERROR(__xludf.DUMMYFUNCTION("""COMPUTED_VALUE"""),"Yes")</f>
        <v>Yes</v>
      </c>
      <c r="M129" s="1" t="str">
        <f>IFERROR(__xludf.DUMMYFUNCTION("""COMPUTED_VALUE"""),"Already done")</f>
        <v>Already done</v>
      </c>
      <c r="N129" s="1" t="str">
        <f>IFERROR(__xludf.DUMMYFUNCTION("""COMPUTED_VALUE"""),"Already done ")</f>
        <v>Already done </v>
      </c>
      <c r="O129" s="1" t="str">
        <f>IFERROR(__xludf.DUMMYFUNCTION("""COMPUTED_VALUE"""),"WA ONLY")</f>
        <v>WA ONLY</v>
      </c>
      <c r="P129" s="1" t="str">
        <f>IFERROR(__xludf.DUMMYFUNCTION("""COMPUTED_VALUE"""),"Sir, Madam")</f>
        <v>Sir, Madam</v>
      </c>
      <c r="Q129" s="1"/>
      <c r="R129" s="1"/>
      <c r="S129" s="1"/>
    </row>
    <row r="130">
      <c r="A130" s="2">
        <f>IFERROR(__xludf.DUMMYFUNCTION("""COMPUTED_VALUE"""),45323.78892021991)</f>
        <v>45323.78892</v>
      </c>
      <c r="B130" s="1" t="str">
        <f>IFERROR(__xludf.DUMMYFUNCTION("""COMPUTED_VALUE"""),"Meeru")</f>
        <v>Meeru</v>
      </c>
      <c r="C130" s="1">
        <f>IFERROR(__xludf.DUMMYFUNCTION("""COMPUTED_VALUE"""),9.871024292E9)</f>
        <v>9871024292</v>
      </c>
      <c r="D130" s="1">
        <f>IFERROR(__xludf.DUMMYFUNCTION("""COMPUTED_VALUE"""),1.0)</f>
        <v>1</v>
      </c>
      <c r="E130" s="3">
        <f>IFERROR(__xludf.DUMMYFUNCTION("""COMPUTED_VALUE"""),0.18055555555474712)</f>
        <v>0.1805555556</v>
      </c>
      <c r="F130" s="1" t="str">
        <f>IFERROR(__xludf.DUMMYFUNCTION("""COMPUTED_VALUE"""),"Diamond, antic ")</f>
        <v>Diamond, antic </v>
      </c>
      <c r="G130" s="1" t="str">
        <f>IFERROR(__xludf.DUMMYFUNCTION("""COMPUTED_VALUE"""),"Reena,chhaya")</f>
        <v>Reena,chhaya</v>
      </c>
      <c r="H130" s="1" t="str">
        <f>IFERROR(__xludf.DUMMYFUNCTION("""COMPUTED_VALUE"""),"Antic pendent set")</f>
        <v>Antic pendent set</v>
      </c>
      <c r="I130" s="1"/>
      <c r="J130" s="1" t="str">
        <f>IFERROR(__xludf.DUMMYFUNCTION("""COMPUTED_VALUE"""),"Not interested ")</f>
        <v>Not interested </v>
      </c>
      <c r="K130" s="3">
        <f>IFERROR(__xludf.DUMMYFUNCTION("""COMPUTED_VALUE"""),0.2868055555591127)</f>
        <v>0.2868055556</v>
      </c>
      <c r="L130" s="1" t="str">
        <f>IFERROR(__xludf.DUMMYFUNCTION("""COMPUTED_VALUE"""),"Yes")</f>
        <v>Yes</v>
      </c>
      <c r="M130" s="1" t="str">
        <f>IFERROR(__xludf.DUMMYFUNCTION("""COMPUTED_VALUE"""),"Already done")</f>
        <v>Already done</v>
      </c>
      <c r="N130" s="1" t="str">
        <f>IFERROR(__xludf.DUMMYFUNCTION("""COMPUTED_VALUE"""),"Already done")</f>
        <v>Already done</v>
      </c>
      <c r="O130" s="1" t="str">
        <f>IFERROR(__xludf.DUMMYFUNCTION("""COMPUTED_VALUE"""),"WA ONLY")</f>
        <v>WA ONLY</v>
      </c>
      <c r="P130" s="1" t="str">
        <f>IFERROR(__xludf.DUMMYFUNCTION("""COMPUTED_VALUE"""),"Sir, Madam")</f>
        <v>Sir, Madam</v>
      </c>
      <c r="Q130" s="1"/>
      <c r="R130" s="1"/>
      <c r="S130" s="1"/>
    </row>
    <row r="131">
      <c r="A131" s="2">
        <f>IFERROR(__xludf.DUMMYFUNCTION("""COMPUTED_VALUE"""),45323.797851828705)</f>
        <v>45323.79785</v>
      </c>
      <c r="B131" s="1" t="str">
        <f>IFERROR(__xludf.DUMMYFUNCTION("""COMPUTED_VALUE"""),"Dinesh")</f>
        <v>Dinesh</v>
      </c>
      <c r="C131" s="1">
        <f>IFERROR(__xludf.DUMMYFUNCTION("""COMPUTED_VALUE"""),9.873273593E9)</f>
        <v>9873273593</v>
      </c>
      <c r="D131" s="1">
        <f>IFERROR(__xludf.DUMMYFUNCTION("""COMPUTED_VALUE"""),1.0)</f>
        <v>1</v>
      </c>
      <c r="E131" s="3">
        <f>IFERROR(__xludf.DUMMYFUNCTION("""COMPUTED_VALUE"""),0.25972222222480923)</f>
        <v>0.2597222222</v>
      </c>
      <c r="F131" s="1" t="str">
        <f>IFERROR(__xludf.DUMMYFUNCTION("""COMPUTED_VALUE"""),"Antic")</f>
        <v>Antic</v>
      </c>
      <c r="G131" s="1" t="str">
        <f>IFERROR(__xludf.DUMMYFUNCTION("""COMPUTED_VALUE"""),"Chhaya pooja")</f>
        <v>Chhaya pooja</v>
      </c>
      <c r="H131" s="1"/>
      <c r="I131" s="1" t="str">
        <f>IFERROR(__xludf.DUMMYFUNCTION("""COMPUTED_VALUE"""),"Customer not satisfied with antic set price ")</f>
        <v>Customer not satisfied with antic set price </v>
      </c>
      <c r="J131" s="1" t="str">
        <f>IFERROR(__xludf.DUMMYFUNCTION("""COMPUTED_VALUE"""),"Not interested ")</f>
        <v>Not interested </v>
      </c>
      <c r="K131" s="3">
        <f>IFERROR(__xludf.DUMMYFUNCTION("""COMPUTED_VALUE"""),0.29652777777664596)</f>
        <v>0.2965277778</v>
      </c>
      <c r="L131" s="1" t="str">
        <f>IFERROR(__xludf.DUMMYFUNCTION("""COMPUTED_VALUE"""),"No")</f>
        <v>No</v>
      </c>
      <c r="M131" s="1" t="str">
        <f>IFERROR(__xludf.DUMMYFUNCTION("""COMPUTED_VALUE"""),"No")</f>
        <v>No</v>
      </c>
      <c r="N131" s="1" t="str">
        <f>IFERROR(__xludf.DUMMYFUNCTION("""COMPUTED_VALUE"""),"No")</f>
        <v>No</v>
      </c>
      <c r="O131" s="1" t="str">
        <f>IFERROR(__xludf.DUMMYFUNCTION("""COMPUTED_VALUE"""),"WA ONLY")</f>
        <v>WA ONLY</v>
      </c>
      <c r="P131" s="1" t="str">
        <f>IFERROR(__xludf.DUMMYFUNCTION("""COMPUTED_VALUE"""),"Sir, Madam")</f>
        <v>Sir, Madam</v>
      </c>
      <c r="Q131" s="1"/>
      <c r="R131" s="1"/>
      <c r="S131" s="1"/>
    </row>
    <row r="132">
      <c r="A132" s="2">
        <f>IFERROR(__xludf.DUMMYFUNCTION("""COMPUTED_VALUE"""),45323.818769606485)</f>
        <v>45323.81877</v>
      </c>
      <c r="B132" s="1" t="str">
        <f>IFERROR(__xludf.DUMMYFUNCTION("""COMPUTED_VALUE"""),"Zeeshan")</f>
        <v>Zeeshan</v>
      </c>
      <c r="C132" s="1">
        <f>IFERROR(__xludf.DUMMYFUNCTION("""COMPUTED_VALUE"""),9.310379264E9)</f>
        <v>9310379264</v>
      </c>
      <c r="D132" s="1">
        <f>IFERROR(__xludf.DUMMYFUNCTION("""COMPUTED_VALUE"""),1.0)</f>
        <v>1</v>
      </c>
      <c r="E132" s="3">
        <f>IFERROR(__xludf.DUMMYFUNCTION("""COMPUTED_VALUE"""),0.2819444444467081)</f>
        <v>0.2819444444</v>
      </c>
      <c r="F132" s="1" t="str">
        <f>IFERROR(__xludf.DUMMYFUNCTION("""COMPUTED_VALUE"""),"Antic")</f>
        <v>Antic</v>
      </c>
      <c r="G132" s="1" t="str">
        <f>IFERROR(__xludf.DUMMYFUNCTION("""COMPUTED_VALUE"""),"Pooja")</f>
        <v>Pooja</v>
      </c>
      <c r="H132" s="1"/>
      <c r="I132" s="1" t="str">
        <f>IFERROR(__xludf.DUMMYFUNCTION("""COMPUTED_VALUE"""),"Customer visit again ")</f>
        <v>Customer visit again </v>
      </c>
      <c r="J132" s="1" t="str">
        <f>IFERROR(__xludf.DUMMYFUNCTION("""COMPUTED_VALUE"""),"Visit again ")</f>
        <v>Visit again </v>
      </c>
      <c r="K132" s="3">
        <f>IFERROR(__xludf.DUMMYFUNCTION("""COMPUTED_VALUE"""),0.3187499999985448)</f>
        <v>0.31875</v>
      </c>
      <c r="L132" s="1" t="str">
        <f>IFERROR(__xludf.DUMMYFUNCTION("""COMPUTED_VALUE"""),"Yes")</f>
        <v>Yes</v>
      </c>
      <c r="M132" s="1" t="str">
        <f>IFERROR(__xludf.DUMMYFUNCTION("""COMPUTED_VALUE"""),"No")</f>
        <v>No</v>
      </c>
      <c r="N132" s="1" t="str">
        <f>IFERROR(__xludf.DUMMYFUNCTION("""COMPUTED_VALUE"""),"No")</f>
        <v>No</v>
      </c>
      <c r="O132" s="1" t="str">
        <f>IFERROR(__xludf.DUMMYFUNCTION("""COMPUTED_VALUE"""),"WA ONLY")</f>
        <v>WA ONLY</v>
      </c>
      <c r="P132" s="1" t="str">
        <f>IFERROR(__xludf.DUMMYFUNCTION("""COMPUTED_VALUE"""),"Sir, Madam")</f>
        <v>Sir, Madam</v>
      </c>
      <c r="Q132" s="1"/>
      <c r="R132" s="1"/>
      <c r="S132" s="1"/>
    </row>
    <row r="133">
      <c r="A133" s="2">
        <f>IFERROR(__xludf.DUMMYFUNCTION("""COMPUTED_VALUE"""),45324.72076847222)</f>
        <v>45324.72077</v>
      </c>
      <c r="B133" s="1" t="str">
        <f>IFERROR(__xludf.DUMMYFUNCTION("""COMPUTED_VALUE"""),"Neha")</f>
        <v>Neha</v>
      </c>
      <c r="C133" s="1">
        <f>IFERROR(__xludf.DUMMYFUNCTION("""COMPUTED_VALUE"""),7.217786373E9)</f>
        <v>7217786373</v>
      </c>
      <c r="D133" s="1">
        <f>IFERROR(__xludf.DUMMYFUNCTION("""COMPUTED_VALUE"""),2.0)</f>
        <v>2</v>
      </c>
      <c r="E133" s="3">
        <f>IFERROR(__xludf.DUMMYFUNCTION("""COMPUTED_VALUE"""),0.09027777778101154)</f>
        <v>0.09027777778</v>
      </c>
      <c r="F133" s="1" t="str">
        <f>IFERROR(__xludf.DUMMYFUNCTION("""COMPUTED_VALUE"""),"Gold")</f>
        <v>Gold</v>
      </c>
      <c r="G133" s="1" t="str">
        <f>IFERROR(__xludf.DUMMYFUNCTION("""COMPUTED_VALUE"""),"Kamini ")</f>
        <v>Kamini </v>
      </c>
      <c r="H133" s="1"/>
      <c r="I133" s="1" t="str">
        <f>IFERROR(__xludf.DUMMYFUNCTION("""COMPUTED_VALUE"""),"Customer discuss with family and visit again ")</f>
        <v>Customer discuss with family and visit again </v>
      </c>
      <c r="J133" s="1" t="str">
        <f>IFERROR(__xludf.DUMMYFUNCTION("""COMPUTED_VALUE"""),"No")</f>
        <v>No</v>
      </c>
      <c r="K133" s="3">
        <f>IFERROR(__xludf.DUMMYFUNCTION("""COMPUTED_VALUE"""),0.11250000000291038)</f>
        <v>0.1125</v>
      </c>
      <c r="L133" s="1" t="str">
        <f>IFERROR(__xludf.DUMMYFUNCTION("""COMPUTED_VALUE"""),"Yes")</f>
        <v>Yes</v>
      </c>
      <c r="M133" s="1" t="str">
        <f>IFERROR(__xludf.DUMMYFUNCTION("""COMPUTED_VALUE"""),"No")</f>
        <v>No</v>
      </c>
      <c r="N133" s="1" t="str">
        <f>IFERROR(__xludf.DUMMYFUNCTION("""COMPUTED_VALUE"""),"No")</f>
        <v>No</v>
      </c>
      <c r="O133" s="1" t="str">
        <f>IFERROR(__xludf.DUMMYFUNCTION("""COMPUTED_VALUE"""),"WA ONLY")</f>
        <v>WA ONLY</v>
      </c>
      <c r="P133" s="1" t="str">
        <f>IFERROR(__xludf.DUMMYFUNCTION("""COMPUTED_VALUE"""),"Sir, Madam")</f>
        <v>Sir, Madam</v>
      </c>
      <c r="Q133" s="1"/>
      <c r="R133" s="1"/>
      <c r="S133" s="1"/>
    </row>
    <row r="134">
      <c r="A134" s="2">
        <f>IFERROR(__xludf.DUMMYFUNCTION("""COMPUTED_VALUE"""),45324.72174412037)</f>
        <v>45324.72174</v>
      </c>
      <c r="B134" s="1" t="str">
        <f>IFERROR(__xludf.DUMMYFUNCTION("""COMPUTED_VALUE"""),"Neha")</f>
        <v>Neha</v>
      </c>
      <c r="C134" s="1">
        <f>IFERROR(__xludf.DUMMYFUNCTION("""COMPUTED_VALUE"""),9.910773855E9)</f>
        <v>9910773855</v>
      </c>
      <c r="D134" s="1">
        <f>IFERROR(__xludf.DUMMYFUNCTION("""COMPUTED_VALUE"""),2.0)</f>
        <v>2</v>
      </c>
      <c r="E134" s="3">
        <f>IFERROR(__xludf.DUMMYFUNCTION("""COMPUTED_VALUE"""),0.09513888889341615)</f>
        <v>0.09513888889</v>
      </c>
      <c r="F134" s="1" t="str">
        <f>IFERROR(__xludf.DUMMYFUNCTION("""COMPUTED_VALUE"""),"Diamond ")</f>
        <v>Diamond </v>
      </c>
      <c r="G134" s="1" t="str">
        <f>IFERROR(__xludf.DUMMYFUNCTION("""COMPUTED_VALUE"""),"Reena,saurav sir")</f>
        <v>Reena,saurav sir</v>
      </c>
      <c r="H134" s="1"/>
      <c r="I134" s="1" t="str">
        <f>IFERROR(__xludf.DUMMYFUNCTION("""COMPUTED_VALUE"""),"Visit again ")</f>
        <v>Visit again </v>
      </c>
      <c r="J134" s="1" t="str">
        <f>IFERROR(__xludf.DUMMYFUNCTION("""COMPUTED_VALUE"""),"No")</f>
        <v>No</v>
      </c>
      <c r="K134" s="3">
        <f>IFERROR(__xludf.DUMMYFUNCTION("""COMPUTED_VALUE"""),0.09513888889341615)</f>
        <v>0.09513888889</v>
      </c>
      <c r="L134" s="1" t="str">
        <f>IFERROR(__xludf.DUMMYFUNCTION("""COMPUTED_VALUE"""),"Yes")</f>
        <v>Yes</v>
      </c>
      <c r="M134" s="1" t="str">
        <f>IFERROR(__xludf.DUMMYFUNCTION("""COMPUTED_VALUE"""),"No")</f>
        <v>No</v>
      </c>
      <c r="N134" s="1" t="str">
        <f>IFERROR(__xludf.DUMMYFUNCTION("""COMPUTED_VALUE"""),"No")</f>
        <v>No</v>
      </c>
      <c r="O134" s="1" t="str">
        <f>IFERROR(__xludf.DUMMYFUNCTION("""COMPUTED_VALUE"""),"WA ONLY")</f>
        <v>WA ONLY</v>
      </c>
      <c r="P134" s="1" t="str">
        <f>IFERROR(__xludf.DUMMYFUNCTION("""COMPUTED_VALUE"""),"Sir, Madam")</f>
        <v>Sir, Madam</v>
      </c>
      <c r="Q134" s="1"/>
      <c r="R134" s="1"/>
      <c r="S134" s="1"/>
    </row>
    <row r="135">
      <c r="A135" s="2">
        <f>IFERROR(__xludf.DUMMYFUNCTION("""COMPUTED_VALUE"""),45326.77014601852)</f>
        <v>45326.77015</v>
      </c>
      <c r="B135" s="1" t="str">
        <f>IFERROR(__xludf.DUMMYFUNCTION("""COMPUTED_VALUE"""),"Zeba")</f>
        <v>Zeba</v>
      </c>
      <c r="C135" s="1">
        <f>IFERROR(__xludf.DUMMYFUNCTION("""COMPUTED_VALUE"""),9.36983726E9)</f>
        <v>9369837260</v>
      </c>
      <c r="D135" s="1">
        <f>IFERROR(__xludf.DUMMYFUNCTION("""COMPUTED_VALUE"""),1.0)</f>
        <v>1</v>
      </c>
      <c r="E135" s="3">
        <f>IFERROR(__xludf.DUMMYFUNCTION("""COMPUTED_VALUE"""),0.10694444444379769)</f>
        <v>0.1069444444</v>
      </c>
      <c r="F135" s="1" t="str">
        <f>IFERROR(__xludf.DUMMYFUNCTION("""COMPUTED_VALUE"""),"Antic")</f>
        <v>Antic</v>
      </c>
      <c r="G135" s="1" t="str">
        <f>IFERROR(__xludf.DUMMYFUNCTION("""COMPUTED_VALUE"""),"Kamini")</f>
        <v>Kamini</v>
      </c>
      <c r="H135" s="1" t="str">
        <f>IFERROR(__xludf.DUMMYFUNCTION("""COMPUTED_VALUE"""),"Gold  chain")</f>
        <v>Gold  chain</v>
      </c>
      <c r="I135" s="1"/>
      <c r="J135" s="1" t="str">
        <f>IFERROR(__xludf.DUMMYFUNCTION("""COMPUTED_VALUE"""),"Not interested ")</f>
        <v>Not interested </v>
      </c>
      <c r="K135" s="3">
        <f>IFERROR(__xludf.DUMMYFUNCTION("""COMPUTED_VALUE"""),0.1368055555576575)</f>
        <v>0.1368055556</v>
      </c>
      <c r="L135" s="1" t="str">
        <f>IFERROR(__xludf.DUMMYFUNCTION("""COMPUTED_VALUE"""),"Yes")</f>
        <v>Yes</v>
      </c>
      <c r="M135" s="1" t="str">
        <f>IFERROR(__xludf.DUMMYFUNCTION("""COMPUTED_VALUE"""),"Yes")</f>
        <v>Yes</v>
      </c>
      <c r="N135" s="1" t="str">
        <f>IFERROR(__xludf.DUMMYFUNCTION("""COMPUTED_VALUE"""),"No")</f>
        <v>No</v>
      </c>
      <c r="O135" s="1" t="str">
        <f>IFERROR(__xludf.DUMMYFUNCTION("""COMPUTED_VALUE"""),"WA ONLY")</f>
        <v>WA ONLY</v>
      </c>
      <c r="P135" s="1" t="str">
        <f>IFERROR(__xludf.DUMMYFUNCTION("""COMPUTED_VALUE"""),"Sir, Madam")</f>
        <v>Sir, Madam</v>
      </c>
      <c r="Q135" s="1"/>
      <c r="R135" s="1"/>
      <c r="S135" s="1"/>
    </row>
    <row r="136">
      <c r="A136" s="2">
        <f>IFERROR(__xludf.DUMMYFUNCTION("""COMPUTED_VALUE"""),45326.770915625)</f>
        <v>45326.77092</v>
      </c>
      <c r="B136" s="1" t="str">
        <f>IFERROR(__xludf.DUMMYFUNCTION("""COMPUTED_VALUE"""),"Indu")</f>
        <v>Indu</v>
      </c>
      <c r="C136" s="1">
        <f>IFERROR(__xludf.DUMMYFUNCTION("""COMPUTED_VALUE"""),9.818110346E9)</f>
        <v>9818110346</v>
      </c>
      <c r="D136" s="1">
        <f>IFERROR(__xludf.DUMMYFUNCTION("""COMPUTED_VALUE"""),1.0)</f>
        <v>1</v>
      </c>
      <c r="E136" s="3">
        <f>IFERROR(__xludf.DUMMYFUNCTION("""COMPUTED_VALUE"""),0.17777777777519077)</f>
        <v>0.1777777778</v>
      </c>
      <c r="F136" s="1" t="str">
        <f>IFERROR(__xludf.DUMMYFUNCTION("""COMPUTED_VALUE"""),"Diamond ")</f>
        <v>Diamond </v>
      </c>
      <c r="G136" s="1" t="str">
        <f>IFERROR(__xludf.DUMMYFUNCTION("""COMPUTED_VALUE"""),"Chhaya,reena")</f>
        <v>Chhaya,reena</v>
      </c>
      <c r="H136" s="1" t="str">
        <f>IFERROR(__xludf.DUMMYFUNCTION("""COMPUTED_VALUE"""),"Stone")</f>
        <v>Stone</v>
      </c>
      <c r="I136" s="1"/>
      <c r="J136" s="1" t="str">
        <f>IFERROR(__xludf.DUMMYFUNCTION("""COMPUTED_VALUE"""),"Not interested ")</f>
        <v>Not interested </v>
      </c>
      <c r="K136" s="3">
        <f>IFERROR(__xludf.DUMMYFUNCTION("""COMPUTED_VALUE"""),0.23958333333575865)</f>
        <v>0.2395833333</v>
      </c>
      <c r="L136" s="1" t="str">
        <f>IFERROR(__xludf.DUMMYFUNCTION("""COMPUTED_VALUE"""),"Yes")</f>
        <v>Yes</v>
      </c>
      <c r="M136" s="1" t="str">
        <f>IFERROR(__xludf.DUMMYFUNCTION("""COMPUTED_VALUE"""),"Already done")</f>
        <v>Already done</v>
      </c>
      <c r="N136" s="1" t="str">
        <f>IFERROR(__xludf.DUMMYFUNCTION("""COMPUTED_VALUE"""),"Already done")</f>
        <v>Already done</v>
      </c>
      <c r="O136" s="1" t="str">
        <f>IFERROR(__xludf.DUMMYFUNCTION("""COMPUTED_VALUE"""),"WA ONLY")</f>
        <v>WA ONLY</v>
      </c>
      <c r="P136" s="1" t="str">
        <f>IFERROR(__xludf.DUMMYFUNCTION("""COMPUTED_VALUE"""),"Madam")</f>
        <v>Madam</v>
      </c>
      <c r="Q136" s="1"/>
      <c r="R136" s="1"/>
      <c r="S136" s="1"/>
    </row>
    <row r="137">
      <c r="A137" s="2">
        <f>IFERROR(__xludf.DUMMYFUNCTION("""COMPUTED_VALUE"""),45326.79407188657)</f>
        <v>45326.79407</v>
      </c>
      <c r="B137" s="1" t="str">
        <f>IFERROR(__xludf.DUMMYFUNCTION("""COMPUTED_VALUE"""),"Ritu")</f>
        <v>Ritu</v>
      </c>
      <c r="C137" s="1">
        <f>IFERROR(__xludf.DUMMYFUNCTION("""COMPUTED_VALUE"""),9.81880272E9)</f>
        <v>9818802720</v>
      </c>
      <c r="D137" s="1">
        <f>IFERROR(__xludf.DUMMYFUNCTION("""COMPUTED_VALUE"""),1.0)</f>
        <v>1</v>
      </c>
      <c r="E137" s="3">
        <f>IFERROR(__xludf.DUMMYFUNCTION("""COMPUTED_VALUE"""),0.21458333333430346)</f>
        <v>0.2145833333</v>
      </c>
      <c r="F137" s="1" t="str">
        <f>IFERROR(__xludf.DUMMYFUNCTION("""COMPUTED_VALUE"""),"Diamond ")</f>
        <v>Diamond </v>
      </c>
      <c r="G137" s="1" t="str">
        <f>IFERROR(__xludf.DUMMYFUNCTION("""COMPUTED_VALUE"""),"Reena")</f>
        <v>Reena</v>
      </c>
      <c r="H137" s="1"/>
      <c r="I137" s="1" t="str">
        <f>IFERROR(__xludf.DUMMYFUNCTION("""COMPUTED_VALUE"""),"Pic the order ")</f>
        <v>Pic the order </v>
      </c>
      <c r="J137" s="1" t="str">
        <f>IFERROR(__xludf.DUMMYFUNCTION("""COMPUTED_VALUE"""),"Already done")</f>
        <v>Already done</v>
      </c>
      <c r="K137" s="3">
        <f>IFERROR(__xludf.DUMMYFUNCTION("""COMPUTED_VALUE"""),0.29166666666424135)</f>
        <v>0.2916666667</v>
      </c>
      <c r="L137" s="1" t="str">
        <f>IFERROR(__xludf.DUMMYFUNCTION("""COMPUTED_VALUE"""),"Yes")</f>
        <v>Yes</v>
      </c>
      <c r="M137" s="1" t="str">
        <f>IFERROR(__xludf.DUMMYFUNCTION("""COMPUTED_VALUE"""),"Already done")</f>
        <v>Already done</v>
      </c>
      <c r="N137" s="1" t="str">
        <f>IFERROR(__xludf.DUMMYFUNCTION("""COMPUTED_VALUE"""),"Already done")</f>
        <v>Already done</v>
      </c>
      <c r="O137" s="1" t="str">
        <f>IFERROR(__xludf.DUMMYFUNCTION("""COMPUTED_VALUE"""),"WA ONLY")</f>
        <v>WA ONLY</v>
      </c>
      <c r="P137" s="1" t="str">
        <f>IFERROR(__xludf.DUMMYFUNCTION("""COMPUTED_VALUE"""),"Sir, Madam")</f>
        <v>Sir, Madam</v>
      </c>
      <c r="Q137" s="1"/>
      <c r="R137" s="1"/>
      <c r="S137" s="1"/>
    </row>
    <row r="138">
      <c r="A138" s="2">
        <f>IFERROR(__xludf.DUMMYFUNCTION("""COMPUTED_VALUE"""),45326.81061390047)</f>
        <v>45326.81061</v>
      </c>
      <c r="B138" s="1" t="str">
        <f>IFERROR(__xludf.DUMMYFUNCTION("""COMPUTED_VALUE"""),"Saurabh")</f>
        <v>Saurabh</v>
      </c>
      <c r="C138" s="1">
        <f>IFERROR(__xludf.DUMMYFUNCTION("""COMPUTED_VALUE"""),9.811755998E9)</f>
        <v>9811755998</v>
      </c>
      <c r="D138" s="1">
        <f>IFERROR(__xludf.DUMMYFUNCTION("""COMPUTED_VALUE"""),5.0)</f>
        <v>5</v>
      </c>
      <c r="E138" s="3">
        <f>IFERROR(__xludf.DUMMYFUNCTION("""COMPUTED_VALUE"""),0.23750000000291038)</f>
        <v>0.2375</v>
      </c>
      <c r="F138" s="1" t="str">
        <f>IFERROR(__xludf.DUMMYFUNCTION("""COMPUTED_VALUE"""),"Antic")</f>
        <v>Antic</v>
      </c>
      <c r="G138" s="1" t="str">
        <f>IFERROR(__xludf.DUMMYFUNCTION("""COMPUTED_VALUE"""),"Chhaya")</f>
        <v>Chhaya</v>
      </c>
      <c r="H138" s="1" t="str">
        <f>IFERROR(__xludf.DUMMYFUNCTION("""COMPUTED_VALUE"""),"One diamond ring")</f>
        <v>One diamond ring</v>
      </c>
      <c r="I138" s="1"/>
      <c r="J138" s="1" t="str">
        <f>IFERROR(__xludf.DUMMYFUNCTION("""COMPUTED_VALUE"""),"Not interested ")</f>
        <v>Not interested </v>
      </c>
      <c r="K138" s="3">
        <f>IFERROR(__xludf.DUMMYFUNCTION("""COMPUTED_VALUE"""),0.304861111115315)</f>
        <v>0.3048611111</v>
      </c>
      <c r="L138" s="1" t="str">
        <f>IFERROR(__xludf.DUMMYFUNCTION("""COMPUTED_VALUE"""),"Yes")</f>
        <v>Yes</v>
      </c>
      <c r="M138" s="1" t="str">
        <f>IFERROR(__xludf.DUMMYFUNCTION("""COMPUTED_VALUE"""),"Already done")</f>
        <v>Already done</v>
      </c>
      <c r="N138" s="1" t="str">
        <f>IFERROR(__xludf.DUMMYFUNCTION("""COMPUTED_VALUE"""),"Already done")</f>
        <v>Already done</v>
      </c>
      <c r="O138" s="1" t="str">
        <f>IFERROR(__xludf.DUMMYFUNCTION("""COMPUTED_VALUE"""),"WA ONLY")</f>
        <v>WA ONLY</v>
      </c>
      <c r="P138" s="1" t="str">
        <f>IFERROR(__xludf.DUMMYFUNCTION("""COMPUTED_VALUE"""),"Sir, Madam")</f>
        <v>Sir, Madam</v>
      </c>
      <c r="Q138" s="1"/>
      <c r="R138" s="1"/>
      <c r="S138" s="1"/>
    </row>
    <row r="139">
      <c r="A139" s="2">
        <f>IFERROR(__xludf.DUMMYFUNCTION("""COMPUTED_VALUE"""),45326.81644844907)</f>
        <v>45326.81645</v>
      </c>
      <c r="B139" s="1" t="str">
        <f>IFERROR(__xludf.DUMMYFUNCTION("""COMPUTED_VALUE"""),"Neha")</f>
        <v>Neha</v>
      </c>
      <c r="C139" s="1">
        <f>IFERROR(__xludf.DUMMYFUNCTION("""COMPUTED_VALUE"""),9.892203082E9)</f>
        <v>9892203082</v>
      </c>
      <c r="D139" s="1">
        <f>IFERROR(__xludf.DUMMYFUNCTION("""COMPUTED_VALUE"""),6.0)</f>
        <v>6</v>
      </c>
      <c r="E139" s="3">
        <f>IFERROR(__xludf.DUMMYFUNCTION("""COMPUTED_VALUE"""),0.3069444444408873)</f>
        <v>0.3069444444</v>
      </c>
      <c r="F139" s="1" t="str">
        <f>IFERROR(__xludf.DUMMYFUNCTION("""COMPUTED_VALUE"""),"Gold")</f>
        <v>Gold</v>
      </c>
      <c r="G139" s="1" t="str">
        <f>IFERROR(__xludf.DUMMYFUNCTION("""COMPUTED_VALUE"""),"Chhaya")</f>
        <v>Chhaya</v>
      </c>
      <c r="H139" s="1"/>
      <c r="I139" s="1" t="str">
        <f>IFERROR(__xludf.DUMMYFUNCTION("""COMPUTED_VALUE"""),"Customer again visit")</f>
        <v>Customer again visit</v>
      </c>
      <c r="J139" s="1" t="str">
        <f>IFERROR(__xludf.DUMMYFUNCTION("""COMPUTED_VALUE"""),"Customer again visit")</f>
        <v>Customer again visit</v>
      </c>
      <c r="K139" s="3">
        <f>IFERROR(__xludf.DUMMYFUNCTION("""COMPUTED_VALUE"""),0.31527777777955635)</f>
        <v>0.3152777778</v>
      </c>
      <c r="L139" s="1" t="str">
        <f>IFERROR(__xludf.DUMMYFUNCTION("""COMPUTED_VALUE"""),"Yes")</f>
        <v>Yes</v>
      </c>
      <c r="M139" s="1" t="str">
        <f>IFERROR(__xludf.DUMMYFUNCTION("""COMPUTED_VALUE"""),"No")</f>
        <v>No</v>
      </c>
      <c r="N139" s="1" t="str">
        <f>IFERROR(__xludf.DUMMYFUNCTION("""COMPUTED_VALUE"""),"No")</f>
        <v>No</v>
      </c>
      <c r="O139" s="1" t="str">
        <f>IFERROR(__xludf.DUMMYFUNCTION("""COMPUTED_VALUE"""),"WA ONLY")</f>
        <v>WA ONLY</v>
      </c>
      <c r="P139" s="1" t="str">
        <f>IFERROR(__xludf.DUMMYFUNCTION("""COMPUTED_VALUE"""),"Sir, Madam")</f>
        <v>Sir, Madam</v>
      </c>
      <c r="Q139" s="1"/>
      <c r="R139" s="1"/>
      <c r="S139" s="1"/>
    </row>
    <row r="140">
      <c r="A140" s="2">
        <f>IFERROR(__xludf.DUMMYFUNCTION("""COMPUTED_VALUE"""),45328.73265957176)</f>
        <v>45328.73266</v>
      </c>
      <c r="B140" s="1" t="str">
        <f>IFERROR(__xludf.DUMMYFUNCTION("""COMPUTED_VALUE"""),"Priyal khatri")</f>
        <v>Priyal khatri</v>
      </c>
      <c r="C140" s="1"/>
      <c r="D140" s="1">
        <f>IFERROR(__xludf.DUMMYFUNCTION("""COMPUTED_VALUE"""),1.0)</f>
        <v>1</v>
      </c>
      <c r="E140" s="3">
        <f>IFERROR(__xludf.DUMMYFUNCTION("""COMPUTED_VALUE"""),0.08125000000291038)</f>
        <v>0.08125</v>
      </c>
      <c r="F140" s="1" t="str">
        <f>IFERROR(__xludf.DUMMYFUNCTION("""COMPUTED_VALUE"""),"Antic")</f>
        <v>Antic</v>
      </c>
      <c r="G140" s="1" t="str">
        <f>IFERROR(__xludf.DUMMYFUNCTION("""COMPUTED_VALUE"""),"Chhaya")</f>
        <v>Chhaya</v>
      </c>
      <c r="H140" s="1"/>
      <c r="I140" s="1" t="str">
        <f>IFERROR(__xludf.DUMMYFUNCTION("""COMPUTED_VALUE"""),"Pic the order and payment done")</f>
        <v>Pic the order and payment done</v>
      </c>
      <c r="J140" s="1" t="str">
        <f>IFERROR(__xludf.DUMMYFUNCTION("""COMPUTED_VALUE"""),"Not interested ")</f>
        <v>Not interested </v>
      </c>
      <c r="K140" s="3">
        <f>IFERROR(__xludf.DUMMYFUNCTION("""COMPUTED_VALUE"""),0.08402777777519077)</f>
        <v>0.08402777778</v>
      </c>
      <c r="L140" s="1" t="str">
        <f>IFERROR(__xludf.DUMMYFUNCTION("""COMPUTED_VALUE"""),"Yes")</f>
        <v>Yes</v>
      </c>
      <c r="M140" s="1" t="str">
        <f>IFERROR(__xludf.DUMMYFUNCTION("""COMPUTED_VALUE"""),"Already done")</f>
        <v>Already done</v>
      </c>
      <c r="N140" s="1" t="str">
        <f>IFERROR(__xludf.DUMMYFUNCTION("""COMPUTED_VALUE"""),"Already done")</f>
        <v>Already done</v>
      </c>
      <c r="O140" s="1" t="str">
        <f>IFERROR(__xludf.DUMMYFUNCTION("""COMPUTED_VALUE"""),"WA ONLY")</f>
        <v>WA ONLY</v>
      </c>
      <c r="P140" s="1" t="str">
        <f>IFERROR(__xludf.DUMMYFUNCTION("""COMPUTED_VALUE"""),"Sir")</f>
        <v>Sir</v>
      </c>
      <c r="Q140" s="1"/>
      <c r="R140" s="1"/>
      <c r="S140" s="1"/>
    </row>
    <row r="141">
      <c r="A141" s="2">
        <f>IFERROR(__xludf.DUMMYFUNCTION("""COMPUTED_VALUE"""),45328.73449581019)</f>
        <v>45328.7345</v>
      </c>
      <c r="B141" s="1" t="str">
        <f>IFERROR(__xludf.DUMMYFUNCTION("""COMPUTED_VALUE"""),"Sunny")</f>
        <v>Sunny</v>
      </c>
      <c r="C141" s="1">
        <f>IFERROR(__xludf.DUMMYFUNCTION("""COMPUTED_VALUE"""),9.910278945E9)</f>
        <v>9910278945</v>
      </c>
      <c r="D141" s="1">
        <f>IFERROR(__xludf.DUMMYFUNCTION("""COMPUTED_VALUE"""),1.0)</f>
        <v>1</v>
      </c>
      <c r="E141" s="3">
        <f>IFERROR(__xludf.DUMMYFUNCTION("""COMPUTED_VALUE"""),0.09027777778101154)</f>
        <v>0.09027777778</v>
      </c>
      <c r="F141" s="1" t="str">
        <f>IFERROR(__xludf.DUMMYFUNCTION("""COMPUTED_VALUE"""),"Gold")</f>
        <v>Gold</v>
      </c>
      <c r="G141" s="1" t="str">
        <f>IFERROR(__xludf.DUMMYFUNCTION("""COMPUTED_VALUE"""),"Bhumika")</f>
        <v>Bhumika</v>
      </c>
      <c r="H141" s="1"/>
      <c r="I141" s="1" t="str">
        <f>IFERROR(__xludf.DUMMYFUNCTION("""COMPUTED_VALUE"""),"Customer want labron diamond ring and visit again discuss with family ")</f>
        <v>Customer want labron diamond ring and visit again discuss with family </v>
      </c>
      <c r="J141" s="1" t="str">
        <f>IFERROR(__xludf.DUMMYFUNCTION("""COMPUTED_VALUE"""),"Visit again")</f>
        <v>Visit again</v>
      </c>
      <c r="K141" s="3">
        <f>IFERROR(__xludf.DUMMYFUNCTION("""COMPUTED_VALUE"""),0.10416666666424135)</f>
        <v>0.1041666667</v>
      </c>
      <c r="L141" s="1" t="str">
        <f>IFERROR(__xludf.DUMMYFUNCTION("""COMPUTED_VALUE"""),"No")</f>
        <v>No</v>
      </c>
      <c r="M141" s="1" t="str">
        <f>IFERROR(__xludf.DUMMYFUNCTION("""COMPUTED_VALUE"""),"No")</f>
        <v>No</v>
      </c>
      <c r="N141" s="1" t="str">
        <f>IFERROR(__xludf.DUMMYFUNCTION("""COMPUTED_VALUE"""),"No")</f>
        <v>No</v>
      </c>
      <c r="O141" s="1" t="str">
        <f>IFERROR(__xludf.DUMMYFUNCTION("""COMPUTED_VALUE"""),"WA ONLY")</f>
        <v>WA ONLY</v>
      </c>
      <c r="P141" s="1" t="str">
        <f>IFERROR(__xludf.DUMMYFUNCTION("""COMPUTED_VALUE"""),"Sir")</f>
        <v>Sir</v>
      </c>
      <c r="Q141" s="1"/>
      <c r="R141" s="1"/>
      <c r="S141" s="1"/>
    </row>
    <row r="142">
      <c r="A142" s="2">
        <f>IFERROR(__xludf.DUMMYFUNCTION("""COMPUTED_VALUE"""),45331.792766053244)</f>
        <v>45331.79277</v>
      </c>
      <c r="B142" s="1" t="str">
        <f>IFERROR(__xludf.DUMMYFUNCTION("""COMPUTED_VALUE"""),"Sahil")</f>
        <v>Sahil</v>
      </c>
      <c r="C142" s="1">
        <f>IFERROR(__xludf.DUMMYFUNCTION("""COMPUTED_VALUE"""),8.094884343E9)</f>
        <v>8094884343</v>
      </c>
      <c r="D142" s="1">
        <f>IFERROR(__xludf.DUMMYFUNCTION("""COMPUTED_VALUE"""),1.0)</f>
        <v>1</v>
      </c>
      <c r="E142" s="3">
        <f>IFERROR(__xludf.DUMMYFUNCTION("""COMPUTED_VALUE"""),0.06944444444525288)</f>
        <v>0.06944444445</v>
      </c>
      <c r="F142" s="1" t="str">
        <f>IFERROR(__xludf.DUMMYFUNCTION("""COMPUTED_VALUE"""),"Diamond ")</f>
        <v>Diamond </v>
      </c>
      <c r="G142" s="1" t="str">
        <f>IFERROR(__xludf.DUMMYFUNCTION("""COMPUTED_VALUE"""),"Reena")</f>
        <v>Reena</v>
      </c>
      <c r="H142" s="1"/>
      <c r="I142" s="1" t="str">
        <f>IFERROR(__xludf.DUMMYFUNCTION("""COMPUTED_VALUE"""),"Visit again")</f>
        <v>Visit again</v>
      </c>
      <c r="J142" s="1" t="str">
        <f>IFERROR(__xludf.DUMMYFUNCTION("""COMPUTED_VALUE"""),"Visit again")</f>
        <v>Visit again</v>
      </c>
      <c r="K142" s="3">
        <f>IFERROR(__xludf.DUMMYFUNCTION("""COMPUTED_VALUE"""),0.07499999999708962)</f>
        <v>0.075</v>
      </c>
      <c r="L142" s="1" t="str">
        <f>IFERROR(__xludf.DUMMYFUNCTION("""COMPUTED_VALUE"""),"Yes")</f>
        <v>Yes</v>
      </c>
      <c r="M142" s="1" t="str">
        <f>IFERROR(__xludf.DUMMYFUNCTION("""COMPUTED_VALUE"""),"Already done")</f>
        <v>Already done</v>
      </c>
      <c r="N142" s="1" t="str">
        <f>IFERROR(__xludf.DUMMYFUNCTION("""COMPUTED_VALUE"""),"Already done")</f>
        <v>Already done</v>
      </c>
      <c r="O142" s="1" t="str">
        <f>IFERROR(__xludf.DUMMYFUNCTION("""COMPUTED_VALUE"""),"WA ONLY")</f>
        <v>WA ONLY</v>
      </c>
      <c r="P142" s="1" t="str">
        <f>IFERROR(__xludf.DUMMYFUNCTION("""COMPUTED_VALUE"""),"Sir")</f>
        <v>Sir</v>
      </c>
      <c r="Q142" s="1"/>
      <c r="R142" s="1"/>
      <c r="S142" s="1"/>
    </row>
    <row r="143">
      <c r="A143" s="2">
        <f>IFERROR(__xludf.DUMMYFUNCTION("""COMPUTED_VALUE"""),45331.79365391204)</f>
        <v>45331.79365</v>
      </c>
      <c r="B143" s="1" t="str">
        <f>IFERROR(__xludf.DUMMYFUNCTION("""COMPUTED_VALUE"""),"Zeba")</f>
        <v>Zeba</v>
      </c>
      <c r="C143" s="1">
        <f>IFERROR(__xludf.DUMMYFUNCTION("""COMPUTED_VALUE"""),9.36983726E9)</f>
        <v>9369837260</v>
      </c>
      <c r="D143" s="1">
        <f>IFERROR(__xludf.DUMMYFUNCTION("""COMPUTED_VALUE"""),1.0)</f>
        <v>1</v>
      </c>
      <c r="E143" s="3">
        <f>IFERROR(__xludf.DUMMYFUNCTION("""COMPUTED_VALUE"""),0.257638888884685)</f>
        <v>0.2576388889</v>
      </c>
      <c r="F143" s="1" t="str">
        <f>IFERROR(__xludf.DUMMYFUNCTION("""COMPUTED_VALUE"""),"Antic")</f>
        <v>Antic</v>
      </c>
      <c r="G143" s="1" t="str">
        <f>IFERROR(__xludf.DUMMYFUNCTION("""COMPUTED_VALUE"""),"Pooja")</f>
        <v>Pooja</v>
      </c>
      <c r="H143" s="1" t="str">
        <f>IFERROR(__xludf.DUMMYFUNCTION("""COMPUTED_VALUE"""),"Gold earrings ")</f>
        <v>Gold earrings </v>
      </c>
      <c r="I143" s="1"/>
      <c r="J143" s="1" t="str">
        <f>IFERROR(__xludf.DUMMYFUNCTION("""COMPUTED_VALUE"""),"Not interested ")</f>
        <v>Not interested </v>
      </c>
      <c r="K143" s="3">
        <f>IFERROR(__xludf.DUMMYFUNCTION("""COMPUTED_VALUE"""),0.28541666666569654)</f>
        <v>0.2854166667</v>
      </c>
      <c r="L143" s="1" t="str">
        <f>IFERROR(__xludf.DUMMYFUNCTION("""COMPUTED_VALUE"""),"Yes")</f>
        <v>Yes</v>
      </c>
      <c r="M143" s="1" t="str">
        <f>IFERROR(__xludf.DUMMYFUNCTION("""COMPUTED_VALUE"""),"Already done")</f>
        <v>Already done</v>
      </c>
      <c r="N143" s="1" t="str">
        <f>IFERROR(__xludf.DUMMYFUNCTION("""COMPUTED_VALUE"""),"Already  done")</f>
        <v>Already  done</v>
      </c>
      <c r="O143" s="1" t="str">
        <f>IFERROR(__xludf.DUMMYFUNCTION("""COMPUTED_VALUE"""),"WA ONLY")</f>
        <v>WA ONLY</v>
      </c>
      <c r="P143" s="1" t="str">
        <f>IFERROR(__xludf.DUMMYFUNCTION("""COMPUTED_VALUE"""),"Sir, Madam")</f>
        <v>Sir, Madam</v>
      </c>
      <c r="Q143" s="1"/>
      <c r="R143" s="1"/>
      <c r="S143" s="1"/>
    </row>
    <row r="144">
      <c r="A144" s="2">
        <f>IFERROR(__xludf.DUMMYFUNCTION("""COMPUTED_VALUE"""),45331.80585842593)</f>
        <v>45331.80586</v>
      </c>
      <c r="B144" s="1" t="str">
        <f>IFERROR(__xludf.DUMMYFUNCTION("""COMPUTED_VALUE"""),"Indu")</f>
        <v>Indu</v>
      </c>
      <c r="C144" s="1">
        <f>IFERROR(__xludf.DUMMYFUNCTION("""COMPUTED_VALUE"""),9.818110346E9)</f>
        <v>9818110346</v>
      </c>
      <c r="D144" s="1">
        <f>IFERROR(__xludf.DUMMYFUNCTION("""COMPUTED_VALUE"""),1.0)</f>
        <v>1</v>
      </c>
      <c r="E144" s="3">
        <f>IFERROR(__xludf.DUMMYFUNCTION("""COMPUTED_VALUE"""),0.25347222221898846)</f>
        <v>0.2534722222</v>
      </c>
      <c r="F144" s="1" t="str">
        <f>IFERROR(__xludf.DUMMYFUNCTION("""COMPUTED_VALUE"""),"Gold")</f>
        <v>Gold</v>
      </c>
      <c r="G144" s="1" t="str">
        <f>IFERROR(__xludf.DUMMYFUNCTION("""COMPUTED_VALUE"""),"Chhaya")</f>
        <v>Chhaya</v>
      </c>
      <c r="H144" s="1"/>
      <c r="I144" s="1" t="str">
        <f>IFERROR(__xludf.DUMMYFUNCTION("""COMPUTED_VALUE"""),"Pic the order ")</f>
        <v>Pic the order </v>
      </c>
      <c r="J144" s="1" t="str">
        <f>IFERROR(__xludf.DUMMYFUNCTION("""COMPUTED_VALUE"""),"Not interested ")</f>
        <v>Not interested </v>
      </c>
      <c r="K144" s="3">
        <f>IFERROR(__xludf.DUMMYFUNCTION("""COMPUTED_VALUE"""),0.3055555555547471)</f>
        <v>0.3055555556</v>
      </c>
      <c r="L144" s="1" t="str">
        <f>IFERROR(__xludf.DUMMYFUNCTION("""COMPUTED_VALUE"""),"Yes")</f>
        <v>Yes</v>
      </c>
      <c r="M144" s="1" t="str">
        <f>IFERROR(__xludf.DUMMYFUNCTION("""COMPUTED_VALUE"""),"Already done")</f>
        <v>Already done</v>
      </c>
      <c r="N144" s="1" t="str">
        <f>IFERROR(__xludf.DUMMYFUNCTION("""COMPUTED_VALUE"""),"Already done")</f>
        <v>Already done</v>
      </c>
      <c r="O144" s="1" t="str">
        <f>IFERROR(__xludf.DUMMYFUNCTION("""COMPUTED_VALUE"""),"WA ONLY")</f>
        <v>WA ONLY</v>
      </c>
      <c r="P144" s="1" t="str">
        <f>IFERROR(__xludf.DUMMYFUNCTION("""COMPUTED_VALUE"""),"Madam")</f>
        <v>Madam</v>
      </c>
      <c r="Q144" s="1"/>
      <c r="R144" s="1"/>
      <c r="S144" s="1"/>
    </row>
    <row r="145">
      <c r="A145" s="2">
        <f>IFERROR(__xludf.DUMMYFUNCTION("""COMPUTED_VALUE"""),45332.76999810185)</f>
        <v>45332.77</v>
      </c>
      <c r="B145" s="1" t="str">
        <f>IFERROR(__xludf.DUMMYFUNCTION("""COMPUTED_VALUE"""),"Jagreet")</f>
        <v>Jagreet</v>
      </c>
      <c r="C145" s="1">
        <f>IFERROR(__xludf.DUMMYFUNCTION("""COMPUTED_VALUE"""),9.958166341E9)</f>
        <v>9958166341</v>
      </c>
      <c r="D145" s="1">
        <f>IFERROR(__xludf.DUMMYFUNCTION("""COMPUTED_VALUE"""),1.0)</f>
        <v>1</v>
      </c>
      <c r="E145" s="3">
        <f>IFERROR(__xludf.DUMMYFUNCTION("""COMPUTED_VALUE"""),0.15694444444670808)</f>
        <v>0.1569444444</v>
      </c>
      <c r="F145" s="1" t="str">
        <f>IFERROR(__xludf.DUMMYFUNCTION("""COMPUTED_VALUE"""),"Antic")</f>
        <v>Antic</v>
      </c>
      <c r="G145" s="1" t="str">
        <f>IFERROR(__xludf.DUMMYFUNCTION("""COMPUTED_VALUE"""),"Pooja")</f>
        <v>Pooja</v>
      </c>
      <c r="H145" s="1"/>
      <c r="I145" s="1" t="str">
        <f>IFERROR(__xludf.DUMMYFUNCTION("""COMPUTED_VALUE"""),"Visit again with family ")</f>
        <v>Visit again with family </v>
      </c>
      <c r="J145" s="1" t="str">
        <f>IFERROR(__xludf.DUMMYFUNCTION("""COMPUTED_VALUE"""),"Visit again ")</f>
        <v>Visit again </v>
      </c>
      <c r="K145" s="3">
        <f>IFERROR(__xludf.DUMMYFUNCTION("""COMPUTED_VALUE"""),0.179861111115315)</f>
        <v>0.1798611111</v>
      </c>
      <c r="L145" s="1" t="str">
        <f>IFERROR(__xludf.DUMMYFUNCTION("""COMPUTED_VALUE"""),"Yes")</f>
        <v>Yes</v>
      </c>
      <c r="M145" s="1" t="str">
        <f>IFERROR(__xludf.DUMMYFUNCTION("""COMPUTED_VALUE"""),"No")</f>
        <v>No</v>
      </c>
      <c r="N145" s="1" t="str">
        <f>IFERROR(__xludf.DUMMYFUNCTION("""COMPUTED_VALUE"""),"No")</f>
        <v>No</v>
      </c>
      <c r="O145" s="1" t="str">
        <f>IFERROR(__xludf.DUMMYFUNCTION("""COMPUTED_VALUE"""),"WA ONLY")</f>
        <v>WA ONLY</v>
      </c>
      <c r="P145" s="1" t="str">
        <f>IFERROR(__xludf.DUMMYFUNCTION("""COMPUTED_VALUE"""),"Sir, Madam")</f>
        <v>Sir, Madam</v>
      </c>
      <c r="Q145" s="1"/>
      <c r="R145" s="1"/>
      <c r="S145" s="1"/>
    </row>
    <row r="146">
      <c r="A146" s="2">
        <f>IFERROR(__xludf.DUMMYFUNCTION("""COMPUTED_VALUE"""),45332.770821631944)</f>
        <v>45332.77082</v>
      </c>
      <c r="B146" s="1" t="str">
        <f>IFERROR(__xludf.DUMMYFUNCTION("""COMPUTED_VALUE"""),"Nikita goyal")</f>
        <v>Nikita goyal</v>
      </c>
      <c r="C146" s="1">
        <f>IFERROR(__xludf.DUMMYFUNCTION("""COMPUTED_VALUE"""),9.811795829E9)</f>
        <v>9811795829</v>
      </c>
      <c r="D146" s="1" t="str">
        <f>IFERROR(__xludf.DUMMYFUNCTION("""COMPUTED_VALUE"""),"Q")</f>
        <v>Q</v>
      </c>
      <c r="E146" s="3">
        <f>IFERROR(__xludf.DUMMYFUNCTION("""COMPUTED_VALUE"""),0.19444444444525288)</f>
        <v>0.1944444444</v>
      </c>
      <c r="F146" s="1" t="str">
        <f>IFERROR(__xludf.DUMMYFUNCTION("""COMPUTED_VALUE"""),"Diamond ")</f>
        <v>Diamond </v>
      </c>
      <c r="G146" s="1" t="str">
        <f>IFERROR(__xludf.DUMMYFUNCTION("""COMPUTED_VALUE"""),"Reena")</f>
        <v>Reena</v>
      </c>
      <c r="H146" s="1"/>
      <c r="I146" s="1" t="str">
        <f>IFERROR(__xludf.DUMMYFUNCTION("""COMPUTED_VALUE"""),"Pic the order ")</f>
        <v>Pic the order </v>
      </c>
      <c r="J146" s="1" t="str">
        <f>IFERROR(__xludf.DUMMYFUNCTION("""COMPUTED_VALUE"""),"Not interested ")</f>
        <v>Not interested </v>
      </c>
      <c r="K146" s="3">
        <f>IFERROR(__xludf.DUMMYFUNCTION("""COMPUTED_VALUE"""),0.2069444444423425)</f>
        <v>0.2069444444</v>
      </c>
      <c r="L146" s="1" t="str">
        <f>IFERROR(__xludf.DUMMYFUNCTION("""COMPUTED_VALUE"""),"Yes")</f>
        <v>Yes</v>
      </c>
      <c r="M146" s="1" t="str">
        <f>IFERROR(__xludf.DUMMYFUNCTION("""COMPUTED_VALUE"""),"Already done")</f>
        <v>Already done</v>
      </c>
      <c r="N146" s="1" t="str">
        <f>IFERROR(__xludf.DUMMYFUNCTION("""COMPUTED_VALUE"""),"Already done")</f>
        <v>Already done</v>
      </c>
      <c r="O146" s="1" t="str">
        <f>IFERROR(__xludf.DUMMYFUNCTION("""COMPUTED_VALUE"""),"WA ONLY")</f>
        <v>WA ONLY</v>
      </c>
      <c r="P146" s="1" t="str">
        <f>IFERROR(__xludf.DUMMYFUNCTION("""COMPUTED_VALUE"""),"Madam")</f>
        <v>Madam</v>
      </c>
      <c r="Q146" s="1"/>
      <c r="R146" s="1"/>
      <c r="S146" s="1"/>
    </row>
    <row r="147">
      <c r="A147" s="2">
        <f>IFERROR(__xludf.DUMMYFUNCTION("""COMPUTED_VALUE"""),45336.77496137732)</f>
        <v>45336.77496</v>
      </c>
      <c r="B147" s="1" t="str">
        <f>IFERROR(__xludf.DUMMYFUNCTION("""COMPUTED_VALUE"""),"Atoshi")</f>
        <v>Atoshi</v>
      </c>
      <c r="C147" s="1">
        <f>IFERROR(__xludf.DUMMYFUNCTION("""COMPUTED_VALUE"""),8.700173741E9)</f>
        <v>8700173741</v>
      </c>
      <c r="D147" s="1">
        <f>IFERROR(__xludf.DUMMYFUNCTION("""COMPUTED_VALUE"""),1.0)</f>
        <v>1</v>
      </c>
      <c r="E147" s="3">
        <f>IFERROR(__xludf.DUMMYFUNCTION("""COMPUTED_VALUE"""),0.04930555555620231)</f>
        <v>0.04930555556</v>
      </c>
      <c r="F147" s="1" t="str">
        <f>IFERROR(__xludf.DUMMYFUNCTION("""COMPUTED_VALUE"""),"Antic")</f>
        <v>Antic</v>
      </c>
      <c r="G147" s="1" t="str">
        <f>IFERROR(__xludf.DUMMYFUNCTION("""COMPUTED_VALUE"""),"Chhaya")</f>
        <v>Chhaya</v>
      </c>
      <c r="H147" s="1"/>
      <c r="I147" s="1" t="str">
        <f>IFERROR(__xludf.DUMMYFUNCTION("""COMPUTED_VALUE"""),"Pic the order ")</f>
        <v>Pic the order </v>
      </c>
      <c r="J147" s="1" t="str">
        <f>IFERROR(__xludf.DUMMYFUNCTION("""COMPUTED_VALUE"""),"Not interested ")</f>
        <v>Not interested </v>
      </c>
      <c r="K147" s="3">
        <f>IFERROR(__xludf.DUMMYFUNCTION("""COMPUTED_VALUE"""),0.07777777777664596)</f>
        <v>0.07777777778</v>
      </c>
      <c r="L147" s="1" t="str">
        <f>IFERROR(__xludf.DUMMYFUNCTION("""COMPUTED_VALUE"""),"Yes")</f>
        <v>Yes</v>
      </c>
      <c r="M147" s="1" t="str">
        <f>IFERROR(__xludf.DUMMYFUNCTION("""COMPUTED_VALUE"""),"Already done")</f>
        <v>Already done</v>
      </c>
      <c r="N147" s="1" t="str">
        <f>IFERROR(__xludf.DUMMYFUNCTION("""COMPUTED_VALUE"""),"Already done")</f>
        <v>Already done</v>
      </c>
      <c r="O147" s="1" t="str">
        <f>IFERROR(__xludf.DUMMYFUNCTION("""COMPUTED_VALUE"""),"WA ONLY")</f>
        <v>WA ONLY</v>
      </c>
      <c r="P147" s="1" t="str">
        <f>IFERROR(__xludf.DUMMYFUNCTION("""COMPUTED_VALUE"""),"Sir, Madam")</f>
        <v>Sir, Madam</v>
      </c>
      <c r="Q147" s="1"/>
      <c r="R147" s="1"/>
      <c r="S147" s="1"/>
    </row>
    <row r="148">
      <c r="A148" s="2">
        <f>IFERROR(__xludf.DUMMYFUNCTION("""COMPUTED_VALUE"""),45336.776576944445)</f>
        <v>45336.77658</v>
      </c>
      <c r="B148" s="1" t="str">
        <f>IFERROR(__xludf.DUMMYFUNCTION("""COMPUTED_VALUE"""),"Meetu goyal")</f>
        <v>Meetu goyal</v>
      </c>
      <c r="C148" s="1">
        <f>IFERROR(__xludf.DUMMYFUNCTION("""COMPUTED_VALUE"""),9.560915533E9)</f>
        <v>9560915533</v>
      </c>
      <c r="D148" s="1" t="str">
        <f>IFERROR(__xludf.DUMMYFUNCTION("""COMPUTED_VALUE"""),"Pic the order ")</f>
        <v>Pic the order </v>
      </c>
      <c r="E148" s="3">
        <f>IFERROR(__xludf.DUMMYFUNCTION("""COMPUTED_VALUE"""),0.07291666666424135)</f>
        <v>0.07291666666</v>
      </c>
      <c r="F148" s="1" t="str">
        <f>IFERROR(__xludf.DUMMYFUNCTION("""COMPUTED_VALUE"""),"Diamond ")</f>
        <v>Diamond </v>
      </c>
      <c r="G148" s="1" t="str">
        <f>IFERROR(__xludf.DUMMYFUNCTION("""COMPUTED_VALUE"""),"Reena")</f>
        <v>Reena</v>
      </c>
      <c r="H148" s="1"/>
      <c r="I148" s="1" t="str">
        <f>IFERROR(__xludf.DUMMYFUNCTION("""COMPUTED_VALUE"""),"Pic the order ")</f>
        <v>Pic the order </v>
      </c>
      <c r="J148" s="1"/>
      <c r="K148" s="3">
        <f>IFERROR(__xludf.DUMMYFUNCTION("""COMPUTED_VALUE"""),0.19791666666424135)</f>
        <v>0.1979166667</v>
      </c>
      <c r="L148" s="1" t="str">
        <f>IFERROR(__xludf.DUMMYFUNCTION("""COMPUTED_VALUE"""),"Yes")</f>
        <v>Yes</v>
      </c>
      <c r="M148" s="1" t="str">
        <f>IFERROR(__xludf.DUMMYFUNCTION("""COMPUTED_VALUE"""),"Already done")</f>
        <v>Already done</v>
      </c>
      <c r="N148" s="1" t="str">
        <f>IFERROR(__xludf.DUMMYFUNCTION("""COMPUTED_VALUE"""),"Already done")</f>
        <v>Already done</v>
      </c>
      <c r="O148" s="1" t="str">
        <f>IFERROR(__xludf.DUMMYFUNCTION("""COMPUTED_VALUE"""),"WA ONLY")</f>
        <v>WA ONLY</v>
      </c>
      <c r="P148" s="1" t="str">
        <f>IFERROR(__xludf.DUMMYFUNCTION("""COMPUTED_VALUE"""),"Madam")</f>
        <v>Madam</v>
      </c>
      <c r="Q148" s="1"/>
      <c r="R148" s="1"/>
      <c r="S148" s="1"/>
    </row>
    <row r="149">
      <c r="A149" s="2">
        <f>IFERROR(__xludf.DUMMYFUNCTION("""COMPUTED_VALUE"""),45336.77782354166)</f>
        <v>45336.77782</v>
      </c>
      <c r="B149" s="1" t="str">
        <f>IFERROR(__xludf.DUMMYFUNCTION("""COMPUTED_VALUE"""),"Sudhanshu")</f>
        <v>Sudhanshu</v>
      </c>
      <c r="C149" s="1">
        <f>IFERROR(__xludf.DUMMYFUNCTION("""COMPUTED_VALUE"""),9.818311188E9)</f>
        <v>9818311188</v>
      </c>
      <c r="D149" s="1">
        <f>IFERROR(__xludf.DUMMYFUNCTION("""COMPUTED_VALUE"""),1.0)</f>
        <v>1</v>
      </c>
      <c r="E149" s="3">
        <f>IFERROR(__xludf.DUMMYFUNCTION("""COMPUTED_VALUE"""),0.07361111111094942)</f>
        <v>0.07361111111</v>
      </c>
      <c r="F149" s="1" t="str">
        <f>IFERROR(__xludf.DUMMYFUNCTION("""COMPUTED_VALUE"""),"Antic")</f>
        <v>Antic</v>
      </c>
      <c r="G149" s="1" t="str">
        <f>IFERROR(__xludf.DUMMYFUNCTION("""COMPUTED_VALUE"""),"Pooja")</f>
        <v>Pooja</v>
      </c>
      <c r="H149" s="1" t="str">
        <f>IFERROR(__xludf.DUMMYFUNCTION("""COMPUTED_VALUE"""),"Antic gold set")</f>
        <v>Antic gold set</v>
      </c>
      <c r="I149" s="1"/>
      <c r="J149" s="1" t="str">
        <f>IFERROR(__xludf.DUMMYFUNCTION("""COMPUTED_VALUE"""),"Not interested ")</f>
        <v>Not interested </v>
      </c>
      <c r="K149" s="3">
        <f>IFERROR(__xludf.DUMMYFUNCTION("""COMPUTED_VALUE"""),0.10416666666424135)</f>
        <v>0.1041666667</v>
      </c>
      <c r="L149" s="1" t="str">
        <f>IFERROR(__xludf.DUMMYFUNCTION("""COMPUTED_VALUE"""),"Yes")</f>
        <v>Yes</v>
      </c>
      <c r="M149" s="1" t="str">
        <f>IFERROR(__xludf.DUMMYFUNCTION("""COMPUTED_VALUE"""),"No")</f>
        <v>No</v>
      </c>
      <c r="N149" s="1" t="str">
        <f>IFERROR(__xludf.DUMMYFUNCTION("""COMPUTED_VALUE"""),"No")</f>
        <v>No</v>
      </c>
      <c r="O149" s="1" t="str">
        <f>IFERROR(__xludf.DUMMYFUNCTION("""COMPUTED_VALUE"""),"WA ONLY")</f>
        <v>WA ONLY</v>
      </c>
      <c r="P149" s="1" t="str">
        <f>IFERROR(__xludf.DUMMYFUNCTION("""COMPUTED_VALUE"""),"Sir")</f>
        <v>Sir</v>
      </c>
      <c r="Q149" s="1"/>
      <c r="R149" s="1"/>
      <c r="S149" s="1"/>
    </row>
    <row r="150">
      <c r="A150" s="2">
        <f>IFERROR(__xludf.DUMMYFUNCTION("""COMPUTED_VALUE"""),45336.7786946875)</f>
        <v>45336.77869</v>
      </c>
      <c r="B150" s="1" t="str">
        <f>IFERROR(__xludf.DUMMYFUNCTION("""COMPUTED_VALUE"""),"Nidhi")</f>
        <v>Nidhi</v>
      </c>
      <c r="C150" s="1">
        <f>IFERROR(__xludf.DUMMYFUNCTION("""COMPUTED_VALUE"""),9.810947581E9)</f>
        <v>9810947581</v>
      </c>
      <c r="D150" s="1">
        <f>IFERROR(__xludf.DUMMYFUNCTION("""COMPUTED_VALUE"""),3.0)</f>
        <v>3</v>
      </c>
      <c r="E150" s="3">
        <f>IFERROR(__xludf.DUMMYFUNCTION("""COMPUTED_VALUE"""),0.13472222222480923)</f>
        <v>0.1347222222</v>
      </c>
      <c r="F150" s="1" t="str">
        <f>IFERROR(__xludf.DUMMYFUNCTION("""COMPUTED_VALUE"""),"Diamond ")</f>
        <v>Diamond </v>
      </c>
      <c r="G150" s="1" t="str">
        <f>IFERROR(__xludf.DUMMYFUNCTION("""COMPUTED_VALUE"""),"Navdeep")</f>
        <v>Navdeep</v>
      </c>
      <c r="H150" s="1"/>
      <c r="I150" s="1" t="str">
        <f>IFERROR(__xludf.DUMMYFUNCTION("""COMPUTED_VALUE"""),"Customer visit again ")</f>
        <v>Customer visit again </v>
      </c>
      <c r="J150" s="1" t="str">
        <f>IFERROR(__xludf.DUMMYFUNCTION("""COMPUTED_VALUE"""),"Customer visit agsi")</f>
        <v>Customer visit agsi</v>
      </c>
      <c r="K150" s="3">
        <f>IFERROR(__xludf.DUMMYFUNCTION("""COMPUTED_VALUE"""),0.1444444444423425)</f>
        <v>0.1444444444</v>
      </c>
      <c r="L150" s="1" t="str">
        <f>IFERROR(__xludf.DUMMYFUNCTION("""COMPUTED_VALUE"""),"Yes")</f>
        <v>Yes</v>
      </c>
      <c r="M150" s="1" t="str">
        <f>IFERROR(__xludf.DUMMYFUNCTION("""COMPUTED_VALUE"""),"No")</f>
        <v>No</v>
      </c>
      <c r="N150" s="1" t="str">
        <f>IFERROR(__xludf.DUMMYFUNCTION("""COMPUTED_VALUE"""),"No")</f>
        <v>No</v>
      </c>
      <c r="O150" s="1" t="str">
        <f>IFERROR(__xludf.DUMMYFUNCTION("""COMPUTED_VALUE"""),"WA ONLY")</f>
        <v>WA ONLY</v>
      </c>
      <c r="P150" s="1" t="str">
        <f>IFERROR(__xludf.DUMMYFUNCTION("""COMPUTED_VALUE"""),"Sir, Madam")</f>
        <v>Sir, Madam</v>
      </c>
      <c r="Q150" s="1"/>
      <c r="R150" s="1"/>
      <c r="S150" s="1"/>
    </row>
    <row r="151">
      <c r="A151" s="2">
        <f>IFERROR(__xludf.DUMMYFUNCTION("""COMPUTED_VALUE"""),45336.779782025464)</f>
        <v>45336.77978</v>
      </c>
      <c r="B151" s="1" t="str">
        <f>IFERROR(__xludf.DUMMYFUNCTION("""COMPUTED_VALUE"""),"Manish")</f>
        <v>Manish</v>
      </c>
      <c r="C151" s="1">
        <f>IFERROR(__xludf.DUMMYFUNCTION("""COMPUTED_VALUE"""),8.130437059E9)</f>
        <v>8130437059</v>
      </c>
      <c r="D151" s="1">
        <f>IFERROR(__xludf.DUMMYFUNCTION("""COMPUTED_VALUE"""),1.0)</f>
        <v>1</v>
      </c>
      <c r="E151" s="3">
        <f>IFERROR(__xludf.DUMMYFUNCTION("""COMPUTED_VALUE"""),0.125)</f>
        <v>0.125</v>
      </c>
      <c r="F151" s="1" t="str">
        <f>IFERROR(__xludf.DUMMYFUNCTION("""COMPUTED_VALUE"""),"Gold")</f>
        <v>Gold</v>
      </c>
      <c r="G151" s="1" t="str">
        <f>IFERROR(__xludf.DUMMYFUNCTION("""COMPUTED_VALUE"""),"Bhumika")</f>
        <v>Bhumika</v>
      </c>
      <c r="H151" s="1"/>
      <c r="I151" s="1" t="str">
        <f>IFERROR(__xludf.DUMMYFUNCTION("""COMPUTED_VALUE"""),"Adjust gold ring size")</f>
        <v>Adjust gold ring size</v>
      </c>
      <c r="J151" s="1" t="str">
        <f>IFERROR(__xludf.DUMMYFUNCTION("""COMPUTED_VALUE"""),"Not interested ")</f>
        <v>Not interested </v>
      </c>
      <c r="K151" s="3">
        <f>IFERROR(__xludf.DUMMYFUNCTION("""COMPUTED_VALUE"""),0.13541666666424135)</f>
        <v>0.1354166667</v>
      </c>
      <c r="L151" s="1" t="str">
        <f>IFERROR(__xludf.DUMMYFUNCTION("""COMPUTED_VALUE"""),"Yes")</f>
        <v>Yes</v>
      </c>
      <c r="M151" s="1" t="str">
        <f>IFERROR(__xludf.DUMMYFUNCTION("""COMPUTED_VALUE"""),"No")</f>
        <v>No</v>
      </c>
      <c r="N151" s="1" t="str">
        <f>IFERROR(__xludf.DUMMYFUNCTION("""COMPUTED_VALUE"""),"No")</f>
        <v>No</v>
      </c>
      <c r="O151" s="1" t="str">
        <f>IFERROR(__xludf.DUMMYFUNCTION("""COMPUTED_VALUE"""),"WA ONLY")</f>
        <v>WA ONLY</v>
      </c>
      <c r="P151" s="1" t="str">
        <f>IFERROR(__xludf.DUMMYFUNCTION("""COMPUTED_VALUE"""),"Sir, Madam")</f>
        <v>Sir, Madam</v>
      </c>
      <c r="Q151" s="1"/>
      <c r="R151" s="1"/>
      <c r="S151" s="1"/>
    </row>
    <row r="152">
      <c r="A152" s="2">
        <f>IFERROR(__xludf.DUMMYFUNCTION("""COMPUTED_VALUE"""),45336.780679131945)</f>
        <v>45336.78068</v>
      </c>
      <c r="B152" s="1" t="str">
        <f>IFERROR(__xludf.DUMMYFUNCTION("""COMPUTED_VALUE"""),"Gurendar")</f>
        <v>Gurendar</v>
      </c>
      <c r="C152" s="1">
        <f>IFERROR(__xludf.DUMMYFUNCTION("""COMPUTED_VALUE"""),8.587888357E9)</f>
        <v>8587888357</v>
      </c>
      <c r="D152" s="1">
        <f>IFERROR(__xludf.DUMMYFUNCTION("""COMPUTED_VALUE"""),1.0)</f>
        <v>1</v>
      </c>
      <c r="E152" s="3">
        <f>IFERROR(__xludf.DUMMYFUNCTION("""COMPUTED_VALUE"""),0.23611111110949423)</f>
        <v>0.2361111111</v>
      </c>
      <c r="F152" s="1" t="str">
        <f>IFERROR(__xludf.DUMMYFUNCTION("""COMPUTED_VALUE"""),"Antic ")</f>
        <v>Antic </v>
      </c>
      <c r="G152" s="1" t="str">
        <f>IFERROR(__xludf.DUMMYFUNCTION("""COMPUTED_VALUE"""),"Bhumika chhaya")</f>
        <v>Bhumika chhaya</v>
      </c>
      <c r="H152" s="1"/>
      <c r="I152" s="1" t="str">
        <f>IFERROR(__xludf.DUMMYFUNCTION("""COMPUTED_VALUE"""),"Customer visit again ")</f>
        <v>Customer visit again </v>
      </c>
      <c r="J152" s="1" t="str">
        <f>IFERROR(__xludf.DUMMYFUNCTION("""COMPUTED_VALUE"""),"Customer visit again ")</f>
        <v>Customer visit again </v>
      </c>
      <c r="K152" s="3">
        <f>IFERROR(__xludf.DUMMYFUNCTION("""COMPUTED_VALUE"""),0.2687500000029104)</f>
        <v>0.26875</v>
      </c>
      <c r="L152" s="1" t="str">
        <f>IFERROR(__xludf.DUMMYFUNCTION("""COMPUTED_VALUE"""),"Yes")</f>
        <v>Yes</v>
      </c>
      <c r="M152" s="1" t="str">
        <f>IFERROR(__xludf.DUMMYFUNCTION("""COMPUTED_VALUE"""),"No")</f>
        <v>No</v>
      </c>
      <c r="N152" s="1" t="str">
        <f>IFERROR(__xludf.DUMMYFUNCTION("""COMPUTED_VALUE"""),"No")</f>
        <v>No</v>
      </c>
      <c r="O152" s="1" t="str">
        <f>IFERROR(__xludf.DUMMYFUNCTION("""COMPUTED_VALUE"""),"WA ONLY")</f>
        <v>WA ONLY</v>
      </c>
      <c r="P152" s="1" t="str">
        <f>IFERROR(__xludf.DUMMYFUNCTION("""COMPUTED_VALUE"""),"Sir, Madam")</f>
        <v>Sir, Madam</v>
      </c>
      <c r="Q152" s="1"/>
      <c r="R152" s="1"/>
      <c r="S152" s="1"/>
    </row>
    <row r="153">
      <c r="A153" s="2">
        <f>IFERROR(__xludf.DUMMYFUNCTION("""COMPUTED_VALUE"""),45337.778535844904)</f>
        <v>45337.77854</v>
      </c>
      <c r="B153" s="1" t="str">
        <f>IFERROR(__xludf.DUMMYFUNCTION("""COMPUTED_VALUE"""),"Laxshata")</f>
        <v>Laxshata</v>
      </c>
      <c r="C153" s="1">
        <f>IFERROR(__xludf.DUMMYFUNCTION("""COMPUTED_VALUE"""),7.827182727E9)</f>
        <v>7827182727</v>
      </c>
      <c r="D153" s="1">
        <f>IFERROR(__xludf.DUMMYFUNCTION("""COMPUTED_VALUE"""),1.0)</f>
        <v>1</v>
      </c>
      <c r="E153" s="3">
        <f>IFERROR(__xludf.DUMMYFUNCTION("""COMPUTED_VALUE"""),0.5208333333357587)</f>
        <v>0.5208333333</v>
      </c>
      <c r="F153" s="1" t="str">
        <f>IFERROR(__xludf.DUMMYFUNCTION("""COMPUTED_VALUE"""),"Antic")</f>
        <v>Antic</v>
      </c>
      <c r="G153" s="1" t="str">
        <f>IFERROR(__xludf.DUMMYFUNCTION("""COMPUTED_VALUE"""),"Pooja")</f>
        <v>Pooja</v>
      </c>
      <c r="H153" s="1" t="str">
        <f>IFERROR(__xludf.DUMMYFUNCTION("""COMPUTED_VALUE"""),"Gold ring,chain,earing,nose pin.")</f>
        <v>Gold ring,chain,earing,nose pin.</v>
      </c>
      <c r="I153" s="1"/>
      <c r="J153" s="1" t="str">
        <f>IFERROR(__xludf.DUMMYFUNCTION("""COMPUTED_VALUE"""),"Not interested ")</f>
        <v>Not interested </v>
      </c>
      <c r="K153" s="3">
        <f>IFERROR(__xludf.DUMMYFUNCTION("""COMPUTED_VALUE"""),0.13958333333721384)</f>
        <v>0.1395833333</v>
      </c>
      <c r="L153" s="1" t="str">
        <f>IFERROR(__xludf.DUMMYFUNCTION("""COMPUTED_VALUE"""),"Yes")</f>
        <v>Yes</v>
      </c>
      <c r="M153" s="1" t="str">
        <f>IFERROR(__xludf.DUMMYFUNCTION("""COMPUTED_VALUE"""),"Yes")</f>
        <v>Yes</v>
      </c>
      <c r="N153" s="1" t="str">
        <f>IFERROR(__xludf.DUMMYFUNCTION("""COMPUTED_VALUE"""),"Yes")</f>
        <v>Yes</v>
      </c>
      <c r="O153" s="1" t="str">
        <f>IFERROR(__xludf.DUMMYFUNCTION("""COMPUTED_VALUE"""),"WA ONLY")</f>
        <v>WA ONLY</v>
      </c>
      <c r="P153" s="1" t="str">
        <f>IFERROR(__xludf.DUMMYFUNCTION("""COMPUTED_VALUE"""),"Sir, Madam")</f>
        <v>Sir, Madam</v>
      </c>
      <c r="Q153" s="1"/>
      <c r="R153" s="1"/>
      <c r="S153" s="1"/>
    </row>
    <row r="154">
      <c r="A154" s="2">
        <f>IFERROR(__xludf.DUMMYFUNCTION("""COMPUTED_VALUE"""),45338.75917774306)</f>
        <v>45338.75918</v>
      </c>
      <c r="B154" s="1" t="str">
        <f>IFERROR(__xludf.DUMMYFUNCTION("""COMPUTED_VALUE"""),"Shishir")</f>
        <v>Shishir</v>
      </c>
      <c r="C154" s="1">
        <f>IFERROR(__xludf.DUMMYFUNCTION("""COMPUTED_VALUE"""),9.86872356E9)</f>
        <v>9868723560</v>
      </c>
      <c r="D154" s="1">
        <f>IFERROR(__xludf.DUMMYFUNCTION("""COMPUTED_VALUE"""),1.0)</f>
        <v>1</v>
      </c>
      <c r="E154" s="3">
        <f>IFERROR(__xludf.DUMMYFUNCTION("""COMPUTED_VALUE"""),0.19652777777810115)</f>
        <v>0.1965277778</v>
      </c>
      <c r="F154" s="1" t="str">
        <f>IFERROR(__xludf.DUMMYFUNCTION("""COMPUTED_VALUE"""),"Gold")</f>
        <v>Gold</v>
      </c>
      <c r="G154" s="1" t="str">
        <f>IFERROR(__xludf.DUMMYFUNCTION("""COMPUTED_VALUE"""),"Bhumika")</f>
        <v>Bhumika</v>
      </c>
      <c r="H154" s="1"/>
      <c r="I154" s="1" t="str">
        <f>IFERROR(__xludf.DUMMYFUNCTION("""COMPUTED_VALUE"""),"Customer wants 3 gm gold ring but not satisfied with design ")</f>
        <v>Customer wants 3 gm gold ring but not satisfied with design </v>
      </c>
      <c r="J154" s="1" t="str">
        <f>IFERROR(__xludf.DUMMYFUNCTION("""COMPUTED_VALUE"""),"No")</f>
        <v>No</v>
      </c>
      <c r="K154" s="3">
        <f>IFERROR(__xludf.DUMMYFUNCTION("""COMPUTED_VALUE"""),0.20833333333575865)</f>
        <v>0.2083333333</v>
      </c>
      <c r="L154" s="1" t="str">
        <f>IFERROR(__xludf.DUMMYFUNCTION("""COMPUTED_VALUE"""),"No")</f>
        <v>No</v>
      </c>
      <c r="M154" s="1" t="str">
        <f>IFERROR(__xludf.DUMMYFUNCTION("""COMPUTED_VALUE"""),"No")</f>
        <v>No</v>
      </c>
      <c r="N154" s="1" t="str">
        <f>IFERROR(__xludf.DUMMYFUNCTION("""COMPUTED_VALUE"""),"No")</f>
        <v>No</v>
      </c>
      <c r="O154" s="1" t="str">
        <f>IFERROR(__xludf.DUMMYFUNCTION("""COMPUTED_VALUE"""),"WA ONLY")</f>
        <v>WA ONLY</v>
      </c>
      <c r="P154" s="1" t="str">
        <f>IFERROR(__xludf.DUMMYFUNCTION("""COMPUTED_VALUE"""),"Sir")</f>
        <v>Sir</v>
      </c>
      <c r="Q154" s="1"/>
      <c r="R154" s="1"/>
      <c r="S154" s="1"/>
    </row>
    <row r="155">
      <c r="A155" s="2">
        <f>IFERROR(__xludf.DUMMYFUNCTION("""COMPUTED_VALUE"""),45338.779180983795)</f>
        <v>45338.77918</v>
      </c>
      <c r="B155" s="1" t="str">
        <f>IFERROR(__xludf.DUMMYFUNCTION("""COMPUTED_VALUE"""),"Shagufta")</f>
        <v>Shagufta</v>
      </c>
      <c r="C155" s="1">
        <f>IFERROR(__xludf.DUMMYFUNCTION("""COMPUTED_VALUE"""),7.827399396E9)</f>
        <v>7827399396</v>
      </c>
      <c r="D155" s="1">
        <f>IFERROR(__xludf.DUMMYFUNCTION("""COMPUTED_VALUE"""),3.0)</f>
        <v>3</v>
      </c>
      <c r="E155" s="3">
        <f>IFERROR(__xludf.DUMMYFUNCTION("""COMPUTED_VALUE"""),0.26666666666278616)</f>
        <v>0.2666666667</v>
      </c>
      <c r="F155" s="1" t="str">
        <f>IFERROR(__xludf.DUMMYFUNCTION("""COMPUTED_VALUE"""),"Gold")</f>
        <v>Gold</v>
      </c>
      <c r="G155" s="1" t="str">
        <f>IFERROR(__xludf.DUMMYFUNCTION("""COMPUTED_VALUE"""),"Bhumika")</f>
        <v>Bhumika</v>
      </c>
      <c r="H155" s="1"/>
      <c r="I155" s="1" t="str">
        <f>IFERROR(__xludf.DUMMYFUNCTION("""COMPUTED_VALUE"""),"Exchange gold ")</f>
        <v>Exchange gold </v>
      </c>
      <c r="J155" s="1" t="str">
        <f>IFERROR(__xludf.DUMMYFUNCTION("""COMPUTED_VALUE"""),"No")</f>
        <v>No</v>
      </c>
      <c r="K155" s="3">
        <f>IFERROR(__xludf.DUMMYFUNCTION("""COMPUTED_VALUE"""),0.2763888888875954)</f>
        <v>0.2763888889</v>
      </c>
      <c r="L155" s="1" t="str">
        <f>IFERROR(__xludf.DUMMYFUNCTION("""COMPUTED_VALUE"""),"Yes")</f>
        <v>Yes</v>
      </c>
      <c r="M155" s="1" t="str">
        <f>IFERROR(__xludf.DUMMYFUNCTION("""COMPUTED_VALUE"""),"No")</f>
        <v>No</v>
      </c>
      <c r="N155" s="1" t="str">
        <f>IFERROR(__xludf.DUMMYFUNCTION("""COMPUTED_VALUE"""),"No")</f>
        <v>No</v>
      </c>
      <c r="O155" s="1" t="str">
        <f>IFERROR(__xludf.DUMMYFUNCTION("""COMPUTED_VALUE"""),"WA ONLY")</f>
        <v>WA ONLY</v>
      </c>
      <c r="P155" s="1" t="str">
        <f>IFERROR(__xludf.DUMMYFUNCTION("""COMPUTED_VALUE"""),"Sir, Madam")</f>
        <v>Sir, Madam</v>
      </c>
      <c r="Q155" s="1"/>
      <c r="R155" s="1"/>
      <c r="S155" s="1"/>
    </row>
    <row r="156">
      <c r="A156" s="2">
        <f>IFERROR(__xludf.DUMMYFUNCTION("""COMPUTED_VALUE"""),45340.74866525463)</f>
        <v>45340.74867</v>
      </c>
      <c r="B156" s="1" t="str">
        <f>IFERROR(__xludf.DUMMYFUNCTION("""COMPUTED_VALUE"""),"Deepak ")</f>
        <v>Deepak </v>
      </c>
      <c r="C156" s="1">
        <f>IFERROR(__xludf.DUMMYFUNCTION("""COMPUTED_VALUE"""),9.899615881E9)</f>
        <v>9899615881</v>
      </c>
      <c r="D156" s="1">
        <f>IFERROR(__xludf.DUMMYFUNCTION("""COMPUTED_VALUE"""),1.0)</f>
        <v>1</v>
      </c>
      <c r="E156" s="3">
        <f>IFERROR(__xludf.DUMMYFUNCTION("""COMPUTED_VALUE"""),0.5208333333357587)</f>
        <v>0.5208333333</v>
      </c>
      <c r="F156" s="1" t="str">
        <f>IFERROR(__xludf.DUMMYFUNCTION("""COMPUTED_VALUE"""),"Antic")</f>
        <v>Antic</v>
      </c>
      <c r="G156" s="1" t="str">
        <f>IFERROR(__xludf.DUMMYFUNCTION("""COMPUTED_VALUE"""),"Chhaya")</f>
        <v>Chhaya</v>
      </c>
      <c r="H156" s="1" t="str">
        <f>IFERROR(__xludf.DUMMYFUNCTION("""COMPUTED_VALUE"""),"Pendent set,gold boli")</f>
        <v>Pendent set,gold boli</v>
      </c>
      <c r="I156" s="1"/>
      <c r="J156" s="1" t="str">
        <f>IFERROR(__xludf.DUMMYFUNCTION("""COMPUTED_VALUE"""),"No")</f>
        <v>No</v>
      </c>
      <c r="K156" s="3">
        <f>IFERROR(__xludf.DUMMYFUNCTION("""COMPUTED_VALUE"""),0.17222222222335404)</f>
        <v>0.1722222222</v>
      </c>
      <c r="L156" s="1" t="str">
        <f>IFERROR(__xludf.DUMMYFUNCTION("""COMPUTED_VALUE"""),"Yes")</f>
        <v>Yes</v>
      </c>
      <c r="M156" s="1" t="str">
        <f>IFERROR(__xludf.DUMMYFUNCTION("""COMPUTED_VALUE"""),"Yes")</f>
        <v>Yes</v>
      </c>
      <c r="N156" s="1" t="str">
        <f>IFERROR(__xludf.DUMMYFUNCTION("""COMPUTED_VALUE"""),"Yes")</f>
        <v>Yes</v>
      </c>
      <c r="O156" s="1" t="str">
        <f>IFERROR(__xludf.DUMMYFUNCTION("""COMPUTED_VALUE"""),"WA ONLY")</f>
        <v>WA ONLY</v>
      </c>
      <c r="P156" s="1" t="str">
        <f>IFERROR(__xludf.DUMMYFUNCTION("""COMPUTED_VALUE"""),"Sir, Madam")</f>
        <v>Sir, Madam</v>
      </c>
      <c r="Q156" s="1"/>
      <c r="R156" s="1"/>
      <c r="S156" s="1"/>
    </row>
    <row r="157">
      <c r="A157" s="2">
        <f>IFERROR(__xludf.DUMMYFUNCTION("""COMPUTED_VALUE"""),45340.74925724537)</f>
        <v>45340.74926</v>
      </c>
      <c r="B157" s="1" t="str">
        <f>IFERROR(__xludf.DUMMYFUNCTION("""COMPUTED_VALUE"""),"Umesh")</f>
        <v>Umesh</v>
      </c>
      <c r="C157" s="1">
        <f>IFERROR(__xludf.DUMMYFUNCTION("""COMPUTED_VALUE"""),9.311580781E9)</f>
        <v>9311580781</v>
      </c>
      <c r="D157" s="1">
        <f>IFERROR(__xludf.DUMMYFUNCTION("""COMPUTED_VALUE"""),1.0)</f>
        <v>1</v>
      </c>
      <c r="E157" s="3">
        <f>IFERROR(__xludf.DUMMYFUNCTION("""COMPUTED_VALUE"""),0.04444444444379769)</f>
        <v>0.04444444444</v>
      </c>
      <c r="F157" s="1" t="str">
        <f>IFERROR(__xludf.DUMMYFUNCTION("""COMPUTED_VALUE"""),"Gold")</f>
        <v>Gold</v>
      </c>
      <c r="G157" s="1" t="str">
        <f>IFERROR(__xludf.DUMMYFUNCTION("""COMPUTED_VALUE"""),"Bhumika")</f>
        <v>Bhumika</v>
      </c>
      <c r="H157" s="1" t="str">
        <f>IFERROR(__xludf.DUMMYFUNCTION("""COMPUTED_VALUE"""),"Gold ring")</f>
        <v>Gold ring</v>
      </c>
      <c r="I157" s="1"/>
      <c r="J157" s="1" t="str">
        <f>IFERROR(__xludf.DUMMYFUNCTION("""COMPUTED_VALUE"""),"No")</f>
        <v>No</v>
      </c>
      <c r="K157" s="3">
        <f>IFERROR(__xludf.DUMMYFUNCTION("""COMPUTED_VALUE"""),0.0625)</f>
        <v>0.0625</v>
      </c>
      <c r="L157" s="1" t="str">
        <f>IFERROR(__xludf.DUMMYFUNCTION("""COMPUTED_VALUE"""),"Yes")</f>
        <v>Yes</v>
      </c>
      <c r="M157" s="1" t="str">
        <f>IFERROR(__xludf.DUMMYFUNCTION("""COMPUTED_VALUE"""),"Yes")</f>
        <v>Yes</v>
      </c>
      <c r="N157" s="1" t="str">
        <f>IFERROR(__xludf.DUMMYFUNCTION("""COMPUTED_VALUE"""),"No")</f>
        <v>No</v>
      </c>
      <c r="O157" s="1" t="str">
        <f>IFERROR(__xludf.DUMMYFUNCTION("""COMPUTED_VALUE"""),"WA ONLY")</f>
        <v>WA ONLY</v>
      </c>
      <c r="P157" s="1" t="str">
        <f>IFERROR(__xludf.DUMMYFUNCTION("""COMPUTED_VALUE"""),"Sir")</f>
        <v>Sir</v>
      </c>
      <c r="Q157" s="1"/>
      <c r="R157" s="1"/>
      <c r="S157" s="1"/>
    </row>
    <row r="158">
      <c r="A158" s="2">
        <f>IFERROR(__xludf.DUMMYFUNCTION("""COMPUTED_VALUE"""),45340.75002303241)</f>
        <v>45340.75002</v>
      </c>
      <c r="B158" s="1" t="str">
        <f>IFERROR(__xludf.DUMMYFUNCTION("""COMPUTED_VALUE"""),"Rahul malik")</f>
        <v>Rahul malik</v>
      </c>
      <c r="C158" s="1">
        <f>IFERROR(__xludf.DUMMYFUNCTION("""COMPUTED_VALUE"""),9.818766685E9)</f>
        <v>9818766685</v>
      </c>
      <c r="D158" s="1">
        <f>IFERROR(__xludf.DUMMYFUNCTION("""COMPUTED_VALUE"""),1.0)</f>
        <v>1</v>
      </c>
      <c r="E158" s="3">
        <f>IFERROR(__xludf.DUMMYFUNCTION("""COMPUTED_VALUE"""),0.08333333333575865)</f>
        <v>0.08333333334</v>
      </c>
      <c r="F158" s="1" t="str">
        <f>IFERROR(__xludf.DUMMYFUNCTION("""COMPUTED_VALUE"""),"Antic")</f>
        <v>Antic</v>
      </c>
      <c r="G158" s="1" t="str">
        <f>IFERROR(__xludf.DUMMYFUNCTION("""COMPUTED_VALUE"""),"Chhaya")</f>
        <v>Chhaya</v>
      </c>
      <c r="H158" s="1"/>
      <c r="I158" s="1" t="str">
        <f>IFERROR(__xludf.DUMMYFUNCTION("""COMPUTED_VALUE"""),"Pic the order ")</f>
        <v>Pic the order </v>
      </c>
      <c r="J158" s="1" t="str">
        <f>IFERROR(__xludf.DUMMYFUNCTION("""COMPUTED_VALUE"""),"No")</f>
        <v>No</v>
      </c>
      <c r="K158" s="3">
        <f>IFERROR(__xludf.DUMMYFUNCTION("""COMPUTED_VALUE"""),0.10416666666424135)</f>
        <v>0.1041666667</v>
      </c>
      <c r="L158" s="1" t="str">
        <f>IFERROR(__xludf.DUMMYFUNCTION("""COMPUTED_VALUE"""),"Yes")</f>
        <v>Yes</v>
      </c>
      <c r="M158" s="1" t="str">
        <f>IFERROR(__xludf.DUMMYFUNCTION("""COMPUTED_VALUE"""),"Already done")</f>
        <v>Already done</v>
      </c>
      <c r="N158" s="1" t="str">
        <f>IFERROR(__xludf.DUMMYFUNCTION("""COMPUTED_VALUE"""),"Already done")</f>
        <v>Already done</v>
      </c>
      <c r="O158" s="1" t="str">
        <f>IFERROR(__xludf.DUMMYFUNCTION("""COMPUTED_VALUE"""),"WA ONLY")</f>
        <v>WA ONLY</v>
      </c>
      <c r="P158" s="1" t="str">
        <f>IFERROR(__xludf.DUMMYFUNCTION("""COMPUTED_VALUE"""),"Sir, Madam")</f>
        <v>Sir, Madam</v>
      </c>
      <c r="Q158" s="1"/>
      <c r="R158" s="1"/>
      <c r="S158" s="1"/>
    </row>
    <row r="159">
      <c r="A159" s="2">
        <f>IFERROR(__xludf.DUMMYFUNCTION("""COMPUTED_VALUE"""),45342.79339689815)</f>
        <v>45342.7934</v>
      </c>
      <c r="B159" s="1" t="str">
        <f>IFERROR(__xludf.DUMMYFUNCTION("""COMPUTED_VALUE"""),"Charu")</f>
        <v>Charu</v>
      </c>
      <c r="C159" s="1">
        <f>IFERROR(__xludf.DUMMYFUNCTION("""COMPUTED_VALUE"""),9.871089414E9)</f>
        <v>9871089414</v>
      </c>
      <c r="D159" s="1">
        <f>IFERROR(__xludf.DUMMYFUNCTION("""COMPUTED_VALUE"""),1.0)</f>
        <v>1</v>
      </c>
      <c r="E159" s="3">
        <f>IFERROR(__xludf.DUMMYFUNCTION("""COMPUTED_VALUE"""),0.16666666666424135)</f>
        <v>0.1666666667</v>
      </c>
      <c r="F159" s="1" t="str">
        <f>IFERROR(__xludf.DUMMYFUNCTION("""COMPUTED_VALUE"""),"Antic c")</f>
        <v>Antic c</v>
      </c>
      <c r="G159" s="1" t="str">
        <f>IFERROR(__xludf.DUMMYFUNCTION("""COMPUTED_VALUE"""),"Chhaya")</f>
        <v>Chhaya</v>
      </c>
      <c r="H159" s="1"/>
      <c r="I159" s="1" t="str">
        <f>IFERROR(__xludf.DUMMYFUNCTION("""COMPUTED_VALUE"""),"Pic the order ")</f>
        <v>Pic the order </v>
      </c>
      <c r="J159" s="1"/>
      <c r="K159" s="3">
        <f>IFERROR(__xludf.DUMMYFUNCTION("""COMPUTED_VALUE"""),0.20833333333575865)</f>
        <v>0.2083333333</v>
      </c>
      <c r="L159" s="1" t="str">
        <f>IFERROR(__xludf.DUMMYFUNCTION("""COMPUTED_VALUE"""),"Yes")</f>
        <v>Yes</v>
      </c>
      <c r="M159" s="1" t="str">
        <f>IFERROR(__xludf.DUMMYFUNCTION("""COMPUTED_VALUE"""),"Already done")</f>
        <v>Already done</v>
      </c>
      <c r="N159" s="1" t="str">
        <f>IFERROR(__xludf.DUMMYFUNCTION("""COMPUTED_VALUE"""),"Already done")</f>
        <v>Already done</v>
      </c>
      <c r="O159" s="1" t="str">
        <f>IFERROR(__xludf.DUMMYFUNCTION("""COMPUTED_VALUE"""),"WA ONLY")</f>
        <v>WA ONLY</v>
      </c>
      <c r="P159" s="1" t="str">
        <f>IFERROR(__xludf.DUMMYFUNCTION("""COMPUTED_VALUE"""),"Madam")</f>
        <v>Madam</v>
      </c>
      <c r="Q159" s="1"/>
      <c r="R159" s="1"/>
      <c r="S159" s="1"/>
    </row>
    <row r="160">
      <c r="A160" s="2">
        <f>IFERROR(__xludf.DUMMYFUNCTION("""COMPUTED_VALUE"""),45343.805217245375)</f>
        <v>45343.80522</v>
      </c>
      <c r="B160" s="1" t="str">
        <f>IFERROR(__xludf.DUMMYFUNCTION("""COMPUTED_VALUE"""),"Sarita dilavri")</f>
        <v>Sarita dilavri</v>
      </c>
      <c r="C160" s="1">
        <f>IFERROR(__xludf.DUMMYFUNCTION("""COMPUTED_VALUE"""),6.1388288E9)</f>
        <v>6138828800</v>
      </c>
      <c r="D160" s="1">
        <f>IFERROR(__xludf.DUMMYFUNCTION("""COMPUTED_VALUE"""),3.0)</f>
        <v>3</v>
      </c>
      <c r="E160" s="3">
        <f>IFERROR(__xludf.DUMMYFUNCTION("""COMPUTED_VALUE"""),0.5208333333357587)</f>
        <v>0.5208333333</v>
      </c>
      <c r="F160" s="1" t="str">
        <f>IFERROR(__xludf.DUMMYFUNCTION("""COMPUTED_VALUE"""),"Diamond ")</f>
        <v>Diamond </v>
      </c>
      <c r="G160" s="1" t="str">
        <f>IFERROR(__xludf.DUMMYFUNCTION("""COMPUTED_VALUE"""),"Chhaya")</f>
        <v>Chhaya</v>
      </c>
      <c r="H160" s="1" t="str">
        <f>IFERROR(__xludf.DUMMYFUNCTION("""COMPUTED_VALUE"""),"Diamond jewellery ")</f>
        <v>Diamond jewellery </v>
      </c>
      <c r="I160" s="1"/>
      <c r="J160" s="1" t="str">
        <f>IFERROR(__xludf.DUMMYFUNCTION("""COMPUTED_VALUE"""),"No")</f>
        <v>No</v>
      </c>
      <c r="K160" s="3">
        <f>IFERROR(__xludf.DUMMYFUNCTION("""COMPUTED_VALUE"""),0.1875)</f>
        <v>0.1875</v>
      </c>
      <c r="L160" s="1" t="str">
        <f>IFERROR(__xludf.DUMMYFUNCTION("""COMPUTED_VALUE"""),"Yes")</f>
        <v>Yes</v>
      </c>
      <c r="M160" s="1" t="str">
        <f>IFERROR(__xludf.DUMMYFUNCTION("""COMPUTED_VALUE"""),"Already done")</f>
        <v>Already done</v>
      </c>
      <c r="N160" s="1" t="str">
        <f>IFERROR(__xludf.DUMMYFUNCTION("""COMPUTED_VALUE"""),"Already done ")</f>
        <v>Already done </v>
      </c>
      <c r="O160" s="1" t="str">
        <f>IFERROR(__xludf.DUMMYFUNCTION("""COMPUTED_VALUE"""),"WA ONLY")</f>
        <v>WA ONLY</v>
      </c>
      <c r="P160" s="1" t="str">
        <f>IFERROR(__xludf.DUMMYFUNCTION("""COMPUTED_VALUE"""),"Sir, Madam")</f>
        <v>Sir, Madam</v>
      </c>
      <c r="Q160" s="1"/>
      <c r="R160" s="1"/>
      <c r="S160" s="1"/>
    </row>
    <row r="161">
      <c r="A161" s="2">
        <f>IFERROR(__xludf.DUMMYFUNCTION("""COMPUTED_VALUE"""),45343.80602282408)</f>
        <v>45343.80602</v>
      </c>
      <c r="B161" s="1" t="str">
        <f>IFERROR(__xludf.DUMMYFUNCTION("""COMPUTED_VALUE"""),"Gulnaaz")</f>
        <v>Gulnaaz</v>
      </c>
      <c r="C161" s="1">
        <f>IFERROR(__xludf.DUMMYFUNCTION("""COMPUTED_VALUE"""),9.711686788E9)</f>
        <v>9711686788</v>
      </c>
      <c r="D161" s="1">
        <f>IFERROR(__xludf.DUMMYFUNCTION("""COMPUTED_VALUE"""),2.0)</f>
        <v>2</v>
      </c>
      <c r="E161" s="3">
        <f>IFERROR(__xludf.DUMMYFUNCTION("""COMPUTED_VALUE"""),0.2861111111124046)</f>
        <v>0.2861111111</v>
      </c>
      <c r="F161" s="1" t="str">
        <f>IFERROR(__xludf.DUMMYFUNCTION("""COMPUTED_VALUE"""),"Gold")</f>
        <v>Gold</v>
      </c>
      <c r="G161" s="1" t="str">
        <f>IFERROR(__xludf.DUMMYFUNCTION("""COMPUTED_VALUE"""),"Pooja")</f>
        <v>Pooja</v>
      </c>
      <c r="H161" s="1"/>
      <c r="I161" s="1" t="str">
        <f>IFERROR(__xludf.DUMMYFUNCTION("""COMPUTED_VALUE"""),"Customer visit again ")</f>
        <v>Customer visit again </v>
      </c>
      <c r="J161" s="1" t="str">
        <f>IFERROR(__xludf.DUMMYFUNCTION("""COMPUTED_VALUE"""),"No")</f>
        <v>No</v>
      </c>
      <c r="K161" s="3">
        <f>IFERROR(__xludf.DUMMYFUNCTION("""COMPUTED_VALUE"""),0.29652777777664596)</f>
        <v>0.2965277778</v>
      </c>
      <c r="L161" s="1" t="str">
        <f>IFERROR(__xludf.DUMMYFUNCTION("""COMPUTED_VALUE"""),"No")</f>
        <v>No</v>
      </c>
      <c r="M161" s="1" t="str">
        <f>IFERROR(__xludf.DUMMYFUNCTION("""COMPUTED_VALUE"""),"No")</f>
        <v>No</v>
      </c>
      <c r="N161" s="1" t="str">
        <f>IFERROR(__xludf.DUMMYFUNCTION("""COMPUTED_VALUE"""),"No")</f>
        <v>No</v>
      </c>
      <c r="O161" s="1" t="str">
        <f>IFERROR(__xludf.DUMMYFUNCTION("""COMPUTED_VALUE"""),"WA ONLY")</f>
        <v>WA ONLY</v>
      </c>
      <c r="P161" s="1" t="str">
        <f>IFERROR(__xludf.DUMMYFUNCTION("""COMPUTED_VALUE"""),"Sir, Madam")</f>
        <v>Sir, Madam</v>
      </c>
      <c r="Q161" s="1"/>
      <c r="R161" s="1"/>
      <c r="S161" s="1"/>
    </row>
    <row r="162">
      <c r="A162" s="2">
        <f>IFERROR(__xludf.DUMMYFUNCTION("""COMPUTED_VALUE"""),45343.821207789355)</f>
        <v>45343.82121</v>
      </c>
      <c r="B162" s="1" t="str">
        <f>IFERROR(__xludf.DUMMYFUNCTION("""COMPUTED_VALUE"""),"Ajeet singh")</f>
        <v>Ajeet singh</v>
      </c>
      <c r="C162" s="1">
        <f>IFERROR(__xludf.DUMMYFUNCTION("""COMPUTED_VALUE"""),9.958481195E9)</f>
        <v>9958481195</v>
      </c>
      <c r="D162" s="1">
        <f>IFERROR(__xludf.DUMMYFUNCTION("""COMPUTED_VALUE"""),1.0)</f>
        <v>1</v>
      </c>
      <c r="E162" s="3">
        <f>IFERROR(__xludf.DUMMYFUNCTION("""COMPUTED_VALUE"""),0.29027777777810115)</f>
        <v>0.2902777778</v>
      </c>
      <c r="F162" s="1" t="str">
        <f>IFERROR(__xludf.DUMMYFUNCTION("""COMPUTED_VALUE"""),"Antic")</f>
        <v>Antic</v>
      </c>
      <c r="G162" s="1" t="str">
        <f>IFERROR(__xludf.DUMMYFUNCTION("""COMPUTED_VALUE"""),"Chhaya")</f>
        <v>Chhaya</v>
      </c>
      <c r="H162" s="1" t="str">
        <f>IFERROR(__xludf.DUMMYFUNCTION("""COMPUTED_VALUE"""),"Diamond  ring")</f>
        <v>Diamond  ring</v>
      </c>
      <c r="I162" s="1"/>
      <c r="J162" s="1" t="str">
        <f>IFERROR(__xludf.DUMMYFUNCTION("""COMPUTED_VALUE"""),"No")</f>
        <v>No</v>
      </c>
      <c r="K162" s="3">
        <f>IFERROR(__xludf.DUMMYFUNCTION("""COMPUTED_VALUE"""),0.3208333333313931)</f>
        <v>0.3208333333</v>
      </c>
      <c r="L162" s="1" t="str">
        <f>IFERROR(__xludf.DUMMYFUNCTION("""COMPUTED_VALUE"""),"Yes")</f>
        <v>Yes</v>
      </c>
      <c r="M162" s="1" t="str">
        <f>IFERROR(__xludf.DUMMYFUNCTION("""COMPUTED_VALUE"""),"Yes")</f>
        <v>Yes</v>
      </c>
      <c r="N162" s="1" t="str">
        <f>IFERROR(__xludf.DUMMYFUNCTION("""COMPUTED_VALUE"""),"Yes")</f>
        <v>Yes</v>
      </c>
      <c r="O162" s="1" t="str">
        <f>IFERROR(__xludf.DUMMYFUNCTION("""COMPUTED_VALUE"""),"WA ONLY")</f>
        <v>WA ONLY</v>
      </c>
      <c r="P162" s="1" t="str">
        <f>IFERROR(__xludf.DUMMYFUNCTION("""COMPUTED_VALUE"""),"Sir, Madam")</f>
        <v>Sir, Madam</v>
      </c>
      <c r="Q162" s="1"/>
      <c r="R162" s="1"/>
      <c r="S162" s="1"/>
    </row>
    <row r="163">
      <c r="A163" s="2">
        <f>IFERROR(__xludf.DUMMYFUNCTION("""COMPUTED_VALUE"""),45344.76682405092)</f>
        <v>45344.76682</v>
      </c>
      <c r="B163" s="1" t="str">
        <f>IFERROR(__xludf.DUMMYFUNCTION("""COMPUTED_VALUE"""),"Usha gupta")</f>
        <v>Usha gupta</v>
      </c>
      <c r="C163" s="1">
        <f>IFERROR(__xludf.DUMMYFUNCTION("""COMPUTED_VALUE"""),9.650557706E9)</f>
        <v>9650557706</v>
      </c>
      <c r="D163" s="1">
        <f>IFERROR(__xludf.DUMMYFUNCTION("""COMPUTED_VALUE"""),1.0)</f>
        <v>1</v>
      </c>
      <c r="E163" s="3">
        <f>IFERROR(__xludf.DUMMYFUNCTION("""COMPUTED_VALUE"""),0.06319444444670808)</f>
        <v>0.06319444445</v>
      </c>
      <c r="F163" s="1" t="str">
        <f>IFERROR(__xludf.DUMMYFUNCTION("""COMPUTED_VALUE"""),"Antic")</f>
        <v>Antic</v>
      </c>
      <c r="G163" s="1" t="str">
        <f>IFERROR(__xludf.DUMMYFUNCTION("""COMPUTED_VALUE"""),"Chhaya")</f>
        <v>Chhaya</v>
      </c>
      <c r="H163" s="1"/>
      <c r="I163" s="1" t="str">
        <f>IFERROR(__xludf.DUMMYFUNCTION("""COMPUTED_VALUE"""),"Customer visit again ")</f>
        <v>Customer visit again </v>
      </c>
      <c r="J163" s="1" t="str">
        <f>IFERROR(__xludf.DUMMYFUNCTION("""COMPUTED_VALUE"""),"No")</f>
        <v>No</v>
      </c>
      <c r="K163" s="3">
        <f>IFERROR(__xludf.DUMMYFUNCTION("""COMPUTED_VALUE"""),0.0819444444423425)</f>
        <v>0.08194444444</v>
      </c>
      <c r="L163" s="1" t="str">
        <f>IFERROR(__xludf.DUMMYFUNCTION("""COMPUTED_VALUE"""),"Yes")</f>
        <v>Yes</v>
      </c>
      <c r="M163" s="1" t="str">
        <f>IFERROR(__xludf.DUMMYFUNCTION("""COMPUTED_VALUE"""),"No")</f>
        <v>No</v>
      </c>
      <c r="N163" s="1" t="str">
        <f>IFERROR(__xludf.DUMMYFUNCTION("""COMPUTED_VALUE"""),"No")</f>
        <v>No</v>
      </c>
      <c r="O163" s="1" t="str">
        <f>IFERROR(__xludf.DUMMYFUNCTION("""COMPUTED_VALUE"""),"WA ONLY")</f>
        <v>WA ONLY</v>
      </c>
      <c r="P163" s="1" t="str">
        <f>IFERROR(__xludf.DUMMYFUNCTION("""COMPUTED_VALUE"""),"Madam")</f>
        <v>Madam</v>
      </c>
      <c r="Q163" s="1"/>
      <c r="R163" s="1"/>
      <c r="S163" s="1"/>
    </row>
    <row r="164">
      <c r="A164" s="2">
        <f>IFERROR(__xludf.DUMMYFUNCTION("""COMPUTED_VALUE"""),45344.76755888889)</f>
        <v>45344.76756</v>
      </c>
      <c r="B164" s="1" t="str">
        <f>IFERROR(__xludf.DUMMYFUNCTION("""COMPUTED_VALUE"""),"Nitin")</f>
        <v>Nitin</v>
      </c>
      <c r="C164" s="1"/>
      <c r="D164" s="1">
        <f>IFERROR(__xludf.DUMMYFUNCTION("""COMPUTED_VALUE"""),1.0)</f>
        <v>1</v>
      </c>
      <c r="E164" s="3">
        <f>IFERROR(__xludf.DUMMYFUNCTION("""COMPUTED_VALUE"""),0.11458333333575865)</f>
        <v>0.1145833333</v>
      </c>
      <c r="F164" s="1" t="str">
        <f>IFERROR(__xludf.DUMMYFUNCTION("""COMPUTED_VALUE"""),"Antic")</f>
        <v>Antic</v>
      </c>
      <c r="G164" s="1" t="str">
        <f>IFERROR(__xludf.DUMMYFUNCTION("""COMPUTED_VALUE"""),"Pooja")</f>
        <v>Pooja</v>
      </c>
      <c r="H164" s="1"/>
      <c r="I164" s="1" t="str">
        <f>IFERROR(__xludf.DUMMYFUNCTION("""COMPUTED_VALUE"""),"Customer visit again ")</f>
        <v>Customer visit again </v>
      </c>
      <c r="J164" s="1" t="str">
        <f>IFERROR(__xludf.DUMMYFUNCTION("""COMPUTED_VALUE"""),"No")</f>
        <v>No</v>
      </c>
      <c r="K164" s="3">
        <f>IFERROR(__xludf.DUMMYFUNCTION("""COMPUTED_VALUE"""),0.13333333333139308)</f>
        <v>0.1333333333</v>
      </c>
      <c r="L164" s="1" t="str">
        <f>IFERROR(__xludf.DUMMYFUNCTION("""COMPUTED_VALUE"""),"Yes")</f>
        <v>Yes</v>
      </c>
      <c r="M164" s="1" t="str">
        <f>IFERROR(__xludf.DUMMYFUNCTION("""COMPUTED_VALUE"""),"Already done")</f>
        <v>Already done</v>
      </c>
      <c r="N164" s="1" t="str">
        <f>IFERROR(__xludf.DUMMYFUNCTION("""COMPUTED_VALUE"""),"Already done")</f>
        <v>Already done</v>
      </c>
      <c r="O164" s="1" t="str">
        <f>IFERROR(__xludf.DUMMYFUNCTION("""COMPUTED_VALUE"""),"WA ONLY")</f>
        <v>WA ONLY</v>
      </c>
      <c r="P164" s="1" t="str">
        <f>IFERROR(__xludf.DUMMYFUNCTION("""COMPUTED_VALUE"""),"Sir")</f>
        <v>Sir</v>
      </c>
      <c r="Q164" s="1"/>
      <c r="R164" s="1"/>
      <c r="S164" s="1"/>
    </row>
    <row r="165">
      <c r="A165" s="2">
        <f>IFERROR(__xludf.DUMMYFUNCTION("""COMPUTED_VALUE"""),45344.76932011574)</f>
        <v>45344.76932</v>
      </c>
      <c r="B165" s="1" t="str">
        <f>IFERROR(__xludf.DUMMYFUNCTION("""COMPUTED_VALUE"""),"Atoshi")</f>
        <v>Atoshi</v>
      </c>
      <c r="C165" s="1">
        <f>IFERROR(__xludf.DUMMYFUNCTION("""COMPUTED_VALUE"""),8.700173741E9)</f>
        <v>8700173741</v>
      </c>
      <c r="D165" s="1">
        <f>IFERROR(__xludf.DUMMYFUNCTION("""COMPUTED_VALUE"""),1.0)</f>
        <v>1</v>
      </c>
      <c r="E165" s="3">
        <f>IFERROR(__xludf.DUMMYFUNCTION("""COMPUTED_VALUE"""),0.16666666666424135)</f>
        <v>0.1666666667</v>
      </c>
      <c r="F165" s="1" t="str">
        <f>IFERROR(__xludf.DUMMYFUNCTION("""COMPUTED_VALUE"""),"Gold")</f>
        <v>Gold</v>
      </c>
      <c r="G165" s="1" t="str">
        <f>IFERROR(__xludf.DUMMYFUNCTION("""COMPUTED_VALUE"""),"Deepali")</f>
        <v>Deepali</v>
      </c>
      <c r="H165" s="1"/>
      <c r="I165" s="1" t="str">
        <f>IFERROR(__xludf.DUMMYFUNCTION("""COMPUTED_VALUE"""),"Talk to sir")</f>
        <v>Talk to sir</v>
      </c>
      <c r="J165" s="1" t="str">
        <f>IFERROR(__xludf.DUMMYFUNCTION("""COMPUTED_VALUE"""),"Already done")</f>
        <v>Already done</v>
      </c>
      <c r="K165" s="3">
        <f>IFERROR(__xludf.DUMMYFUNCTION("""COMPUTED_VALUE"""),0.18680555555329192)</f>
        <v>0.1868055556</v>
      </c>
      <c r="L165" s="1" t="str">
        <f>IFERROR(__xludf.DUMMYFUNCTION("""COMPUTED_VALUE"""),"Yes")</f>
        <v>Yes</v>
      </c>
      <c r="M165" s="1" t="str">
        <f>IFERROR(__xludf.DUMMYFUNCTION("""COMPUTED_VALUE"""),"Already done")</f>
        <v>Already done</v>
      </c>
      <c r="N165" s="1" t="str">
        <f>IFERROR(__xludf.DUMMYFUNCTION("""COMPUTED_VALUE"""),"Already done")</f>
        <v>Already done</v>
      </c>
      <c r="O165" s="1" t="str">
        <f>IFERROR(__xludf.DUMMYFUNCTION("""COMPUTED_VALUE"""),"WA ONLY")</f>
        <v>WA ONLY</v>
      </c>
      <c r="P165" s="1" t="str">
        <f>IFERROR(__xludf.DUMMYFUNCTION("""COMPUTED_VALUE"""),"Madam")</f>
        <v>Madam</v>
      </c>
      <c r="Q165" s="1"/>
      <c r="R165" s="1"/>
      <c r="S165" s="1"/>
    </row>
    <row r="166">
      <c r="A166" s="2">
        <f>IFERROR(__xludf.DUMMYFUNCTION("""COMPUTED_VALUE"""),45344.770569953704)</f>
        <v>45344.77057</v>
      </c>
      <c r="B166" s="1" t="str">
        <f>IFERROR(__xludf.DUMMYFUNCTION("""COMPUTED_VALUE"""),"Ritu")</f>
        <v>Ritu</v>
      </c>
      <c r="C166" s="1">
        <f>IFERROR(__xludf.DUMMYFUNCTION("""COMPUTED_VALUE"""),9.625148818E9)</f>
        <v>9625148818</v>
      </c>
      <c r="D166" s="1">
        <f>IFERROR(__xludf.DUMMYFUNCTION("""COMPUTED_VALUE"""),1.0)</f>
        <v>1</v>
      </c>
      <c r="E166" s="3">
        <f>IFERROR(__xludf.DUMMYFUNCTION("""COMPUTED_VALUE"""),0.16666666666424135)</f>
        <v>0.1666666667</v>
      </c>
      <c r="F166" s="1" t="str">
        <f>IFERROR(__xludf.DUMMYFUNCTION("""COMPUTED_VALUE"""),"Antic ")</f>
        <v>Antic </v>
      </c>
      <c r="G166" s="1" t="str">
        <f>IFERROR(__xludf.DUMMYFUNCTION("""COMPUTED_VALUE"""),"Pooja")</f>
        <v>Pooja</v>
      </c>
      <c r="H166" s="1" t="str">
        <f>IFERROR(__xludf.DUMMYFUNCTION("""COMPUTED_VALUE"""),"Bracelet ")</f>
        <v>Bracelet </v>
      </c>
      <c r="I166" s="1"/>
      <c r="J166" s="1" t="str">
        <f>IFERROR(__xludf.DUMMYFUNCTION("""COMPUTED_VALUE"""),"No")</f>
        <v>No</v>
      </c>
      <c r="K166" s="3">
        <f>IFERROR(__xludf.DUMMYFUNCTION("""COMPUTED_VALUE"""),0.19791666666424135)</f>
        <v>0.1979166667</v>
      </c>
      <c r="L166" s="1" t="str">
        <f>IFERROR(__xludf.DUMMYFUNCTION("""COMPUTED_VALUE"""),"Yes")</f>
        <v>Yes</v>
      </c>
      <c r="M166" s="1" t="str">
        <f>IFERROR(__xludf.DUMMYFUNCTION("""COMPUTED_VALUE"""),"Already done ")</f>
        <v>Already done </v>
      </c>
      <c r="N166" s="1" t="str">
        <f>IFERROR(__xludf.DUMMYFUNCTION("""COMPUTED_VALUE"""),"Already done")</f>
        <v>Already done</v>
      </c>
      <c r="O166" s="1" t="str">
        <f>IFERROR(__xludf.DUMMYFUNCTION("""COMPUTED_VALUE"""),"WA ONLY")</f>
        <v>WA ONLY</v>
      </c>
      <c r="P166" s="1" t="str">
        <f>IFERROR(__xludf.DUMMYFUNCTION("""COMPUTED_VALUE"""),"Didi")</f>
        <v>Didi</v>
      </c>
      <c r="Q166" s="1"/>
      <c r="R166" s="1"/>
      <c r="S166" s="1"/>
    </row>
    <row r="167">
      <c r="A167" s="2">
        <f>IFERROR(__xludf.DUMMYFUNCTION("""COMPUTED_VALUE"""),45344.771636157406)</f>
        <v>45344.77164</v>
      </c>
      <c r="B167" s="1" t="str">
        <f>IFERROR(__xludf.DUMMYFUNCTION("""COMPUTED_VALUE"""),"Ajeet singh")</f>
        <v>Ajeet singh</v>
      </c>
      <c r="C167" s="1">
        <f>IFERROR(__xludf.DUMMYFUNCTION("""COMPUTED_VALUE"""),9.958481195E9)</f>
        <v>9958481195</v>
      </c>
      <c r="D167" s="1">
        <f>IFERROR(__xludf.DUMMYFUNCTION("""COMPUTED_VALUE"""),1.0)</f>
        <v>1</v>
      </c>
      <c r="E167" s="3">
        <f>IFERROR(__xludf.DUMMYFUNCTION("""COMPUTED_VALUE"""),0.20833333333575865)</f>
        <v>0.2083333333</v>
      </c>
      <c r="F167" s="1" t="str">
        <f>IFERROR(__xludf.DUMMYFUNCTION("""COMPUTED_VALUE"""),"Antic ")</f>
        <v>Antic </v>
      </c>
      <c r="G167" s="1" t="str">
        <f>IFERROR(__xludf.DUMMYFUNCTION("""COMPUTED_VALUE"""),"Pooja")</f>
        <v>Pooja</v>
      </c>
      <c r="H167" s="1"/>
      <c r="I167" s="1" t="str">
        <f>IFERROR(__xludf.DUMMYFUNCTION("""COMPUTED_VALUE"""),"Pic the order ")</f>
        <v>Pic the order </v>
      </c>
      <c r="J167" s="1" t="str">
        <f>IFERROR(__xludf.DUMMYFUNCTION("""COMPUTED_VALUE"""),"No")</f>
        <v>No</v>
      </c>
      <c r="K167" s="3">
        <f>IFERROR(__xludf.DUMMYFUNCTION("""COMPUTED_VALUE"""),0.22569444444525288)</f>
        <v>0.2256944444</v>
      </c>
      <c r="L167" s="1" t="str">
        <f>IFERROR(__xludf.DUMMYFUNCTION("""COMPUTED_VALUE"""),"Yes")</f>
        <v>Yes</v>
      </c>
      <c r="M167" s="1" t="str">
        <f>IFERROR(__xludf.DUMMYFUNCTION("""COMPUTED_VALUE"""),"Already done ")</f>
        <v>Already done </v>
      </c>
      <c r="N167" s="1" t="str">
        <f>IFERROR(__xludf.DUMMYFUNCTION("""COMPUTED_VALUE"""),"Already done")</f>
        <v>Already done</v>
      </c>
      <c r="O167" s="1" t="str">
        <f>IFERROR(__xludf.DUMMYFUNCTION("""COMPUTED_VALUE"""),"WA ONLY")</f>
        <v>WA ONLY</v>
      </c>
      <c r="P167" s="1" t="str">
        <f>IFERROR(__xludf.DUMMYFUNCTION("""COMPUTED_VALUE"""),"Sir, Madam")</f>
        <v>Sir, Madam</v>
      </c>
      <c r="Q167" s="1"/>
      <c r="R167" s="1"/>
      <c r="S167" s="1"/>
    </row>
    <row r="168">
      <c r="A168" s="2">
        <f>IFERROR(__xludf.DUMMYFUNCTION("""COMPUTED_VALUE"""),45344.77837195602)</f>
        <v>45344.77837</v>
      </c>
      <c r="B168" s="1" t="str">
        <f>IFERROR(__xludf.DUMMYFUNCTION("""COMPUTED_VALUE"""),"M.s creral")</f>
        <v>M.s creral</v>
      </c>
      <c r="C168" s="4">
        <f>IFERROR(__xludf.DUMMYFUNCTION("""COMPUTED_VALUE"""),9.211329973987E18)</f>
        <v>9.21133E+18</v>
      </c>
      <c r="D168" s="1">
        <f>IFERROR(__xludf.DUMMYFUNCTION("""COMPUTED_VALUE"""),1.0)</f>
        <v>1</v>
      </c>
      <c r="E168" s="3">
        <f>IFERROR(__xludf.DUMMYFUNCTION("""COMPUTED_VALUE"""),0.22916666666424135)</f>
        <v>0.2291666667</v>
      </c>
      <c r="F168" s="1" t="str">
        <f>IFERROR(__xludf.DUMMYFUNCTION("""COMPUTED_VALUE"""),"Antic")</f>
        <v>Antic</v>
      </c>
      <c r="G168" s="1" t="str">
        <f>IFERROR(__xludf.DUMMYFUNCTION("""COMPUTED_VALUE"""),"Chhaya")</f>
        <v>Chhaya</v>
      </c>
      <c r="H168" s="1"/>
      <c r="I168" s="1" t="str">
        <f>IFERROR(__xludf.DUMMYFUNCTION("""COMPUTED_VALUE"""),"Customer discuss the family and visit again")</f>
        <v>Customer discuss the family and visit again</v>
      </c>
      <c r="J168" s="1" t="str">
        <f>IFERROR(__xludf.DUMMYFUNCTION("""COMPUTED_VALUE"""),"No")</f>
        <v>No</v>
      </c>
      <c r="K168" s="3">
        <f>IFERROR(__xludf.DUMMYFUNCTION("""COMPUTED_VALUE"""),0.26041666666424135)</f>
        <v>0.2604166667</v>
      </c>
      <c r="L168" s="1" t="str">
        <f>IFERROR(__xludf.DUMMYFUNCTION("""COMPUTED_VALUE"""),"Yes")</f>
        <v>Yes</v>
      </c>
      <c r="M168" s="1" t="str">
        <f>IFERROR(__xludf.DUMMYFUNCTION("""COMPUTED_VALUE"""),"No")</f>
        <v>No</v>
      </c>
      <c r="N168" s="1" t="str">
        <f>IFERROR(__xludf.DUMMYFUNCTION("""COMPUTED_VALUE"""),"No")</f>
        <v>No</v>
      </c>
      <c r="O168" s="1" t="str">
        <f>IFERROR(__xludf.DUMMYFUNCTION("""COMPUTED_VALUE"""),"WA ONLY")</f>
        <v>WA ONLY</v>
      </c>
      <c r="P168" s="1" t="str">
        <f>IFERROR(__xludf.DUMMYFUNCTION("""COMPUTED_VALUE"""),"Sir")</f>
        <v>Sir</v>
      </c>
      <c r="Q168" s="1"/>
      <c r="R168" s="1"/>
      <c r="S168" s="1"/>
    </row>
    <row r="169">
      <c r="A169" s="2">
        <f>IFERROR(__xludf.DUMMYFUNCTION("""COMPUTED_VALUE"""),45344.77923717593)</f>
        <v>45344.77924</v>
      </c>
      <c r="B169" s="1" t="str">
        <f>IFERROR(__xludf.DUMMYFUNCTION("""COMPUTED_VALUE"""),"Bharti")</f>
        <v>Bharti</v>
      </c>
      <c r="C169" s="1">
        <f>IFERROR(__xludf.DUMMYFUNCTION("""COMPUTED_VALUE"""),9.873833656E9)</f>
        <v>9873833656</v>
      </c>
      <c r="D169" s="1">
        <f>IFERROR(__xludf.DUMMYFUNCTION("""COMPUTED_VALUE"""),1.0)</f>
        <v>1</v>
      </c>
      <c r="E169" s="3">
        <f>IFERROR(__xludf.DUMMYFUNCTION("""COMPUTED_VALUE"""),0.17708333333575865)</f>
        <v>0.1770833333</v>
      </c>
      <c r="F169" s="1" t="str">
        <f>IFERROR(__xludf.DUMMYFUNCTION("""COMPUTED_VALUE"""),"Gold")</f>
        <v>Gold</v>
      </c>
      <c r="G169" s="1" t="str">
        <f>IFERROR(__xludf.DUMMYFUNCTION("""COMPUTED_VALUE"""),"Sanjeer sir")</f>
        <v>Sanjeer sir</v>
      </c>
      <c r="H169" s="1"/>
      <c r="I169" s="1"/>
      <c r="J169" s="1" t="str">
        <f>IFERROR(__xludf.DUMMYFUNCTION("""COMPUTED_VALUE"""),"Kitty concern ")</f>
        <v>Kitty concern </v>
      </c>
      <c r="K169" s="3">
        <f>IFERROR(__xludf.DUMMYFUNCTION("""COMPUTED_VALUE"""),0.19097222221898846)</f>
        <v>0.1909722222</v>
      </c>
      <c r="L169" s="1" t="str">
        <f>IFERROR(__xludf.DUMMYFUNCTION("""COMPUTED_VALUE"""),"Yes")</f>
        <v>Yes</v>
      </c>
      <c r="M169" s="1" t="str">
        <f>IFERROR(__xludf.DUMMYFUNCTION("""COMPUTED_VALUE"""),"Already done")</f>
        <v>Already done</v>
      </c>
      <c r="N169" s="1" t="str">
        <f>IFERROR(__xludf.DUMMYFUNCTION("""COMPUTED_VALUE"""),"Already done")</f>
        <v>Already done</v>
      </c>
      <c r="O169" s="1" t="str">
        <f>IFERROR(__xludf.DUMMYFUNCTION("""COMPUTED_VALUE"""),"WA ONLY")</f>
        <v>WA ONLY</v>
      </c>
      <c r="P169" s="1" t="str">
        <f>IFERROR(__xludf.DUMMYFUNCTION("""COMPUTED_VALUE"""),"Madam")</f>
        <v>Madam</v>
      </c>
      <c r="Q169" s="1"/>
      <c r="R169" s="1"/>
      <c r="S169" s="1"/>
    </row>
    <row r="170">
      <c r="A170" s="2">
        <f>IFERROR(__xludf.DUMMYFUNCTION("""COMPUTED_VALUE"""),45344.82692958333)</f>
        <v>45344.82693</v>
      </c>
      <c r="B170" s="1" t="str">
        <f>IFERROR(__xludf.DUMMYFUNCTION("""COMPUTED_VALUE"""),"Sonam")</f>
        <v>Sonam</v>
      </c>
      <c r="C170" s="1">
        <f>IFERROR(__xludf.DUMMYFUNCTION("""COMPUTED_VALUE"""),9.654311323E9)</f>
        <v>9654311323</v>
      </c>
      <c r="D170" s="1">
        <f>IFERROR(__xludf.DUMMYFUNCTION("""COMPUTED_VALUE"""),3.0)</f>
        <v>3</v>
      </c>
      <c r="E170" s="3">
        <f>IFERROR(__xludf.DUMMYFUNCTION("""COMPUTED_VALUE"""),0.2743055555547471)</f>
        <v>0.2743055556</v>
      </c>
      <c r="F170" s="1" t="str">
        <f>IFERROR(__xludf.DUMMYFUNCTION("""COMPUTED_VALUE"""),"Diamond ")</f>
        <v>Diamond </v>
      </c>
      <c r="G170" s="1" t="str">
        <f>IFERROR(__xludf.DUMMYFUNCTION("""COMPUTED_VALUE"""),"Chhaya")</f>
        <v>Chhaya</v>
      </c>
      <c r="H170" s="1" t="str">
        <f>IFERROR(__xludf.DUMMYFUNCTION("""COMPUTED_VALUE"""),"Diamond breslet ")</f>
        <v>Diamond breslet </v>
      </c>
      <c r="I170" s="1"/>
      <c r="J170" s="1" t="str">
        <f>IFERROR(__xludf.DUMMYFUNCTION("""COMPUTED_VALUE"""),"No")</f>
        <v>No</v>
      </c>
      <c r="K170" s="3">
        <f>IFERROR(__xludf.DUMMYFUNCTION("""COMPUTED_VALUE"""),0.32777777777664596)</f>
        <v>0.3277777778</v>
      </c>
      <c r="L170" s="1" t="str">
        <f>IFERROR(__xludf.DUMMYFUNCTION("""COMPUTED_VALUE"""),"Yes")</f>
        <v>Yes</v>
      </c>
      <c r="M170" s="1" t="str">
        <f>IFERROR(__xludf.DUMMYFUNCTION("""COMPUTED_VALUE"""),"Yes")</f>
        <v>Yes</v>
      </c>
      <c r="N170" s="1" t="str">
        <f>IFERROR(__xludf.DUMMYFUNCTION("""COMPUTED_VALUE"""),"Yes")</f>
        <v>Yes</v>
      </c>
      <c r="O170" s="1" t="str">
        <f>IFERROR(__xludf.DUMMYFUNCTION("""COMPUTED_VALUE"""),"WA ONLY")</f>
        <v>WA ONLY</v>
      </c>
      <c r="P170" s="1" t="str">
        <f>IFERROR(__xludf.DUMMYFUNCTION("""COMPUTED_VALUE"""),"Sir, Madam")</f>
        <v>Sir, Madam</v>
      </c>
      <c r="Q170" s="1"/>
      <c r="R170" s="1"/>
      <c r="S170" s="1"/>
    </row>
    <row r="171">
      <c r="A171" s="2">
        <f>IFERROR(__xludf.DUMMYFUNCTION("""COMPUTED_VALUE"""),45345.78351789352)</f>
        <v>45345.78352</v>
      </c>
      <c r="B171" s="1" t="str">
        <f>IFERROR(__xludf.DUMMYFUNCTION("""COMPUTED_VALUE"""),"Shabir")</f>
        <v>Shabir</v>
      </c>
      <c r="C171" s="1">
        <f>IFERROR(__xludf.DUMMYFUNCTION("""COMPUTED_VALUE"""),9.419015579E9)</f>
        <v>9419015579</v>
      </c>
      <c r="D171" s="1">
        <f>IFERROR(__xludf.DUMMYFUNCTION("""COMPUTED_VALUE"""),1.0)</f>
        <v>1</v>
      </c>
      <c r="E171" s="3">
        <f>IFERROR(__xludf.DUMMYFUNCTION("""COMPUTED_VALUE"""),0.25)</f>
        <v>0.25</v>
      </c>
      <c r="F171" s="1" t="str">
        <f>IFERROR(__xludf.DUMMYFUNCTION("""COMPUTED_VALUE"""),"Gold")</f>
        <v>Gold</v>
      </c>
      <c r="G171" s="1" t="str">
        <f>IFERROR(__xludf.DUMMYFUNCTION("""COMPUTED_VALUE"""),"Bhumika")</f>
        <v>Bhumika</v>
      </c>
      <c r="H171" s="1"/>
      <c r="I171" s="1" t="str">
        <f>IFERROR(__xludf.DUMMYFUNCTION("""COMPUTED_VALUE"""),"Customer not satisfied with gold ring design ")</f>
        <v>Customer not satisfied with gold ring design </v>
      </c>
      <c r="J171" s="1" t="str">
        <f>IFERROR(__xludf.DUMMYFUNCTION("""COMPUTED_VALUE"""),"No")</f>
        <v>No</v>
      </c>
      <c r="K171" s="3">
        <f>IFERROR(__xludf.DUMMYFUNCTION("""COMPUTED_VALUE"""),0.25972222222480923)</f>
        <v>0.2597222222</v>
      </c>
      <c r="L171" s="1" t="str">
        <f>IFERROR(__xludf.DUMMYFUNCTION("""COMPUTED_VALUE"""),"Yes")</f>
        <v>Yes</v>
      </c>
      <c r="M171" s="1" t="str">
        <f>IFERROR(__xludf.DUMMYFUNCTION("""COMPUTED_VALUE"""),"No")</f>
        <v>No</v>
      </c>
      <c r="N171" s="1" t="str">
        <f>IFERROR(__xludf.DUMMYFUNCTION("""COMPUTED_VALUE"""),"No")</f>
        <v>No</v>
      </c>
      <c r="O171" s="1" t="str">
        <f>IFERROR(__xludf.DUMMYFUNCTION("""COMPUTED_VALUE"""),"WA ONLY")</f>
        <v>WA ONLY</v>
      </c>
      <c r="P171" s="1" t="str">
        <f>IFERROR(__xludf.DUMMYFUNCTION("""COMPUTED_VALUE"""),"Sir")</f>
        <v>Sir</v>
      </c>
      <c r="Q171" s="1"/>
      <c r="R171" s="1"/>
      <c r="S171" s="1"/>
    </row>
    <row r="172">
      <c r="A172" s="2">
        <f>IFERROR(__xludf.DUMMYFUNCTION("""COMPUTED_VALUE"""),45345.78529584491)</f>
        <v>45345.7853</v>
      </c>
      <c r="B172" s="1" t="str">
        <f>IFERROR(__xludf.DUMMYFUNCTION("""COMPUTED_VALUE"""),"Pooja")</f>
        <v>Pooja</v>
      </c>
      <c r="C172" s="1">
        <f>IFERROR(__xludf.DUMMYFUNCTION("""COMPUTED_VALUE"""),9.64107874E9)</f>
        <v>9641078740</v>
      </c>
      <c r="D172" s="1">
        <f>IFERROR(__xludf.DUMMYFUNCTION("""COMPUTED_VALUE"""),1.0)</f>
        <v>1</v>
      </c>
      <c r="E172" s="3">
        <f>IFERROR(__xludf.DUMMYFUNCTION("""COMPUTED_VALUE"""),0.2680555555562023)</f>
        <v>0.2680555556</v>
      </c>
      <c r="F172" s="1" t="str">
        <f>IFERROR(__xludf.DUMMYFUNCTION("""COMPUTED_VALUE"""),"Antic ")</f>
        <v>Antic </v>
      </c>
      <c r="G172" s="1" t="str">
        <f>IFERROR(__xludf.DUMMYFUNCTION("""COMPUTED_VALUE"""),"Pooja")</f>
        <v>Pooja</v>
      </c>
      <c r="H172" s="1"/>
      <c r="I172" s="1" t="str">
        <f>IFERROR(__xludf.DUMMYFUNCTION("""COMPUTED_VALUE"""),"Customer visit again ")</f>
        <v>Customer visit again </v>
      </c>
      <c r="J172" s="1" t="str">
        <f>IFERROR(__xludf.DUMMYFUNCTION("""COMPUTED_VALUE"""),"No")</f>
        <v>No</v>
      </c>
      <c r="K172" s="3">
        <f>IFERROR(__xludf.DUMMYFUNCTION("""COMPUTED_VALUE"""),0.273611111115315)</f>
        <v>0.2736111111</v>
      </c>
      <c r="L172" s="1" t="str">
        <f>IFERROR(__xludf.DUMMYFUNCTION("""COMPUTED_VALUE"""),"Yes")</f>
        <v>Yes</v>
      </c>
      <c r="M172" s="1" t="str">
        <f>IFERROR(__xludf.DUMMYFUNCTION("""COMPUTED_VALUE"""),"No")</f>
        <v>No</v>
      </c>
      <c r="N172" s="1" t="str">
        <f>IFERROR(__xludf.DUMMYFUNCTION("""COMPUTED_VALUE"""),"No")</f>
        <v>No</v>
      </c>
      <c r="O172" s="1" t="str">
        <f>IFERROR(__xludf.DUMMYFUNCTION("""COMPUTED_VALUE"""),"WA ONLY")</f>
        <v>WA ONLY</v>
      </c>
      <c r="P172" s="1" t="str">
        <f>IFERROR(__xludf.DUMMYFUNCTION("""COMPUTED_VALUE"""),"Sir, Madam")</f>
        <v>Sir, Madam</v>
      </c>
      <c r="Q172" s="1"/>
      <c r="R172" s="1"/>
      <c r="S172" s="1"/>
    </row>
    <row r="173">
      <c r="A173" s="2">
        <f>IFERROR(__xludf.DUMMYFUNCTION("""COMPUTED_VALUE"""),45345.81497450231)</f>
        <v>45345.81497</v>
      </c>
      <c r="B173" s="1" t="str">
        <f>IFERROR(__xludf.DUMMYFUNCTION("""COMPUTED_VALUE"""),"Sanjeev ")</f>
        <v>Sanjeev </v>
      </c>
      <c r="C173" s="1">
        <f>IFERROR(__xludf.DUMMYFUNCTION("""COMPUTED_VALUE"""),9.927643391E9)</f>
        <v>9927643391</v>
      </c>
      <c r="D173" s="1">
        <f>IFERROR(__xludf.DUMMYFUNCTION("""COMPUTED_VALUE"""),1.0)</f>
        <v>1</v>
      </c>
      <c r="E173" s="3">
        <f>IFERROR(__xludf.DUMMYFUNCTION("""COMPUTED_VALUE"""),0.2895833333313931)</f>
        <v>0.2895833333</v>
      </c>
      <c r="F173" s="1" t="str">
        <f>IFERROR(__xludf.DUMMYFUNCTION("""COMPUTED_VALUE"""),"Goldbh7m8ka")</f>
        <v>Goldbh7m8ka</v>
      </c>
      <c r="G173" s="1"/>
      <c r="H173" s="1"/>
      <c r="I173" s="1" t="str">
        <f>IFERROR(__xludf.DUMMYFUNCTION("""COMPUTED_VALUE"""),"Visit again ")</f>
        <v>Visit again </v>
      </c>
      <c r="J173" s="1" t="str">
        <f>IFERROR(__xludf.DUMMYFUNCTION("""COMPUTED_VALUE"""),"No")</f>
        <v>No</v>
      </c>
      <c r="K173" s="3">
        <f>IFERROR(__xludf.DUMMYFUNCTION("""COMPUTED_VALUE"""),0.30208333333575865)</f>
        <v>0.3020833333</v>
      </c>
      <c r="L173" s="1" t="str">
        <f>IFERROR(__xludf.DUMMYFUNCTION("""COMPUTED_VALUE"""),"Yes")</f>
        <v>Yes</v>
      </c>
      <c r="M173" s="1" t="str">
        <f>IFERROR(__xludf.DUMMYFUNCTION("""COMPUTED_VALUE"""),"No")</f>
        <v>No</v>
      </c>
      <c r="N173" s="1" t="str">
        <f>IFERROR(__xludf.DUMMYFUNCTION("""COMPUTED_VALUE"""),"No")</f>
        <v>No</v>
      </c>
      <c r="O173" s="1" t="str">
        <f>IFERROR(__xludf.DUMMYFUNCTION("""COMPUTED_VALUE"""),"WA ONLY")</f>
        <v>WA ONLY</v>
      </c>
      <c r="P173" s="1" t="str">
        <f>IFERROR(__xludf.DUMMYFUNCTION("""COMPUTED_VALUE"""),"Sir")</f>
        <v>Sir</v>
      </c>
      <c r="Q173" s="1"/>
      <c r="R173" s="1"/>
      <c r="S173" s="1"/>
    </row>
    <row r="174">
      <c r="A174" s="2">
        <f>IFERROR(__xludf.DUMMYFUNCTION("""COMPUTED_VALUE"""),45346.741676053236)</f>
        <v>45346.74168</v>
      </c>
      <c r="B174" s="1" t="str">
        <f>IFERROR(__xludf.DUMMYFUNCTION("""COMPUTED_VALUE"""),"Aditi")</f>
        <v>Aditi</v>
      </c>
      <c r="C174" s="1">
        <f>IFERROR(__xludf.DUMMYFUNCTION("""COMPUTED_VALUE"""),8.448763272E9)</f>
        <v>8448763272</v>
      </c>
      <c r="D174" s="1">
        <f>IFERROR(__xludf.DUMMYFUNCTION("""COMPUTED_VALUE"""),3.0)</f>
        <v>3</v>
      </c>
      <c r="E174" s="3">
        <f>IFERROR(__xludf.DUMMYFUNCTION("""COMPUTED_VALUE"""),0.5208333333357587)</f>
        <v>0.5208333333</v>
      </c>
      <c r="F174" s="1" t="str">
        <f>IFERROR(__xludf.DUMMYFUNCTION("""COMPUTED_VALUE"""),"Antic")</f>
        <v>Antic</v>
      </c>
      <c r="G174" s="1" t="str">
        <f>IFERROR(__xludf.DUMMYFUNCTION("""COMPUTED_VALUE"""),"Pooja,chhaya")</f>
        <v>Pooja,chhaya</v>
      </c>
      <c r="H174" s="1"/>
      <c r="I174" s="1" t="str">
        <f>IFERROR(__xludf.DUMMYFUNCTION("""COMPUTED_VALUE"""),"Customer discuss with family and visit again ")</f>
        <v>Customer discuss with family and visit again </v>
      </c>
      <c r="J174" s="1" t="str">
        <f>IFERROR(__xludf.DUMMYFUNCTION("""COMPUTED_VALUE"""),"No")</f>
        <v>No</v>
      </c>
      <c r="K174" s="3">
        <f>IFERROR(__xludf.DUMMYFUNCTION("""COMPUTED_VALUE"""),0.13194444444525288)</f>
        <v>0.1319444444</v>
      </c>
      <c r="L174" s="1" t="str">
        <f>IFERROR(__xludf.DUMMYFUNCTION("""COMPUTED_VALUE"""),"Yes")</f>
        <v>Yes</v>
      </c>
      <c r="M174" s="1" t="str">
        <f>IFERROR(__xludf.DUMMYFUNCTION("""COMPUTED_VALUE"""),"No")</f>
        <v>No</v>
      </c>
      <c r="N174" s="1" t="str">
        <f>IFERROR(__xludf.DUMMYFUNCTION("""COMPUTED_VALUE"""),"No")</f>
        <v>No</v>
      </c>
      <c r="O174" s="1" t="str">
        <f>IFERROR(__xludf.DUMMYFUNCTION("""COMPUTED_VALUE"""),"CELLS")</f>
        <v>CELLS</v>
      </c>
      <c r="P174" s="1" t="str">
        <f>IFERROR(__xludf.DUMMYFUNCTION("""COMPUTED_VALUE"""),"Sir, Madam")</f>
        <v>Sir, Madam</v>
      </c>
      <c r="Q174" s="1"/>
      <c r="R174" s="1"/>
      <c r="S174" s="1"/>
    </row>
    <row r="175">
      <c r="A175" s="2">
        <f>IFERROR(__xludf.DUMMYFUNCTION("""COMPUTED_VALUE"""),45346.74252630787)</f>
        <v>45346.74253</v>
      </c>
      <c r="B175" s="1" t="str">
        <f>IFERROR(__xludf.DUMMYFUNCTION("""COMPUTED_VALUE"""),"Saiyam")</f>
        <v>Saiyam</v>
      </c>
      <c r="C175" s="1">
        <f>IFERROR(__xludf.DUMMYFUNCTION("""COMPUTED_VALUE"""),8.01080601E8)</f>
        <v>801080601</v>
      </c>
      <c r="D175" s="1">
        <f>IFERROR(__xludf.DUMMYFUNCTION("""COMPUTED_VALUE"""),1.0)</f>
        <v>1</v>
      </c>
      <c r="E175" s="3">
        <f>IFERROR(__xludf.DUMMYFUNCTION("""COMPUTED_VALUE"""),0.5284722222204437)</f>
        <v>0.5284722222</v>
      </c>
      <c r="F175" s="1" t="str">
        <f>IFERROR(__xludf.DUMMYFUNCTION("""COMPUTED_VALUE"""),"Diamond ")</f>
        <v>Diamond </v>
      </c>
      <c r="G175" s="1" t="str">
        <f>IFERROR(__xludf.DUMMYFUNCTION("""COMPUTED_VALUE"""),"Bhumika")</f>
        <v>Bhumika</v>
      </c>
      <c r="H175" s="1" t="str">
        <f>IFERROR(__xludf.DUMMYFUNCTION("""COMPUTED_VALUE"""),"Diamond breslet ")</f>
        <v>Diamond breslet </v>
      </c>
      <c r="I175" s="1"/>
      <c r="J175" s="1" t="str">
        <f>IFERROR(__xludf.DUMMYFUNCTION("""COMPUTED_VALUE"""),"No")</f>
        <v>No</v>
      </c>
      <c r="K175" s="3">
        <f>IFERROR(__xludf.DUMMYFUNCTION("""COMPUTED_VALUE"""),0.07986111110949423)</f>
        <v>0.07986111111</v>
      </c>
      <c r="L175" s="1" t="str">
        <f>IFERROR(__xludf.DUMMYFUNCTION("""COMPUTED_VALUE"""),"Yes")</f>
        <v>Yes</v>
      </c>
      <c r="M175" s="1" t="str">
        <f>IFERROR(__xludf.DUMMYFUNCTION("""COMPUTED_VALUE"""),"Already done")</f>
        <v>Already done</v>
      </c>
      <c r="N175" s="1" t="str">
        <f>IFERROR(__xludf.DUMMYFUNCTION("""COMPUTED_VALUE"""),"Already done")</f>
        <v>Already done</v>
      </c>
      <c r="O175" s="1" t="str">
        <f>IFERROR(__xludf.DUMMYFUNCTION("""COMPUTED_VALUE"""),"WA ONLY")</f>
        <v>WA ONLY</v>
      </c>
      <c r="P175" s="1" t="str">
        <f>IFERROR(__xludf.DUMMYFUNCTION("""COMPUTED_VALUE"""),"Sir, Madam")</f>
        <v>Sir, Madam</v>
      </c>
      <c r="Q175" s="1"/>
      <c r="R175" s="1"/>
      <c r="S175" s="1"/>
    </row>
    <row r="176">
      <c r="A176" s="2">
        <f>IFERROR(__xludf.DUMMYFUNCTION("""COMPUTED_VALUE"""),45346.74326621528)</f>
        <v>45346.74327</v>
      </c>
      <c r="B176" s="1" t="str">
        <f>IFERROR(__xludf.DUMMYFUNCTION("""COMPUTED_VALUE"""),"Vishal")</f>
        <v>Vishal</v>
      </c>
      <c r="C176" s="1">
        <f>IFERROR(__xludf.DUMMYFUNCTION("""COMPUTED_VALUE"""),9.873652585E9)</f>
        <v>9873652585</v>
      </c>
      <c r="D176" s="1">
        <f>IFERROR(__xludf.DUMMYFUNCTION("""COMPUTED_VALUE"""),1.0)</f>
        <v>1</v>
      </c>
      <c r="E176" s="3">
        <f>IFERROR(__xludf.DUMMYFUNCTION("""COMPUTED_VALUE"""),0.055555555554747116)</f>
        <v>0.05555555555</v>
      </c>
      <c r="F176" s="1" t="str">
        <f>IFERROR(__xludf.DUMMYFUNCTION("""COMPUTED_VALUE"""),"Gold")</f>
        <v>Gold</v>
      </c>
      <c r="G176" s="1" t="str">
        <f>IFERROR(__xludf.DUMMYFUNCTION("""COMPUTED_VALUE"""),"Bhumika ")</f>
        <v>Bhumika </v>
      </c>
      <c r="H176" s="1"/>
      <c r="I176" s="1" t="str">
        <f>IFERROR(__xludf.DUMMYFUNCTION("""COMPUTED_VALUE"""),"Visit again ")</f>
        <v>Visit again </v>
      </c>
      <c r="J176" s="1" t="str">
        <f>IFERROR(__xludf.DUMMYFUNCTION("""COMPUTED_VALUE"""),"No")</f>
        <v>No</v>
      </c>
      <c r="K176" s="3">
        <f>IFERROR(__xludf.DUMMYFUNCTION("""COMPUTED_VALUE"""),0.05902777778101154)</f>
        <v>0.05902777778</v>
      </c>
      <c r="L176" s="1" t="str">
        <f>IFERROR(__xludf.DUMMYFUNCTION("""COMPUTED_VALUE"""),"Yes")</f>
        <v>Yes</v>
      </c>
      <c r="M176" s="1" t="str">
        <f>IFERROR(__xludf.DUMMYFUNCTION("""COMPUTED_VALUE"""),"No")</f>
        <v>No</v>
      </c>
      <c r="N176" s="1" t="str">
        <f>IFERROR(__xludf.DUMMYFUNCTION("""COMPUTED_VALUE"""),"No")</f>
        <v>No</v>
      </c>
      <c r="O176" s="1" t="str">
        <f>IFERROR(__xludf.DUMMYFUNCTION("""COMPUTED_VALUE"""),"WA ONLY")</f>
        <v>WA ONLY</v>
      </c>
      <c r="P176" s="1" t="str">
        <f>IFERROR(__xludf.DUMMYFUNCTION("""COMPUTED_VALUE"""),"Sir")</f>
        <v>Sir</v>
      </c>
      <c r="Q176" s="1"/>
      <c r="R176" s="1"/>
      <c r="S176" s="1"/>
    </row>
    <row r="177">
      <c r="A177" s="2">
        <f>IFERROR(__xludf.DUMMYFUNCTION("""COMPUTED_VALUE"""),45346.74408682871)</f>
        <v>45346.74409</v>
      </c>
      <c r="B177" s="1" t="str">
        <f>IFERROR(__xludf.DUMMYFUNCTION("""COMPUTED_VALUE"""),"Chhotu gupta")</f>
        <v>Chhotu gupta</v>
      </c>
      <c r="C177" s="1">
        <f>IFERROR(__xludf.DUMMYFUNCTION("""COMPUTED_VALUE"""),9.534107191E9)</f>
        <v>9534107191</v>
      </c>
      <c r="D177" s="1">
        <f>IFERROR(__xludf.DUMMYFUNCTION("""COMPUTED_VALUE"""),1.0)</f>
        <v>1</v>
      </c>
      <c r="E177" s="3">
        <f>IFERROR(__xludf.DUMMYFUNCTION("""COMPUTED_VALUE"""),0.16874999999708962)</f>
        <v>0.16875</v>
      </c>
      <c r="F177" s="1" t="str">
        <f>IFERROR(__xludf.DUMMYFUNCTION("""COMPUTED_VALUE"""),"Gold")</f>
        <v>Gold</v>
      </c>
      <c r="G177" s="1" t="str">
        <f>IFERROR(__xludf.DUMMYFUNCTION("""COMPUTED_VALUE"""),"Pooja")</f>
        <v>Pooja</v>
      </c>
      <c r="H177" s="1" t="str">
        <f>IFERROR(__xludf.DUMMYFUNCTION("""COMPUTED_VALUE"""),"Diamond nose pin")</f>
        <v>Diamond nose pin</v>
      </c>
      <c r="I177" s="1"/>
      <c r="J177" s="1" t="str">
        <f>IFERROR(__xludf.DUMMYFUNCTION("""COMPUTED_VALUE"""),"No")</f>
        <v>No</v>
      </c>
      <c r="K177" s="3">
        <f>IFERROR(__xludf.DUMMYFUNCTION("""COMPUTED_VALUE"""),0.19097222221898846)</f>
        <v>0.1909722222</v>
      </c>
      <c r="L177" s="1" t="str">
        <f>IFERROR(__xludf.DUMMYFUNCTION("""COMPUTED_VALUE"""),"Yes")</f>
        <v>Yes</v>
      </c>
      <c r="M177" s="1" t="str">
        <f>IFERROR(__xludf.DUMMYFUNCTION("""COMPUTED_VALUE"""),"Yes")</f>
        <v>Yes</v>
      </c>
      <c r="N177" s="1" t="str">
        <f>IFERROR(__xludf.DUMMYFUNCTION("""COMPUTED_VALUE"""),"Not use")</f>
        <v>Not use</v>
      </c>
      <c r="O177" s="1" t="str">
        <f>IFERROR(__xludf.DUMMYFUNCTION("""COMPUTED_VALUE"""),"WA ONLY")</f>
        <v>WA ONLY</v>
      </c>
      <c r="P177" s="1" t="str">
        <f>IFERROR(__xludf.DUMMYFUNCTION("""COMPUTED_VALUE"""),"Sir")</f>
        <v>Sir</v>
      </c>
      <c r="Q177" s="1"/>
      <c r="R177" s="1"/>
      <c r="S177" s="1"/>
    </row>
    <row r="178">
      <c r="A178" s="2">
        <f>IFERROR(__xludf.DUMMYFUNCTION("""COMPUTED_VALUE"""),45347.69487712963)</f>
        <v>45347.69488</v>
      </c>
      <c r="B178" s="1" t="str">
        <f>IFERROR(__xludf.DUMMYFUNCTION("""COMPUTED_VALUE"""),"Gsurav")</f>
        <v>Gsurav</v>
      </c>
      <c r="C178" s="1">
        <f>IFERROR(__xludf.DUMMYFUNCTION("""COMPUTED_VALUE"""),7.906897981E9)</f>
        <v>7906897981</v>
      </c>
      <c r="D178" s="1">
        <f>IFERROR(__xludf.DUMMYFUNCTION("""COMPUTED_VALUE"""),1.0)</f>
        <v>1</v>
      </c>
      <c r="E178" s="3">
        <f>IFERROR(__xludf.DUMMYFUNCTION("""COMPUTED_VALUE"""),0.5)</f>
        <v>0.5</v>
      </c>
      <c r="F178" s="1" t="str">
        <f>IFERROR(__xludf.DUMMYFUNCTION("""COMPUTED_VALUE"""),"Antic")</f>
        <v>Antic</v>
      </c>
      <c r="G178" s="1" t="str">
        <f>IFERROR(__xludf.DUMMYFUNCTION("""COMPUTED_VALUE"""),"Pooja")</f>
        <v>Pooja</v>
      </c>
      <c r="H178" s="1"/>
      <c r="I178" s="1" t="str">
        <f>IFERROR(__xludf.DUMMYFUNCTION("""COMPUTED_VALUE"""),"Customer visit again ")</f>
        <v>Customer visit again </v>
      </c>
      <c r="J178" s="1" t="str">
        <f>IFERROR(__xludf.DUMMYFUNCTION("""COMPUTED_VALUE"""),"No")</f>
        <v>No</v>
      </c>
      <c r="K178" s="3">
        <f>IFERROR(__xludf.DUMMYFUNCTION("""COMPUTED_VALUE"""),0.04513888889050577)</f>
        <v>0.04513888889</v>
      </c>
      <c r="L178" s="1" t="str">
        <f>IFERROR(__xludf.DUMMYFUNCTION("""COMPUTED_VALUE"""),"Yes")</f>
        <v>Yes</v>
      </c>
      <c r="M178" s="1" t="str">
        <f>IFERROR(__xludf.DUMMYFUNCTION("""COMPUTED_VALUE"""),"No")</f>
        <v>No</v>
      </c>
      <c r="N178" s="1" t="str">
        <f>IFERROR(__xludf.DUMMYFUNCTION("""COMPUTED_VALUE"""),"No")</f>
        <v>No</v>
      </c>
      <c r="O178" s="1" t="str">
        <f>IFERROR(__xludf.DUMMYFUNCTION("""COMPUTED_VALUE"""),"WA ONLY")</f>
        <v>WA ONLY</v>
      </c>
      <c r="P178" s="1" t="str">
        <f>IFERROR(__xludf.DUMMYFUNCTION("""COMPUTED_VALUE"""),"Sir")</f>
        <v>Sir</v>
      </c>
      <c r="Q178" s="1"/>
      <c r="R178" s="1"/>
      <c r="S178" s="1"/>
    </row>
    <row r="179">
      <c r="A179" s="2">
        <f>IFERROR(__xludf.DUMMYFUNCTION("""COMPUTED_VALUE"""),45347.69581469907)</f>
        <v>45347.69581</v>
      </c>
      <c r="B179" s="1" t="str">
        <f>IFERROR(__xludf.DUMMYFUNCTION("""COMPUTED_VALUE"""),"Preeti")</f>
        <v>Preeti</v>
      </c>
      <c r="C179" s="1">
        <f>IFERROR(__xludf.DUMMYFUNCTION("""COMPUTED_VALUE"""),9.81805745E9)</f>
        <v>9818057450</v>
      </c>
      <c r="D179" s="1">
        <f>IFERROR(__xludf.DUMMYFUNCTION("""COMPUTED_VALUE"""),1.0)</f>
        <v>1</v>
      </c>
      <c r="E179" s="3">
        <f>IFERROR(__xludf.DUMMYFUNCTION("""COMPUTED_VALUE"""),0.047916666662786156)</f>
        <v>0.04791666666</v>
      </c>
      <c r="F179" s="1" t="str">
        <f>IFERROR(__xludf.DUMMYFUNCTION("""COMPUTED_VALUE"""),"Gold")</f>
        <v>Gold</v>
      </c>
      <c r="G179" s="1" t="str">
        <f>IFERROR(__xludf.DUMMYFUNCTION("""COMPUTED_VALUE"""),"Bhumika")</f>
        <v>Bhumika</v>
      </c>
      <c r="H179" s="1"/>
      <c r="I179" s="1" t="str">
        <f>IFERROR(__xludf.DUMMYFUNCTION("""COMPUTED_VALUE"""),"Customer not satisfied with design ")</f>
        <v>Customer not satisfied with design </v>
      </c>
      <c r="J179" s="1" t="str">
        <f>IFERROR(__xludf.DUMMYFUNCTION("""COMPUTED_VALUE"""),"No")</f>
        <v>No</v>
      </c>
      <c r="K179" s="3">
        <f>IFERROR(__xludf.DUMMYFUNCTION("""COMPUTED_VALUE"""),0.053472222221898846)</f>
        <v>0.05347222222</v>
      </c>
      <c r="L179" s="1" t="str">
        <f>IFERROR(__xludf.DUMMYFUNCTION("""COMPUTED_VALUE"""),"Yes")</f>
        <v>Yes</v>
      </c>
      <c r="M179" s="1" t="str">
        <f>IFERROR(__xludf.DUMMYFUNCTION("""COMPUTED_VALUE"""),"No")</f>
        <v>No</v>
      </c>
      <c r="N179" s="1" t="str">
        <f>IFERROR(__xludf.DUMMYFUNCTION("""COMPUTED_VALUE"""),"No")</f>
        <v>No</v>
      </c>
      <c r="O179" s="1" t="str">
        <f>IFERROR(__xludf.DUMMYFUNCTION("""COMPUTED_VALUE"""),"WA ONLY")</f>
        <v>WA ONLY</v>
      </c>
      <c r="P179" s="1" t="str">
        <f>IFERROR(__xludf.DUMMYFUNCTION("""COMPUTED_VALUE"""),"Madam")</f>
        <v>Madam</v>
      </c>
      <c r="Q179" s="1"/>
      <c r="R179" s="1"/>
      <c r="S179" s="1"/>
    </row>
    <row r="180">
      <c r="A180" s="2">
        <f>IFERROR(__xludf.DUMMYFUNCTION("""COMPUTED_VALUE"""),45347.6968059375)</f>
        <v>45347.69681</v>
      </c>
      <c r="B180" s="1" t="str">
        <f>IFERROR(__xludf.DUMMYFUNCTION("""COMPUTED_VALUE"""),"Vandita")</f>
        <v>Vandita</v>
      </c>
      <c r="C180" s="1">
        <f>IFERROR(__xludf.DUMMYFUNCTION("""COMPUTED_VALUE"""),7.838194917E9)</f>
        <v>7838194917</v>
      </c>
      <c r="D180" s="1">
        <f>IFERROR(__xludf.DUMMYFUNCTION("""COMPUTED_VALUE"""),1.0)</f>
        <v>1</v>
      </c>
      <c r="E180" s="3">
        <f>IFERROR(__xludf.DUMMYFUNCTION("""COMPUTED_VALUE"""),0.070138888884685)</f>
        <v>0.07013888888</v>
      </c>
      <c r="F180" s="1" t="str">
        <f>IFERROR(__xludf.DUMMYFUNCTION("""COMPUTED_VALUE"""),"Diamond ")</f>
        <v>Diamond </v>
      </c>
      <c r="G180" s="1" t="str">
        <f>IFERROR(__xludf.DUMMYFUNCTION("""COMPUTED_VALUE"""),"Bhumika")</f>
        <v>Bhumika</v>
      </c>
      <c r="H180" s="1"/>
      <c r="I180" s="1" t="str">
        <f>IFERROR(__xludf.DUMMYFUNCTION("""COMPUTED_VALUE"""),"Customer visit again ")</f>
        <v>Customer visit again </v>
      </c>
      <c r="J180" s="1" t="str">
        <f>IFERROR(__xludf.DUMMYFUNCTION("""COMPUTED_VALUE"""),"No")</f>
        <v>No</v>
      </c>
      <c r="K180" s="3">
        <f>IFERROR(__xludf.DUMMYFUNCTION("""COMPUTED_VALUE"""),0.09444444444670808)</f>
        <v>0.09444444445</v>
      </c>
      <c r="L180" s="1" t="str">
        <f>IFERROR(__xludf.DUMMYFUNCTION("""COMPUTED_VALUE"""),"Yes")</f>
        <v>Yes</v>
      </c>
      <c r="M180" s="1" t="str">
        <f>IFERROR(__xludf.DUMMYFUNCTION("""COMPUTED_VALUE"""),"No")</f>
        <v>No</v>
      </c>
      <c r="N180" s="1" t="str">
        <f>IFERROR(__xludf.DUMMYFUNCTION("""COMPUTED_VALUE"""),"No")</f>
        <v>No</v>
      </c>
      <c r="O180" s="1" t="str">
        <f>IFERROR(__xludf.DUMMYFUNCTION("""COMPUTED_VALUE"""),"WA ONLY")</f>
        <v>WA ONLY</v>
      </c>
      <c r="P180" s="1" t="str">
        <f>IFERROR(__xludf.DUMMYFUNCTION("""COMPUTED_VALUE"""),"Madam")</f>
        <v>Madam</v>
      </c>
      <c r="Q180" s="1"/>
      <c r="R180" s="1"/>
      <c r="S180" s="1"/>
    </row>
    <row r="181">
      <c r="A181" s="2">
        <f>IFERROR(__xludf.DUMMYFUNCTION("""COMPUTED_VALUE"""),45347.70614394676)</f>
        <v>45347.70614</v>
      </c>
      <c r="B181" s="1" t="str">
        <f>IFERROR(__xludf.DUMMYFUNCTION("""COMPUTED_VALUE"""),"Kamla devi")</f>
        <v>Kamla devi</v>
      </c>
      <c r="C181" s="1">
        <f>IFERROR(__xludf.DUMMYFUNCTION("""COMPUTED_VALUE"""),8.800315834E9)</f>
        <v>8800315834</v>
      </c>
      <c r="D181" s="1">
        <f>IFERROR(__xludf.DUMMYFUNCTION("""COMPUTED_VALUE"""),1.0)</f>
        <v>1</v>
      </c>
      <c r="E181" s="3">
        <f>IFERROR(__xludf.DUMMYFUNCTION("""COMPUTED_VALUE"""),0.07638888889050577)</f>
        <v>0.07638888889</v>
      </c>
      <c r="F181" s="1" t="str">
        <f>IFERROR(__xludf.DUMMYFUNCTION("""COMPUTED_VALUE"""),"Antic")</f>
        <v>Antic</v>
      </c>
      <c r="G181" s="1" t="str">
        <f>IFERROR(__xludf.DUMMYFUNCTION("""COMPUTED_VALUE"""),"Pooja")</f>
        <v>Pooja</v>
      </c>
      <c r="H181" s="1"/>
      <c r="I181" s="1" t="str">
        <f>IFERROR(__xludf.DUMMYFUNCTION("""COMPUTED_VALUE"""),"Customer buy mnpc coin not satisfied with design ")</f>
        <v>Customer buy mnpc coin not satisfied with design </v>
      </c>
      <c r="J181" s="1" t="str">
        <f>IFERROR(__xludf.DUMMYFUNCTION("""COMPUTED_VALUE"""),"No")</f>
        <v>No</v>
      </c>
      <c r="K181" s="3">
        <f>IFERROR(__xludf.DUMMYFUNCTION("""COMPUTED_VALUE"""),0.08750000000145519)</f>
        <v>0.0875</v>
      </c>
      <c r="L181" s="1" t="str">
        <f>IFERROR(__xludf.DUMMYFUNCTION("""COMPUTED_VALUE"""),"Yes")</f>
        <v>Yes</v>
      </c>
      <c r="M181" s="1" t="str">
        <f>IFERROR(__xludf.DUMMYFUNCTION("""COMPUTED_VALUE"""),"No")</f>
        <v>No</v>
      </c>
      <c r="N181" s="1" t="str">
        <f>IFERROR(__xludf.DUMMYFUNCTION("""COMPUTED_VALUE"""),"No")</f>
        <v>No</v>
      </c>
      <c r="O181" s="1" t="str">
        <f>IFERROR(__xludf.DUMMYFUNCTION("""COMPUTED_VALUE"""),"WA ONLY")</f>
        <v>WA ONLY</v>
      </c>
      <c r="P181" s="1" t="str">
        <f>IFERROR(__xludf.DUMMYFUNCTION("""COMPUTED_VALUE"""),"Madam")</f>
        <v>Madam</v>
      </c>
      <c r="Q181" s="1"/>
      <c r="R181" s="1"/>
      <c r="S181" s="1"/>
    </row>
    <row r="182">
      <c r="A182" s="2">
        <f>IFERROR(__xludf.DUMMYFUNCTION("""COMPUTED_VALUE"""),45347.70829052084)</f>
        <v>45347.70829</v>
      </c>
      <c r="B182" s="1" t="str">
        <f>IFERROR(__xludf.DUMMYFUNCTION("""COMPUTED_VALUE"""),"Nansi")</f>
        <v>Nansi</v>
      </c>
      <c r="C182" s="1">
        <f>IFERROR(__xludf.DUMMYFUNCTION("""COMPUTED_VALUE"""),9.625811996E9)</f>
        <v>9625811996</v>
      </c>
      <c r="D182" s="1">
        <f>IFERROR(__xludf.DUMMYFUNCTION("""COMPUTED_VALUE"""),1.0)</f>
        <v>1</v>
      </c>
      <c r="E182" s="3">
        <f>IFERROR(__xludf.DUMMYFUNCTION("""COMPUTED_VALUE"""),0.12430555555329192)</f>
        <v>0.1243055556</v>
      </c>
      <c r="F182" s="1" t="str">
        <f>IFERROR(__xludf.DUMMYFUNCTION("""COMPUTED_VALUE"""),"Gold")</f>
        <v>Gold</v>
      </c>
      <c r="G182" s="1" t="str">
        <f>IFERROR(__xludf.DUMMYFUNCTION("""COMPUTED_VALUE"""),"Bhumika")</f>
        <v>Bhumika</v>
      </c>
      <c r="H182" s="1"/>
      <c r="I182" s="1" t="str">
        <f>IFERROR(__xludf.DUMMYFUNCTION("""COMPUTED_VALUE"""),"Customer visit msrch")</f>
        <v>Customer visit msrch</v>
      </c>
      <c r="J182" s="1" t="str">
        <f>IFERROR(__xludf.DUMMYFUNCTION("""COMPUTED_VALUE"""),"No")</f>
        <v>No</v>
      </c>
      <c r="K182" s="3">
        <f>IFERROR(__xludf.DUMMYFUNCTION("""COMPUTED_VALUE"""),0.13402777777810115)</f>
        <v>0.1340277778</v>
      </c>
      <c r="L182" s="1" t="str">
        <f>IFERROR(__xludf.DUMMYFUNCTION("""COMPUTED_VALUE"""),"Yes")</f>
        <v>Yes</v>
      </c>
      <c r="M182" s="1" t="str">
        <f>IFERROR(__xludf.DUMMYFUNCTION("""COMPUTED_VALUE"""),"No")</f>
        <v>No</v>
      </c>
      <c r="N182" s="1" t="str">
        <f>IFERROR(__xludf.DUMMYFUNCTION("""COMPUTED_VALUE"""),"No")</f>
        <v>No</v>
      </c>
      <c r="O182" s="1" t="str">
        <f>IFERROR(__xludf.DUMMYFUNCTION("""COMPUTED_VALUE"""),"WA ONLY")</f>
        <v>WA ONLY</v>
      </c>
      <c r="P182" s="1" t="str">
        <f>IFERROR(__xludf.DUMMYFUNCTION("""COMPUTED_VALUE"""),"Madam")</f>
        <v>Madam</v>
      </c>
      <c r="Q182" s="1"/>
      <c r="R182" s="1"/>
      <c r="S182" s="1"/>
    </row>
    <row r="183">
      <c r="A183" s="2">
        <f>IFERROR(__xludf.DUMMYFUNCTION("""COMPUTED_VALUE"""),45347.71113085648)</f>
        <v>45347.71113</v>
      </c>
      <c r="B183" s="1" t="str">
        <f>IFERROR(__xludf.DUMMYFUNCTION("""COMPUTED_VALUE"""),"Gaurav ")</f>
        <v>Gaurav </v>
      </c>
      <c r="C183" s="1">
        <f>IFERROR(__xludf.DUMMYFUNCTION("""COMPUTED_VALUE"""),7.906897981E9)</f>
        <v>7906897981</v>
      </c>
      <c r="D183" s="1">
        <f>IFERROR(__xludf.DUMMYFUNCTION("""COMPUTED_VALUE"""),1.0)</f>
        <v>1</v>
      </c>
      <c r="E183" s="3">
        <f>IFERROR(__xludf.DUMMYFUNCTION("""COMPUTED_VALUE"""),0.125)</f>
        <v>0.125</v>
      </c>
      <c r="F183" s="1" t="str">
        <f>IFERROR(__xludf.DUMMYFUNCTION("""COMPUTED_VALUE"""),"Antic")</f>
        <v>Antic</v>
      </c>
      <c r="G183" s="1" t="str">
        <f>IFERROR(__xludf.DUMMYFUNCTION("""COMPUTED_VALUE"""),"Pooja")</f>
        <v>Pooja</v>
      </c>
      <c r="H183" s="1" t="str">
        <f>IFERROR(__xludf.DUMMYFUNCTION("""COMPUTED_VALUE"""),"Antic gold set order ")</f>
        <v>Antic gold set order </v>
      </c>
      <c r="I183" s="1"/>
      <c r="J183" s="1" t="str">
        <f>IFERROR(__xludf.DUMMYFUNCTION("""COMPUTED_VALUE"""),"No")</f>
        <v>No</v>
      </c>
      <c r="K183" s="3">
        <f>IFERROR(__xludf.DUMMYFUNCTION("""COMPUTED_VALUE"""),0.19583333333139308)</f>
        <v>0.1958333333</v>
      </c>
      <c r="L183" s="1" t="str">
        <f>IFERROR(__xludf.DUMMYFUNCTION("""COMPUTED_VALUE"""),"Yes")</f>
        <v>Yes</v>
      </c>
      <c r="M183" s="1" t="str">
        <f>IFERROR(__xludf.DUMMYFUNCTION("""COMPUTED_VALUE"""),"Yes")</f>
        <v>Yes</v>
      </c>
      <c r="N183" s="1" t="str">
        <f>IFERROR(__xludf.DUMMYFUNCTION("""COMPUTED_VALUE"""),"Yes")</f>
        <v>Yes</v>
      </c>
      <c r="O183" s="1" t="str">
        <f>IFERROR(__xludf.DUMMYFUNCTION("""COMPUTED_VALUE"""),"WA ONLY")</f>
        <v>WA ONLY</v>
      </c>
      <c r="P183" s="1" t="str">
        <f>IFERROR(__xludf.DUMMYFUNCTION("""COMPUTED_VALUE"""),"Sir, Madam")</f>
        <v>Sir, Madam</v>
      </c>
      <c r="Q183" s="1"/>
      <c r="R183" s="1"/>
      <c r="S183" s="1"/>
    </row>
    <row r="184">
      <c r="A184" s="2">
        <f>IFERROR(__xludf.DUMMYFUNCTION("""COMPUTED_VALUE"""),45347.711921423615)</f>
        <v>45347.71192</v>
      </c>
      <c r="B184" s="1" t="str">
        <f>IFERROR(__xludf.DUMMYFUNCTION("""COMPUTED_VALUE"""),"Manoj")</f>
        <v>Manoj</v>
      </c>
      <c r="C184" s="1">
        <f>IFERROR(__xludf.DUMMYFUNCTION("""COMPUTED_VALUE"""),9.212157824E9)</f>
        <v>9212157824</v>
      </c>
      <c r="D184" s="1">
        <f>IFERROR(__xludf.DUMMYFUNCTION("""COMPUTED_VALUE"""),2.0)</f>
        <v>2</v>
      </c>
      <c r="E184" s="3">
        <f>IFERROR(__xludf.DUMMYFUNCTION("""COMPUTED_VALUE"""),0.12847222221898846)</f>
        <v>0.1284722222</v>
      </c>
      <c r="F184" s="1" t="str">
        <f>IFERROR(__xludf.DUMMYFUNCTION("""COMPUTED_VALUE"""),"Gold")</f>
        <v>Gold</v>
      </c>
      <c r="G184" s="1" t="str">
        <f>IFERROR(__xludf.DUMMYFUNCTION("""COMPUTED_VALUE"""),"Bhumika")</f>
        <v>Bhumika</v>
      </c>
      <c r="H184" s="1" t="str">
        <f>IFERROR(__xludf.DUMMYFUNCTION("""COMPUTED_VALUE"""),"Gold chain order")</f>
        <v>Gold chain order</v>
      </c>
      <c r="I184" s="1"/>
      <c r="J184" s="1" t="str">
        <f>IFERROR(__xludf.DUMMYFUNCTION("""COMPUTED_VALUE"""),"Yes")</f>
        <v>Yes</v>
      </c>
      <c r="K184" s="3">
        <f>IFERROR(__xludf.DUMMYFUNCTION("""COMPUTED_VALUE"""),0.19444444444525288)</f>
        <v>0.1944444444</v>
      </c>
      <c r="L184" s="1" t="str">
        <f>IFERROR(__xludf.DUMMYFUNCTION("""COMPUTED_VALUE"""),"Yes")</f>
        <v>Yes</v>
      </c>
      <c r="M184" s="1" t="str">
        <f>IFERROR(__xludf.DUMMYFUNCTION("""COMPUTED_VALUE"""),"Already done")</f>
        <v>Already done</v>
      </c>
      <c r="N184" s="1" t="str">
        <f>IFERROR(__xludf.DUMMYFUNCTION("""COMPUTED_VALUE"""),"Already done")</f>
        <v>Already done</v>
      </c>
      <c r="O184" s="1" t="str">
        <f>IFERROR(__xludf.DUMMYFUNCTION("""COMPUTED_VALUE"""),"WA ONLY")</f>
        <v>WA ONLY</v>
      </c>
      <c r="P184" s="1" t="str">
        <f>IFERROR(__xludf.DUMMYFUNCTION("""COMPUTED_VALUE"""),"Sir, Madam")</f>
        <v>Sir, Madam</v>
      </c>
      <c r="Q184" s="1"/>
      <c r="R184" s="1"/>
      <c r="S184" s="1"/>
    </row>
    <row r="185">
      <c r="A185" s="2">
        <f>IFERROR(__xludf.DUMMYFUNCTION("""COMPUTED_VALUE"""),45350.76420060185)</f>
        <v>45350.7642</v>
      </c>
      <c r="B185" s="1" t="str">
        <f>IFERROR(__xludf.DUMMYFUNCTION("""COMPUTED_VALUE"""),"Nitin")</f>
        <v>Nitin</v>
      </c>
      <c r="C185" s="1"/>
      <c r="D185" s="1">
        <f>IFERROR(__xludf.DUMMYFUNCTION("""COMPUTED_VALUE"""),1.0)</f>
        <v>1</v>
      </c>
      <c r="E185" s="3">
        <f>IFERROR(__xludf.DUMMYFUNCTION("""COMPUTED_VALUE"""),0.07291666666424135)</f>
        <v>0.07291666666</v>
      </c>
      <c r="F185" s="1" t="str">
        <f>IFERROR(__xludf.DUMMYFUNCTION("""COMPUTED_VALUE"""),"Diamond ")</f>
        <v>Diamond </v>
      </c>
      <c r="G185" s="1" t="str">
        <f>IFERROR(__xludf.DUMMYFUNCTION("""COMPUTED_VALUE"""),"Chhaya")</f>
        <v>Chhaya</v>
      </c>
      <c r="H185" s="1" t="str">
        <f>IFERROR(__xludf.DUMMYFUNCTION("""COMPUTED_VALUE"""),"Pic the order ")</f>
        <v>Pic the order </v>
      </c>
      <c r="I185" s="1"/>
      <c r="J185" s="1" t="str">
        <f>IFERROR(__xludf.DUMMYFUNCTION("""COMPUTED_VALUE"""),"No")</f>
        <v>No</v>
      </c>
      <c r="K185" s="3">
        <f>IFERROR(__xludf.DUMMYFUNCTION("""COMPUTED_VALUE"""),0.09930555555911269)</f>
        <v>0.09930555556</v>
      </c>
      <c r="L185" s="1" t="str">
        <f>IFERROR(__xludf.DUMMYFUNCTION("""COMPUTED_VALUE"""),"Yes")</f>
        <v>Yes</v>
      </c>
      <c r="M185" s="1" t="str">
        <f>IFERROR(__xludf.DUMMYFUNCTION("""COMPUTED_VALUE"""),"Already done")</f>
        <v>Already done</v>
      </c>
      <c r="N185" s="1" t="str">
        <f>IFERROR(__xludf.DUMMYFUNCTION("""COMPUTED_VALUE"""),"Already done")</f>
        <v>Already done</v>
      </c>
      <c r="O185" s="1" t="str">
        <f>IFERROR(__xludf.DUMMYFUNCTION("""COMPUTED_VALUE"""),"WA ONLY")</f>
        <v>WA ONLY</v>
      </c>
      <c r="P185" s="1" t="str">
        <f>IFERROR(__xludf.DUMMYFUNCTION("""COMPUTED_VALUE"""),"Sir")</f>
        <v>Sir</v>
      </c>
      <c r="Q185" s="1"/>
      <c r="R185" s="1"/>
      <c r="S185" s="1"/>
    </row>
    <row r="186">
      <c r="A186" s="2">
        <f>IFERROR(__xludf.DUMMYFUNCTION("""COMPUTED_VALUE"""),45350.765930856476)</f>
        <v>45350.76593</v>
      </c>
      <c r="B186" s="1" t="str">
        <f>IFERROR(__xludf.DUMMYFUNCTION("""COMPUTED_VALUE"""),"Anil kumar")</f>
        <v>Anil kumar</v>
      </c>
      <c r="C186" s="1">
        <f>IFERROR(__xludf.DUMMYFUNCTION("""COMPUTED_VALUE"""),8.923711703E9)</f>
        <v>8923711703</v>
      </c>
      <c r="D186" s="1">
        <f>IFERROR(__xludf.DUMMYFUNCTION("""COMPUTED_VALUE"""),2.0)</f>
        <v>2</v>
      </c>
      <c r="E186" s="3">
        <f>IFERROR(__xludf.DUMMYFUNCTION("""COMPUTED_VALUE"""),0.11805555555474712)</f>
        <v>0.1180555556</v>
      </c>
      <c r="F186" s="1" t="str">
        <f>IFERROR(__xludf.DUMMYFUNCTION("""COMPUTED_VALUE"""),"Diamond ")</f>
        <v>Diamond </v>
      </c>
      <c r="G186" s="1" t="str">
        <f>IFERROR(__xludf.DUMMYFUNCTION("""COMPUTED_VALUE"""),"Bhumika")</f>
        <v>Bhumika</v>
      </c>
      <c r="H186" s="1"/>
      <c r="I186" s="1" t="str">
        <f>IFERROR(__xludf.DUMMYFUNCTION("""COMPUTED_VALUE"""),"Customer discuss with family and visit again ")</f>
        <v>Customer discuss with family and visit again </v>
      </c>
      <c r="J186" s="1" t="str">
        <f>IFERROR(__xludf.DUMMYFUNCTION("""COMPUTED_VALUE"""),"No")</f>
        <v>No</v>
      </c>
      <c r="K186" s="3">
        <f>IFERROR(__xludf.DUMMYFUNCTION("""COMPUTED_VALUE"""),0.13194444444525288)</f>
        <v>0.1319444444</v>
      </c>
      <c r="L186" s="1" t="str">
        <f>IFERROR(__xludf.DUMMYFUNCTION("""COMPUTED_VALUE"""),"No")</f>
        <v>No</v>
      </c>
      <c r="M186" s="1" t="str">
        <f>IFERROR(__xludf.DUMMYFUNCTION("""COMPUTED_VALUE"""),"No")</f>
        <v>No</v>
      </c>
      <c r="N186" s="1" t="str">
        <f>IFERROR(__xludf.DUMMYFUNCTION("""COMPUTED_VALUE"""),"No")</f>
        <v>No</v>
      </c>
      <c r="O186" s="1" t="str">
        <f>IFERROR(__xludf.DUMMYFUNCTION("""COMPUTED_VALUE"""),"WA ONLY")</f>
        <v>WA ONLY</v>
      </c>
      <c r="P186" s="1" t="str">
        <f>IFERROR(__xludf.DUMMYFUNCTION("""COMPUTED_VALUE"""),"Sir")</f>
        <v>Sir</v>
      </c>
      <c r="Q186" s="1"/>
      <c r="R186" s="1"/>
      <c r="S186" s="1"/>
    </row>
    <row r="187">
      <c r="A187" s="2">
        <f>IFERROR(__xludf.DUMMYFUNCTION("""COMPUTED_VALUE"""),45350.771046319445)</f>
        <v>45350.77105</v>
      </c>
      <c r="B187" s="1" t="str">
        <f>IFERROR(__xludf.DUMMYFUNCTION("""COMPUTED_VALUE"""),"Sudeep")</f>
        <v>Sudeep</v>
      </c>
      <c r="C187" s="1">
        <f>IFERROR(__xludf.DUMMYFUNCTION("""COMPUTED_VALUE"""),9.813566322E9)</f>
        <v>9813566322</v>
      </c>
      <c r="D187" s="1">
        <f>IFERROR(__xludf.DUMMYFUNCTION("""COMPUTED_VALUE"""),1.0)</f>
        <v>1</v>
      </c>
      <c r="E187" s="3">
        <f>IFERROR(__xludf.DUMMYFUNCTION("""COMPUTED_VALUE"""),0.538888888884685)</f>
        <v>0.5388888889</v>
      </c>
      <c r="F187" s="1" t="str">
        <f>IFERROR(__xludf.DUMMYFUNCTION("""COMPUTED_VALUE"""),"Antic")</f>
        <v>Antic</v>
      </c>
      <c r="G187" s="1" t="str">
        <f>IFERROR(__xludf.DUMMYFUNCTION("""COMPUTED_VALUE"""),"Chhaya")</f>
        <v>Chhaya</v>
      </c>
      <c r="H187" s="1"/>
      <c r="I187" s="1" t="str">
        <f>IFERROR(__xludf.DUMMYFUNCTION("""COMPUTED_VALUE"""),"Customer discuss with family and visit again ")</f>
        <v>Customer discuss with family and visit again </v>
      </c>
      <c r="J187" s="1" t="str">
        <f>IFERROR(__xludf.DUMMYFUNCTION("""COMPUTED_VALUE"""),"No")</f>
        <v>No</v>
      </c>
      <c r="K187" s="3">
        <f>IFERROR(__xludf.DUMMYFUNCTION("""COMPUTED_VALUE"""),0.06805555555911269)</f>
        <v>0.06805555556</v>
      </c>
      <c r="L187" s="1" t="str">
        <f>IFERROR(__xludf.DUMMYFUNCTION("""COMPUTED_VALUE"""),"Yes")</f>
        <v>Yes</v>
      </c>
      <c r="M187" s="1" t="str">
        <f>IFERROR(__xludf.DUMMYFUNCTION("""COMPUTED_VALUE"""),"No")</f>
        <v>No</v>
      </c>
      <c r="N187" s="1" t="str">
        <f>IFERROR(__xludf.DUMMYFUNCTION("""COMPUTED_VALUE"""),"No")</f>
        <v>No</v>
      </c>
      <c r="O187" s="1" t="str">
        <f>IFERROR(__xludf.DUMMYFUNCTION("""COMPUTED_VALUE"""),"WA ONLY")</f>
        <v>WA ONLY</v>
      </c>
      <c r="P187" s="1" t="str">
        <f>IFERROR(__xludf.DUMMYFUNCTION("""COMPUTED_VALUE"""),"Sir")</f>
        <v>Sir</v>
      </c>
      <c r="Q187" s="1"/>
      <c r="R187" s="1"/>
      <c r="S187" s="1"/>
    </row>
    <row r="188">
      <c r="A188" s="2">
        <f>IFERROR(__xludf.DUMMYFUNCTION("""COMPUTED_VALUE"""),45350.77243262732)</f>
        <v>45350.77243</v>
      </c>
      <c r="B188" s="1" t="str">
        <f>IFERROR(__xludf.DUMMYFUNCTION("""COMPUTED_VALUE"""),"Rinkal")</f>
        <v>Rinkal</v>
      </c>
      <c r="C188" s="1">
        <f>IFERROR(__xludf.DUMMYFUNCTION("""COMPUTED_VALUE"""),8.586968902E9)</f>
        <v>8586968902</v>
      </c>
      <c r="D188" s="1">
        <f>IFERROR(__xludf.DUMMYFUNCTION("""COMPUTED_VALUE"""),3.0)</f>
        <v>3</v>
      </c>
      <c r="E188" s="3">
        <f>IFERROR(__xludf.DUMMYFUNCTION("""COMPUTED_VALUE"""),0.057638888887595385)</f>
        <v>0.05763888889</v>
      </c>
      <c r="F188" s="1" t="str">
        <f>IFERROR(__xludf.DUMMYFUNCTION("""COMPUTED_VALUE"""),"Antic ")</f>
        <v>Antic </v>
      </c>
      <c r="G188" s="1" t="str">
        <f>IFERROR(__xludf.DUMMYFUNCTION("""COMPUTED_VALUE"""),"Pooja")</f>
        <v>Pooja</v>
      </c>
      <c r="H188" s="1" t="str">
        <f>IFERROR(__xludf.DUMMYFUNCTION("""COMPUTED_VALUE"""),"Gold ")</f>
        <v>Gold </v>
      </c>
      <c r="I188" s="1"/>
      <c r="J188" s="1" t="str">
        <f>IFERROR(__xludf.DUMMYFUNCTION("""COMPUTED_VALUE"""),"No")</f>
        <v>No</v>
      </c>
      <c r="K188" s="3">
        <f>IFERROR(__xludf.DUMMYFUNCTION("""COMPUTED_VALUE"""),0.09444444444670808)</f>
        <v>0.09444444445</v>
      </c>
      <c r="L188" s="1" t="str">
        <f>IFERROR(__xludf.DUMMYFUNCTION("""COMPUTED_VALUE"""),"Yes")</f>
        <v>Yes</v>
      </c>
      <c r="M188" s="1" t="str">
        <f>IFERROR(__xludf.DUMMYFUNCTION("""COMPUTED_VALUE"""),"Already done")</f>
        <v>Already done</v>
      </c>
      <c r="N188" s="1" t="str">
        <f>IFERROR(__xludf.DUMMYFUNCTION("""COMPUTED_VALUE"""),"Already done")</f>
        <v>Already done</v>
      </c>
      <c r="O188" s="1" t="str">
        <f>IFERROR(__xludf.DUMMYFUNCTION("""COMPUTED_VALUE"""),"WA ONLY")</f>
        <v>WA ONLY</v>
      </c>
      <c r="P188" s="1" t="str">
        <f>IFERROR(__xludf.DUMMYFUNCTION("""COMPUTED_VALUE"""),"Sir, Madam")</f>
        <v>Sir, Madam</v>
      </c>
      <c r="Q188" s="1"/>
      <c r="R188" s="1"/>
      <c r="S188" s="1"/>
    </row>
    <row r="189">
      <c r="A189" s="2">
        <f>IFERROR(__xludf.DUMMYFUNCTION("""COMPUTED_VALUE"""),45350.7732868287)</f>
        <v>45350.77329</v>
      </c>
      <c r="B189" s="1" t="str">
        <f>IFERROR(__xludf.DUMMYFUNCTION("""COMPUTED_VALUE"""),"Rihan ali khan")</f>
        <v>Rihan ali khan</v>
      </c>
      <c r="C189" s="1">
        <f>IFERROR(__xludf.DUMMYFUNCTION("""COMPUTED_VALUE"""),9.899070017E9)</f>
        <v>9899070017</v>
      </c>
      <c r="D189" s="1">
        <f>IFERROR(__xludf.DUMMYFUNCTION("""COMPUTED_VALUE"""),3.0)</f>
        <v>3</v>
      </c>
      <c r="E189" s="3">
        <f>IFERROR(__xludf.DUMMYFUNCTION("""COMPUTED_VALUE"""),0.09861111111240461)</f>
        <v>0.09861111111</v>
      </c>
      <c r="F189" s="1" t="str">
        <f>IFERROR(__xludf.DUMMYFUNCTION("""COMPUTED_VALUE"""),"Gold")</f>
        <v>Gold</v>
      </c>
      <c r="G189" s="1" t="str">
        <f>IFERROR(__xludf.DUMMYFUNCTION("""COMPUTED_VALUE"""),"Bhumika")</f>
        <v>Bhumika</v>
      </c>
      <c r="H189" s="1" t="str">
        <f>IFERROR(__xludf.DUMMYFUNCTION("""COMPUTED_VALUE"""),"Gold pendent, bali")</f>
        <v>Gold pendent, bali</v>
      </c>
      <c r="I189" s="1"/>
      <c r="J189" s="1" t="str">
        <f>IFERROR(__xludf.DUMMYFUNCTION("""COMPUTED_VALUE"""),"No")</f>
        <v>No</v>
      </c>
      <c r="K189" s="3">
        <f>IFERROR(__xludf.DUMMYFUNCTION("""COMPUTED_VALUE"""),0.15208333333430346)</f>
        <v>0.1520833333</v>
      </c>
      <c r="L189" s="1" t="str">
        <f>IFERROR(__xludf.DUMMYFUNCTION("""COMPUTED_VALUE"""),"Yes")</f>
        <v>Yes</v>
      </c>
      <c r="M189" s="1" t="str">
        <f>IFERROR(__xludf.DUMMYFUNCTION("""COMPUTED_VALUE"""),"Yes")</f>
        <v>Yes</v>
      </c>
      <c r="N189" s="1" t="str">
        <f>IFERROR(__xludf.DUMMYFUNCTION("""COMPUTED_VALUE"""),"No")</f>
        <v>No</v>
      </c>
      <c r="O189" s="1" t="str">
        <f>IFERROR(__xludf.DUMMYFUNCTION("""COMPUTED_VALUE"""),"WA ONLY")</f>
        <v>WA ONLY</v>
      </c>
      <c r="P189" s="1" t="str">
        <f>IFERROR(__xludf.DUMMYFUNCTION("""COMPUTED_VALUE"""),"Sir, Madam")</f>
        <v>Sir, Madam</v>
      </c>
      <c r="Q189" s="1"/>
      <c r="R189" s="1"/>
      <c r="S189" s="1"/>
    </row>
    <row r="190">
      <c r="A190" s="2">
        <f>IFERROR(__xludf.DUMMYFUNCTION("""COMPUTED_VALUE"""),45350.774140243055)</f>
        <v>45350.77414</v>
      </c>
      <c r="B190" s="1" t="str">
        <f>IFERROR(__xludf.DUMMYFUNCTION("""COMPUTED_VALUE"""),"Mansoor")</f>
        <v>Mansoor</v>
      </c>
      <c r="C190" s="1">
        <f>IFERROR(__xludf.DUMMYFUNCTION("""COMPUTED_VALUE"""),9.810878387E9)</f>
        <v>9810878387</v>
      </c>
      <c r="D190" s="1">
        <f>IFERROR(__xludf.DUMMYFUNCTION("""COMPUTED_VALUE"""),1.0)</f>
        <v>1</v>
      </c>
      <c r="E190" s="3">
        <f>IFERROR(__xludf.DUMMYFUNCTION("""COMPUTED_VALUE"""),0.22986111111094942)</f>
        <v>0.2298611111</v>
      </c>
      <c r="F190" s="1" t="str">
        <f>IFERROR(__xludf.DUMMYFUNCTION("""COMPUTED_VALUE"""),"Gold")</f>
        <v>Gold</v>
      </c>
      <c r="G190" s="1" t="str">
        <f>IFERROR(__xludf.DUMMYFUNCTION("""COMPUTED_VALUE"""),"Bhumika")</f>
        <v>Bhumika</v>
      </c>
      <c r="H190" s="1"/>
      <c r="I190" s="1" t="str">
        <f>IFERROR(__xludf.DUMMYFUNCTION("""COMPUTED_VALUE"""),"Customer visit again ")</f>
        <v>Customer visit again </v>
      </c>
      <c r="J190" s="1" t="str">
        <f>IFERROR(__xludf.DUMMYFUNCTION("""COMPUTED_VALUE"""),"No")</f>
        <v>No</v>
      </c>
      <c r="K190" s="3">
        <f>IFERROR(__xludf.DUMMYFUNCTION("""COMPUTED_VALUE"""),0.23263888889050577)</f>
        <v>0.2326388889</v>
      </c>
      <c r="L190" s="1" t="str">
        <f>IFERROR(__xludf.DUMMYFUNCTION("""COMPUTED_VALUE"""),"Yes")</f>
        <v>Yes</v>
      </c>
      <c r="M190" s="1" t="str">
        <f>IFERROR(__xludf.DUMMYFUNCTION("""COMPUTED_VALUE"""),"No")</f>
        <v>No</v>
      </c>
      <c r="N190" s="1" t="str">
        <f>IFERROR(__xludf.DUMMYFUNCTION("""COMPUTED_VALUE"""),"No")</f>
        <v>No</v>
      </c>
      <c r="O190" s="1" t="str">
        <f>IFERROR(__xludf.DUMMYFUNCTION("""COMPUTED_VALUE"""),"WA ONLY")</f>
        <v>WA ONLY</v>
      </c>
      <c r="P190" s="1" t="str">
        <f>IFERROR(__xludf.DUMMYFUNCTION("""COMPUTED_VALUE"""),"Sir, Madam")</f>
        <v>Sir, Madam</v>
      </c>
      <c r="Q190" s="1"/>
      <c r="R190" s="1"/>
      <c r="S190" s="1"/>
    </row>
    <row r="191">
      <c r="A191" s="2">
        <f>IFERROR(__xludf.DUMMYFUNCTION("""COMPUTED_VALUE"""),45351.77280608796)</f>
        <v>45351.77281</v>
      </c>
      <c r="B191" s="1" t="str">
        <f>IFERROR(__xludf.DUMMYFUNCTION("""COMPUTED_VALUE"""),"Priyanka mehta ")</f>
        <v>Priyanka mehta </v>
      </c>
      <c r="C191" s="1">
        <f>IFERROR(__xludf.DUMMYFUNCTION("""COMPUTED_VALUE"""),9.711100748E9)</f>
        <v>9711100748</v>
      </c>
      <c r="D191" s="1">
        <f>IFERROR(__xludf.DUMMYFUNCTION("""COMPUTED_VALUE"""),2.0)</f>
        <v>2</v>
      </c>
      <c r="E191" s="3">
        <f>IFERROR(__xludf.DUMMYFUNCTION("""COMPUTED_VALUE"""),0.625)</f>
        <v>0.625</v>
      </c>
      <c r="F191" s="1" t="str">
        <f>IFERROR(__xludf.DUMMYFUNCTION("""COMPUTED_VALUE"""),"Plain Gold")</f>
        <v>Plain Gold</v>
      </c>
      <c r="G191" s="1" t="str">
        <f>IFERROR(__xludf.DUMMYFUNCTION("""COMPUTED_VALUE"""),"Bhumika")</f>
        <v>Bhumika</v>
      </c>
      <c r="H191" s="1" t="str">
        <f>IFERROR(__xludf.DUMMYFUNCTION("""COMPUTED_VALUE"""),"Gold mangl sutr")</f>
        <v>Gold mangl sutr</v>
      </c>
      <c r="I191" s="1"/>
      <c r="J191" s="1"/>
      <c r="K191" s="3">
        <f>IFERROR(__xludf.DUMMYFUNCTION("""COMPUTED_VALUE"""),0.5986111111124046)</f>
        <v>0.5986111111</v>
      </c>
      <c r="L191" s="1" t="str">
        <f>IFERROR(__xludf.DUMMYFUNCTION("""COMPUTED_VALUE"""),"Yes")</f>
        <v>Yes</v>
      </c>
      <c r="M191" s="1" t="str">
        <f>IFERROR(__xludf.DUMMYFUNCTION("""COMPUTED_VALUE"""),"Yes")</f>
        <v>Yes</v>
      </c>
      <c r="N191" s="1" t="str">
        <f>IFERROR(__xludf.DUMMYFUNCTION("""COMPUTED_VALUE"""),"Yes")</f>
        <v>Yes</v>
      </c>
      <c r="O191" s="1" t="str">
        <f>IFERROR(__xludf.DUMMYFUNCTION("""COMPUTED_VALUE"""),"WA ONLY, CALL")</f>
        <v>WA ONLY, CALL</v>
      </c>
      <c r="P191" s="1" t="str">
        <f>IFERROR(__xludf.DUMMYFUNCTION("""COMPUTED_VALUE"""),"Madam")</f>
        <v>Madam</v>
      </c>
      <c r="Q191" s="1" t="str">
        <f>IFERROR(__xludf.DUMMYFUNCTION("""COMPUTED_VALUE"""),"No")</f>
        <v>No</v>
      </c>
      <c r="R191" s="1" t="str">
        <f>IFERROR(__xludf.DUMMYFUNCTION("""COMPUTED_VALUE"""),"OLD")</f>
        <v>OLD</v>
      </c>
      <c r="S191" s="1"/>
    </row>
    <row r="192">
      <c r="A192" s="2">
        <f>IFERROR(__xludf.DUMMYFUNCTION("""COMPUTED_VALUE"""),45351.77739811342)</f>
        <v>45351.7774</v>
      </c>
      <c r="B192" s="1" t="str">
        <f>IFERROR(__xludf.DUMMYFUNCTION("""COMPUTED_VALUE"""),"Deepanshu goyal")</f>
        <v>Deepanshu goyal</v>
      </c>
      <c r="C192" s="1">
        <f>IFERROR(__xludf.DUMMYFUNCTION("""COMPUTED_VALUE"""),7.292019394E9)</f>
        <v>7292019394</v>
      </c>
      <c r="D192" s="1">
        <f>IFERROR(__xludf.DUMMYFUNCTION("""COMPUTED_VALUE"""),1.0)</f>
        <v>1</v>
      </c>
      <c r="E192" s="3">
        <f>IFERROR(__xludf.DUMMYFUNCTION("""COMPUTED_VALUE"""),0.625)</f>
        <v>0.625</v>
      </c>
      <c r="F192" s="1" t="str">
        <f>IFERROR(__xludf.DUMMYFUNCTION("""COMPUTED_VALUE"""),"Plain Gold")</f>
        <v>Plain Gold</v>
      </c>
      <c r="G192" s="1" t="str">
        <f>IFERROR(__xludf.DUMMYFUNCTION("""COMPUTED_VALUE"""),"Bhumika")</f>
        <v>Bhumika</v>
      </c>
      <c r="H192" s="1"/>
      <c r="I192" s="1" t="str">
        <f>IFERROR(__xludf.DUMMYFUNCTION("""COMPUTED_VALUE"""),"Pick up Order")</f>
        <v>Pick up Order</v>
      </c>
      <c r="J192" s="1"/>
      <c r="K192" s="3">
        <f>IFERROR(__xludf.DUMMYFUNCTION("""COMPUTED_VALUE"""),0.6298611111124046)</f>
        <v>0.6298611111</v>
      </c>
      <c r="L192" s="1" t="str">
        <f>IFERROR(__xludf.DUMMYFUNCTION("""COMPUTED_VALUE"""),"Yes")</f>
        <v>Yes</v>
      </c>
      <c r="M192" s="1" t="str">
        <f>IFERROR(__xludf.DUMMYFUNCTION("""COMPUTED_VALUE"""),"Already done ")</f>
        <v>Already done </v>
      </c>
      <c r="N192" s="1" t="str">
        <f>IFERROR(__xludf.DUMMYFUNCTION("""COMPUTED_VALUE"""),"Already done ")</f>
        <v>Already done </v>
      </c>
      <c r="O192" s="1" t="str">
        <f>IFERROR(__xludf.DUMMYFUNCTION("""COMPUTED_VALUE"""),"WA ONLY, CALL")</f>
        <v>WA ONLY, CALL</v>
      </c>
      <c r="P192" s="1" t="str">
        <f>IFERROR(__xludf.DUMMYFUNCTION("""COMPUTED_VALUE"""),"Madam")</f>
        <v>Madam</v>
      </c>
      <c r="Q192" s="1" t="str">
        <f>IFERROR(__xludf.DUMMYFUNCTION("""COMPUTED_VALUE"""),"No")</f>
        <v>No</v>
      </c>
      <c r="R192" s="1" t="str">
        <f>IFERROR(__xludf.DUMMYFUNCTION("""COMPUTED_VALUE"""),"OLD")</f>
        <v>OLD</v>
      </c>
      <c r="S192" s="1"/>
    </row>
    <row r="193">
      <c r="A193" s="2">
        <f>IFERROR(__xludf.DUMMYFUNCTION("""COMPUTED_VALUE"""),45351.779142581014)</f>
        <v>45351.77914</v>
      </c>
      <c r="B193" s="1" t="str">
        <f>IFERROR(__xludf.DUMMYFUNCTION("""COMPUTED_VALUE"""),"Jai kishan")</f>
        <v>Jai kishan</v>
      </c>
      <c r="C193" s="1">
        <f>IFERROR(__xludf.DUMMYFUNCTION("""COMPUTED_VALUE"""),9.971162532E9)</f>
        <v>9971162532</v>
      </c>
      <c r="D193" s="1">
        <f>IFERROR(__xludf.DUMMYFUNCTION("""COMPUTED_VALUE"""),2.0)</f>
        <v>2</v>
      </c>
      <c r="E193" s="3">
        <f>IFERROR(__xludf.DUMMYFUNCTION("""COMPUTED_VALUE"""),0.6472222222218988)</f>
        <v>0.6472222222</v>
      </c>
      <c r="F193" s="1" t="str">
        <f>IFERROR(__xludf.DUMMYFUNCTION("""COMPUTED_VALUE"""),"Plain Gold")</f>
        <v>Plain Gold</v>
      </c>
      <c r="G193" s="1" t="str">
        <f>IFERROR(__xludf.DUMMYFUNCTION("""COMPUTED_VALUE"""),"Bhumika")</f>
        <v>Bhumika</v>
      </c>
      <c r="H193" s="1" t="str">
        <f>IFERROR(__xludf.DUMMYFUNCTION("""COMPUTED_VALUE"""),"2 ring gents, oder nose pic cvd")</f>
        <v>2 ring gents, oder nose pic cvd</v>
      </c>
      <c r="I193" s="1"/>
      <c r="J193" s="1"/>
      <c r="K193" s="3">
        <f>IFERROR(__xludf.DUMMYFUNCTION("""COMPUTED_VALUE"""),0.7131944444408873)</f>
        <v>0.7131944444</v>
      </c>
      <c r="L193" s="1" t="str">
        <f>IFERROR(__xludf.DUMMYFUNCTION("""COMPUTED_VALUE"""),"Yes")</f>
        <v>Yes</v>
      </c>
      <c r="M193" s="1" t="str">
        <f>IFERROR(__xludf.DUMMYFUNCTION("""COMPUTED_VALUE"""),"Yes")</f>
        <v>Yes</v>
      </c>
      <c r="N193" s="1" t="str">
        <f>IFERROR(__xludf.DUMMYFUNCTION("""COMPUTED_VALUE"""),"Yes")</f>
        <v>Yes</v>
      </c>
      <c r="O193" s="1" t="str">
        <f>IFERROR(__xludf.DUMMYFUNCTION("""COMPUTED_VALUE"""),"WA ONLY, CALL")</f>
        <v>WA ONLY, CALL</v>
      </c>
      <c r="P193" s="1" t="str">
        <f>IFERROR(__xludf.DUMMYFUNCTION("""COMPUTED_VALUE"""),"Sir")</f>
        <v>Sir</v>
      </c>
      <c r="Q193" s="1" t="str">
        <f>IFERROR(__xludf.DUMMYFUNCTION("""COMPUTED_VALUE"""),"No")</f>
        <v>No</v>
      </c>
      <c r="R193" s="1" t="str">
        <f>IFERROR(__xludf.DUMMYFUNCTION("""COMPUTED_VALUE"""),"OLD")</f>
        <v>OLD</v>
      </c>
      <c r="S193" s="1"/>
    </row>
    <row r="194">
      <c r="A194" s="2">
        <f>IFERROR(__xludf.DUMMYFUNCTION("""COMPUTED_VALUE"""),45351.780961192126)</f>
        <v>45351.78096</v>
      </c>
      <c r="B194" s="1" t="str">
        <f>IFERROR(__xludf.DUMMYFUNCTION("""COMPUTED_VALUE"""),"Yogesh goyal")</f>
        <v>Yogesh goyal</v>
      </c>
      <c r="C194" s="1">
        <f>IFERROR(__xludf.DUMMYFUNCTION("""COMPUTED_VALUE"""),9.371162532E9)</f>
        <v>9371162532</v>
      </c>
      <c r="D194" s="1">
        <f>IFERROR(__xludf.DUMMYFUNCTION("""COMPUTED_VALUE"""),1.0)</f>
        <v>1</v>
      </c>
      <c r="E194" s="3">
        <f>IFERROR(__xludf.DUMMYFUNCTION("""COMPUTED_VALUE"""),0.648611111115315)</f>
        <v>0.6486111111</v>
      </c>
      <c r="F194" s="1" t="str">
        <f>IFERROR(__xludf.DUMMYFUNCTION("""COMPUTED_VALUE"""),"Antique Gold")</f>
        <v>Antique Gold</v>
      </c>
      <c r="G194" s="1" t="str">
        <f>IFERROR(__xludf.DUMMYFUNCTION("""COMPUTED_VALUE"""),"Pooja")</f>
        <v>Pooja</v>
      </c>
      <c r="H194" s="1" t="str">
        <f>IFERROR(__xludf.DUMMYFUNCTION("""COMPUTED_VALUE"""),"Silver coin,gold chain")</f>
        <v>Silver coin,gold chain</v>
      </c>
      <c r="I194" s="1"/>
      <c r="J194" s="1"/>
      <c r="K194" s="3">
        <f>IFERROR(__xludf.DUMMYFUNCTION("""COMPUTED_VALUE"""),0.7604166666642413)</f>
        <v>0.7604166667</v>
      </c>
      <c r="L194" s="1" t="str">
        <f>IFERROR(__xludf.DUMMYFUNCTION("""COMPUTED_VALUE"""),"Yes")</f>
        <v>Yes</v>
      </c>
      <c r="M194" s="1" t="str">
        <f>IFERROR(__xludf.DUMMYFUNCTION("""COMPUTED_VALUE"""),"Yes")</f>
        <v>Yes</v>
      </c>
      <c r="N194" s="1" t="str">
        <f>IFERROR(__xludf.DUMMYFUNCTION("""COMPUTED_VALUE"""),"No")</f>
        <v>No</v>
      </c>
      <c r="O194" s="1" t="str">
        <f>IFERROR(__xludf.DUMMYFUNCTION("""COMPUTED_VALUE"""),"WA ONLY, CALL")</f>
        <v>WA ONLY, CALL</v>
      </c>
      <c r="P194" s="1" t="str">
        <f>IFERROR(__xludf.DUMMYFUNCTION("""COMPUTED_VALUE"""),"Sir")</f>
        <v>Sir</v>
      </c>
      <c r="Q194" s="1" t="str">
        <f>IFERROR(__xludf.DUMMYFUNCTION("""COMPUTED_VALUE"""),"No")</f>
        <v>No</v>
      </c>
      <c r="R194" s="1" t="str">
        <f>IFERROR(__xludf.DUMMYFUNCTION("""COMPUTED_VALUE"""),"NEW WALK IN")</f>
        <v>NEW WALK IN</v>
      </c>
      <c r="S194" s="1"/>
    </row>
    <row r="195">
      <c r="A195" s="2">
        <f>IFERROR(__xludf.DUMMYFUNCTION("""COMPUTED_VALUE"""),45351.78223956018)</f>
        <v>45351.78224</v>
      </c>
      <c r="B195" s="1" t="str">
        <f>IFERROR(__xludf.DUMMYFUNCTION("""COMPUTED_VALUE"""),"Charanjeet singh")</f>
        <v>Charanjeet singh</v>
      </c>
      <c r="C195" s="1">
        <f>IFERROR(__xludf.DUMMYFUNCTION("""COMPUTED_VALUE"""),8.920520204E9)</f>
        <v>8920520204</v>
      </c>
      <c r="D195" s="1">
        <f>IFERROR(__xludf.DUMMYFUNCTION("""COMPUTED_VALUE"""),1.0)</f>
        <v>1</v>
      </c>
      <c r="E195" s="3">
        <f>IFERROR(__xludf.DUMMYFUNCTION("""COMPUTED_VALUE"""),0.6756944444423425)</f>
        <v>0.6756944444</v>
      </c>
      <c r="F195" s="1" t="str">
        <f>IFERROR(__xludf.DUMMYFUNCTION("""COMPUTED_VALUE"""),"Antique Gold")</f>
        <v>Antique Gold</v>
      </c>
      <c r="G195" s="1" t="str">
        <f>IFERROR(__xludf.DUMMYFUNCTION("""COMPUTED_VALUE"""),"Chhaya")</f>
        <v>Chhaya</v>
      </c>
      <c r="H195" s="1"/>
      <c r="I195" s="1" t="str">
        <f>IFERROR(__xludf.DUMMYFUNCTION("""COMPUTED_VALUE"""),"Visit Again in 1 Month")</f>
        <v>Visit Again in 1 Month</v>
      </c>
      <c r="J195" s="1"/>
      <c r="K195" s="3">
        <f>IFERROR(__xludf.DUMMYFUNCTION("""COMPUTED_VALUE"""),0.7097222222218988)</f>
        <v>0.7097222222</v>
      </c>
      <c r="L195" s="1" t="str">
        <f>IFERROR(__xludf.DUMMYFUNCTION("""COMPUTED_VALUE"""),"Yes")</f>
        <v>Yes</v>
      </c>
      <c r="M195" s="1" t="str">
        <f>IFERROR(__xludf.DUMMYFUNCTION("""COMPUTED_VALUE"""),"Already done ")</f>
        <v>Already done </v>
      </c>
      <c r="N195" s="1" t="str">
        <f>IFERROR(__xludf.DUMMYFUNCTION("""COMPUTED_VALUE"""),"Already done ")</f>
        <v>Already done </v>
      </c>
      <c r="O195" s="1" t="str">
        <f>IFERROR(__xludf.DUMMYFUNCTION("""COMPUTED_VALUE"""),"WA ONLY, CALL")</f>
        <v>WA ONLY, CALL</v>
      </c>
      <c r="P195" s="1" t="str">
        <f>IFERROR(__xludf.DUMMYFUNCTION("""COMPUTED_VALUE"""),"Sir")</f>
        <v>Sir</v>
      </c>
      <c r="Q195" s="1" t="str">
        <f>IFERROR(__xludf.DUMMYFUNCTION("""COMPUTED_VALUE"""),"No")</f>
        <v>No</v>
      </c>
      <c r="R195" s="1" t="str">
        <f>IFERROR(__xludf.DUMMYFUNCTION("""COMPUTED_VALUE"""),"OLD")</f>
        <v>OLD</v>
      </c>
      <c r="S195" s="1"/>
    </row>
    <row r="196">
      <c r="A196" s="2">
        <f>IFERROR(__xludf.DUMMYFUNCTION("""COMPUTED_VALUE"""),45353.67233615741)</f>
        <v>45353.67234</v>
      </c>
      <c r="B196" s="1" t="str">
        <f>IFERROR(__xludf.DUMMYFUNCTION("""COMPUTED_VALUE"""),"S panda ")</f>
        <v>S panda </v>
      </c>
      <c r="C196" s="1">
        <f>IFERROR(__xludf.DUMMYFUNCTION("""COMPUTED_VALUE"""),9.83105246E9)</f>
        <v>9831052460</v>
      </c>
      <c r="D196" s="1">
        <f>IFERROR(__xludf.DUMMYFUNCTION("""COMPUTED_VALUE"""),1.0)</f>
        <v>1</v>
      </c>
      <c r="E196" s="3">
        <f>IFERROR(__xludf.DUMMYFUNCTION("""COMPUTED_VALUE"""),0.7708333333357587)</f>
        <v>0.7708333333</v>
      </c>
      <c r="F196" s="1" t="str">
        <f>IFERROR(__xludf.DUMMYFUNCTION("""COMPUTED_VALUE"""),"Plain Gold")</f>
        <v>Plain Gold</v>
      </c>
      <c r="G196" s="1" t="str">
        <f>IFERROR(__xludf.DUMMYFUNCTION("""COMPUTED_VALUE"""),"Bhumika")</f>
        <v>Bhumika</v>
      </c>
      <c r="H196" s="1" t="str">
        <f>IFERROR(__xludf.DUMMYFUNCTION("""COMPUTED_VALUE"""),"Gold chain")</f>
        <v>Gold chain</v>
      </c>
      <c r="I196" s="1"/>
      <c r="J196" s="1"/>
      <c r="K196" s="3">
        <f>IFERROR(__xludf.DUMMYFUNCTION("""COMPUTED_VALUE"""),0.8020833333357587)</f>
        <v>0.8020833333</v>
      </c>
      <c r="L196" s="1" t="str">
        <f>IFERROR(__xludf.DUMMYFUNCTION("""COMPUTED_VALUE"""),"Yes")</f>
        <v>Yes</v>
      </c>
      <c r="M196" s="1" t="str">
        <f>IFERROR(__xludf.DUMMYFUNCTION("""COMPUTED_VALUE"""),"No")</f>
        <v>No</v>
      </c>
      <c r="N196" s="1" t="str">
        <f>IFERROR(__xludf.DUMMYFUNCTION("""COMPUTED_VALUE"""),"No")</f>
        <v>No</v>
      </c>
      <c r="O196" s="1" t="str">
        <f>IFERROR(__xludf.DUMMYFUNCTION("""COMPUTED_VALUE"""),"WA ONLY, CALL")</f>
        <v>WA ONLY, CALL</v>
      </c>
      <c r="P196" s="1" t="str">
        <f>IFERROR(__xludf.DUMMYFUNCTION("""COMPUTED_VALUE"""),"Sir")</f>
        <v>Sir</v>
      </c>
      <c r="Q196" s="1" t="str">
        <f>IFERROR(__xludf.DUMMYFUNCTION("""COMPUTED_VALUE"""),"No")</f>
        <v>No</v>
      </c>
      <c r="R196" s="1" t="str">
        <f>IFERROR(__xludf.DUMMYFUNCTION("""COMPUTED_VALUE"""),"NEW WALK IN")</f>
        <v>NEW WALK IN</v>
      </c>
      <c r="S196" s="1"/>
    </row>
    <row r="197">
      <c r="A197" s="2">
        <f>IFERROR(__xludf.DUMMYFUNCTION("""COMPUTED_VALUE"""),45353.67413105324)</f>
        <v>45353.67413</v>
      </c>
      <c r="B197" s="1" t="str">
        <f>IFERROR(__xludf.DUMMYFUNCTION("""COMPUTED_VALUE"""),"Parul yadav")</f>
        <v>Parul yadav</v>
      </c>
      <c r="C197" s="1">
        <f>IFERROR(__xludf.DUMMYFUNCTION("""COMPUTED_VALUE"""),8.86075959E9)</f>
        <v>8860759590</v>
      </c>
      <c r="D197" s="1">
        <f>IFERROR(__xludf.DUMMYFUNCTION("""COMPUTED_VALUE"""),1.0)</f>
        <v>1</v>
      </c>
      <c r="E197" s="3">
        <f>IFERROR(__xludf.DUMMYFUNCTION("""COMPUTED_VALUE"""),0.7402777777751908)</f>
        <v>0.7402777778</v>
      </c>
      <c r="F197" s="1" t="str">
        <f>IFERROR(__xludf.DUMMYFUNCTION("""COMPUTED_VALUE"""),"Diamond")</f>
        <v>Diamond</v>
      </c>
      <c r="G197" s="1" t="str">
        <f>IFERROR(__xludf.DUMMYFUNCTION("""COMPUTED_VALUE"""),"Deepali")</f>
        <v>Deepali</v>
      </c>
      <c r="H197" s="1"/>
      <c r="I197" s="1" t="str">
        <f>IFERROR(__xludf.DUMMYFUNCTION("""COMPUTED_VALUE"""),"Making High or Wants Discount")</f>
        <v>Making High or Wants Discount</v>
      </c>
      <c r="J197" s="1"/>
      <c r="K197" s="3">
        <f>IFERROR(__xludf.DUMMYFUNCTION("""COMPUTED_VALUE"""),0.7791666666671517)</f>
        <v>0.7791666667</v>
      </c>
      <c r="L197" s="1" t="str">
        <f>IFERROR(__xludf.DUMMYFUNCTION("""COMPUTED_VALUE"""),"Yes")</f>
        <v>Yes</v>
      </c>
      <c r="M197" s="1" t="str">
        <f>IFERROR(__xludf.DUMMYFUNCTION("""COMPUTED_VALUE"""),"No")</f>
        <v>No</v>
      </c>
      <c r="N197" s="1" t="str">
        <f>IFERROR(__xludf.DUMMYFUNCTION("""COMPUTED_VALUE"""),"Yes")</f>
        <v>Yes</v>
      </c>
      <c r="O197" s="1" t="str">
        <f>IFERROR(__xludf.DUMMYFUNCTION("""COMPUTED_VALUE"""),"WA ONLY, CALL")</f>
        <v>WA ONLY, CALL</v>
      </c>
      <c r="P197" s="1" t="str">
        <f>IFERROR(__xludf.DUMMYFUNCTION("""COMPUTED_VALUE"""),"Madam")</f>
        <v>Madam</v>
      </c>
      <c r="Q197" s="1" t="str">
        <f>IFERROR(__xludf.DUMMYFUNCTION("""COMPUTED_VALUE"""),"No")</f>
        <v>No</v>
      </c>
      <c r="R197" s="1" t="str">
        <f>IFERROR(__xludf.DUMMYFUNCTION("""COMPUTED_VALUE"""),"NEW WALK IN")</f>
        <v>NEW WALK IN</v>
      </c>
      <c r="S197" s="1"/>
    </row>
    <row r="198">
      <c r="A198" s="2">
        <f>IFERROR(__xludf.DUMMYFUNCTION("""COMPUTED_VALUE"""),45353.67490174768)</f>
        <v>45353.6749</v>
      </c>
      <c r="B198" s="1" t="str">
        <f>IFERROR(__xludf.DUMMYFUNCTION("""COMPUTED_VALUE"""),"Anju")</f>
        <v>Anju</v>
      </c>
      <c r="C198" s="1">
        <f>IFERROR(__xludf.DUMMYFUNCTION("""COMPUTED_VALUE"""),9.89150021E9)</f>
        <v>9891500210</v>
      </c>
      <c r="D198" s="1">
        <f>IFERROR(__xludf.DUMMYFUNCTION("""COMPUTED_VALUE"""),2.0)</f>
        <v>2</v>
      </c>
      <c r="E198" s="3">
        <f>IFERROR(__xludf.DUMMYFUNCTION("""COMPUTED_VALUE"""),0.5319444444467081)</f>
        <v>0.5319444444</v>
      </c>
      <c r="F198" s="1" t="str">
        <f>IFERROR(__xludf.DUMMYFUNCTION("""COMPUTED_VALUE"""),"Antique Gold")</f>
        <v>Antique Gold</v>
      </c>
      <c r="G198" s="1" t="str">
        <f>IFERROR(__xludf.DUMMYFUNCTION("""COMPUTED_VALUE"""),"Chhaya")</f>
        <v>Chhaya</v>
      </c>
      <c r="H198" s="1"/>
      <c r="I198" s="1" t="str">
        <f>IFERROR(__xludf.DUMMYFUNCTION("""COMPUTED_VALUE"""),"Will ask family and come with them")</f>
        <v>Will ask family and come with them</v>
      </c>
      <c r="J198" s="1"/>
      <c r="K198" s="3">
        <f>IFERROR(__xludf.DUMMYFUNCTION("""COMPUTED_VALUE"""),0.5694444444452529)</f>
        <v>0.5694444444</v>
      </c>
      <c r="L198" s="1" t="str">
        <f>IFERROR(__xludf.DUMMYFUNCTION("""COMPUTED_VALUE"""),"Yes")</f>
        <v>Yes</v>
      </c>
      <c r="M198" s="1" t="str">
        <f>IFERROR(__xludf.DUMMYFUNCTION("""COMPUTED_VALUE"""),"No")</f>
        <v>No</v>
      </c>
      <c r="N198" s="1" t="str">
        <f>IFERROR(__xludf.DUMMYFUNCTION("""COMPUTED_VALUE"""),"No")</f>
        <v>No</v>
      </c>
      <c r="O198" s="1" t="str">
        <f>IFERROR(__xludf.DUMMYFUNCTION("""COMPUTED_VALUE"""),"WA ONLY, CALL")</f>
        <v>WA ONLY, CALL</v>
      </c>
      <c r="P198" s="1" t="str">
        <f>IFERROR(__xludf.DUMMYFUNCTION("""COMPUTED_VALUE"""),"Madam")</f>
        <v>Madam</v>
      </c>
      <c r="Q198" s="1" t="str">
        <f>IFERROR(__xludf.DUMMYFUNCTION("""COMPUTED_VALUE"""),"No")</f>
        <v>No</v>
      </c>
      <c r="R198" s="1" t="str">
        <f>IFERROR(__xludf.DUMMYFUNCTION("""COMPUTED_VALUE"""),"NEW WALK IN")</f>
        <v>NEW WALK IN</v>
      </c>
      <c r="S198" s="1"/>
    </row>
    <row r="199">
      <c r="A199" s="2">
        <f>IFERROR(__xludf.DUMMYFUNCTION("""COMPUTED_VALUE"""),45353.79497077546)</f>
        <v>45353.79497</v>
      </c>
      <c r="B199" s="1" t="str">
        <f>IFERROR(__xludf.DUMMYFUNCTION("""COMPUTED_VALUE"""),"Ujwal")</f>
        <v>Ujwal</v>
      </c>
      <c r="C199" s="1">
        <f>IFERROR(__xludf.DUMMYFUNCTION("""COMPUTED_VALUE"""),8.08122676E9)</f>
        <v>8081226760</v>
      </c>
      <c r="D199" s="1">
        <f>IFERROR(__xludf.DUMMYFUNCTION("""COMPUTED_VALUE"""),2.0)</f>
        <v>2</v>
      </c>
      <c r="E199" s="3">
        <f>IFERROR(__xludf.DUMMYFUNCTION("""COMPUTED_VALUE"""),0.75)</f>
        <v>0.75</v>
      </c>
      <c r="F199" s="1" t="str">
        <f>IFERROR(__xludf.DUMMYFUNCTION("""COMPUTED_VALUE"""),"Diamond")</f>
        <v>Diamond</v>
      </c>
      <c r="G199" s="1" t="str">
        <f>IFERROR(__xludf.DUMMYFUNCTION("""COMPUTED_VALUE"""),"Bhumika")</f>
        <v>Bhumika</v>
      </c>
      <c r="H199" s="1"/>
      <c r="I199" s="1" t="str">
        <f>IFERROR(__xludf.DUMMYFUNCTION("""COMPUTED_VALUE"""),"Will ask family and come with them")</f>
        <v>Will ask family and come with them</v>
      </c>
      <c r="J199" s="1"/>
      <c r="K199" s="3">
        <f>IFERROR(__xludf.DUMMYFUNCTION("""COMPUTED_VALUE"""),0.7743055555547471)</f>
        <v>0.7743055556</v>
      </c>
      <c r="L199" s="1" t="str">
        <f>IFERROR(__xludf.DUMMYFUNCTION("""COMPUTED_VALUE"""),"Yes")</f>
        <v>Yes</v>
      </c>
      <c r="M199" s="1" t="str">
        <f>IFERROR(__xludf.DUMMYFUNCTION("""COMPUTED_VALUE"""),"No")</f>
        <v>No</v>
      </c>
      <c r="N199" s="1" t="str">
        <f>IFERROR(__xludf.DUMMYFUNCTION("""COMPUTED_VALUE"""),"No")</f>
        <v>No</v>
      </c>
      <c r="O199" s="1" t="str">
        <f>IFERROR(__xludf.DUMMYFUNCTION("""COMPUTED_VALUE"""),"WA ONLY, CALL")</f>
        <v>WA ONLY, CALL</v>
      </c>
      <c r="P199" s="1" t="str">
        <f>IFERROR(__xludf.DUMMYFUNCTION("""COMPUTED_VALUE"""),"Sir")</f>
        <v>Sir</v>
      </c>
      <c r="Q199" s="1" t="str">
        <f>IFERROR(__xludf.DUMMYFUNCTION("""COMPUTED_VALUE"""),"No")</f>
        <v>No</v>
      </c>
      <c r="R199" s="1" t="str">
        <f>IFERROR(__xludf.DUMMYFUNCTION("""COMPUTED_VALUE"""),"NEW WALK IN")</f>
        <v>NEW WALK IN</v>
      </c>
      <c r="S199" s="1"/>
    </row>
    <row r="200">
      <c r="A200" s="2">
        <f>IFERROR(__xludf.DUMMYFUNCTION("""COMPUTED_VALUE"""),45354.660875104164)</f>
        <v>45354.66088</v>
      </c>
      <c r="B200" s="1" t="str">
        <f>IFERROR(__xludf.DUMMYFUNCTION("""COMPUTED_VALUE"""),"Ujwal")</f>
        <v>Ujwal</v>
      </c>
      <c r="C200" s="1">
        <f>IFERROR(__xludf.DUMMYFUNCTION("""COMPUTED_VALUE"""),9.386347767E9)</f>
        <v>9386347767</v>
      </c>
      <c r="D200" s="1">
        <f>IFERROR(__xludf.DUMMYFUNCTION("""COMPUTED_VALUE"""),1.0)</f>
        <v>1</v>
      </c>
      <c r="E200" s="3">
        <f>IFERROR(__xludf.DUMMYFUNCTION("""COMPUTED_VALUE"""),0.47222222221898846)</f>
        <v>0.4722222222</v>
      </c>
      <c r="F200" s="1" t="str">
        <f>IFERROR(__xludf.DUMMYFUNCTION("""COMPUTED_VALUE"""),"Diamond")</f>
        <v>Diamond</v>
      </c>
      <c r="G200" s="1" t="str">
        <f>IFERROR(__xludf.DUMMYFUNCTION("""COMPUTED_VALUE"""),"Pooja")</f>
        <v>Pooja</v>
      </c>
      <c r="H200" s="1"/>
      <c r="I200" s="1" t="str">
        <f>IFERROR(__xludf.DUMMYFUNCTION("""COMPUTED_VALUE"""),"Designs Not Liked")</f>
        <v>Designs Not Liked</v>
      </c>
      <c r="J200" s="1"/>
      <c r="K200" s="3">
        <f>IFERROR(__xludf.DUMMYFUNCTION("""COMPUTED_VALUE"""),0.5069444444452529)</f>
        <v>0.5069444444</v>
      </c>
      <c r="L200" s="1" t="str">
        <f>IFERROR(__xludf.DUMMYFUNCTION("""COMPUTED_VALUE"""),"Yes")</f>
        <v>Yes</v>
      </c>
      <c r="M200" s="1" t="str">
        <f>IFERROR(__xludf.DUMMYFUNCTION("""COMPUTED_VALUE"""),"No")</f>
        <v>No</v>
      </c>
      <c r="N200" s="1" t="str">
        <f>IFERROR(__xludf.DUMMYFUNCTION("""COMPUTED_VALUE"""),"No")</f>
        <v>No</v>
      </c>
      <c r="O200" s="1" t="str">
        <f>IFERROR(__xludf.DUMMYFUNCTION("""COMPUTED_VALUE"""),"WA ONLY, CALL")</f>
        <v>WA ONLY, CALL</v>
      </c>
      <c r="P200" s="1" t="str">
        <f>IFERROR(__xludf.DUMMYFUNCTION("""COMPUTED_VALUE"""),"Sir")</f>
        <v>Sir</v>
      </c>
      <c r="Q200" s="1" t="str">
        <f>IFERROR(__xludf.DUMMYFUNCTION("""COMPUTED_VALUE"""),"No")</f>
        <v>No</v>
      </c>
      <c r="R200" s="1" t="str">
        <f>IFERROR(__xludf.DUMMYFUNCTION("""COMPUTED_VALUE"""),"NEW WALK IN")</f>
        <v>NEW WALK IN</v>
      </c>
      <c r="S200" s="1"/>
    </row>
    <row r="201">
      <c r="A201" s="2">
        <f>IFERROR(__xludf.DUMMYFUNCTION("""COMPUTED_VALUE"""),45354.66174141204)</f>
        <v>45354.66174</v>
      </c>
      <c r="B201" s="1" t="str">
        <f>IFERROR(__xludf.DUMMYFUNCTION("""COMPUTED_VALUE"""),"Ujwal")</f>
        <v>Ujwal</v>
      </c>
      <c r="C201" s="1">
        <f>IFERROR(__xludf.DUMMYFUNCTION("""COMPUTED_VALUE"""),8.08122676E9)</f>
        <v>8081226760</v>
      </c>
      <c r="D201" s="1">
        <f>IFERROR(__xludf.DUMMYFUNCTION("""COMPUTED_VALUE"""),1.0)</f>
        <v>1</v>
      </c>
      <c r="E201" s="3">
        <f>IFERROR(__xludf.DUMMYFUNCTION("""COMPUTED_VALUE"""),0.5194444444423425)</f>
        <v>0.5194444444</v>
      </c>
      <c r="F201" s="1" t="str">
        <f>IFERROR(__xludf.DUMMYFUNCTION("""COMPUTED_VALUE"""),"Diamond")</f>
        <v>Diamond</v>
      </c>
      <c r="G201" s="1" t="str">
        <f>IFERROR(__xludf.DUMMYFUNCTION("""COMPUTED_VALUE"""),"Bhumika")</f>
        <v>Bhumika</v>
      </c>
      <c r="H201" s="1"/>
      <c r="I201" s="1" t="str">
        <f>IFERROR(__xludf.DUMMYFUNCTION("""COMPUTED_VALUE"""),"Designs Not Liked")</f>
        <v>Designs Not Liked</v>
      </c>
      <c r="J201" s="1"/>
      <c r="K201" s="3">
        <f>IFERROR(__xludf.DUMMYFUNCTION("""COMPUTED_VALUE"""),0.5576388888875954)</f>
        <v>0.5576388889</v>
      </c>
      <c r="L201" s="1" t="str">
        <f>IFERROR(__xludf.DUMMYFUNCTION("""COMPUTED_VALUE"""),"Yes")</f>
        <v>Yes</v>
      </c>
      <c r="M201" s="1" t="str">
        <f>IFERROR(__xludf.DUMMYFUNCTION("""COMPUTED_VALUE"""),"No")</f>
        <v>No</v>
      </c>
      <c r="N201" s="1" t="str">
        <f>IFERROR(__xludf.DUMMYFUNCTION("""COMPUTED_VALUE"""),"No")</f>
        <v>No</v>
      </c>
      <c r="O201" s="1" t="str">
        <f>IFERROR(__xludf.DUMMYFUNCTION("""COMPUTED_VALUE"""),"WA ONLY, CALL")</f>
        <v>WA ONLY, CALL</v>
      </c>
      <c r="P201" s="1" t="str">
        <f>IFERROR(__xludf.DUMMYFUNCTION("""COMPUTED_VALUE"""),"Sir")</f>
        <v>Sir</v>
      </c>
      <c r="Q201" s="1" t="str">
        <f>IFERROR(__xludf.DUMMYFUNCTION("""COMPUTED_VALUE"""),"No")</f>
        <v>No</v>
      </c>
      <c r="R201" s="1" t="str">
        <f>IFERROR(__xludf.DUMMYFUNCTION("""COMPUTED_VALUE"""),"NEW WALK IN")</f>
        <v>NEW WALK IN</v>
      </c>
      <c r="S201" s="1"/>
    </row>
    <row r="202">
      <c r="A202" s="2">
        <f>IFERROR(__xludf.DUMMYFUNCTION("""COMPUTED_VALUE"""),45354.7340568287)</f>
        <v>45354.73406</v>
      </c>
      <c r="B202" s="1" t="str">
        <f>IFERROR(__xludf.DUMMYFUNCTION("""COMPUTED_VALUE"""),"Ritika")</f>
        <v>Ritika</v>
      </c>
      <c r="C202" s="1">
        <f>IFERROR(__xludf.DUMMYFUNCTION("""COMPUTED_VALUE"""),9.810500382E9)</f>
        <v>9810500382</v>
      </c>
      <c r="D202" s="1">
        <f>IFERROR(__xludf.DUMMYFUNCTION("""COMPUTED_VALUE"""),1.0)</f>
        <v>1</v>
      </c>
      <c r="E202" s="3">
        <f>IFERROR(__xludf.DUMMYFUNCTION("""COMPUTED_VALUE"""),0.6958333333313931)</f>
        <v>0.6958333333</v>
      </c>
      <c r="F202" s="1" t="str">
        <f>IFERROR(__xludf.DUMMYFUNCTION("""COMPUTED_VALUE"""),"Plain Gold")</f>
        <v>Plain Gold</v>
      </c>
      <c r="G202" s="1" t="str">
        <f>IFERROR(__xludf.DUMMYFUNCTION("""COMPUTED_VALUE"""),"Pooja")</f>
        <v>Pooja</v>
      </c>
      <c r="H202" s="1"/>
      <c r="I202" s="1" t="str">
        <f>IFERROR(__xludf.DUMMYFUNCTION("""COMPUTED_VALUE"""),"Visit Again in 1 Month")</f>
        <v>Visit Again in 1 Month</v>
      </c>
      <c r="J202" s="1"/>
      <c r="K202" s="3">
        <f>IFERROR(__xludf.DUMMYFUNCTION("""COMPUTED_VALUE"""),0.7097222222218988)</f>
        <v>0.7097222222</v>
      </c>
      <c r="L202" s="1" t="str">
        <f>IFERROR(__xludf.DUMMYFUNCTION("""COMPUTED_VALUE"""),"Yes")</f>
        <v>Yes</v>
      </c>
      <c r="M202" s="1" t="str">
        <f>IFERROR(__xludf.DUMMYFUNCTION("""COMPUTED_VALUE"""),"No")</f>
        <v>No</v>
      </c>
      <c r="N202" s="1" t="str">
        <f>IFERROR(__xludf.DUMMYFUNCTION("""COMPUTED_VALUE"""),"No")</f>
        <v>No</v>
      </c>
      <c r="O202" s="1" t="str">
        <f>IFERROR(__xludf.DUMMYFUNCTION("""COMPUTED_VALUE"""),"WA ONLY, CALL")</f>
        <v>WA ONLY, CALL</v>
      </c>
      <c r="P202" s="1" t="str">
        <f>IFERROR(__xludf.DUMMYFUNCTION("""COMPUTED_VALUE"""),"Madam")</f>
        <v>Madam</v>
      </c>
      <c r="Q202" s="1" t="str">
        <f>IFERROR(__xludf.DUMMYFUNCTION("""COMPUTED_VALUE"""),"No")</f>
        <v>No</v>
      </c>
      <c r="R202" s="1" t="str">
        <f>IFERROR(__xludf.DUMMYFUNCTION("""COMPUTED_VALUE"""),"NEW WALK IN")</f>
        <v>NEW WALK IN</v>
      </c>
      <c r="S202" s="1"/>
    </row>
    <row r="203">
      <c r="A203" s="2">
        <f>IFERROR(__xludf.DUMMYFUNCTION("""COMPUTED_VALUE"""),45354.7352246875)</f>
        <v>45354.73522</v>
      </c>
      <c r="B203" s="1" t="str">
        <f>IFERROR(__xludf.DUMMYFUNCTION("""COMPUTED_VALUE"""),"Ujwal")</f>
        <v>Ujwal</v>
      </c>
      <c r="C203" s="1">
        <f>IFERROR(__xludf.DUMMYFUNCTION("""COMPUTED_VALUE"""),8.08122676E9)</f>
        <v>8081226760</v>
      </c>
      <c r="D203" s="1">
        <f>IFERROR(__xludf.DUMMYFUNCTION("""COMPUTED_VALUE"""),1.0)</f>
        <v>1</v>
      </c>
      <c r="E203" s="3">
        <f>IFERROR(__xludf.DUMMYFUNCTION("""COMPUTED_VALUE"""),0.6944444444452529)</f>
        <v>0.6944444444</v>
      </c>
      <c r="F203" s="1" t="str">
        <f>IFERROR(__xludf.DUMMYFUNCTION("""COMPUTED_VALUE"""),"Diamond")</f>
        <v>Diamond</v>
      </c>
      <c r="G203" s="1" t="str">
        <f>IFERROR(__xludf.DUMMYFUNCTION("""COMPUTED_VALUE"""),"Bhumika")</f>
        <v>Bhumika</v>
      </c>
      <c r="H203" s="1"/>
      <c r="I203" s="1" t="str">
        <f>IFERROR(__xludf.DUMMYFUNCTION("""COMPUTED_VALUE"""),"Designs Not Liked")</f>
        <v>Designs Not Liked</v>
      </c>
      <c r="J203" s="1"/>
      <c r="K203" s="3">
        <f>IFERROR(__xludf.DUMMYFUNCTION("""COMPUTED_VALUE"""),0.71875)</f>
        <v>0.71875</v>
      </c>
      <c r="L203" s="1" t="str">
        <f>IFERROR(__xludf.DUMMYFUNCTION("""COMPUTED_VALUE"""),"Yes")</f>
        <v>Yes</v>
      </c>
      <c r="M203" s="1" t="str">
        <f>IFERROR(__xludf.DUMMYFUNCTION("""COMPUTED_VALUE"""),"No")</f>
        <v>No</v>
      </c>
      <c r="N203" s="1" t="str">
        <f>IFERROR(__xludf.DUMMYFUNCTION("""COMPUTED_VALUE"""),"No")</f>
        <v>No</v>
      </c>
      <c r="O203" s="1" t="str">
        <f>IFERROR(__xludf.DUMMYFUNCTION("""COMPUTED_VALUE"""),"WA ONLY, CALL")</f>
        <v>WA ONLY, CALL</v>
      </c>
      <c r="P203" s="1" t="str">
        <f>IFERROR(__xludf.DUMMYFUNCTION("""COMPUTED_VALUE"""),"Sir")</f>
        <v>Sir</v>
      </c>
      <c r="Q203" s="1" t="str">
        <f>IFERROR(__xludf.DUMMYFUNCTION("""COMPUTED_VALUE"""),"No")</f>
        <v>No</v>
      </c>
      <c r="R203" s="1" t="str">
        <f>IFERROR(__xludf.DUMMYFUNCTION("""COMPUTED_VALUE"""),"NEW WALK IN")</f>
        <v>NEW WALK IN</v>
      </c>
      <c r="S203" s="1"/>
    </row>
    <row r="204">
      <c r="A204" s="2">
        <f>IFERROR(__xludf.DUMMYFUNCTION("""COMPUTED_VALUE"""),45356.78218174769)</f>
        <v>45356.78218</v>
      </c>
      <c r="B204" s="1" t="str">
        <f>IFERROR(__xludf.DUMMYFUNCTION("""COMPUTED_VALUE"""),"Seema chawla ")</f>
        <v>Seema chawla </v>
      </c>
      <c r="C204" s="1">
        <f>IFERROR(__xludf.DUMMYFUNCTION("""COMPUTED_VALUE"""),9.818304747E9)</f>
        <v>9818304747</v>
      </c>
      <c r="D204" s="1">
        <f>IFERROR(__xludf.DUMMYFUNCTION("""COMPUTED_VALUE"""),1.0)</f>
        <v>1</v>
      </c>
      <c r="E204" s="3">
        <f>IFERROR(__xludf.DUMMYFUNCTION("""COMPUTED_VALUE"""),0.6138888888890506)</f>
        <v>0.6138888889</v>
      </c>
      <c r="F204" s="1" t="str">
        <f>IFERROR(__xludf.DUMMYFUNCTION("""COMPUTED_VALUE"""),"Diamond")</f>
        <v>Diamond</v>
      </c>
      <c r="G204" s="1" t="str">
        <f>IFERROR(__xludf.DUMMYFUNCTION("""COMPUTED_VALUE"""),"Pooja")</f>
        <v>Pooja</v>
      </c>
      <c r="H204" s="1"/>
      <c r="I204" s="1" t="str">
        <f>IFERROR(__xludf.DUMMYFUNCTION("""COMPUTED_VALUE"""),"Will ask family and come with them")</f>
        <v>Will ask family and come with them</v>
      </c>
      <c r="J204" s="1"/>
      <c r="K204" s="3">
        <f>IFERROR(__xludf.DUMMYFUNCTION("""COMPUTED_VALUE"""),0.6687499999970896)</f>
        <v>0.66875</v>
      </c>
      <c r="L204" s="1" t="str">
        <f>IFERROR(__xludf.DUMMYFUNCTION("""COMPUTED_VALUE"""),"Yes")</f>
        <v>Yes</v>
      </c>
      <c r="M204" s="1" t="str">
        <f>IFERROR(__xludf.DUMMYFUNCTION("""COMPUTED_VALUE"""),"Already done")</f>
        <v>Already done</v>
      </c>
      <c r="N204" s="1" t="str">
        <f>IFERROR(__xludf.DUMMYFUNCTION("""COMPUTED_VALUE"""),"Already done")</f>
        <v>Already done</v>
      </c>
      <c r="O204" s="1" t="str">
        <f>IFERROR(__xludf.DUMMYFUNCTION("""COMPUTED_VALUE"""),"WA ONLY, CALL")</f>
        <v>WA ONLY, CALL</v>
      </c>
      <c r="P204" s="1" t="str">
        <f>IFERROR(__xludf.DUMMYFUNCTION("""COMPUTED_VALUE"""),"Madam")</f>
        <v>Madam</v>
      </c>
      <c r="Q204" s="1" t="str">
        <f>IFERROR(__xludf.DUMMYFUNCTION("""COMPUTED_VALUE"""),"No")</f>
        <v>No</v>
      </c>
      <c r="R204" s="1" t="str">
        <f>IFERROR(__xludf.DUMMYFUNCTION("""COMPUTED_VALUE"""),"OLD")</f>
        <v>OLD</v>
      </c>
      <c r="S204" s="1"/>
    </row>
    <row r="205">
      <c r="A205" s="2">
        <f>IFERROR(__xludf.DUMMYFUNCTION("""COMPUTED_VALUE"""),45356.78335427083)</f>
        <v>45356.78335</v>
      </c>
      <c r="B205" s="1" t="str">
        <f>IFERROR(__xludf.DUMMYFUNCTION("""COMPUTED_VALUE"""),"Manan ")</f>
        <v>Manan </v>
      </c>
      <c r="C205" s="1">
        <f>IFERROR(__xludf.DUMMYFUNCTION("""COMPUTED_VALUE"""),9.810834236E9)</f>
        <v>9810834236</v>
      </c>
      <c r="D205" s="1">
        <f>IFERROR(__xludf.DUMMYFUNCTION("""COMPUTED_VALUE"""),1.0)</f>
        <v>1</v>
      </c>
      <c r="E205" s="3">
        <f>IFERROR(__xludf.DUMMYFUNCTION("""COMPUTED_VALUE"""),0.6263888888934162)</f>
        <v>0.6263888889</v>
      </c>
      <c r="F205" s="1" t="str">
        <f>IFERROR(__xludf.DUMMYFUNCTION("""COMPUTED_VALUE"""),"Antique Gold")</f>
        <v>Antique Gold</v>
      </c>
      <c r="G205" s="1" t="str">
        <f>IFERROR(__xludf.DUMMYFUNCTION("""COMPUTED_VALUE"""),"Bhumika")</f>
        <v>Bhumika</v>
      </c>
      <c r="H205" s="1" t="str">
        <f>IFERROR(__xludf.DUMMYFUNCTION("""COMPUTED_VALUE"""),"Diamond earing ")</f>
        <v>Diamond earing </v>
      </c>
      <c r="I205" s="1"/>
      <c r="J205" s="1"/>
      <c r="K205" s="3">
        <f>IFERROR(__xludf.DUMMYFUNCTION("""COMPUTED_VALUE"""),0.6652777777781012)</f>
        <v>0.6652777778</v>
      </c>
      <c r="L205" s="1" t="str">
        <f>IFERROR(__xludf.DUMMYFUNCTION("""COMPUTED_VALUE"""),"Yes")</f>
        <v>Yes</v>
      </c>
      <c r="M205" s="1" t="str">
        <f>IFERROR(__xludf.DUMMYFUNCTION("""COMPUTED_VALUE"""),"Already done")</f>
        <v>Already done</v>
      </c>
      <c r="N205" s="1" t="str">
        <f>IFERROR(__xludf.DUMMYFUNCTION("""COMPUTED_VALUE"""),"Already done")</f>
        <v>Already done</v>
      </c>
      <c r="O205" s="1" t="str">
        <f>IFERROR(__xludf.DUMMYFUNCTION("""COMPUTED_VALUE"""),"WA ONLY, CALL")</f>
        <v>WA ONLY, CALL</v>
      </c>
      <c r="P205" s="1" t="str">
        <f>IFERROR(__xludf.DUMMYFUNCTION("""COMPUTED_VALUE"""),"Sir")</f>
        <v>Sir</v>
      </c>
      <c r="Q205" s="1" t="str">
        <f>IFERROR(__xludf.DUMMYFUNCTION("""COMPUTED_VALUE"""),"No")</f>
        <v>No</v>
      </c>
      <c r="R205" s="1" t="str">
        <f>IFERROR(__xludf.DUMMYFUNCTION("""COMPUTED_VALUE"""),"OLD")</f>
        <v>OLD</v>
      </c>
      <c r="S205" s="1"/>
    </row>
    <row r="206">
      <c r="A206" s="2">
        <f>IFERROR(__xludf.DUMMYFUNCTION("""COMPUTED_VALUE"""),45357.830559027774)</f>
        <v>45357.83056</v>
      </c>
      <c r="B206" s="1" t="str">
        <f>IFERROR(__xludf.DUMMYFUNCTION("""COMPUTED_VALUE"""),"Bharat mehta")</f>
        <v>Bharat mehta</v>
      </c>
      <c r="C206" s="1">
        <f>IFERROR(__xludf.DUMMYFUNCTION("""COMPUTED_VALUE"""),7.838003571E9)</f>
        <v>7838003571</v>
      </c>
      <c r="D206" s="1">
        <f>IFERROR(__xludf.DUMMYFUNCTION("""COMPUTED_VALUE"""),1.0)</f>
        <v>1</v>
      </c>
      <c r="E206" s="3">
        <f>IFERROR(__xludf.DUMMYFUNCTION("""COMPUTED_VALUE"""),0.8138888888934162)</f>
        <v>0.8138888889</v>
      </c>
      <c r="F206" s="1" t="str">
        <f>IFERROR(__xludf.DUMMYFUNCTION("""COMPUTED_VALUE"""),"Plain Gold")</f>
        <v>Plain Gold</v>
      </c>
      <c r="G206" s="1" t="str">
        <f>IFERROR(__xludf.DUMMYFUNCTION("""COMPUTED_VALUE"""),"Bhumika")</f>
        <v>Bhumika</v>
      </c>
      <c r="H206" s="1" t="str">
        <f>IFERROR(__xludf.DUMMYFUNCTION("""COMPUTED_VALUE"""),"Gold mangal sutr")</f>
        <v>Gold mangal sutr</v>
      </c>
      <c r="I206" s="1"/>
      <c r="J206" s="1"/>
      <c r="K206" s="3">
        <f>IFERROR(__xludf.DUMMYFUNCTION("""COMPUTED_VALUE"""),0.8298611111094942)</f>
        <v>0.8298611111</v>
      </c>
      <c r="L206" s="1" t="str">
        <f>IFERROR(__xludf.DUMMYFUNCTION("""COMPUTED_VALUE"""),"Yes")</f>
        <v>Yes</v>
      </c>
      <c r="M206" s="1" t="str">
        <f>IFERROR(__xludf.DUMMYFUNCTION("""COMPUTED_VALUE"""),"Already done")</f>
        <v>Already done</v>
      </c>
      <c r="N206" s="1" t="str">
        <f>IFERROR(__xludf.DUMMYFUNCTION("""COMPUTED_VALUE"""),"Already done")</f>
        <v>Already done</v>
      </c>
      <c r="O206" s="1" t="str">
        <f>IFERROR(__xludf.DUMMYFUNCTION("""COMPUTED_VALUE"""),"WA ONLY, CALL")</f>
        <v>WA ONLY, CALL</v>
      </c>
      <c r="P206" s="1" t="str">
        <f>IFERROR(__xludf.DUMMYFUNCTION("""COMPUTED_VALUE"""),"Sir")</f>
        <v>Sir</v>
      </c>
      <c r="Q206" s="1" t="str">
        <f>IFERROR(__xludf.DUMMYFUNCTION("""COMPUTED_VALUE"""),"No")</f>
        <v>No</v>
      </c>
      <c r="R206" s="1" t="str">
        <f>IFERROR(__xludf.DUMMYFUNCTION("""COMPUTED_VALUE"""),"OLD")</f>
        <v>OLD</v>
      </c>
      <c r="S206" s="1"/>
    </row>
    <row r="207">
      <c r="A207" s="2">
        <f>IFERROR(__xludf.DUMMYFUNCTION("""COMPUTED_VALUE"""),45358.7487669213)</f>
        <v>45358.74877</v>
      </c>
      <c r="B207" s="1" t="str">
        <f>IFERROR(__xludf.DUMMYFUNCTION("""COMPUTED_VALUE"""),"Neha yadav")</f>
        <v>Neha yadav</v>
      </c>
      <c r="C207" s="1">
        <f>IFERROR(__xludf.DUMMYFUNCTION("""COMPUTED_VALUE"""),9.098649418E9)</f>
        <v>9098649418</v>
      </c>
      <c r="D207" s="1">
        <f>IFERROR(__xludf.DUMMYFUNCTION("""COMPUTED_VALUE"""),2.0)</f>
        <v>2</v>
      </c>
      <c r="E207" s="3">
        <f>IFERROR(__xludf.DUMMYFUNCTION("""COMPUTED_VALUE"""),0.8138888888934162)</f>
        <v>0.8138888889</v>
      </c>
      <c r="F207" s="1" t="str">
        <f>IFERROR(__xludf.DUMMYFUNCTION("""COMPUTED_VALUE"""),"Plain Gold")</f>
        <v>Plain Gold</v>
      </c>
      <c r="G207" s="1" t="str">
        <f>IFERROR(__xludf.DUMMYFUNCTION("""COMPUTED_VALUE"""),"Deepali")</f>
        <v>Deepali</v>
      </c>
      <c r="H207" s="1" t="str">
        <f>IFERROR(__xludf.DUMMYFUNCTION("""COMPUTED_VALUE"""),"Gold kids tops")</f>
        <v>Gold kids tops</v>
      </c>
      <c r="I207" s="1"/>
      <c r="J207" s="1"/>
      <c r="K207" s="3">
        <f>IFERROR(__xludf.DUMMYFUNCTION("""COMPUTED_VALUE"""),0.7069444444423425)</f>
        <v>0.7069444444</v>
      </c>
      <c r="L207" s="1" t="str">
        <f>IFERROR(__xludf.DUMMYFUNCTION("""COMPUTED_VALUE"""),"Yes")</f>
        <v>Yes</v>
      </c>
      <c r="M207" s="1" t="str">
        <f>IFERROR(__xludf.DUMMYFUNCTION("""COMPUTED_VALUE"""),"Yes")</f>
        <v>Yes</v>
      </c>
      <c r="N207" s="1" t="str">
        <f>IFERROR(__xludf.DUMMYFUNCTION("""COMPUTED_VALUE"""),"Yes")</f>
        <v>Yes</v>
      </c>
      <c r="O207" s="1" t="str">
        <f>IFERROR(__xludf.DUMMYFUNCTION("""COMPUTED_VALUE"""),"WA ONLY, CALL")</f>
        <v>WA ONLY, CALL</v>
      </c>
      <c r="P207" s="1" t="str">
        <f>IFERROR(__xludf.DUMMYFUNCTION("""COMPUTED_VALUE"""),"Madam")</f>
        <v>Madam</v>
      </c>
      <c r="Q207" s="1" t="str">
        <f>IFERROR(__xludf.DUMMYFUNCTION("""COMPUTED_VALUE"""),"No")</f>
        <v>No</v>
      </c>
      <c r="R207" s="1" t="str">
        <f>IFERROR(__xludf.DUMMYFUNCTION("""COMPUTED_VALUE"""),"NEW WALK IN")</f>
        <v>NEW WALK IN</v>
      </c>
      <c r="S207" s="1"/>
    </row>
    <row r="208">
      <c r="A208" s="2">
        <f>IFERROR(__xludf.DUMMYFUNCTION("""COMPUTED_VALUE"""),45358.75013541667)</f>
        <v>45358.75014</v>
      </c>
      <c r="B208" s="1" t="str">
        <f>IFERROR(__xludf.DUMMYFUNCTION("""COMPUTED_VALUE"""),"Pinky Seth ")</f>
        <v>Pinky Seth </v>
      </c>
      <c r="C208" s="1">
        <f>IFERROR(__xludf.DUMMYFUNCTION("""COMPUTED_VALUE"""),8.377873828E9)</f>
        <v>8377873828</v>
      </c>
      <c r="D208" s="1">
        <f>IFERROR(__xludf.DUMMYFUNCTION("""COMPUTED_VALUE"""),1.0)</f>
        <v>1</v>
      </c>
      <c r="E208" s="3">
        <f>IFERROR(__xludf.DUMMYFUNCTION("""COMPUTED_VALUE"""),0.7083333333357587)</f>
        <v>0.7083333333</v>
      </c>
      <c r="F208" s="1" t="str">
        <f>IFERROR(__xludf.DUMMYFUNCTION("""COMPUTED_VALUE"""),"Plain Gold")</f>
        <v>Plain Gold</v>
      </c>
      <c r="G208" s="1" t="str">
        <f>IFERROR(__xludf.DUMMYFUNCTION("""COMPUTED_VALUE"""),"Deepali")</f>
        <v>Deepali</v>
      </c>
      <c r="H208" s="1"/>
      <c r="I208" s="1" t="str">
        <f>IFERROR(__xludf.DUMMYFUNCTION("""COMPUTED_VALUE"""),"Diamond ring value ")</f>
        <v>Diamond ring value </v>
      </c>
      <c r="J208" s="1"/>
      <c r="K208" s="3">
        <f>IFERROR(__xludf.DUMMYFUNCTION("""COMPUTED_VALUE"""),0.7326388888905058)</f>
        <v>0.7326388889</v>
      </c>
      <c r="L208" s="1" t="str">
        <f>IFERROR(__xludf.DUMMYFUNCTION("""COMPUTED_VALUE"""),"Yes")</f>
        <v>Yes</v>
      </c>
      <c r="M208" s="1" t="str">
        <f>IFERROR(__xludf.DUMMYFUNCTION("""COMPUTED_VALUE"""),"No")</f>
        <v>No</v>
      </c>
      <c r="N208" s="1" t="str">
        <f>IFERROR(__xludf.DUMMYFUNCTION("""COMPUTED_VALUE"""),"No")</f>
        <v>No</v>
      </c>
      <c r="O208" s="1" t="str">
        <f>IFERROR(__xludf.DUMMYFUNCTION("""COMPUTED_VALUE"""),"WA ONLY, CALL")</f>
        <v>WA ONLY, CALL</v>
      </c>
      <c r="P208" s="1" t="str">
        <f>IFERROR(__xludf.DUMMYFUNCTION("""COMPUTED_VALUE"""),"Madam")</f>
        <v>Madam</v>
      </c>
      <c r="Q208" s="1" t="str">
        <f>IFERROR(__xludf.DUMMYFUNCTION("""COMPUTED_VALUE"""),"No")</f>
        <v>No</v>
      </c>
      <c r="R208" s="1" t="str">
        <f>IFERROR(__xludf.DUMMYFUNCTION("""COMPUTED_VALUE"""),"NEW WALK IN")</f>
        <v>NEW WALK IN</v>
      </c>
      <c r="S208" s="1"/>
    </row>
    <row r="209">
      <c r="A209" s="2">
        <f>IFERROR(__xludf.DUMMYFUNCTION("""COMPUTED_VALUE"""),45359.77834658565)</f>
        <v>45359.77835</v>
      </c>
      <c r="B209" s="1" t="str">
        <f>IFERROR(__xludf.DUMMYFUNCTION("""COMPUTED_VALUE"""),"Sanjay")</f>
        <v>Sanjay</v>
      </c>
      <c r="C209" s="1">
        <f>IFERROR(__xludf.DUMMYFUNCTION("""COMPUTED_VALUE"""),9.910138678E9)</f>
        <v>9910138678</v>
      </c>
      <c r="D209" s="1">
        <f>IFERROR(__xludf.DUMMYFUNCTION("""COMPUTED_VALUE"""),1.0)</f>
        <v>1</v>
      </c>
      <c r="E209" s="3">
        <f>IFERROR(__xludf.DUMMYFUNCTION("""COMPUTED_VALUE"""),0.48263888889050577)</f>
        <v>0.4826388889</v>
      </c>
      <c r="F209" s="1" t="str">
        <f>IFERROR(__xludf.DUMMYFUNCTION("""COMPUTED_VALUE"""),"Diamond")</f>
        <v>Diamond</v>
      </c>
      <c r="G209" s="1" t="str">
        <f>IFERROR(__xludf.DUMMYFUNCTION("""COMPUTED_VALUE"""),"Bhumika")</f>
        <v>Bhumika</v>
      </c>
      <c r="H209" s="1" t="str">
        <f>IFERROR(__xludf.DUMMYFUNCTION("""COMPUTED_VALUE"""),"Gents gold eing")</f>
        <v>Gents gold eing</v>
      </c>
      <c r="I209" s="1"/>
      <c r="J209" s="1"/>
      <c r="K209" s="3">
        <f>IFERROR(__xludf.DUMMYFUNCTION("""COMPUTED_VALUE"""),0.507638888884685)</f>
        <v>0.5076388889</v>
      </c>
      <c r="L209" s="1" t="str">
        <f>IFERROR(__xludf.DUMMYFUNCTION("""COMPUTED_VALUE"""),"Yes")</f>
        <v>Yes</v>
      </c>
      <c r="M209" s="1" t="str">
        <f>IFERROR(__xludf.DUMMYFUNCTION("""COMPUTED_VALUE"""),"Yes")</f>
        <v>Yes</v>
      </c>
      <c r="N209" s="1" t="str">
        <f>IFERROR(__xludf.DUMMYFUNCTION("""COMPUTED_VALUE"""),"Yes")</f>
        <v>Yes</v>
      </c>
      <c r="O209" s="1" t="str">
        <f>IFERROR(__xludf.DUMMYFUNCTION("""COMPUTED_VALUE"""),"WA ONLY, CALL")</f>
        <v>WA ONLY, CALL</v>
      </c>
      <c r="P209" s="1" t="str">
        <f>IFERROR(__xludf.DUMMYFUNCTION("""COMPUTED_VALUE"""),"Sir")</f>
        <v>Sir</v>
      </c>
      <c r="Q209" s="1" t="str">
        <f>IFERROR(__xludf.DUMMYFUNCTION("""COMPUTED_VALUE"""),"No")</f>
        <v>No</v>
      </c>
      <c r="R209" s="1" t="str">
        <f>IFERROR(__xludf.DUMMYFUNCTION("""COMPUTED_VALUE"""),"NEW WALK IN")</f>
        <v>NEW WALK IN</v>
      </c>
      <c r="S209" s="1"/>
    </row>
    <row r="210">
      <c r="A210" s="2">
        <f>IFERROR(__xludf.DUMMYFUNCTION("""COMPUTED_VALUE"""),45359.78017060185)</f>
        <v>45359.78017</v>
      </c>
      <c r="B210" s="1" t="str">
        <f>IFERROR(__xludf.DUMMYFUNCTION("""COMPUTED_VALUE"""),"Hasan")</f>
        <v>Hasan</v>
      </c>
      <c r="C210" s="1" t="str">
        <f>IFERROR(__xludf.DUMMYFUNCTION("""COMPUTED_VALUE"""),"+33751058354")</f>
        <v>+33751058354</v>
      </c>
      <c r="D210" s="1">
        <f>IFERROR(__xludf.DUMMYFUNCTION("""COMPUTED_VALUE"""),1.0)</f>
        <v>1</v>
      </c>
      <c r="E210" s="3">
        <f>IFERROR(__xludf.DUMMYFUNCTION("""COMPUTED_VALUE"""),0.5333333333328483)</f>
        <v>0.5333333333</v>
      </c>
      <c r="F210" s="1" t="str">
        <f>IFERROR(__xludf.DUMMYFUNCTION("""COMPUTED_VALUE"""),"Antique Gold")</f>
        <v>Antique Gold</v>
      </c>
      <c r="G210" s="1" t="str">
        <f>IFERROR(__xludf.DUMMYFUNCTION("""COMPUTED_VALUE"""),"Pooja")</f>
        <v>Pooja</v>
      </c>
      <c r="H210" s="1" t="str">
        <f>IFERROR(__xludf.DUMMYFUNCTION("""COMPUTED_VALUE"""),"2 gold ring, gold tops")</f>
        <v>2 gold ring, gold tops</v>
      </c>
      <c r="I210" s="1"/>
      <c r="J210" s="1"/>
      <c r="K210" s="3">
        <f>IFERROR(__xludf.DUMMYFUNCTION("""COMPUTED_VALUE"""),0.5840277777751908)</f>
        <v>0.5840277778</v>
      </c>
      <c r="L210" s="1" t="str">
        <f>IFERROR(__xludf.DUMMYFUNCTION("""COMPUTED_VALUE"""),"Yes")</f>
        <v>Yes</v>
      </c>
      <c r="M210" s="1" t="str">
        <f>IFERROR(__xludf.DUMMYFUNCTION("""COMPUTED_VALUE"""),"No")</f>
        <v>No</v>
      </c>
      <c r="N210" s="1" t="str">
        <f>IFERROR(__xludf.DUMMYFUNCTION("""COMPUTED_VALUE"""),"No")</f>
        <v>No</v>
      </c>
      <c r="O210" s="1" t="str">
        <f>IFERROR(__xludf.DUMMYFUNCTION("""COMPUTED_VALUE"""),"WA ONLY, CALL")</f>
        <v>WA ONLY, CALL</v>
      </c>
      <c r="P210" s="1" t="str">
        <f>IFERROR(__xludf.DUMMYFUNCTION("""COMPUTED_VALUE"""),"Sir")</f>
        <v>Sir</v>
      </c>
      <c r="Q210" s="1" t="str">
        <f>IFERROR(__xludf.DUMMYFUNCTION("""COMPUTED_VALUE"""),"No")</f>
        <v>No</v>
      </c>
      <c r="R210" s="1" t="str">
        <f>IFERROR(__xludf.DUMMYFUNCTION("""COMPUTED_VALUE"""),"NEW WALK IN")</f>
        <v>NEW WALK IN</v>
      </c>
      <c r="S210" s="1"/>
    </row>
    <row r="211">
      <c r="A211" s="2">
        <f>IFERROR(__xludf.DUMMYFUNCTION("""COMPUTED_VALUE"""),45359.79119116898)</f>
        <v>45359.79119</v>
      </c>
      <c r="B211" s="1" t="str">
        <f>IFERROR(__xludf.DUMMYFUNCTION("""COMPUTED_VALUE"""),"Sakshi")</f>
        <v>Sakshi</v>
      </c>
      <c r="C211" s="1">
        <f>IFERROR(__xludf.DUMMYFUNCTION("""COMPUTED_VALUE"""),9.958029273E9)</f>
        <v>9958029273</v>
      </c>
      <c r="D211" s="1">
        <f>IFERROR(__xludf.DUMMYFUNCTION("""COMPUTED_VALUE"""),1.0)</f>
        <v>1</v>
      </c>
      <c r="E211" s="3">
        <f>IFERROR(__xludf.DUMMYFUNCTION("""COMPUTED_VALUE"""),0.6881944444467081)</f>
        <v>0.6881944444</v>
      </c>
      <c r="F211" s="1" t="str">
        <f>IFERROR(__xludf.DUMMYFUNCTION("""COMPUTED_VALUE"""),"Antique Gold")</f>
        <v>Antique Gold</v>
      </c>
      <c r="G211" s="1" t="str">
        <f>IFERROR(__xludf.DUMMYFUNCTION("""COMPUTED_VALUE"""),"Pooja")</f>
        <v>Pooja</v>
      </c>
      <c r="H211" s="1"/>
      <c r="I211" s="1" t="str">
        <f>IFERROR(__xludf.DUMMYFUNCTION("""COMPUTED_VALUE"""),"Will ask family and come with them")</f>
        <v>Will ask family and come with them</v>
      </c>
      <c r="J211" s="1"/>
      <c r="K211" s="3">
        <f>IFERROR(__xludf.DUMMYFUNCTION("""COMPUTED_VALUE"""),0.7486111111065838)</f>
        <v>0.7486111111</v>
      </c>
      <c r="L211" s="1" t="str">
        <f>IFERROR(__xludf.DUMMYFUNCTION("""COMPUTED_VALUE"""),"Yes")</f>
        <v>Yes</v>
      </c>
      <c r="M211" s="1" t="str">
        <f>IFERROR(__xludf.DUMMYFUNCTION("""COMPUTED_VALUE"""),"No")</f>
        <v>No</v>
      </c>
      <c r="N211" s="1" t="str">
        <f>IFERROR(__xludf.DUMMYFUNCTION("""COMPUTED_VALUE"""),"No")</f>
        <v>No</v>
      </c>
      <c r="O211" s="1" t="str">
        <f>IFERROR(__xludf.DUMMYFUNCTION("""COMPUTED_VALUE"""),"WA ONLY, CALL")</f>
        <v>WA ONLY, CALL</v>
      </c>
      <c r="P211" s="1" t="str">
        <f>IFERROR(__xludf.DUMMYFUNCTION("""COMPUTED_VALUE"""),"Madam")</f>
        <v>Madam</v>
      </c>
      <c r="Q211" s="1" t="str">
        <f>IFERROR(__xludf.DUMMYFUNCTION("""COMPUTED_VALUE"""),"No")</f>
        <v>No</v>
      </c>
      <c r="R211" s="1" t="str">
        <f>IFERROR(__xludf.DUMMYFUNCTION("""COMPUTED_VALUE"""),"NEW WALK IN")</f>
        <v>NEW WALK IN</v>
      </c>
      <c r="S211" s="1"/>
    </row>
    <row r="212">
      <c r="A212" s="2">
        <f>IFERROR(__xludf.DUMMYFUNCTION("""COMPUTED_VALUE"""),45359.79235405092)</f>
        <v>45359.79235</v>
      </c>
      <c r="B212" s="1" t="str">
        <f>IFERROR(__xludf.DUMMYFUNCTION("""COMPUTED_VALUE"""),"Mehak")</f>
        <v>Mehak</v>
      </c>
      <c r="C212" s="1">
        <f>IFERROR(__xludf.DUMMYFUNCTION("""COMPUTED_VALUE"""),9.717383278E9)</f>
        <v>9717383278</v>
      </c>
      <c r="D212" s="1">
        <f>IFERROR(__xludf.DUMMYFUNCTION("""COMPUTED_VALUE"""),2.0)</f>
        <v>2</v>
      </c>
      <c r="E212" s="3">
        <f>IFERROR(__xludf.DUMMYFUNCTION("""COMPUTED_VALUE"""),0.6937499999985448)</f>
        <v>0.69375</v>
      </c>
      <c r="F212" s="1" t="str">
        <f>IFERROR(__xludf.DUMMYFUNCTION("""COMPUTED_VALUE"""),"Diamond")</f>
        <v>Diamond</v>
      </c>
      <c r="G212" s="1" t="str">
        <f>IFERROR(__xludf.DUMMYFUNCTION("""COMPUTED_VALUE"""),"Bhumika")</f>
        <v>Bhumika</v>
      </c>
      <c r="H212" s="1" t="str">
        <f>IFERROR(__xludf.DUMMYFUNCTION("""COMPUTED_VALUE"""),"One diamond set")</f>
        <v>One diamond set</v>
      </c>
      <c r="I212" s="1"/>
      <c r="J212" s="1" t="str">
        <f>IFERROR(__xludf.DUMMYFUNCTION("""COMPUTED_VALUE"""),"5000 per month LUCKY DRAW 7 EVERY MONTH")</f>
        <v>5000 per month LUCKY DRAW 7 EVERY MONTH</v>
      </c>
      <c r="K212" s="3">
        <f>IFERROR(__xludf.DUMMYFUNCTION("""COMPUTED_VALUE"""),0.7618055555576575)</f>
        <v>0.7618055556</v>
      </c>
      <c r="L212" s="1" t="str">
        <f>IFERROR(__xludf.DUMMYFUNCTION("""COMPUTED_VALUE"""),"Yes")</f>
        <v>Yes</v>
      </c>
      <c r="M212" s="1" t="str">
        <f>IFERROR(__xludf.DUMMYFUNCTION("""COMPUTED_VALUE"""),"Yes")</f>
        <v>Yes</v>
      </c>
      <c r="N212" s="1" t="str">
        <f>IFERROR(__xludf.DUMMYFUNCTION("""COMPUTED_VALUE"""),"Yes")</f>
        <v>Yes</v>
      </c>
      <c r="O212" s="1" t="str">
        <f>IFERROR(__xludf.DUMMYFUNCTION("""COMPUTED_VALUE"""),"WA ONLY, CALL")</f>
        <v>WA ONLY, CALL</v>
      </c>
      <c r="P212" s="1" t="str">
        <f>IFERROR(__xludf.DUMMYFUNCTION("""COMPUTED_VALUE"""),"Madam")</f>
        <v>Madam</v>
      </c>
      <c r="Q212" s="1" t="str">
        <f>IFERROR(__xludf.DUMMYFUNCTION("""COMPUTED_VALUE"""),"Yes")</f>
        <v>Yes</v>
      </c>
      <c r="R212" s="1" t="str">
        <f>IFERROR(__xludf.DUMMYFUNCTION("""COMPUTED_VALUE"""),"OLD")</f>
        <v>OLD</v>
      </c>
      <c r="S212" s="1"/>
    </row>
    <row r="213">
      <c r="A213" s="2">
        <f>IFERROR(__xludf.DUMMYFUNCTION("""COMPUTED_VALUE"""),45359.79794559028)</f>
        <v>45359.79795</v>
      </c>
      <c r="B213" s="1" t="str">
        <f>IFERROR(__xludf.DUMMYFUNCTION("""COMPUTED_VALUE"""),"Javed aslam ansari")</f>
        <v>Javed aslam ansari</v>
      </c>
      <c r="C213" s="1">
        <f>IFERROR(__xludf.DUMMYFUNCTION("""COMPUTED_VALUE"""),9.891184192E9)</f>
        <v>9891184192</v>
      </c>
      <c r="D213" s="1">
        <f>IFERROR(__xludf.DUMMYFUNCTION("""COMPUTED_VALUE"""),2.0)</f>
        <v>2</v>
      </c>
      <c r="E213" s="3">
        <f>IFERROR(__xludf.DUMMYFUNCTION("""COMPUTED_VALUE"""),0.7222222222189885)</f>
        <v>0.7222222222</v>
      </c>
      <c r="F213" s="1" t="str">
        <f>IFERROR(__xludf.DUMMYFUNCTION("""COMPUTED_VALUE"""),"Antique Gold")</f>
        <v>Antique Gold</v>
      </c>
      <c r="G213" s="1" t="str">
        <f>IFERROR(__xludf.DUMMYFUNCTION("""COMPUTED_VALUE"""),"Pooja")</f>
        <v>Pooja</v>
      </c>
      <c r="H213" s="1" t="str">
        <f>IFERROR(__xludf.DUMMYFUNCTION("""COMPUTED_VALUE"""),"Gold tops")</f>
        <v>Gold tops</v>
      </c>
      <c r="I213" s="1"/>
      <c r="J213" s="1"/>
      <c r="K213" s="3">
        <f>IFERROR(__xludf.DUMMYFUNCTION("""COMPUTED_VALUE"""),0.7944444444437977)</f>
        <v>0.7944444444</v>
      </c>
      <c r="L213" s="1" t="str">
        <f>IFERROR(__xludf.DUMMYFUNCTION("""COMPUTED_VALUE"""),"Yes")</f>
        <v>Yes</v>
      </c>
      <c r="M213" s="1" t="str">
        <f>IFERROR(__xludf.DUMMYFUNCTION("""COMPUTED_VALUE"""),"No")</f>
        <v>No</v>
      </c>
      <c r="N213" s="1" t="str">
        <f>IFERROR(__xludf.DUMMYFUNCTION("""COMPUTED_VALUE"""),"No")</f>
        <v>No</v>
      </c>
      <c r="O213" s="1" t="str">
        <f>IFERROR(__xludf.DUMMYFUNCTION("""COMPUTED_VALUE"""),"WA ONLY, CALL")</f>
        <v>WA ONLY, CALL</v>
      </c>
      <c r="P213" s="1" t="str">
        <f>IFERROR(__xludf.DUMMYFUNCTION("""COMPUTED_VALUE"""),"Sir")</f>
        <v>Sir</v>
      </c>
      <c r="Q213" s="1" t="str">
        <f>IFERROR(__xludf.DUMMYFUNCTION("""COMPUTED_VALUE"""),"Yes")</f>
        <v>Yes</v>
      </c>
      <c r="R213" s="1" t="str">
        <f>IFERROR(__xludf.DUMMYFUNCTION("""COMPUTED_VALUE"""),"NEW WALK IN")</f>
        <v>NEW WALK IN</v>
      </c>
      <c r="S213" s="1"/>
    </row>
    <row r="214">
      <c r="A214" s="2">
        <f>IFERROR(__xludf.DUMMYFUNCTION("""COMPUTED_VALUE"""),45359.82601412037)</f>
        <v>45359.82601</v>
      </c>
      <c r="B214" s="1" t="str">
        <f>IFERROR(__xludf.DUMMYFUNCTION("""COMPUTED_VALUE"""),"Annu")</f>
        <v>Annu</v>
      </c>
      <c r="C214" s="1">
        <f>IFERROR(__xludf.DUMMYFUNCTION("""COMPUTED_VALUE"""),9.212674929E9)</f>
        <v>9212674929</v>
      </c>
      <c r="D214" s="1">
        <f>IFERROR(__xludf.DUMMYFUNCTION("""COMPUTED_VALUE"""),1.0)</f>
        <v>1</v>
      </c>
      <c r="E214" s="3">
        <f>IFERROR(__xludf.DUMMYFUNCTION("""COMPUTED_VALUE"""),0.7083333333357587)</f>
        <v>0.7083333333</v>
      </c>
      <c r="F214" s="1" t="str">
        <f>IFERROR(__xludf.DUMMYFUNCTION("""COMPUTED_VALUE"""),"Diamond")</f>
        <v>Diamond</v>
      </c>
      <c r="G214" s="1" t="str">
        <f>IFERROR(__xludf.DUMMYFUNCTION("""COMPUTED_VALUE"""),"Bhumika")</f>
        <v>Bhumika</v>
      </c>
      <c r="H214" s="1" t="str">
        <f>IFERROR(__xludf.DUMMYFUNCTION("""COMPUTED_VALUE"""),"Gold chain")</f>
        <v>Gold chain</v>
      </c>
      <c r="I214" s="1"/>
      <c r="J214" s="1" t="str">
        <f>IFERROR(__xludf.DUMMYFUNCTION("""COMPUTED_VALUE"""),"5000 per month LUCKY DRAW 7 EVERY MONTH")</f>
        <v>5000 per month LUCKY DRAW 7 EVERY MONTH</v>
      </c>
      <c r="K214" s="3">
        <f>IFERROR(__xludf.DUMMYFUNCTION("""COMPUTED_VALUE"""),0.8020833333357587)</f>
        <v>0.8020833333</v>
      </c>
      <c r="L214" s="1" t="str">
        <f>IFERROR(__xludf.DUMMYFUNCTION("""COMPUTED_VALUE"""),"Yes")</f>
        <v>Yes</v>
      </c>
      <c r="M214" s="1" t="str">
        <f>IFERROR(__xludf.DUMMYFUNCTION("""COMPUTED_VALUE"""),"Already done")</f>
        <v>Already done</v>
      </c>
      <c r="N214" s="1" t="str">
        <f>IFERROR(__xludf.DUMMYFUNCTION("""COMPUTED_VALUE"""),"Already done")</f>
        <v>Already done</v>
      </c>
      <c r="O214" s="1" t="str">
        <f>IFERROR(__xludf.DUMMYFUNCTION("""COMPUTED_VALUE"""),"WA ONLY, OWNER CONTACT ONLY, CALL")</f>
        <v>WA ONLY, OWNER CONTACT ONLY, CALL</v>
      </c>
      <c r="P214" s="1" t="str">
        <f>IFERROR(__xludf.DUMMYFUNCTION("""COMPUTED_VALUE"""),"Madam")</f>
        <v>Madam</v>
      </c>
      <c r="Q214" s="1" t="str">
        <f>IFERROR(__xludf.DUMMYFUNCTION("""COMPUTED_VALUE"""),"Yes")</f>
        <v>Yes</v>
      </c>
      <c r="R214" s="1" t="str">
        <f>IFERROR(__xludf.DUMMYFUNCTION("""COMPUTED_VALUE"""),"OLD")</f>
        <v>OLD</v>
      </c>
      <c r="S214" s="1"/>
    </row>
    <row r="215">
      <c r="A215" s="2">
        <f>IFERROR(__xludf.DUMMYFUNCTION("""COMPUTED_VALUE"""),45360.74631149306)</f>
        <v>45360.74631</v>
      </c>
      <c r="B215" s="1" t="str">
        <f>IFERROR(__xludf.DUMMYFUNCTION("""COMPUTED_VALUE"""),"Sakshi")</f>
        <v>Sakshi</v>
      </c>
      <c r="C215" s="1">
        <f>IFERROR(__xludf.DUMMYFUNCTION("""COMPUTED_VALUE"""),9.958029273E9)</f>
        <v>9958029273</v>
      </c>
      <c r="D215" s="1">
        <f>IFERROR(__xludf.DUMMYFUNCTION("""COMPUTED_VALUE"""),3.0)</f>
        <v>3</v>
      </c>
      <c r="E215" s="3">
        <f>IFERROR(__xludf.DUMMYFUNCTION("""COMPUTED_VALUE"""),0.75)</f>
        <v>0.75</v>
      </c>
      <c r="F215" s="1" t="str">
        <f>IFERROR(__xludf.DUMMYFUNCTION("""COMPUTED_VALUE"""),"Antique Gold")</f>
        <v>Antique Gold</v>
      </c>
      <c r="G215" s="1" t="str">
        <f>IFERROR(__xludf.DUMMYFUNCTION("""COMPUTED_VALUE"""),"Pooja")</f>
        <v>Pooja</v>
      </c>
      <c r="H215" s="1" t="str">
        <f>IFERROR(__xludf.DUMMYFUNCTION("""COMPUTED_VALUE"""),"Gold set diamond ring")</f>
        <v>Gold set diamond ring</v>
      </c>
      <c r="I215" s="1"/>
      <c r="J215" s="1"/>
      <c r="K215" s="3">
        <f>IFERROR(__xludf.DUMMYFUNCTION("""COMPUTED_VALUE"""),0.8333333333357587)</f>
        <v>0.8333333333</v>
      </c>
      <c r="L215" s="1" t="str">
        <f>IFERROR(__xludf.DUMMYFUNCTION("""COMPUTED_VALUE"""),"Yes")</f>
        <v>Yes</v>
      </c>
      <c r="M215" s="1" t="str">
        <f>IFERROR(__xludf.DUMMYFUNCTION("""COMPUTED_VALUE"""),"Yes")</f>
        <v>Yes</v>
      </c>
      <c r="N215" s="1" t="str">
        <f>IFERROR(__xludf.DUMMYFUNCTION("""COMPUTED_VALUE"""),"Yes")</f>
        <v>Yes</v>
      </c>
      <c r="O215" s="1" t="str">
        <f>IFERROR(__xludf.DUMMYFUNCTION("""COMPUTED_VALUE"""),"WA ONLY, CALL")</f>
        <v>WA ONLY, CALL</v>
      </c>
      <c r="P215" s="1" t="str">
        <f>IFERROR(__xludf.DUMMYFUNCTION("""COMPUTED_VALUE"""),"Madam")</f>
        <v>Madam</v>
      </c>
      <c r="Q215" s="1" t="str">
        <f>IFERROR(__xludf.DUMMYFUNCTION("""COMPUTED_VALUE"""),"No")</f>
        <v>No</v>
      </c>
      <c r="R215" s="1" t="str">
        <f>IFERROR(__xludf.DUMMYFUNCTION("""COMPUTED_VALUE"""),"NEW WALK IN")</f>
        <v>NEW WALK IN</v>
      </c>
      <c r="S215" s="1"/>
    </row>
    <row r="216">
      <c r="A216" s="2">
        <f>IFERROR(__xludf.DUMMYFUNCTION("""COMPUTED_VALUE"""),45360.74757739583)</f>
        <v>45360.74758</v>
      </c>
      <c r="B216" s="1" t="str">
        <f>IFERROR(__xludf.DUMMYFUNCTION("""COMPUTED_VALUE"""),"Vivek")</f>
        <v>Vivek</v>
      </c>
      <c r="C216" s="1">
        <f>IFERROR(__xludf.DUMMYFUNCTION("""COMPUTED_VALUE"""),9.13193441E9)</f>
        <v>9131934410</v>
      </c>
      <c r="D216" s="1">
        <f>IFERROR(__xludf.DUMMYFUNCTION("""COMPUTED_VALUE"""),1.0)</f>
        <v>1</v>
      </c>
      <c r="E216" s="3">
        <f>IFERROR(__xludf.DUMMYFUNCTION("""COMPUTED_VALUE"""),0.5187500000029104)</f>
        <v>0.51875</v>
      </c>
      <c r="F216" s="1" t="str">
        <f>IFERROR(__xludf.DUMMYFUNCTION("""COMPUTED_VALUE"""),"Antique Gold")</f>
        <v>Antique Gold</v>
      </c>
      <c r="G216" s="1" t="str">
        <f>IFERROR(__xludf.DUMMYFUNCTION("""COMPUTED_VALUE"""),"Pooja")</f>
        <v>Pooja</v>
      </c>
      <c r="H216" s="1" t="str">
        <f>IFERROR(__xludf.DUMMYFUNCTION("""COMPUTED_VALUE"""),"Ledis gold ring")</f>
        <v>Ledis gold ring</v>
      </c>
      <c r="I216" s="1"/>
      <c r="J216" s="1"/>
      <c r="K216" s="3">
        <f>IFERROR(__xludf.DUMMYFUNCTION("""COMPUTED_VALUE"""),0.547222222223354)</f>
        <v>0.5472222222</v>
      </c>
      <c r="L216" s="1" t="str">
        <f>IFERROR(__xludf.DUMMYFUNCTION("""COMPUTED_VALUE"""),"Yes")</f>
        <v>Yes</v>
      </c>
      <c r="M216" s="1" t="str">
        <f>IFERROR(__xludf.DUMMYFUNCTION("""COMPUTED_VALUE"""),"Yes")</f>
        <v>Yes</v>
      </c>
      <c r="N216" s="1" t="str">
        <f>IFERROR(__xludf.DUMMYFUNCTION("""COMPUTED_VALUE"""),"No")</f>
        <v>No</v>
      </c>
      <c r="O216" s="1" t="str">
        <f>IFERROR(__xludf.DUMMYFUNCTION("""COMPUTED_VALUE"""),"WA ONLY, CALL")</f>
        <v>WA ONLY, CALL</v>
      </c>
      <c r="P216" s="1" t="str">
        <f>IFERROR(__xludf.DUMMYFUNCTION("""COMPUTED_VALUE"""),"Sir")</f>
        <v>Sir</v>
      </c>
      <c r="Q216" s="1" t="str">
        <f>IFERROR(__xludf.DUMMYFUNCTION("""COMPUTED_VALUE"""),"No")</f>
        <v>No</v>
      </c>
      <c r="R216" s="1" t="str">
        <f>IFERROR(__xludf.DUMMYFUNCTION("""COMPUTED_VALUE"""),"NEW WALK IN")</f>
        <v>NEW WALK IN</v>
      </c>
      <c r="S216" s="1"/>
    </row>
    <row r="217">
      <c r="A217" s="2">
        <f>IFERROR(__xludf.DUMMYFUNCTION("""COMPUTED_VALUE"""),45360.74865025463)</f>
        <v>45360.74865</v>
      </c>
      <c r="B217" s="1" t="str">
        <f>IFERROR(__xludf.DUMMYFUNCTION("""COMPUTED_VALUE"""),"Javed aslam ansari")</f>
        <v>Javed aslam ansari</v>
      </c>
      <c r="C217" s="1">
        <f>IFERROR(__xludf.DUMMYFUNCTION("""COMPUTED_VALUE"""),9.891184192E9)</f>
        <v>9891184192</v>
      </c>
      <c r="D217" s="1">
        <f>IFERROR(__xludf.DUMMYFUNCTION("""COMPUTED_VALUE"""),2.0)</f>
        <v>2</v>
      </c>
      <c r="E217" s="3">
        <f>IFERROR(__xludf.DUMMYFUNCTION("""COMPUTED_VALUE"""),0.6069444444437977)</f>
        <v>0.6069444444</v>
      </c>
      <c r="F217" s="1" t="str">
        <f>IFERROR(__xludf.DUMMYFUNCTION("""COMPUTED_VALUE"""),"Antique Gold")</f>
        <v>Antique Gold</v>
      </c>
      <c r="G217" s="1" t="str">
        <f>IFERROR(__xludf.DUMMYFUNCTION("""COMPUTED_VALUE"""),"Pooja")</f>
        <v>Pooja</v>
      </c>
      <c r="H217" s="1" t="str">
        <f>IFERROR(__xludf.DUMMYFUNCTION("""COMPUTED_VALUE"""),"Gold ring")</f>
        <v>Gold ring</v>
      </c>
      <c r="I217" s="1"/>
      <c r="J217" s="1"/>
      <c r="K217" s="3">
        <f>IFERROR(__xludf.DUMMYFUNCTION("""COMPUTED_VALUE"""),0.6555555555532919)</f>
        <v>0.6555555556</v>
      </c>
      <c r="L217" s="1" t="str">
        <f>IFERROR(__xludf.DUMMYFUNCTION("""COMPUTED_VALUE"""),"Yes")</f>
        <v>Yes</v>
      </c>
      <c r="M217" s="1" t="str">
        <f>IFERROR(__xludf.DUMMYFUNCTION("""COMPUTED_VALUE"""),"Yes")</f>
        <v>Yes</v>
      </c>
      <c r="N217" s="1" t="str">
        <f>IFERROR(__xludf.DUMMYFUNCTION("""COMPUTED_VALUE"""),"Yes")</f>
        <v>Yes</v>
      </c>
      <c r="O217" s="1" t="str">
        <f>IFERROR(__xludf.DUMMYFUNCTION("""COMPUTED_VALUE"""),"OWNER CONTACT ONLY, CALL")</f>
        <v>OWNER CONTACT ONLY, CALL</v>
      </c>
      <c r="P217" s="1" t="str">
        <f>IFERROR(__xludf.DUMMYFUNCTION("""COMPUTED_VALUE"""),"Sir")</f>
        <v>Sir</v>
      </c>
      <c r="Q217" s="1" t="str">
        <f>IFERROR(__xludf.DUMMYFUNCTION("""COMPUTED_VALUE"""),"No")</f>
        <v>No</v>
      </c>
      <c r="R217" s="1" t="str">
        <f>IFERROR(__xludf.DUMMYFUNCTION("""COMPUTED_VALUE"""),"NEW WALK IN")</f>
        <v>NEW WALK IN</v>
      </c>
      <c r="S217" s="1"/>
    </row>
    <row r="218">
      <c r="A218" s="2">
        <f>IFERROR(__xludf.DUMMYFUNCTION("""COMPUTED_VALUE"""),45360.74949505787)</f>
        <v>45360.7495</v>
      </c>
      <c r="B218" s="1" t="str">
        <f>IFERROR(__xludf.DUMMYFUNCTION("""COMPUTED_VALUE"""),"Raj")</f>
        <v>Raj</v>
      </c>
      <c r="C218" s="1">
        <f>IFERROR(__xludf.DUMMYFUNCTION("""COMPUTED_VALUE"""),8.375030384E9)</f>
        <v>8375030384</v>
      </c>
      <c r="D218" s="1">
        <f>IFERROR(__xludf.DUMMYFUNCTION("""COMPUTED_VALUE"""),2.0)</f>
        <v>2</v>
      </c>
      <c r="E218" s="3">
        <f>IFERROR(__xludf.DUMMYFUNCTION("""COMPUTED_VALUE"""),0.7375000000029104)</f>
        <v>0.7375</v>
      </c>
      <c r="F218" s="1" t="str">
        <f>IFERROR(__xludf.DUMMYFUNCTION("""COMPUTED_VALUE"""),"Antique Gold")</f>
        <v>Antique Gold</v>
      </c>
      <c r="G218" s="1" t="str">
        <f>IFERROR(__xludf.DUMMYFUNCTION("""COMPUTED_VALUE"""),"Deepali")</f>
        <v>Deepali</v>
      </c>
      <c r="H218" s="1"/>
      <c r="I218" s="1" t="str">
        <f>IFERROR(__xludf.DUMMYFUNCTION("""COMPUTED_VALUE"""),"Designs Not Liked")</f>
        <v>Designs Not Liked</v>
      </c>
      <c r="J218" s="1"/>
      <c r="K218" s="3">
        <f>IFERROR(__xludf.DUMMYFUNCTION("""COMPUTED_VALUE"""),0.7409722222218988)</f>
        <v>0.7409722222</v>
      </c>
      <c r="L218" s="1" t="str">
        <f>IFERROR(__xludf.DUMMYFUNCTION("""COMPUTED_VALUE"""),"Yes")</f>
        <v>Yes</v>
      </c>
      <c r="M218" s="1" t="str">
        <f>IFERROR(__xludf.DUMMYFUNCTION("""COMPUTED_VALUE"""),"No")</f>
        <v>No</v>
      </c>
      <c r="N218" s="1" t="str">
        <f>IFERROR(__xludf.DUMMYFUNCTION("""COMPUTED_VALUE"""),"No")</f>
        <v>No</v>
      </c>
      <c r="O218" s="1" t="str">
        <f>IFERROR(__xludf.DUMMYFUNCTION("""COMPUTED_VALUE"""),"WA ONLY, CALL")</f>
        <v>WA ONLY, CALL</v>
      </c>
      <c r="P218" s="1" t="str">
        <f>IFERROR(__xludf.DUMMYFUNCTION("""COMPUTED_VALUE"""),"Sir")</f>
        <v>Sir</v>
      </c>
      <c r="Q218" s="1" t="str">
        <f>IFERROR(__xludf.DUMMYFUNCTION("""COMPUTED_VALUE"""),"No")</f>
        <v>No</v>
      </c>
      <c r="R218" s="1" t="str">
        <f>IFERROR(__xludf.DUMMYFUNCTION("""COMPUTED_VALUE"""),"NEW WALK IN")</f>
        <v>NEW WALK IN</v>
      </c>
      <c r="S218" s="1"/>
    </row>
    <row r="219">
      <c r="A219" s="2">
        <f>IFERROR(__xludf.DUMMYFUNCTION("""COMPUTED_VALUE"""),45360.76158475694)</f>
        <v>45360.76158</v>
      </c>
      <c r="B219" s="1" t="str">
        <f>IFERROR(__xludf.DUMMYFUNCTION("""COMPUTED_VALUE"""),"Sameer")</f>
        <v>Sameer</v>
      </c>
      <c r="C219" s="1">
        <f>IFERROR(__xludf.DUMMYFUNCTION("""COMPUTED_VALUE"""),9.958509653E9)</f>
        <v>9958509653</v>
      </c>
      <c r="D219" s="1">
        <f>IFERROR(__xludf.DUMMYFUNCTION("""COMPUTED_VALUE"""),1.0)</f>
        <v>1</v>
      </c>
      <c r="E219" s="3">
        <f>IFERROR(__xludf.DUMMYFUNCTION("""COMPUTED_VALUE"""),0.7541666666656965)</f>
        <v>0.7541666667</v>
      </c>
      <c r="F219" s="1" t="str">
        <f>IFERROR(__xludf.DUMMYFUNCTION("""COMPUTED_VALUE"""),"Antique Gold")</f>
        <v>Antique Gold</v>
      </c>
      <c r="G219" s="1" t="str">
        <f>IFERROR(__xludf.DUMMYFUNCTION("""COMPUTED_VALUE"""),"Deepali")</f>
        <v>Deepali</v>
      </c>
      <c r="H219" s="1"/>
      <c r="I219" s="1" t="str">
        <f>IFERROR(__xludf.DUMMYFUNCTION("""COMPUTED_VALUE"""),"Want to see More Variety")</f>
        <v>Want to see More Variety</v>
      </c>
      <c r="J219" s="1"/>
      <c r="K219" s="3">
        <f>IFERROR(__xludf.DUMMYFUNCTION("""COMPUTED_VALUE"""),0.757638888884685)</f>
        <v>0.7576388889</v>
      </c>
      <c r="L219" s="1" t="str">
        <f>IFERROR(__xludf.DUMMYFUNCTION("""COMPUTED_VALUE"""),"Yes")</f>
        <v>Yes</v>
      </c>
      <c r="M219" s="1" t="str">
        <f>IFERROR(__xludf.DUMMYFUNCTION("""COMPUTED_VALUE"""),"No")</f>
        <v>No</v>
      </c>
      <c r="N219" s="1" t="str">
        <f>IFERROR(__xludf.DUMMYFUNCTION("""COMPUTED_VALUE"""),"No")</f>
        <v>No</v>
      </c>
      <c r="O219" s="1" t="str">
        <f>IFERROR(__xludf.DUMMYFUNCTION("""COMPUTED_VALUE"""),"WA ONLY, CALL")</f>
        <v>WA ONLY, CALL</v>
      </c>
      <c r="P219" s="1" t="str">
        <f>IFERROR(__xludf.DUMMYFUNCTION("""COMPUTED_VALUE"""),"Sir")</f>
        <v>Sir</v>
      </c>
      <c r="Q219" s="1" t="str">
        <f>IFERROR(__xludf.DUMMYFUNCTION("""COMPUTED_VALUE"""),"No")</f>
        <v>No</v>
      </c>
      <c r="R219" s="1" t="str">
        <f>IFERROR(__xludf.DUMMYFUNCTION("""COMPUTED_VALUE"""),"NEW WALK IN")</f>
        <v>NEW WALK IN</v>
      </c>
      <c r="S219" s="1"/>
    </row>
    <row r="220">
      <c r="A220" s="2">
        <f>IFERROR(__xludf.DUMMYFUNCTION("""COMPUTED_VALUE"""),45360.77499484953)</f>
        <v>45360.77499</v>
      </c>
      <c r="B220" s="1" t="str">
        <f>IFERROR(__xludf.DUMMYFUNCTION("""COMPUTED_VALUE"""),"Manoj gupta")</f>
        <v>Manoj gupta</v>
      </c>
      <c r="C220" s="1">
        <f>IFERROR(__xludf.DUMMYFUNCTION("""COMPUTED_VALUE"""),9.999978172E9)</f>
        <v>9999978172</v>
      </c>
      <c r="D220" s="1">
        <f>IFERROR(__xludf.DUMMYFUNCTION("""COMPUTED_VALUE"""),2.0)</f>
        <v>2</v>
      </c>
      <c r="E220" s="3">
        <f>IFERROR(__xludf.DUMMYFUNCTION("""COMPUTED_VALUE"""),0.7097222222218988)</f>
        <v>0.7097222222</v>
      </c>
      <c r="F220" s="1" t="str">
        <f>IFERROR(__xludf.DUMMYFUNCTION("""COMPUTED_VALUE"""),"Plain Gold")</f>
        <v>Plain Gold</v>
      </c>
      <c r="G220" s="1" t="str">
        <f>IFERROR(__xludf.DUMMYFUNCTION("""COMPUTED_VALUE"""),"Pooja")</f>
        <v>Pooja</v>
      </c>
      <c r="H220" s="1"/>
      <c r="I220" s="1" t="str">
        <f>IFERROR(__xludf.DUMMYFUNCTION("""COMPUTED_VALUE"""),"Visit Again in 1 Month")</f>
        <v>Visit Again in 1 Month</v>
      </c>
      <c r="J220" s="1"/>
      <c r="K220" s="3">
        <f>IFERROR(__xludf.DUMMYFUNCTION("""COMPUTED_VALUE"""),0.773611111115315)</f>
        <v>0.7736111111</v>
      </c>
      <c r="L220" s="1" t="str">
        <f>IFERROR(__xludf.DUMMYFUNCTION("""COMPUTED_VALUE"""),"Yes")</f>
        <v>Yes</v>
      </c>
      <c r="M220" s="1" t="str">
        <f>IFERROR(__xludf.DUMMYFUNCTION("""COMPUTED_VALUE"""),"No")</f>
        <v>No</v>
      </c>
      <c r="N220" s="1" t="str">
        <f>IFERROR(__xludf.DUMMYFUNCTION("""COMPUTED_VALUE"""),"No")</f>
        <v>No</v>
      </c>
      <c r="O220" s="1" t="str">
        <f>IFERROR(__xludf.DUMMYFUNCTION("""COMPUTED_VALUE"""),"WA ONLY, CALL")</f>
        <v>WA ONLY, CALL</v>
      </c>
      <c r="P220" s="1" t="str">
        <f>IFERROR(__xludf.DUMMYFUNCTION("""COMPUTED_VALUE"""),"Sir")</f>
        <v>Sir</v>
      </c>
      <c r="Q220" s="1" t="str">
        <f>IFERROR(__xludf.DUMMYFUNCTION("""COMPUTED_VALUE"""),"No")</f>
        <v>No</v>
      </c>
      <c r="R220" s="1" t="str">
        <f>IFERROR(__xludf.DUMMYFUNCTION("""COMPUTED_VALUE"""),"NEW WALK IN")</f>
        <v>NEW WALK IN</v>
      </c>
      <c r="S220" s="1"/>
    </row>
    <row r="221">
      <c r="A221" s="2">
        <f>IFERROR(__xludf.DUMMYFUNCTION("""COMPUTED_VALUE"""),45361.76061423611)</f>
        <v>45361.76061</v>
      </c>
      <c r="B221" s="1" t="str">
        <f>IFERROR(__xludf.DUMMYFUNCTION("""COMPUTED_VALUE"""),"Ankari")</f>
        <v>Ankari</v>
      </c>
      <c r="C221" s="1">
        <f>IFERROR(__xludf.DUMMYFUNCTION("""COMPUTED_VALUE"""),9.873787782E9)</f>
        <v>9873787782</v>
      </c>
      <c r="D221" s="1">
        <f>IFERROR(__xludf.DUMMYFUNCTION("""COMPUTED_VALUE"""),3.0)</f>
        <v>3</v>
      </c>
      <c r="E221" s="3">
        <f>IFERROR(__xludf.DUMMYFUNCTION("""COMPUTED_VALUE"""),0.7604166666642413)</f>
        <v>0.7604166667</v>
      </c>
      <c r="F221" s="1" t="str">
        <f>IFERROR(__xludf.DUMMYFUNCTION("""COMPUTED_VALUE"""),"Antique Gold")</f>
        <v>Antique Gold</v>
      </c>
      <c r="G221" s="1" t="str">
        <f>IFERROR(__xludf.DUMMYFUNCTION("""COMPUTED_VALUE"""),"Payal")</f>
        <v>Payal</v>
      </c>
      <c r="H221" s="1"/>
      <c r="I221" s="1" t="str">
        <f>IFERROR(__xludf.DUMMYFUNCTION("""COMPUTED_VALUE"""),"Visit Again in 1 Month")</f>
        <v>Visit Again in 1 Month</v>
      </c>
      <c r="J221" s="1"/>
      <c r="K221" s="3">
        <f>IFERROR(__xludf.DUMMYFUNCTION("""COMPUTED_VALUE"""),0.757638888884685)</f>
        <v>0.7576388889</v>
      </c>
      <c r="L221" s="1" t="str">
        <f>IFERROR(__xludf.DUMMYFUNCTION("""COMPUTED_VALUE"""),"Yes")</f>
        <v>Yes</v>
      </c>
      <c r="M221" s="1" t="str">
        <f>IFERROR(__xludf.DUMMYFUNCTION("""COMPUTED_VALUE"""),"No")</f>
        <v>No</v>
      </c>
      <c r="N221" s="1" t="str">
        <f>IFERROR(__xludf.DUMMYFUNCTION("""COMPUTED_VALUE"""),"No")</f>
        <v>No</v>
      </c>
      <c r="O221" s="1" t="str">
        <f>IFERROR(__xludf.DUMMYFUNCTION("""COMPUTED_VALUE"""),"WA ONLY, CALL")</f>
        <v>WA ONLY, CALL</v>
      </c>
      <c r="P221" s="1" t="str">
        <f>IFERROR(__xludf.DUMMYFUNCTION("""COMPUTED_VALUE"""),"Madam")</f>
        <v>Madam</v>
      </c>
      <c r="Q221" s="1" t="str">
        <f>IFERROR(__xludf.DUMMYFUNCTION("""COMPUTED_VALUE"""),"No")</f>
        <v>No</v>
      </c>
      <c r="R221" s="1" t="str">
        <f>IFERROR(__xludf.DUMMYFUNCTION("""COMPUTED_VALUE"""),"NEW WALK IN")</f>
        <v>NEW WALK IN</v>
      </c>
      <c r="S221" s="1"/>
    </row>
    <row r="222">
      <c r="A222" s="2">
        <f>IFERROR(__xludf.DUMMYFUNCTION("""COMPUTED_VALUE"""),45361.764914583335)</f>
        <v>45361.76491</v>
      </c>
      <c r="B222" s="1" t="str">
        <f>IFERROR(__xludf.DUMMYFUNCTION("""COMPUTED_VALUE"""),"Aditi")</f>
        <v>Aditi</v>
      </c>
      <c r="C222" s="1">
        <f>IFERROR(__xludf.DUMMYFUNCTION("""COMPUTED_VALUE"""),8.448763272E9)</f>
        <v>8448763272</v>
      </c>
      <c r="D222" s="1">
        <f>IFERROR(__xludf.DUMMYFUNCTION("""COMPUTED_VALUE"""),2.0)</f>
        <v>2</v>
      </c>
      <c r="E222" s="3">
        <f>IFERROR(__xludf.DUMMYFUNCTION("""COMPUTED_VALUE"""),0.5895833333343035)</f>
        <v>0.5895833333</v>
      </c>
      <c r="F222" s="1" t="str">
        <f>IFERROR(__xludf.DUMMYFUNCTION("""COMPUTED_VALUE"""),"Antique Gold")</f>
        <v>Antique Gold</v>
      </c>
      <c r="G222" s="1" t="str">
        <f>IFERROR(__xludf.DUMMYFUNCTION("""COMPUTED_VALUE"""),"Pooja")</f>
        <v>Pooja</v>
      </c>
      <c r="H222" s="1" t="str">
        <f>IFERROR(__xludf.DUMMYFUNCTION("""COMPUTED_VALUE"""),"Gold ring,diamond set")</f>
        <v>Gold ring,diamond set</v>
      </c>
      <c r="I222" s="1"/>
      <c r="J222" s="1"/>
      <c r="K222" s="3">
        <f>IFERROR(__xludf.DUMMYFUNCTION("""COMPUTED_VALUE"""),0.7611111111109494)</f>
        <v>0.7611111111</v>
      </c>
      <c r="L222" s="1" t="str">
        <f>IFERROR(__xludf.DUMMYFUNCTION("""COMPUTED_VALUE"""),"Yes")</f>
        <v>Yes</v>
      </c>
      <c r="M222" s="1" t="str">
        <f>IFERROR(__xludf.DUMMYFUNCTION("""COMPUTED_VALUE"""),"Already done")</f>
        <v>Already done</v>
      </c>
      <c r="N222" s="1" t="str">
        <f>IFERROR(__xludf.DUMMYFUNCTION("""COMPUTED_VALUE"""),"Already done")</f>
        <v>Already done</v>
      </c>
      <c r="O222" s="1" t="str">
        <f>IFERROR(__xludf.DUMMYFUNCTION("""COMPUTED_VALUE"""),"WA ONLY, CALL")</f>
        <v>WA ONLY, CALL</v>
      </c>
      <c r="P222" s="1" t="str">
        <f>IFERROR(__xludf.DUMMYFUNCTION("""COMPUTED_VALUE"""),"Madam")</f>
        <v>Madam</v>
      </c>
      <c r="Q222" s="1" t="str">
        <f>IFERROR(__xludf.DUMMYFUNCTION("""COMPUTED_VALUE"""),"No")</f>
        <v>No</v>
      </c>
      <c r="R222" s="1" t="str">
        <f>IFERROR(__xludf.DUMMYFUNCTION("""COMPUTED_VALUE"""),"OLD")</f>
        <v>OLD</v>
      </c>
      <c r="S222" s="1"/>
    </row>
    <row r="223">
      <c r="A223" s="2">
        <f>IFERROR(__xludf.DUMMYFUNCTION("""COMPUTED_VALUE"""),45361.77322170138)</f>
        <v>45361.77322</v>
      </c>
      <c r="B223" s="1" t="str">
        <f>IFERROR(__xludf.DUMMYFUNCTION("""COMPUTED_VALUE"""),"Subhan")</f>
        <v>Subhan</v>
      </c>
      <c r="C223" s="1">
        <f>IFERROR(__xludf.DUMMYFUNCTION("""COMPUTED_VALUE"""),9.810766703E9)</f>
        <v>9810766703</v>
      </c>
      <c r="D223" s="1">
        <f>IFERROR(__xludf.DUMMYFUNCTION("""COMPUTED_VALUE"""),3.0)</f>
        <v>3</v>
      </c>
      <c r="E223" s="3">
        <f>IFERROR(__xludf.DUMMYFUNCTION("""COMPUTED_VALUE"""),0.640972222223354)</f>
        <v>0.6409722222</v>
      </c>
      <c r="F223" s="1" t="str">
        <f>IFERROR(__xludf.DUMMYFUNCTION("""COMPUTED_VALUE"""),"Antique Gold")</f>
        <v>Antique Gold</v>
      </c>
      <c r="G223" s="1" t="str">
        <f>IFERROR(__xludf.DUMMYFUNCTION("""COMPUTED_VALUE"""),"Pooja")</f>
        <v>Pooja</v>
      </c>
      <c r="H223" s="1" t="str">
        <f>IFERROR(__xludf.DUMMYFUNCTION("""COMPUTED_VALUE"""),"Turkish set")</f>
        <v>Turkish set</v>
      </c>
      <c r="I223" s="1"/>
      <c r="J223" s="1"/>
      <c r="K223" s="3">
        <f>IFERROR(__xludf.DUMMYFUNCTION("""COMPUTED_VALUE"""),0.6972222222248092)</f>
        <v>0.6972222222</v>
      </c>
      <c r="L223" s="1" t="str">
        <f>IFERROR(__xludf.DUMMYFUNCTION("""COMPUTED_VALUE"""),"Yes")</f>
        <v>Yes</v>
      </c>
      <c r="M223" s="1" t="str">
        <f>IFERROR(__xludf.DUMMYFUNCTION("""COMPUTED_VALUE"""),"Yes")</f>
        <v>Yes</v>
      </c>
      <c r="N223" s="1" t="str">
        <f>IFERROR(__xludf.DUMMYFUNCTION("""COMPUTED_VALUE"""),"Yes")</f>
        <v>Yes</v>
      </c>
      <c r="O223" s="1" t="str">
        <f>IFERROR(__xludf.DUMMYFUNCTION("""COMPUTED_VALUE"""),"WA ONLY, CALL")</f>
        <v>WA ONLY, CALL</v>
      </c>
      <c r="P223" s="1" t="str">
        <f>IFERROR(__xludf.DUMMYFUNCTION("""COMPUTED_VALUE"""),"Madam")</f>
        <v>Madam</v>
      </c>
      <c r="Q223" s="1" t="str">
        <f>IFERROR(__xludf.DUMMYFUNCTION("""COMPUTED_VALUE"""),"No")</f>
        <v>No</v>
      </c>
      <c r="R223" s="1" t="str">
        <f>IFERROR(__xludf.DUMMYFUNCTION("""COMPUTED_VALUE"""),"NEW WALK IN")</f>
        <v>NEW WALK IN</v>
      </c>
      <c r="S223" s="1"/>
    </row>
    <row r="224">
      <c r="A224" s="2">
        <f>IFERROR(__xludf.DUMMYFUNCTION("""COMPUTED_VALUE"""),45361.77538302084)</f>
        <v>45361.77538</v>
      </c>
      <c r="B224" s="1" t="str">
        <f>IFERROR(__xludf.DUMMYFUNCTION("""COMPUTED_VALUE"""),"Bhawna")</f>
        <v>Bhawna</v>
      </c>
      <c r="C224" s="1">
        <f>IFERROR(__xludf.DUMMYFUNCTION("""COMPUTED_VALUE"""),9.650785711E9)</f>
        <v>9650785711</v>
      </c>
      <c r="D224" s="1">
        <f>IFERROR(__xludf.DUMMYFUNCTION("""COMPUTED_VALUE"""),2.0)</f>
        <v>2</v>
      </c>
      <c r="E224" s="3">
        <f>IFERROR(__xludf.DUMMYFUNCTION("""COMPUTED_VALUE"""),0.6458333333357587)</f>
        <v>0.6458333333</v>
      </c>
      <c r="F224" s="1" t="str">
        <f>IFERROR(__xludf.DUMMYFUNCTION("""COMPUTED_VALUE"""),"Diamond")</f>
        <v>Diamond</v>
      </c>
      <c r="G224" s="1" t="str">
        <f>IFERROR(__xludf.DUMMYFUNCTION("""COMPUTED_VALUE"""),"Deepali")</f>
        <v>Deepali</v>
      </c>
      <c r="H224" s="1" t="str">
        <f>IFERROR(__xludf.DUMMYFUNCTION("""COMPUTED_VALUE"""),"Mix matel ring")</f>
        <v>Mix matel ring</v>
      </c>
      <c r="I224" s="1"/>
      <c r="J224" s="1"/>
      <c r="K224" s="3">
        <f>IFERROR(__xludf.DUMMYFUNCTION("""COMPUTED_VALUE"""),0.6895833333328483)</f>
        <v>0.6895833333</v>
      </c>
      <c r="L224" s="1" t="str">
        <f>IFERROR(__xludf.DUMMYFUNCTION("""COMPUTED_VALUE"""),"Yes")</f>
        <v>Yes</v>
      </c>
      <c r="M224" s="1" t="str">
        <f>IFERROR(__xludf.DUMMYFUNCTION("""COMPUTED_VALUE"""),"Yes")</f>
        <v>Yes</v>
      </c>
      <c r="N224" s="1" t="str">
        <f>IFERROR(__xludf.DUMMYFUNCTION("""COMPUTED_VALUE"""),"Yes")</f>
        <v>Yes</v>
      </c>
      <c r="O224" s="1" t="str">
        <f>IFERROR(__xludf.DUMMYFUNCTION("""COMPUTED_VALUE"""),"WA ONLY, CALL")</f>
        <v>WA ONLY, CALL</v>
      </c>
      <c r="P224" s="1" t="str">
        <f>IFERROR(__xludf.DUMMYFUNCTION("""COMPUTED_VALUE"""),"Madam")</f>
        <v>Madam</v>
      </c>
      <c r="Q224" s="1" t="str">
        <f>IFERROR(__xludf.DUMMYFUNCTION("""COMPUTED_VALUE"""),"No")</f>
        <v>No</v>
      </c>
      <c r="R224" s="1" t="str">
        <f>IFERROR(__xludf.DUMMYFUNCTION("""COMPUTED_VALUE"""),"OLD")</f>
        <v>OLD</v>
      </c>
      <c r="S224" s="1"/>
    </row>
    <row r="225">
      <c r="A225" s="2">
        <f>IFERROR(__xludf.DUMMYFUNCTION("""COMPUTED_VALUE"""),45361.77682833333)</f>
        <v>45361.77683</v>
      </c>
      <c r="B225" s="1" t="str">
        <f>IFERROR(__xludf.DUMMYFUNCTION("""COMPUTED_VALUE"""),"Nisha kumari")</f>
        <v>Nisha kumari</v>
      </c>
      <c r="C225" s="1">
        <f>IFERROR(__xludf.DUMMYFUNCTION("""COMPUTED_VALUE"""),8.825179746E9)</f>
        <v>8825179746</v>
      </c>
      <c r="D225" s="1">
        <f>IFERROR(__xludf.DUMMYFUNCTION("""COMPUTED_VALUE"""),8.825179746E9)</f>
        <v>8825179746</v>
      </c>
      <c r="E225" s="3">
        <f>IFERROR(__xludf.DUMMYFUNCTION("""COMPUTED_VALUE"""),0.6902777777795563)</f>
        <v>0.6902777778</v>
      </c>
      <c r="F225" s="1" t="str">
        <f>IFERROR(__xludf.DUMMYFUNCTION("""COMPUTED_VALUE"""),"Plain Gold")</f>
        <v>Plain Gold</v>
      </c>
      <c r="G225" s="1" t="str">
        <f>IFERROR(__xludf.DUMMYFUNCTION("""COMPUTED_VALUE"""),"Pooja")</f>
        <v>Pooja</v>
      </c>
      <c r="H225" s="1"/>
      <c r="I225" s="1" t="str">
        <f>IFERROR(__xludf.DUMMYFUNCTION("""COMPUTED_VALUE"""),"Visit Again in 1 Month")</f>
        <v>Visit Again in 1 Month</v>
      </c>
      <c r="J225" s="1"/>
      <c r="K225" s="3">
        <f>IFERROR(__xludf.DUMMYFUNCTION("""COMPUTED_VALUE"""),0.7013888888905058)</f>
        <v>0.7013888889</v>
      </c>
      <c r="L225" s="1" t="str">
        <f>IFERROR(__xludf.DUMMYFUNCTION("""COMPUTED_VALUE"""),"Yes")</f>
        <v>Yes</v>
      </c>
      <c r="M225" s="1" t="str">
        <f>IFERROR(__xludf.DUMMYFUNCTION("""COMPUTED_VALUE"""),"No")</f>
        <v>No</v>
      </c>
      <c r="N225" s="1" t="str">
        <f>IFERROR(__xludf.DUMMYFUNCTION("""COMPUTED_VALUE"""),"No")</f>
        <v>No</v>
      </c>
      <c r="O225" s="1" t="str">
        <f>IFERROR(__xludf.DUMMYFUNCTION("""COMPUTED_VALUE"""),"WA ONLY, CALL")</f>
        <v>WA ONLY, CALL</v>
      </c>
      <c r="P225" s="1" t="str">
        <f>IFERROR(__xludf.DUMMYFUNCTION("""COMPUTED_VALUE"""),"Madam")</f>
        <v>Madam</v>
      </c>
      <c r="Q225" s="1" t="str">
        <f>IFERROR(__xludf.DUMMYFUNCTION("""COMPUTED_VALUE"""),"No")</f>
        <v>No</v>
      </c>
      <c r="R225" s="1" t="str">
        <f>IFERROR(__xludf.DUMMYFUNCTION("""COMPUTED_VALUE"""),"NEW WALK IN")</f>
        <v>NEW WALK IN</v>
      </c>
      <c r="S225" s="1"/>
    </row>
    <row r="226">
      <c r="A226" s="2">
        <f>IFERROR(__xludf.DUMMYFUNCTION("""COMPUTED_VALUE"""),45361.77887763889)</f>
        <v>45361.77888</v>
      </c>
      <c r="B226" s="1" t="str">
        <f>IFERROR(__xludf.DUMMYFUNCTION("""COMPUTED_VALUE"""),"Md.wasim")</f>
        <v>Md.wasim</v>
      </c>
      <c r="C226" s="1">
        <f>IFERROR(__xludf.DUMMYFUNCTION("""COMPUTED_VALUE"""),9.268948231E9)</f>
        <v>9268948231</v>
      </c>
      <c r="D226" s="1">
        <f>IFERROR(__xludf.DUMMYFUNCTION("""COMPUTED_VALUE"""),4.0)</f>
        <v>4</v>
      </c>
      <c r="E226" s="3">
        <f>IFERROR(__xludf.DUMMYFUNCTION("""COMPUTED_VALUE"""),0.7249999999985448)</f>
        <v>0.725</v>
      </c>
      <c r="F226" s="1" t="str">
        <f>IFERROR(__xludf.DUMMYFUNCTION("""COMPUTED_VALUE"""),"Antique Gold")</f>
        <v>Antique Gold</v>
      </c>
      <c r="G226" s="1" t="str">
        <f>IFERROR(__xludf.DUMMYFUNCTION("""COMPUTED_VALUE"""),"Pooja")</f>
        <v>Pooja</v>
      </c>
      <c r="H226" s="1"/>
      <c r="I226" s="1" t="str">
        <f>IFERROR(__xludf.DUMMYFUNCTION("""COMPUTED_VALUE"""),"Kitty payment done")</f>
        <v>Kitty payment done</v>
      </c>
      <c r="J226" s="1" t="str">
        <f>IFERROR(__xludf.DUMMYFUNCTION("""COMPUTED_VALUE"""),"5000 per month LUCKY DRAW 7 EVERY MONTH")</f>
        <v>5000 per month LUCKY DRAW 7 EVERY MONTH</v>
      </c>
      <c r="K226" s="3">
        <f>IFERROR(__xludf.DUMMYFUNCTION("""COMPUTED_VALUE"""),0.75)</f>
        <v>0.75</v>
      </c>
      <c r="L226" s="1" t="str">
        <f>IFERROR(__xludf.DUMMYFUNCTION("""COMPUTED_VALUE"""),"Yes")</f>
        <v>Yes</v>
      </c>
      <c r="M226" s="1" t="str">
        <f>IFERROR(__xludf.DUMMYFUNCTION("""COMPUTED_VALUE"""),"Already done")</f>
        <v>Already done</v>
      </c>
      <c r="N226" s="1" t="str">
        <f>IFERROR(__xludf.DUMMYFUNCTION("""COMPUTED_VALUE"""),"Already done")</f>
        <v>Already done</v>
      </c>
      <c r="O226" s="1" t="str">
        <f>IFERROR(__xludf.DUMMYFUNCTION("""COMPUTED_VALUE"""),"WA ONLY, CALL")</f>
        <v>WA ONLY, CALL</v>
      </c>
      <c r="P226" s="1" t="str">
        <f>IFERROR(__xludf.DUMMYFUNCTION("""COMPUTED_VALUE"""),"Sir")</f>
        <v>Sir</v>
      </c>
      <c r="Q226" s="1" t="str">
        <f>IFERROR(__xludf.DUMMYFUNCTION("""COMPUTED_VALUE"""),"Yes")</f>
        <v>Yes</v>
      </c>
      <c r="R226" s="1" t="str">
        <f>IFERROR(__xludf.DUMMYFUNCTION("""COMPUTED_VALUE"""),"OLD")</f>
        <v>OLD</v>
      </c>
      <c r="S226" s="1"/>
    </row>
    <row r="227">
      <c r="A227" s="2">
        <f>IFERROR(__xludf.DUMMYFUNCTION("""COMPUTED_VALUE"""),45361.77980726852)</f>
        <v>45361.77981</v>
      </c>
      <c r="B227" s="1" t="str">
        <f>IFERROR(__xludf.DUMMYFUNCTION("""COMPUTED_VALUE"""),"Arushi")</f>
        <v>Arushi</v>
      </c>
      <c r="C227" s="1">
        <f>IFERROR(__xludf.DUMMYFUNCTION("""COMPUTED_VALUE"""),9.599143711E9)</f>
        <v>9599143711</v>
      </c>
      <c r="D227" s="1">
        <f>IFERROR(__xludf.DUMMYFUNCTION("""COMPUTED_VALUE"""),1.0)</f>
        <v>1</v>
      </c>
      <c r="E227" s="3">
        <f>IFERROR(__xludf.DUMMYFUNCTION("""COMPUTED_VALUE"""),0.75)</f>
        <v>0.75</v>
      </c>
      <c r="F227" s="1" t="str">
        <f>IFERROR(__xludf.DUMMYFUNCTION("""COMPUTED_VALUE"""),"Diamond")</f>
        <v>Diamond</v>
      </c>
      <c r="G227" s="1" t="str">
        <f>IFERROR(__xludf.DUMMYFUNCTION("""COMPUTED_VALUE"""),"Payal")</f>
        <v>Payal</v>
      </c>
      <c r="H227" s="1"/>
      <c r="I227" s="1" t="str">
        <f>IFERROR(__xludf.DUMMYFUNCTION("""COMPUTED_VALUE"""),"Visit Again in 1 Month")</f>
        <v>Visit Again in 1 Month</v>
      </c>
      <c r="J227" s="1"/>
      <c r="K227" s="3">
        <f>IFERROR(__xludf.DUMMYFUNCTION("""COMPUTED_VALUE"""),0.7687500000029104)</f>
        <v>0.76875</v>
      </c>
      <c r="L227" s="1" t="str">
        <f>IFERROR(__xludf.DUMMYFUNCTION("""COMPUTED_VALUE"""),"Yes")</f>
        <v>Yes</v>
      </c>
      <c r="M227" s="1" t="str">
        <f>IFERROR(__xludf.DUMMYFUNCTION("""COMPUTED_VALUE"""),"No")</f>
        <v>No</v>
      </c>
      <c r="N227" s="1" t="str">
        <f>IFERROR(__xludf.DUMMYFUNCTION("""COMPUTED_VALUE"""),"No")</f>
        <v>No</v>
      </c>
      <c r="O227" s="1" t="str">
        <f>IFERROR(__xludf.DUMMYFUNCTION("""COMPUTED_VALUE"""),"WA ONLY, CALL")</f>
        <v>WA ONLY, CALL</v>
      </c>
      <c r="P227" s="1" t="str">
        <f>IFERROR(__xludf.DUMMYFUNCTION("""COMPUTED_VALUE"""),"Madam")</f>
        <v>Madam</v>
      </c>
      <c r="Q227" s="1" t="str">
        <f>IFERROR(__xludf.DUMMYFUNCTION("""COMPUTED_VALUE"""),"No")</f>
        <v>No</v>
      </c>
      <c r="R227" s="1" t="str">
        <f>IFERROR(__xludf.DUMMYFUNCTION("""COMPUTED_VALUE"""),"NEW WALK IN")</f>
        <v>NEW WALK IN</v>
      </c>
      <c r="S227" s="1"/>
    </row>
    <row r="228">
      <c r="A228" s="2">
        <f>IFERROR(__xludf.DUMMYFUNCTION("""COMPUTED_VALUE"""),45363.774714756946)</f>
        <v>45363.77471</v>
      </c>
      <c r="B228" s="1" t="str">
        <f>IFERROR(__xludf.DUMMYFUNCTION("""COMPUTED_VALUE"""),"Sakhib khan")</f>
        <v>Sakhib khan</v>
      </c>
      <c r="C228" s="1">
        <f>IFERROR(__xludf.DUMMYFUNCTION("""COMPUTED_VALUE"""),8.76634281E9)</f>
        <v>8766342810</v>
      </c>
      <c r="D228" s="1">
        <f>IFERROR(__xludf.DUMMYFUNCTION("""COMPUTED_VALUE"""),1.0)</f>
        <v>1</v>
      </c>
      <c r="E228" s="3">
        <f>IFERROR(__xludf.DUMMYFUNCTION("""COMPUTED_VALUE"""),0.5798611111094942)</f>
        <v>0.5798611111</v>
      </c>
      <c r="F228" s="1" t="str">
        <f>IFERROR(__xludf.DUMMYFUNCTION("""COMPUTED_VALUE"""),"Plain Gold")</f>
        <v>Plain Gold</v>
      </c>
      <c r="G228" s="1" t="str">
        <f>IFERROR(__xludf.DUMMYFUNCTION("""COMPUTED_VALUE"""),"Pooja")</f>
        <v>Pooja</v>
      </c>
      <c r="H228" s="1" t="str">
        <f>IFERROR(__xludf.DUMMYFUNCTION("""COMPUTED_VALUE"""),"Gold ring")</f>
        <v>Gold ring</v>
      </c>
      <c r="I228" s="1"/>
      <c r="J228" s="1"/>
      <c r="K228" s="3">
        <f>IFERROR(__xludf.DUMMYFUNCTION("""COMPUTED_VALUE"""),0.6006944444452529)</f>
        <v>0.6006944444</v>
      </c>
      <c r="L228" s="1" t="str">
        <f>IFERROR(__xludf.DUMMYFUNCTION("""COMPUTED_VALUE"""),"Yes")</f>
        <v>Yes</v>
      </c>
      <c r="M228" s="1" t="str">
        <f>IFERROR(__xludf.DUMMYFUNCTION("""COMPUTED_VALUE"""),"Yes")</f>
        <v>Yes</v>
      </c>
      <c r="N228" s="1" t="str">
        <f>IFERROR(__xludf.DUMMYFUNCTION("""COMPUTED_VALUE"""),"Yes")</f>
        <v>Yes</v>
      </c>
      <c r="O228" s="1" t="str">
        <f>IFERROR(__xludf.DUMMYFUNCTION("""COMPUTED_VALUE"""),"WA ONLY, CALL")</f>
        <v>WA ONLY, CALL</v>
      </c>
      <c r="P228" s="1" t="str">
        <f>IFERROR(__xludf.DUMMYFUNCTION("""COMPUTED_VALUE"""),"Sir")</f>
        <v>Sir</v>
      </c>
      <c r="Q228" s="1" t="str">
        <f>IFERROR(__xludf.DUMMYFUNCTION("""COMPUTED_VALUE"""),"No")</f>
        <v>No</v>
      </c>
      <c r="R228" s="1" t="str">
        <f>IFERROR(__xludf.DUMMYFUNCTION("""COMPUTED_VALUE"""),"NEW WALK IN")</f>
        <v>NEW WALK IN</v>
      </c>
      <c r="S228" s="1"/>
    </row>
    <row r="229">
      <c r="A229" s="2">
        <f>IFERROR(__xludf.DUMMYFUNCTION("""COMPUTED_VALUE"""),45363.77577378472)</f>
        <v>45363.77577</v>
      </c>
      <c r="B229" s="1" t="str">
        <f>IFERROR(__xludf.DUMMYFUNCTION("""COMPUTED_VALUE"""),"Atoshi")</f>
        <v>Atoshi</v>
      </c>
      <c r="C229" s="1">
        <f>IFERROR(__xludf.DUMMYFUNCTION("""COMPUTED_VALUE"""),8.700173741E9)</f>
        <v>8700173741</v>
      </c>
      <c r="D229" s="1">
        <f>IFERROR(__xludf.DUMMYFUNCTION("""COMPUTED_VALUE"""),1.0)</f>
        <v>1</v>
      </c>
      <c r="E229" s="3">
        <f>IFERROR(__xludf.DUMMYFUNCTION("""COMPUTED_VALUE"""),0.6423611111094942)</f>
        <v>0.6423611111</v>
      </c>
      <c r="F229" s="1" t="str">
        <f>IFERROR(__xludf.DUMMYFUNCTION("""COMPUTED_VALUE"""),"Antique Gold")</f>
        <v>Antique Gold</v>
      </c>
      <c r="G229" s="1" t="str">
        <f>IFERROR(__xludf.DUMMYFUNCTION("""COMPUTED_VALUE"""),"Chhaya")</f>
        <v>Chhaya</v>
      </c>
      <c r="H229" s="1"/>
      <c r="I229" s="1" t="str">
        <f>IFERROR(__xludf.DUMMYFUNCTION("""COMPUTED_VALUE"""),"Pick up Order")</f>
        <v>Pick up Order</v>
      </c>
      <c r="J229" s="1" t="str">
        <f>IFERROR(__xludf.DUMMYFUNCTION("""COMPUTED_VALUE"""),"5000 per month LUCKY DRAW 7 EVERY MONTH")</f>
        <v>5000 per month LUCKY DRAW 7 EVERY MONTH</v>
      </c>
      <c r="K229" s="3">
        <f>IFERROR(__xludf.DUMMYFUNCTION("""COMPUTED_VALUE"""),0.7319444444437977)</f>
        <v>0.7319444444</v>
      </c>
      <c r="L229" s="1" t="str">
        <f>IFERROR(__xludf.DUMMYFUNCTION("""COMPUTED_VALUE"""),"Yes")</f>
        <v>Yes</v>
      </c>
      <c r="M229" s="1" t="str">
        <f>IFERROR(__xludf.DUMMYFUNCTION("""COMPUTED_VALUE"""),"Already done")</f>
        <v>Already done</v>
      </c>
      <c r="N229" s="1" t="str">
        <f>IFERROR(__xludf.DUMMYFUNCTION("""COMPUTED_VALUE"""),"Already done")</f>
        <v>Already done</v>
      </c>
      <c r="O229" s="1" t="str">
        <f>IFERROR(__xludf.DUMMYFUNCTION("""COMPUTED_VALUE"""),"WA ONLY, CALL")</f>
        <v>WA ONLY, CALL</v>
      </c>
      <c r="P229" s="1" t="str">
        <f>IFERROR(__xludf.DUMMYFUNCTION("""COMPUTED_VALUE"""),"Madam")</f>
        <v>Madam</v>
      </c>
      <c r="Q229" s="1" t="str">
        <f>IFERROR(__xludf.DUMMYFUNCTION("""COMPUTED_VALUE"""),"Yes")</f>
        <v>Yes</v>
      </c>
      <c r="R229" s="1" t="str">
        <f>IFERROR(__xludf.DUMMYFUNCTION("""COMPUTED_VALUE"""),"OLD")</f>
        <v>OLD</v>
      </c>
      <c r="S229" s="1"/>
    </row>
    <row r="230">
      <c r="A230" s="2">
        <f>IFERROR(__xludf.DUMMYFUNCTION("""COMPUTED_VALUE"""),45363.777340243054)</f>
        <v>45363.77734</v>
      </c>
      <c r="B230" s="1" t="str">
        <f>IFERROR(__xludf.DUMMYFUNCTION("""COMPUTED_VALUE"""),"Raj kumari")</f>
        <v>Raj kumari</v>
      </c>
      <c r="C230" s="1">
        <f>IFERROR(__xludf.DUMMYFUNCTION("""COMPUTED_VALUE"""),9.31005938E8)</f>
        <v>931005938</v>
      </c>
      <c r="D230" s="1">
        <f>IFERROR(__xludf.DUMMYFUNCTION("""COMPUTED_VALUE"""),1.0)</f>
        <v>1</v>
      </c>
      <c r="E230" s="3">
        <f>IFERROR(__xludf.DUMMYFUNCTION("""COMPUTED_VALUE"""),0.7319444444437977)</f>
        <v>0.7319444444</v>
      </c>
      <c r="F230" s="1" t="str">
        <f>IFERROR(__xludf.DUMMYFUNCTION("""COMPUTED_VALUE"""),"Antique Gold")</f>
        <v>Antique Gold</v>
      </c>
      <c r="G230" s="1" t="str">
        <f>IFERROR(__xludf.DUMMYFUNCTION("""COMPUTED_VALUE"""),"Pooja")</f>
        <v>Pooja</v>
      </c>
      <c r="H230" s="1" t="str">
        <f>IFERROR(__xludf.DUMMYFUNCTION("""COMPUTED_VALUE"""),"Silver payal")</f>
        <v>Silver payal</v>
      </c>
      <c r="I230" s="1"/>
      <c r="J230" s="1"/>
      <c r="K230" s="3">
        <f>IFERROR(__xludf.DUMMYFUNCTION("""COMPUTED_VALUE"""),0.7604166666642413)</f>
        <v>0.7604166667</v>
      </c>
      <c r="L230" s="1" t="str">
        <f>IFERROR(__xludf.DUMMYFUNCTION("""COMPUTED_VALUE"""),"Yes")</f>
        <v>Yes</v>
      </c>
      <c r="M230" s="1" t="str">
        <f>IFERROR(__xludf.DUMMYFUNCTION("""COMPUTED_VALUE"""),"No")</f>
        <v>No</v>
      </c>
      <c r="N230" s="1" t="str">
        <f>IFERROR(__xludf.DUMMYFUNCTION("""COMPUTED_VALUE"""),"No")</f>
        <v>No</v>
      </c>
      <c r="O230" s="1" t="str">
        <f>IFERROR(__xludf.DUMMYFUNCTION("""COMPUTED_VALUE"""),"WA ONLY, CALL")</f>
        <v>WA ONLY, CALL</v>
      </c>
      <c r="P230" s="1" t="str">
        <f>IFERROR(__xludf.DUMMYFUNCTION("""COMPUTED_VALUE"""),"Madam")</f>
        <v>Madam</v>
      </c>
      <c r="Q230" s="1" t="str">
        <f>IFERROR(__xludf.DUMMYFUNCTION("""COMPUTED_VALUE"""),"No")</f>
        <v>No</v>
      </c>
      <c r="R230" s="1" t="str">
        <f>IFERROR(__xludf.DUMMYFUNCTION("""COMPUTED_VALUE"""),"NEW WALK IN")</f>
        <v>NEW WALK IN</v>
      </c>
      <c r="S230" s="1"/>
    </row>
    <row r="231">
      <c r="A231" s="2">
        <f>IFERROR(__xludf.DUMMYFUNCTION("""COMPUTED_VALUE"""),45364.76087586806)</f>
        <v>45364.76088</v>
      </c>
      <c r="B231" s="1" t="str">
        <f>IFERROR(__xludf.DUMMYFUNCTION("""COMPUTED_VALUE"""),"Naveen")</f>
        <v>Naveen</v>
      </c>
      <c r="C231" s="1">
        <f>IFERROR(__xludf.DUMMYFUNCTION("""COMPUTED_VALUE"""),9.42595643E9)</f>
        <v>9425956430</v>
      </c>
      <c r="D231" s="1">
        <f>IFERROR(__xludf.DUMMYFUNCTION("""COMPUTED_VALUE"""),1.0)</f>
        <v>1</v>
      </c>
      <c r="E231" s="3">
        <f>IFERROR(__xludf.DUMMYFUNCTION("""COMPUTED_VALUE"""),0.601388888884685)</f>
        <v>0.6013888889</v>
      </c>
      <c r="F231" s="1" t="str">
        <f>IFERROR(__xludf.DUMMYFUNCTION("""COMPUTED_VALUE"""),"Plain Gold")</f>
        <v>Plain Gold</v>
      </c>
      <c r="G231" s="1" t="str">
        <f>IFERROR(__xludf.DUMMYFUNCTION("""COMPUTED_VALUE"""),"Pooja")</f>
        <v>Pooja</v>
      </c>
      <c r="H231" s="1"/>
      <c r="I231" s="1" t="str">
        <f>IFERROR(__xludf.DUMMYFUNCTION("""COMPUTED_VALUE"""),"Visit Again in 1 Month")</f>
        <v>Visit Again in 1 Month</v>
      </c>
      <c r="J231" s="1"/>
      <c r="K231" s="3">
        <f>IFERROR(__xludf.DUMMYFUNCTION("""COMPUTED_VALUE"""),0.5951388888934162)</f>
        <v>0.5951388889</v>
      </c>
      <c r="L231" s="1" t="str">
        <f>IFERROR(__xludf.DUMMYFUNCTION("""COMPUTED_VALUE"""),"Yes")</f>
        <v>Yes</v>
      </c>
      <c r="M231" s="1" t="str">
        <f>IFERROR(__xludf.DUMMYFUNCTION("""COMPUTED_VALUE"""),"No")</f>
        <v>No</v>
      </c>
      <c r="N231" s="1" t="str">
        <f>IFERROR(__xludf.DUMMYFUNCTION("""COMPUTED_VALUE"""),"No")</f>
        <v>No</v>
      </c>
      <c r="O231" s="1" t="str">
        <f>IFERROR(__xludf.DUMMYFUNCTION("""COMPUTED_VALUE"""),"WA ONLY, CALL")</f>
        <v>WA ONLY, CALL</v>
      </c>
      <c r="P231" s="1" t="str">
        <f>IFERROR(__xludf.DUMMYFUNCTION("""COMPUTED_VALUE"""),"Sir")</f>
        <v>Sir</v>
      </c>
      <c r="Q231" s="1" t="str">
        <f>IFERROR(__xludf.DUMMYFUNCTION("""COMPUTED_VALUE"""),"No")</f>
        <v>No</v>
      </c>
      <c r="R231" s="1" t="str">
        <f>IFERROR(__xludf.DUMMYFUNCTION("""COMPUTED_VALUE"""),"NEW WALK IN")</f>
        <v>NEW WALK IN</v>
      </c>
      <c r="S231" s="1"/>
    </row>
    <row r="232">
      <c r="A232" s="2">
        <f>IFERROR(__xludf.DUMMYFUNCTION("""COMPUTED_VALUE"""),45364.76181125)</f>
        <v>45364.76181</v>
      </c>
      <c r="B232" s="1" t="str">
        <f>IFERROR(__xludf.DUMMYFUNCTION("""COMPUTED_VALUE"""),"Naveen")</f>
        <v>Naveen</v>
      </c>
      <c r="C232" s="1">
        <f>IFERROR(__xludf.DUMMYFUNCTION("""COMPUTED_VALUE"""),9.42595643E9)</f>
        <v>9425956430</v>
      </c>
      <c r="D232" s="1">
        <f>IFERROR(__xludf.DUMMYFUNCTION("""COMPUTED_VALUE"""),1.0)</f>
        <v>1</v>
      </c>
      <c r="E232" s="3">
        <f>IFERROR(__xludf.DUMMYFUNCTION("""COMPUTED_VALUE"""),0.6729166666627862)</f>
        <v>0.6729166667</v>
      </c>
      <c r="F232" s="1" t="str">
        <f>IFERROR(__xludf.DUMMYFUNCTION("""COMPUTED_VALUE"""),"Antique Gold")</f>
        <v>Antique Gold</v>
      </c>
      <c r="G232" s="1" t="str">
        <f>IFERROR(__xludf.DUMMYFUNCTION("""COMPUTED_VALUE"""),"Chhaya")</f>
        <v>Chhaya</v>
      </c>
      <c r="H232" s="1" t="str">
        <f>IFERROR(__xludf.DUMMYFUNCTION("""COMPUTED_VALUE"""),"Gold bangles ")</f>
        <v>Gold bangles </v>
      </c>
      <c r="I232" s="1"/>
      <c r="J232" s="1"/>
      <c r="K232" s="3">
        <f>IFERROR(__xludf.DUMMYFUNCTION("""COMPUTED_VALUE"""),0.7104166666686069)</f>
        <v>0.7104166667</v>
      </c>
      <c r="L232" s="1" t="str">
        <f>IFERROR(__xludf.DUMMYFUNCTION("""COMPUTED_VALUE"""),"Yes")</f>
        <v>Yes</v>
      </c>
      <c r="M232" s="1" t="str">
        <f>IFERROR(__xludf.DUMMYFUNCTION("""COMPUTED_VALUE"""),"Yes")</f>
        <v>Yes</v>
      </c>
      <c r="N232" s="1" t="str">
        <f>IFERROR(__xludf.DUMMYFUNCTION("""COMPUTED_VALUE"""),"Yes")</f>
        <v>Yes</v>
      </c>
      <c r="O232" s="1" t="str">
        <f>IFERROR(__xludf.DUMMYFUNCTION("""COMPUTED_VALUE"""),"WA ONLY, CALL")</f>
        <v>WA ONLY, CALL</v>
      </c>
      <c r="P232" s="1" t="str">
        <f>IFERROR(__xludf.DUMMYFUNCTION("""COMPUTED_VALUE"""),"Sir")</f>
        <v>Sir</v>
      </c>
      <c r="Q232" s="1" t="str">
        <f>IFERROR(__xludf.DUMMYFUNCTION("""COMPUTED_VALUE"""),"No")</f>
        <v>No</v>
      </c>
      <c r="R232" s="1" t="str">
        <f>IFERROR(__xludf.DUMMYFUNCTION("""COMPUTED_VALUE"""),"NEW WALK IN")</f>
        <v>NEW WALK IN</v>
      </c>
      <c r="S232" s="1"/>
    </row>
    <row r="233">
      <c r="A233" s="2">
        <f>IFERROR(__xludf.DUMMYFUNCTION("""COMPUTED_VALUE"""),45365.758308159726)</f>
        <v>45365.75831</v>
      </c>
      <c r="B233" s="1" t="str">
        <f>IFERROR(__xludf.DUMMYFUNCTION("""COMPUTED_VALUE"""),"Shiv kumar yadav ")</f>
        <v>Shiv kumar yadav </v>
      </c>
      <c r="C233" s="1">
        <f>IFERROR(__xludf.DUMMYFUNCTION("""COMPUTED_VALUE"""),9.86804995E9)</f>
        <v>9868049950</v>
      </c>
      <c r="D233" s="1">
        <f>IFERROR(__xludf.DUMMYFUNCTION("""COMPUTED_VALUE"""),1.0)</f>
        <v>1</v>
      </c>
      <c r="E233" s="3">
        <f>IFERROR(__xludf.DUMMYFUNCTION("""COMPUTED_VALUE"""),0.5013888888934162)</f>
        <v>0.5013888889</v>
      </c>
      <c r="F233" s="1" t="str">
        <f>IFERROR(__xludf.DUMMYFUNCTION("""COMPUTED_VALUE"""),"Antique Gold")</f>
        <v>Antique Gold</v>
      </c>
      <c r="G233" s="1" t="str">
        <f>IFERROR(__xludf.DUMMYFUNCTION("""COMPUTED_VALUE"""),"Chhaya")</f>
        <v>Chhaya</v>
      </c>
      <c r="H233" s="1" t="str">
        <f>IFERROR(__xludf.DUMMYFUNCTION("""COMPUTED_VALUE"""),"Gold ring")</f>
        <v>Gold ring</v>
      </c>
      <c r="I233" s="1"/>
      <c r="J233" s="1"/>
      <c r="K233" s="3">
        <f>IFERROR(__xludf.DUMMYFUNCTION("""COMPUTED_VALUE"""),0.5361111111124046)</f>
        <v>0.5361111111</v>
      </c>
      <c r="L233" s="1" t="str">
        <f>IFERROR(__xludf.DUMMYFUNCTION("""COMPUTED_VALUE"""),"Yes")</f>
        <v>Yes</v>
      </c>
      <c r="M233" s="1" t="str">
        <f>IFERROR(__xludf.DUMMYFUNCTION("""COMPUTED_VALUE"""),"Yes")</f>
        <v>Yes</v>
      </c>
      <c r="N233" s="1" t="str">
        <f>IFERROR(__xludf.DUMMYFUNCTION("""COMPUTED_VALUE"""),"Yes")</f>
        <v>Yes</v>
      </c>
      <c r="O233" s="1" t="str">
        <f>IFERROR(__xludf.DUMMYFUNCTION("""COMPUTED_VALUE"""),"WA ONLY, CALL")</f>
        <v>WA ONLY, CALL</v>
      </c>
      <c r="P233" s="1" t="str">
        <f>IFERROR(__xludf.DUMMYFUNCTION("""COMPUTED_VALUE"""),"Sir")</f>
        <v>Sir</v>
      </c>
      <c r="Q233" s="1" t="str">
        <f>IFERROR(__xludf.DUMMYFUNCTION("""COMPUTED_VALUE"""),"No")</f>
        <v>No</v>
      </c>
      <c r="R233" s="1" t="str">
        <f>IFERROR(__xludf.DUMMYFUNCTION("""COMPUTED_VALUE"""),"NEW WALK IN")</f>
        <v>NEW WALK IN</v>
      </c>
      <c r="S233" s="1"/>
    </row>
    <row r="234">
      <c r="A234" s="2">
        <f>IFERROR(__xludf.DUMMYFUNCTION("""COMPUTED_VALUE"""),45365.76799847222)</f>
        <v>45365.768</v>
      </c>
      <c r="B234" s="1" t="str">
        <f>IFERROR(__xludf.DUMMYFUNCTION("""COMPUTED_VALUE"""),"Charu")</f>
        <v>Charu</v>
      </c>
      <c r="C234" s="1">
        <f>IFERROR(__xludf.DUMMYFUNCTION("""COMPUTED_VALUE"""),9.71792028E9)</f>
        <v>9717920280</v>
      </c>
      <c r="D234" s="1">
        <f>IFERROR(__xludf.DUMMYFUNCTION("""COMPUTED_VALUE"""),1.0)</f>
        <v>1</v>
      </c>
      <c r="E234" s="3">
        <f>IFERROR(__xludf.DUMMYFUNCTION("""COMPUTED_VALUE"""),0.6500000000014552)</f>
        <v>0.65</v>
      </c>
      <c r="F234" s="1" t="str">
        <f>IFERROR(__xludf.DUMMYFUNCTION("""COMPUTED_VALUE"""),"Antique Gold")</f>
        <v>Antique Gold</v>
      </c>
      <c r="G234" s="1" t="str">
        <f>IFERROR(__xludf.DUMMYFUNCTION("""COMPUTED_VALUE"""),"Chhaya")</f>
        <v>Chhaya</v>
      </c>
      <c r="H234" s="1" t="str">
        <f>IFERROR(__xludf.DUMMYFUNCTION("""COMPUTED_VALUE"""),"Gold breslet ")</f>
        <v>Gold breslet </v>
      </c>
      <c r="I234" s="1"/>
      <c r="J234" s="1"/>
      <c r="K234" s="3">
        <f>IFERROR(__xludf.DUMMYFUNCTION("""COMPUTED_VALUE"""),0.6944444444452529)</f>
        <v>0.6944444444</v>
      </c>
      <c r="L234" s="1" t="str">
        <f>IFERROR(__xludf.DUMMYFUNCTION("""COMPUTED_VALUE"""),"Yes")</f>
        <v>Yes</v>
      </c>
      <c r="M234" s="1" t="str">
        <f>IFERROR(__xludf.DUMMYFUNCTION("""COMPUTED_VALUE"""),"Yes")</f>
        <v>Yes</v>
      </c>
      <c r="N234" s="1" t="str">
        <f>IFERROR(__xludf.DUMMYFUNCTION("""COMPUTED_VALUE"""),"Yes")</f>
        <v>Yes</v>
      </c>
      <c r="O234" s="1" t="str">
        <f>IFERROR(__xludf.DUMMYFUNCTION("""COMPUTED_VALUE"""),"WA ONLY, CALL")</f>
        <v>WA ONLY, CALL</v>
      </c>
      <c r="P234" s="1" t="str">
        <f>IFERROR(__xludf.DUMMYFUNCTION("""COMPUTED_VALUE"""),"Madam")</f>
        <v>Madam</v>
      </c>
      <c r="Q234" s="1" t="str">
        <f>IFERROR(__xludf.DUMMYFUNCTION("""COMPUTED_VALUE"""),"No")</f>
        <v>No</v>
      </c>
      <c r="R234" s="1" t="str">
        <f>IFERROR(__xludf.DUMMYFUNCTION("""COMPUTED_VALUE"""),"NEW WALK IN")</f>
        <v>NEW WALK IN</v>
      </c>
      <c r="S234" s="1"/>
    </row>
    <row r="235">
      <c r="A235" s="2">
        <f>IFERROR(__xludf.DUMMYFUNCTION("""COMPUTED_VALUE"""),45365.78892344907)</f>
        <v>45365.78892</v>
      </c>
      <c r="B235" s="1" t="str">
        <f>IFERROR(__xludf.DUMMYFUNCTION("""COMPUTED_VALUE"""),"Kamlesh")</f>
        <v>Kamlesh</v>
      </c>
      <c r="C235" s="1">
        <f>IFERROR(__xludf.DUMMYFUNCTION("""COMPUTED_VALUE"""),9.891102336E9)</f>
        <v>9891102336</v>
      </c>
      <c r="D235" s="1">
        <f>IFERROR(__xludf.DUMMYFUNCTION("""COMPUTED_VALUE"""),2.0)</f>
        <v>2</v>
      </c>
      <c r="E235" s="3">
        <f>IFERROR(__xludf.DUMMYFUNCTION("""COMPUTED_VALUE"""),0.6569444444467081)</f>
        <v>0.6569444444</v>
      </c>
      <c r="F235" s="1" t="str">
        <f>IFERROR(__xludf.DUMMYFUNCTION("""COMPUTED_VALUE"""),"Diamond")</f>
        <v>Diamond</v>
      </c>
      <c r="G235" s="1" t="str">
        <f>IFERROR(__xludf.DUMMYFUNCTION("""COMPUTED_VALUE"""),"Pooja")</f>
        <v>Pooja</v>
      </c>
      <c r="H235" s="1" t="str">
        <f>IFERROR(__xludf.DUMMYFUNCTION("""COMPUTED_VALUE"""),"Gold ring")</f>
        <v>Gold ring</v>
      </c>
      <c r="I235" s="1"/>
      <c r="J235" s="1"/>
      <c r="K235" s="3">
        <f>IFERROR(__xludf.DUMMYFUNCTION("""COMPUTED_VALUE"""),0.78125)</f>
        <v>0.78125</v>
      </c>
      <c r="L235" s="1" t="str">
        <f>IFERROR(__xludf.DUMMYFUNCTION("""COMPUTED_VALUE"""),"Yes")</f>
        <v>Yes</v>
      </c>
      <c r="M235" s="1" t="str">
        <f>IFERROR(__xludf.DUMMYFUNCTION("""COMPUTED_VALUE"""),"Already done")</f>
        <v>Already done</v>
      </c>
      <c r="N235" s="1" t="str">
        <f>IFERROR(__xludf.DUMMYFUNCTION("""COMPUTED_VALUE"""),"Already done")</f>
        <v>Already done</v>
      </c>
      <c r="O235" s="1" t="str">
        <f>IFERROR(__xludf.DUMMYFUNCTION("""COMPUTED_VALUE"""),"WA ONLY, OWNER CONTACT ONLY, CALL")</f>
        <v>WA ONLY, OWNER CONTACT ONLY, CALL</v>
      </c>
      <c r="P235" s="1" t="str">
        <f>IFERROR(__xludf.DUMMYFUNCTION("""COMPUTED_VALUE"""),"Sir")</f>
        <v>Sir</v>
      </c>
      <c r="Q235" s="1" t="str">
        <f>IFERROR(__xludf.DUMMYFUNCTION("""COMPUTED_VALUE"""),"Yes")</f>
        <v>Yes</v>
      </c>
      <c r="R235" s="1" t="str">
        <f>IFERROR(__xludf.DUMMYFUNCTION("""COMPUTED_VALUE"""),"OLD")</f>
        <v>OLD</v>
      </c>
      <c r="S235" s="1"/>
    </row>
    <row r="236">
      <c r="A236" s="2">
        <f>IFERROR(__xludf.DUMMYFUNCTION("""COMPUTED_VALUE"""),45365.81933517361)</f>
        <v>45365.81934</v>
      </c>
      <c r="B236" s="1" t="str">
        <f>IFERROR(__xludf.DUMMYFUNCTION("""COMPUTED_VALUE"""),"Ekta")</f>
        <v>Ekta</v>
      </c>
      <c r="C236" s="1">
        <f>IFERROR(__xludf.DUMMYFUNCTION("""COMPUTED_VALUE"""),9.319288857E9)</f>
        <v>9319288857</v>
      </c>
      <c r="D236" s="1">
        <f>IFERROR(__xludf.DUMMYFUNCTION("""COMPUTED_VALUE"""),1.0)</f>
        <v>1</v>
      </c>
      <c r="E236" s="3">
        <f>IFERROR(__xludf.DUMMYFUNCTION("""COMPUTED_VALUE"""),0.7291666666642413)</f>
        <v>0.7291666667</v>
      </c>
      <c r="F236" s="1" t="str">
        <f>IFERROR(__xludf.DUMMYFUNCTION("""COMPUTED_VALUE"""),"Antique Gold")</f>
        <v>Antique Gold</v>
      </c>
      <c r="G236" s="1" t="str">
        <f>IFERROR(__xludf.DUMMYFUNCTION("""COMPUTED_VALUE"""),"Chhaya")</f>
        <v>Chhaya</v>
      </c>
      <c r="H236" s="1" t="str">
        <f>IFERROR(__xludf.DUMMYFUNCTION("""COMPUTED_VALUE"""),"Gold chain")</f>
        <v>Gold chain</v>
      </c>
      <c r="I236" s="1"/>
      <c r="J236" s="1"/>
      <c r="K236" s="3">
        <f>IFERROR(__xludf.DUMMYFUNCTION("""COMPUTED_VALUE"""),0.8055555555547471)</f>
        <v>0.8055555556</v>
      </c>
      <c r="L236" s="1" t="str">
        <f>IFERROR(__xludf.DUMMYFUNCTION("""COMPUTED_VALUE"""),"Yes")</f>
        <v>Yes</v>
      </c>
      <c r="M236" s="1" t="str">
        <f>IFERROR(__xludf.DUMMYFUNCTION("""COMPUTED_VALUE"""),"Yes")</f>
        <v>Yes</v>
      </c>
      <c r="N236" s="1" t="str">
        <f>IFERROR(__xludf.DUMMYFUNCTION("""COMPUTED_VALUE"""),"Yes")</f>
        <v>Yes</v>
      </c>
      <c r="O236" s="1" t="str">
        <f>IFERROR(__xludf.DUMMYFUNCTION("""COMPUTED_VALUE"""),"WA ONLY, CALL")</f>
        <v>WA ONLY, CALL</v>
      </c>
      <c r="P236" s="1" t="str">
        <f>IFERROR(__xludf.DUMMYFUNCTION("""COMPUTED_VALUE"""),"Madam")</f>
        <v>Madam</v>
      </c>
      <c r="Q236" s="1" t="str">
        <f>IFERROR(__xludf.DUMMYFUNCTION("""COMPUTED_VALUE"""),"No")</f>
        <v>No</v>
      </c>
      <c r="R236" s="1" t="str">
        <f>IFERROR(__xludf.DUMMYFUNCTION("""COMPUTED_VALUE"""),"NEW WALK IN")</f>
        <v>NEW WALK IN</v>
      </c>
      <c r="S236" s="1"/>
    </row>
    <row r="237">
      <c r="A237" s="2">
        <f>IFERROR(__xludf.DUMMYFUNCTION("""COMPUTED_VALUE"""),45365.82004039352)</f>
        <v>45365.82004</v>
      </c>
      <c r="B237" s="1" t="str">
        <f>IFERROR(__xludf.DUMMYFUNCTION("""COMPUTED_VALUE"""),"Ayushi")</f>
        <v>Ayushi</v>
      </c>
      <c r="C237" s="1">
        <f>IFERROR(__xludf.DUMMYFUNCTION("""COMPUTED_VALUE"""),7.303432645E9)</f>
        <v>7303432645</v>
      </c>
      <c r="D237" s="1">
        <f>IFERROR(__xludf.DUMMYFUNCTION("""COMPUTED_VALUE"""),1.0)</f>
        <v>1</v>
      </c>
      <c r="E237" s="3">
        <f>IFERROR(__xludf.DUMMYFUNCTION("""COMPUTED_VALUE"""),0.7916666666642413)</f>
        <v>0.7916666667</v>
      </c>
      <c r="F237" s="1" t="str">
        <f>IFERROR(__xludf.DUMMYFUNCTION("""COMPUTED_VALUE"""),"Diamond")</f>
        <v>Diamond</v>
      </c>
      <c r="G237" s="1" t="str">
        <f>IFERROR(__xludf.DUMMYFUNCTION("""COMPUTED_VALUE"""),"Pooja")</f>
        <v>Pooja</v>
      </c>
      <c r="H237" s="1"/>
      <c r="I237" s="1" t="str">
        <f>IFERROR(__xludf.DUMMYFUNCTION("""COMPUTED_VALUE"""),"Visit Again in 1 Month")</f>
        <v>Visit Again in 1 Month</v>
      </c>
      <c r="J237" s="1"/>
      <c r="K237" s="3">
        <f>IFERROR(__xludf.DUMMYFUNCTION("""COMPUTED_VALUE"""),0.8076388888875954)</f>
        <v>0.8076388889</v>
      </c>
      <c r="L237" s="1" t="str">
        <f>IFERROR(__xludf.DUMMYFUNCTION("""COMPUTED_VALUE"""),"Yes")</f>
        <v>Yes</v>
      </c>
      <c r="M237" s="1" t="str">
        <f>IFERROR(__xludf.DUMMYFUNCTION("""COMPUTED_VALUE"""),"No")</f>
        <v>No</v>
      </c>
      <c r="N237" s="1" t="str">
        <f>IFERROR(__xludf.DUMMYFUNCTION("""COMPUTED_VALUE"""),"No")</f>
        <v>No</v>
      </c>
      <c r="O237" s="1" t="str">
        <f>IFERROR(__xludf.DUMMYFUNCTION("""COMPUTED_VALUE"""),"WA ONLY, CALL")</f>
        <v>WA ONLY, CALL</v>
      </c>
      <c r="P237" s="1" t="str">
        <f>IFERROR(__xludf.DUMMYFUNCTION("""COMPUTED_VALUE"""),"Madam")</f>
        <v>Madam</v>
      </c>
      <c r="Q237" s="1" t="str">
        <f>IFERROR(__xludf.DUMMYFUNCTION("""COMPUTED_VALUE"""),"No")</f>
        <v>No</v>
      </c>
      <c r="R237" s="1" t="str">
        <f>IFERROR(__xludf.DUMMYFUNCTION("""COMPUTED_VALUE"""),"NEW WALK IN")</f>
        <v>NEW WALK IN</v>
      </c>
      <c r="S237" s="1"/>
    </row>
    <row r="238">
      <c r="A238" s="2">
        <f>IFERROR(__xludf.DUMMYFUNCTION("""COMPUTED_VALUE"""),45366.71493287037)</f>
        <v>45366.71493</v>
      </c>
      <c r="B238" s="1" t="str">
        <f>IFERROR(__xludf.DUMMYFUNCTION("""COMPUTED_VALUE"""),"Ayushi")</f>
        <v>Ayushi</v>
      </c>
      <c r="C238" s="1">
        <f>IFERROR(__xludf.DUMMYFUNCTION("""COMPUTED_VALUE"""),7.303432644E9)</f>
        <v>7303432644</v>
      </c>
      <c r="D238" s="1">
        <f>IFERROR(__xludf.DUMMYFUNCTION("""COMPUTED_VALUE"""),1.0)</f>
        <v>1</v>
      </c>
      <c r="E238" s="3">
        <f>IFERROR(__xludf.DUMMYFUNCTION("""COMPUTED_VALUE"""),0.8125)</f>
        <v>0.8125</v>
      </c>
      <c r="F238" s="1" t="str">
        <f>IFERROR(__xludf.DUMMYFUNCTION("""COMPUTED_VALUE"""),"Diamond")</f>
        <v>Diamond</v>
      </c>
      <c r="G238" s="1" t="str">
        <f>IFERROR(__xludf.DUMMYFUNCTION("""COMPUTED_VALUE"""),"Pooja")</f>
        <v>Pooja</v>
      </c>
      <c r="H238" s="1" t="str">
        <f>IFERROR(__xludf.DUMMYFUNCTION("""COMPUTED_VALUE"""),"Gold gents ring")</f>
        <v>Gold gents ring</v>
      </c>
      <c r="I238" s="1"/>
      <c r="J238" s="1"/>
      <c r="K238" s="3">
        <f>IFERROR(__xludf.DUMMYFUNCTION("""COMPUTED_VALUE"""),0.84375)</f>
        <v>0.84375</v>
      </c>
      <c r="L238" s="1" t="str">
        <f>IFERROR(__xludf.DUMMYFUNCTION("""COMPUTED_VALUE"""),"Yes")</f>
        <v>Yes</v>
      </c>
      <c r="M238" s="1" t="str">
        <f>IFERROR(__xludf.DUMMYFUNCTION("""COMPUTED_VALUE"""),"Yes")</f>
        <v>Yes</v>
      </c>
      <c r="N238" s="1" t="str">
        <f>IFERROR(__xludf.DUMMYFUNCTION("""COMPUTED_VALUE"""),"Yes")</f>
        <v>Yes</v>
      </c>
      <c r="O238" s="1" t="str">
        <f>IFERROR(__xludf.DUMMYFUNCTION("""COMPUTED_VALUE"""),"WA ONLY, CALL")</f>
        <v>WA ONLY, CALL</v>
      </c>
      <c r="P238" s="1" t="str">
        <f>IFERROR(__xludf.DUMMYFUNCTION("""COMPUTED_VALUE"""),"Madam")</f>
        <v>Madam</v>
      </c>
      <c r="Q238" s="1" t="str">
        <f>IFERROR(__xludf.DUMMYFUNCTION("""COMPUTED_VALUE"""),"No")</f>
        <v>No</v>
      </c>
      <c r="R238" s="1" t="str">
        <f>IFERROR(__xludf.DUMMYFUNCTION("""COMPUTED_VALUE"""),"NEW WALK IN")</f>
        <v>NEW WALK IN</v>
      </c>
      <c r="S238" s="1"/>
    </row>
    <row r="239">
      <c r="A239" s="2">
        <f>IFERROR(__xludf.DUMMYFUNCTION("""COMPUTED_VALUE"""),45366.72090961806)</f>
        <v>45366.72091</v>
      </c>
      <c r="B239" s="1" t="str">
        <f>IFERROR(__xludf.DUMMYFUNCTION("""COMPUTED_VALUE"""),"Ashu")</f>
        <v>Ashu</v>
      </c>
      <c r="C239" s="1">
        <f>IFERROR(__xludf.DUMMYFUNCTION("""COMPUTED_VALUE"""),8.384013994E9)</f>
        <v>8384013994</v>
      </c>
      <c r="D239" s="1">
        <f>IFERROR(__xludf.DUMMYFUNCTION("""COMPUTED_VALUE"""),1.0)</f>
        <v>1</v>
      </c>
      <c r="E239" s="3">
        <f>IFERROR(__xludf.DUMMYFUNCTION("""COMPUTED_VALUE"""),0.5749999999970896)</f>
        <v>0.575</v>
      </c>
      <c r="F239" s="1" t="str">
        <f>IFERROR(__xludf.DUMMYFUNCTION("""COMPUTED_VALUE"""),"Antique Gold")</f>
        <v>Antique Gold</v>
      </c>
      <c r="G239" s="1" t="str">
        <f>IFERROR(__xludf.DUMMYFUNCTION("""COMPUTED_VALUE"""),"Pooja")</f>
        <v>Pooja</v>
      </c>
      <c r="H239" s="1" t="str">
        <f>IFERROR(__xludf.DUMMYFUNCTION("""COMPUTED_VALUE"""),"Diamond ring")</f>
        <v>Diamond ring</v>
      </c>
      <c r="I239" s="1"/>
      <c r="J239" s="1"/>
      <c r="K239" s="3">
        <f>IFERROR(__xludf.DUMMYFUNCTION("""COMPUTED_VALUE"""),0.7131944444408873)</f>
        <v>0.7131944444</v>
      </c>
      <c r="L239" s="1" t="str">
        <f>IFERROR(__xludf.DUMMYFUNCTION("""COMPUTED_VALUE"""),"Yes")</f>
        <v>Yes</v>
      </c>
      <c r="M239" s="1" t="str">
        <f>IFERROR(__xludf.DUMMYFUNCTION("""COMPUTED_VALUE"""),"No")</f>
        <v>No</v>
      </c>
      <c r="N239" s="1" t="str">
        <f>IFERROR(__xludf.DUMMYFUNCTION("""COMPUTED_VALUE"""),"Yrs")</f>
        <v>Yrs</v>
      </c>
      <c r="O239" s="1" t="str">
        <f>IFERROR(__xludf.DUMMYFUNCTION("""COMPUTED_VALUE"""),"WA ONLY, CALL")</f>
        <v>WA ONLY, CALL</v>
      </c>
      <c r="P239" s="1" t="str">
        <f>IFERROR(__xludf.DUMMYFUNCTION("""COMPUTED_VALUE"""),"Madam")</f>
        <v>Madam</v>
      </c>
      <c r="Q239" s="1" t="str">
        <f>IFERROR(__xludf.DUMMYFUNCTION("""COMPUTED_VALUE"""),"No")</f>
        <v>No</v>
      </c>
      <c r="R239" s="1" t="str">
        <f>IFERROR(__xludf.DUMMYFUNCTION("""COMPUTED_VALUE"""),"NEW WALK IN")</f>
        <v>NEW WALK IN</v>
      </c>
      <c r="S239" s="1"/>
    </row>
    <row r="240">
      <c r="A240" s="2">
        <f>IFERROR(__xludf.DUMMYFUNCTION("""COMPUTED_VALUE"""),45366.721879930556)</f>
        <v>45366.72188</v>
      </c>
      <c r="B240" s="1" t="str">
        <f>IFERROR(__xludf.DUMMYFUNCTION("""COMPUTED_VALUE"""),"Rakesh")</f>
        <v>Rakesh</v>
      </c>
      <c r="C240" s="1">
        <f>IFERROR(__xludf.DUMMYFUNCTION("""COMPUTED_VALUE"""),9.962578667E9)</f>
        <v>9962578667</v>
      </c>
      <c r="D240" s="1">
        <f>IFERROR(__xludf.DUMMYFUNCTION("""COMPUTED_VALUE"""),1.0)</f>
        <v>1</v>
      </c>
      <c r="E240" s="3">
        <f>IFERROR(__xludf.DUMMYFUNCTION("""COMPUTED_VALUE"""),0.6076388888905058)</f>
        <v>0.6076388889</v>
      </c>
      <c r="F240" s="1" t="str">
        <f>IFERROR(__xludf.DUMMYFUNCTION("""COMPUTED_VALUE"""),"Plain Gold")</f>
        <v>Plain Gold</v>
      </c>
      <c r="G240" s="1" t="str">
        <f>IFERROR(__xludf.DUMMYFUNCTION("""COMPUTED_VALUE"""),"Chhaya")</f>
        <v>Chhaya</v>
      </c>
      <c r="H240" s="1" t="str">
        <f>IFERROR(__xludf.DUMMYFUNCTION("""COMPUTED_VALUE"""),"Diamond chain ")</f>
        <v>Diamond chain </v>
      </c>
      <c r="I240" s="1"/>
      <c r="J240" s="1"/>
      <c r="K240" s="3">
        <f>IFERROR(__xludf.DUMMYFUNCTION("""COMPUTED_VALUE"""),0.6777777777751908)</f>
        <v>0.6777777778</v>
      </c>
      <c r="L240" s="1" t="str">
        <f>IFERROR(__xludf.DUMMYFUNCTION("""COMPUTED_VALUE"""),"Yes")</f>
        <v>Yes</v>
      </c>
      <c r="M240" s="1" t="str">
        <f>IFERROR(__xludf.DUMMYFUNCTION("""COMPUTED_VALUE"""),"No")</f>
        <v>No</v>
      </c>
      <c r="N240" s="1" t="str">
        <f>IFERROR(__xludf.DUMMYFUNCTION("""COMPUTED_VALUE"""),"No")</f>
        <v>No</v>
      </c>
      <c r="O240" s="1" t="str">
        <f>IFERROR(__xludf.DUMMYFUNCTION("""COMPUTED_VALUE"""),"WA ONLY, CALL")</f>
        <v>WA ONLY, CALL</v>
      </c>
      <c r="P240" s="1" t="str">
        <f>IFERROR(__xludf.DUMMYFUNCTION("""COMPUTED_VALUE"""),"Sir")</f>
        <v>Sir</v>
      </c>
      <c r="Q240" s="1" t="str">
        <f>IFERROR(__xludf.DUMMYFUNCTION("""COMPUTED_VALUE"""),"No")</f>
        <v>No</v>
      </c>
      <c r="R240" s="1" t="str">
        <f>IFERROR(__xludf.DUMMYFUNCTION("""COMPUTED_VALUE"""),"NEW WALK IN")</f>
        <v>NEW WALK IN</v>
      </c>
      <c r="S240" s="1"/>
    </row>
    <row r="241">
      <c r="A241" s="2">
        <f>IFERROR(__xludf.DUMMYFUNCTION("""COMPUTED_VALUE"""),45366.72270828704)</f>
        <v>45366.72271</v>
      </c>
      <c r="B241" s="1" t="str">
        <f>IFERROR(__xludf.DUMMYFUNCTION("""COMPUTED_VALUE"""),"Kanchan")</f>
        <v>Kanchan</v>
      </c>
      <c r="C241" s="1">
        <f>IFERROR(__xludf.DUMMYFUNCTION("""COMPUTED_VALUE"""),7.217868801E9)</f>
        <v>7217868801</v>
      </c>
      <c r="D241" s="1">
        <f>IFERROR(__xludf.DUMMYFUNCTION("""COMPUTED_VALUE"""),1.0)</f>
        <v>1</v>
      </c>
      <c r="E241" s="3">
        <f>IFERROR(__xludf.DUMMYFUNCTION("""COMPUTED_VALUE"""),0.6076388888905058)</f>
        <v>0.6076388889</v>
      </c>
      <c r="F241" s="1" t="str">
        <f>IFERROR(__xludf.DUMMYFUNCTION("""COMPUTED_VALUE"""),"Antique Gold")</f>
        <v>Antique Gold</v>
      </c>
      <c r="G241" s="1" t="str">
        <f>IFERROR(__xludf.DUMMYFUNCTION("""COMPUTED_VALUE"""),"Pooja")</f>
        <v>Pooja</v>
      </c>
      <c r="H241" s="1" t="str">
        <f>IFERROR(__xludf.DUMMYFUNCTION("""COMPUTED_VALUE"""),"Diamond nose pin")</f>
        <v>Diamond nose pin</v>
      </c>
      <c r="I241" s="1"/>
      <c r="J241" s="1"/>
      <c r="K241" s="3">
        <f>IFERROR(__xludf.DUMMYFUNCTION("""COMPUTED_VALUE"""),0.6583333333328483)</f>
        <v>0.6583333333</v>
      </c>
      <c r="L241" s="1" t="str">
        <f>IFERROR(__xludf.DUMMYFUNCTION("""COMPUTED_VALUE"""),"Yes")</f>
        <v>Yes</v>
      </c>
      <c r="M241" s="1" t="str">
        <f>IFERROR(__xludf.DUMMYFUNCTION("""COMPUTED_VALUE"""),"Yes")</f>
        <v>Yes</v>
      </c>
      <c r="N241" s="1" t="str">
        <f>IFERROR(__xludf.DUMMYFUNCTION("""COMPUTED_VALUE"""),"Yes")</f>
        <v>Yes</v>
      </c>
      <c r="O241" s="1" t="str">
        <f>IFERROR(__xludf.DUMMYFUNCTION("""COMPUTED_VALUE"""),"WA ONLY, CALL")</f>
        <v>WA ONLY, CALL</v>
      </c>
      <c r="P241" s="1" t="str">
        <f>IFERROR(__xludf.DUMMYFUNCTION("""COMPUTED_VALUE"""),"Madam")</f>
        <v>Madam</v>
      </c>
      <c r="Q241" s="1" t="str">
        <f>IFERROR(__xludf.DUMMYFUNCTION("""COMPUTED_VALUE"""),"No")</f>
        <v>No</v>
      </c>
      <c r="R241" s="1" t="str">
        <f>IFERROR(__xludf.DUMMYFUNCTION("""COMPUTED_VALUE"""),"NEW WALK IN")</f>
        <v>NEW WALK IN</v>
      </c>
      <c r="S241" s="1"/>
    </row>
    <row r="242">
      <c r="A242" s="2">
        <f>IFERROR(__xludf.DUMMYFUNCTION("""COMPUTED_VALUE"""),45366.75694274306)</f>
        <v>45366.75694</v>
      </c>
      <c r="B242" s="1" t="str">
        <f>IFERROR(__xludf.DUMMYFUNCTION("""COMPUTED_VALUE"""),"Charu")</f>
        <v>Charu</v>
      </c>
      <c r="C242" s="1">
        <f>IFERROR(__xludf.DUMMYFUNCTION("""COMPUTED_VALUE"""),9.71792028E9)</f>
        <v>9717920280</v>
      </c>
      <c r="D242" s="1">
        <f>IFERROR(__xludf.DUMMYFUNCTION("""COMPUTED_VALUE"""),1.0)</f>
        <v>1</v>
      </c>
      <c r="E242" s="3">
        <f>IFERROR(__xludf.DUMMYFUNCTION("""COMPUTED_VALUE"""),0.7159722222204437)</f>
        <v>0.7159722222</v>
      </c>
      <c r="F242" s="1" t="str">
        <f>IFERROR(__xludf.DUMMYFUNCTION("""COMPUTED_VALUE"""),"Antique Gold")</f>
        <v>Antique Gold</v>
      </c>
      <c r="G242" s="1" t="str">
        <f>IFERROR(__xludf.DUMMYFUNCTION("""COMPUTED_VALUE"""),"Chhaya")</f>
        <v>Chhaya</v>
      </c>
      <c r="H242" s="1"/>
      <c r="I242" s="1" t="str">
        <f>IFERROR(__xludf.DUMMYFUNCTION("""COMPUTED_VALUE"""),"Pick up Order")</f>
        <v>Pick up Order</v>
      </c>
      <c r="J242" s="1"/>
      <c r="K242" s="3">
        <f>IFERROR(__xludf.DUMMYFUNCTION("""COMPUTED_VALUE"""),0.7520833333328483)</f>
        <v>0.7520833333</v>
      </c>
      <c r="L242" s="1" t="str">
        <f>IFERROR(__xludf.DUMMYFUNCTION("""COMPUTED_VALUE"""),"Yes")</f>
        <v>Yes</v>
      </c>
      <c r="M242" s="1" t="str">
        <f>IFERROR(__xludf.DUMMYFUNCTION("""COMPUTED_VALUE"""),"Already done ")</f>
        <v>Already done </v>
      </c>
      <c r="N242" s="1" t="str">
        <f>IFERROR(__xludf.DUMMYFUNCTION("""COMPUTED_VALUE"""),"Already done")</f>
        <v>Already done</v>
      </c>
      <c r="O242" s="1" t="str">
        <f>IFERROR(__xludf.DUMMYFUNCTION("""COMPUTED_VALUE"""),"WA ONLY, CALL")</f>
        <v>WA ONLY, CALL</v>
      </c>
      <c r="P242" s="1" t="str">
        <f>IFERROR(__xludf.DUMMYFUNCTION("""COMPUTED_VALUE"""),"Madam")</f>
        <v>Madam</v>
      </c>
      <c r="Q242" s="1" t="str">
        <f>IFERROR(__xludf.DUMMYFUNCTION("""COMPUTED_VALUE"""),"No")</f>
        <v>No</v>
      </c>
      <c r="R242" s="1" t="str">
        <f>IFERROR(__xludf.DUMMYFUNCTION("""COMPUTED_VALUE"""),"NEW WALK IN")</f>
        <v>NEW WALK IN</v>
      </c>
      <c r="S242" s="1"/>
    </row>
    <row r="243">
      <c r="A243" s="2">
        <f>IFERROR(__xludf.DUMMYFUNCTION("""COMPUTED_VALUE"""),45366.75782665509)</f>
        <v>45366.75783</v>
      </c>
      <c r="B243" s="1" t="str">
        <f>IFERROR(__xludf.DUMMYFUNCTION("""COMPUTED_VALUE"""),"Sapna")</f>
        <v>Sapna</v>
      </c>
      <c r="C243" s="1">
        <f>IFERROR(__xludf.DUMMYFUNCTION("""COMPUTED_VALUE"""),9.711009801E9)</f>
        <v>9711009801</v>
      </c>
      <c r="D243" s="1">
        <f>IFERROR(__xludf.DUMMYFUNCTION("""COMPUTED_VALUE"""),1.0)</f>
        <v>1</v>
      </c>
      <c r="E243" s="3">
        <f>IFERROR(__xludf.DUMMYFUNCTION("""COMPUTED_VALUE"""),0.7180555555532919)</f>
        <v>0.7180555556</v>
      </c>
      <c r="F243" s="1" t="str">
        <f>IFERROR(__xludf.DUMMYFUNCTION("""COMPUTED_VALUE"""),"Antique Gold")</f>
        <v>Antique Gold</v>
      </c>
      <c r="G243" s="1" t="str">
        <f>IFERROR(__xludf.DUMMYFUNCTION("""COMPUTED_VALUE"""),"Pooja")</f>
        <v>Pooja</v>
      </c>
      <c r="H243" s="1"/>
      <c r="I243" s="1" t="str">
        <f>IFERROR(__xludf.DUMMYFUNCTION("""COMPUTED_VALUE"""),"Will ask family and come with them")</f>
        <v>Will ask family and come with them</v>
      </c>
      <c r="J243" s="1"/>
      <c r="K243" s="3">
        <f>IFERROR(__xludf.DUMMYFUNCTION("""COMPUTED_VALUE"""),0.7506944444467081)</f>
        <v>0.7506944444</v>
      </c>
      <c r="L243" s="1" t="str">
        <f>IFERROR(__xludf.DUMMYFUNCTION("""COMPUTED_VALUE"""),"Yes")</f>
        <v>Yes</v>
      </c>
      <c r="M243" s="1" t="str">
        <f>IFERROR(__xludf.DUMMYFUNCTION("""COMPUTED_VALUE"""),"No")</f>
        <v>No</v>
      </c>
      <c r="N243" s="1" t="str">
        <f>IFERROR(__xludf.DUMMYFUNCTION("""COMPUTED_VALUE"""),"No")</f>
        <v>No</v>
      </c>
      <c r="O243" s="1" t="str">
        <f>IFERROR(__xludf.DUMMYFUNCTION("""COMPUTED_VALUE"""),"WA ONLY, CALL")</f>
        <v>WA ONLY, CALL</v>
      </c>
      <c r="P243" s="1" t="str">
        <f>IFERROR(__xludf.DUMMYFUNCTION("""COMPUTED_VALUE"""),"Madam")</f>
        <v>Madam</v>
      </c>
      <c r="Q243" s="1" t="str">
        <f>IFERROR(__xludf.DUMMYFUNCTION("""COMPUTED_VALUE"""),"No")</f>
        <v>No</v>
      </c>
      <c r="R243" s="1" t="str">
        <f>IFERROR(__xludf.DUMMYFUNCTION("""COMPUTED_VALUE"""),"NEW WALK IN")</f>
        <v>NEW WALK IN</v>
      </c>
      <c r="S243" s="1"/>
    </row>
    <row r="244">
      <c r="A244" s="2">
        <f>IFERROR(__xludf.DUMMYFUNCTION("""COMPUTED_VALUE"""),45367.761744918986)</f>
        <v>45367.76174</v>
      </c>
      <c r="B244" s="1" t="str">
        <f>IFERROR(__xludf.DUMMYFUNCTION("""COMPUTED_VALUE"""),"Mona sethi")</f>
        <v>Mona sethi</v>
      </c>
      <c r="C244" s="1">
        <f>IFERROR(__xludf.DUMMYFUNCTION("""COMPUTED_VALUE"""),9.86844262E9)</f>
        <v>9868442620</v>
      </c>
      <c r="D244" s="1">
        <f>IFERROR(__xludf.DUMMYFUNCTION("""COMPUTED_VALUE"""),1.0)</f>
        <v>1</v>
      </c>
      <c r="E244" s="3">
        <f>IFERROR(__xludf.DUMMYFUNCTION("""COMPUTED_VALUE"""),0.53125)</f>
        <v>0.53125</v>
      </c>
      <c r="F244" s="1" t="str">
        <f>IFERROR(__xludf.DUMMYFUNCTION("""COMPUTED_VALUE"""),"Antique Gold")</f>
        <v>Antique Gold</v>
      </c>
      <c r="G244" s="1" t="str">
        <f>IFERROR(__xludf.DUMMYFUNCTION("""COMPUTED_VALUE"""),"Pooja")</f>
        <v>Pooja</v>
      </c>
      <c r="H244" s="1" t="str">
        <f>IFERROR(__xludf.DUMMYFUNCTION("""COMPUTED_VALUE"""),"Mangal sutr")</f>
        <v>Mangal sutr</v>
      </c>
      <c r="I244" s="1"/>
      <c r="J244" s="1"/>
      <c r="K244" s="3">
        <f>IFERROR(__xludf.DUMMYFUNCTION("""COMPUTED_VALUE"""),0.5729166666642413)</f>
        <v>0.5729166667</v>
      </c>
      <c r="L244" s="1" t="str">
        <f>IFERROR(__xludf.DUMMYFUNCTION("""COMPUTED_VALUE"""),"Yes")</f>
        <v>Yes</v>
      </c>
      <c r="M244" s="1" t="str">
        <f>IFERROR(__xludf.DUMMYFUNCTION("""COMPUTED_VALUE"""),"Already done")</f>
        <v>Already done</v>
      </c>
      <c r="N244" s="1" t="str">
        <f>IFERROR(__xludf.DUMMYFUNCTION("""COMPUTED_VALUE"""),"Already done")</f>
        <v>Already done</v>
      </c>
      <c r="O244" s="1" t="str">
        <f>IFERROR(__xludf.DUMMYFUNCTION("""COMPUTED_VALUE"""),"WA ONLY, CALL")</f>
        <v>WA ONLY, CALL</v>
      </c>
      <c r="P244" s="1" t="str">
        <f>IFERROR(__xludf.DUMMYFUNCTION("""COMPUTED_VALUE"""),"Madam")</f>
        <v>Madam</v>
      </c>
      <c r="Q244" s="1" t="str">
        <f>IFERROR(__xludf.DUMMYFUNCTION("""COMPUTED_VALUE"""),"No")</f>
        <v>No</v>
      </c>
      <c r="R244" s="1" t="str">
        <f>IFERROR(__xludf.DUMMYFUNCTION("""COMPUTED_VALUE"""),"OLD")</f>
        <v>OLD</v>
      </c>
      <c r="S244" s="1"/>
    </row>
    <row r="245">
      <c r="A245" s="2">
        <f>IFERROR(__xludf.DUMMYFUNCTION("""COMPUTED_VALUE"""),45367.76331995371)</f>
        <v>45367.76332</v>
      </c>
      <c r="B245" s="1" t="str">
        <f>IFERROR(__xludf.DUMMYFUNCTION("""COMPUTED_VALUE"""),"Aditi")</f>
        <v>Aditi</v>
      </c>
      <c r="C245" s="1">
        <f>IFERROR(__xludf.DUMMYFUNCTION("""COMPUTED_VALUE"""),9.91711476067E11)</f>
        <v>991711476067</v>
      </c>
      <c r="D245" s="1">
        <f>IFERROR(__xludf.DUMMYFUNCTION("""COMPUTED_VALUE"""),1.0)</f>
        <v>1</v>
      </c>
      <c r="E245" s="3">
        <f>IFERROR(__xludf.DUMMYFUNCTION("""COMPUTED_VALUE"""),0.5347222222189885)</f>
        <v>0.5347222222</v>
      </c>
      <c r="F245" s="1" t="str">
        <f>IFERROR(__xludf.DUMMYFUNCTION("""COMPUTED_VALUE"""),"Diamond")</f>
        <v>Diamond</v>
      </c>
      <c r="G245" s="1" t="str">
        <f>IFERROR(__xludf.DUMMYFUNCTION("""COMPUTED_VALUE"""),"Chhaya")</f>
        <v>Chhaya</v>
      </c>
      <c r="H245" s="1" t="str">
        <f>IFERROR(__xludf.DUMMYFUNCTION("""COMPUTED_VALUE"""),"Diamond manglsutr")</f>
        <v>Diamond manglsutr</v>
      </c>
      <c r="I245" s="1"/>
      <c r="J245" s="1" t="str">
        <f>IFERROR(__xludf.DUMMYFUNCTION("""COMPUTED_VALUE"""),"2000 per month LUCKY PAY NO MORE")</f>
        <v>2000 per month LUCKY PAY NO MORE</v>
      </c>
      <c r="K245" s="3">
        <f>IFERROR(__xludf.DUMMYFUNCTION("""COMPUTED_VALUE"""),0.6041666666642413)</f>
        <v>0.6041666667</v>
      </c>
      <c r="L245" s="1" t="str">
        <f>IFERROR(__xludf.DUMMYFUNCTION("""COMPUTED_VALUE"""),"Yes")</f>
        <v>Yes</v>
      </c>
      <c r="M245" s="1" t="str">
        <f>IFERROR(__xludf.DUMMYFUNCTION("""COMPUTED_VALUE"""),"Already done")</f>
        <v>Already done</v>
      </c>
      <c r="N245" s="1" t="str">
        <f>IFERROR(__xludf.DUMMYFUNCTION("""COMPUTED_VALUE"""),"Already done")</f>
        <v>Already done</v>
      </c>
      <c r="O245" s="1" t="str">
        <f>IFERROR(__xludf.DUMMYFUNCTION("""COMPUTED_VALUE"""),"WA ONLY, CALL")</f>
        <v>WA ONLY, CALL</v>
      </c>
      <c r="P245" s="1" t="str">
        <f>IFERROR(__xludf.DUMMYFUNCTION("""COMPUTED_VALUE"""),"Madam")</f>
        <v>Madam</v>
      </c>
      <c r="Q245" s="1" t="str">
        <f>IFERROR(__xludf.DUMMYFUNCTION("""COMPUTED_VALUE"""),"Yes")</f>
        <v>Yes</v>
      </c>
      <c r="R245" s="1" t="str">
        <f>IFERROR(__xludf.DUMMYFUNCTION("""COMPUTED_VALUE"""),"OLD")</f>
        <v>OLD</v>
      </c>
      <c r="S245" s="1"/>
    </row>
    <row r="246">
      <c r="A246" s="2">
        <f>IFERROR(__xludf.DUMMYFUNCTION("""COMPUTED_VALUE"""),45367.7639800926)</f>
        <v>45367.76398</v>
      </c>
      <c r="B246" s="1" t="str">
        <f>IFERROR(__xludf.DUMMYFUNCTION("""COMPUTED_VALUE"""),"Meena")</f>
        <v>Meena</v>
      </c>
      <c r="C246" s="1"/>
      <c r="D246" s="1">
        <f>IFERROR(__xludf.DUMMYFUNCTION("""COMPUTED_VALUE"""),2.0)</f>
        <v>2</v>
      </c>
      <c r="E246" s="3">
        <f>IFERROR(__xludf.DUMMYFUNCTION("""COMPUTED_VALUE"""),0.5645833333328483)</f>
        <v>0.5645833333</v>
      </c>
      <c r="F246" s="1" t="str">
        <f>IFERROR(__xludf.DUMMYFUNCTION("""COMPUTED_VALUE"""),"Antique Gold")</f>
        <v>Antique Gold</v>
      </c>
      <c r="G246" s="1" t="str">
        <f>IFERROR(__xludf.DUMMYFUNCTION("""COMPUTED_VALUE"""),"Pooja")</f>
        <v>Pooja</v>
      </c>
      <c r="H246" s="1" t="str">
        <f>IFERROR(__xludf.DUMMYFUNCTION("""COMPUTED_VALUE"""),"Antic set")</f>
        <v>Antic set</v>
      </c>
      <c r="I246" s="1"/>
      <c r="J246" s="1"/>
      <c r="K246" s="3">
        <f>IFERROR(__xludf.DUMMYFUNCTION("""COMPUTED_VALUE"""),0.7291666666642413)</f>
        <v>0.7291666667</v>
      </c>
      <c r="L246" s="1" t="str">
        <f>IFERROR(__xludf.DUMMYFUNCTION("""COMPUTED_VALUE"""),"Yes")</f>
        <v>Yes</v>
      </c>
      <c r="M246" s="1" t="str">
        <f>IFERROR(__xludf.DUMMYFUNCTION("""COMPUTED_VALUE"""),"Already done")</f>
        <v>Already done</v>
      </c>
      <c r="N246" s="1" t="str">
        <f>IFERROR(__xludf.DUMMYFUNCTION("""COMPUTED_VALUE"""),"Already done")</f>
        <v>Already done</v>
      </c>
      <c r="O246" s="1" t="str">
        <f>IFERROR(__xludf.DUMMYFUNCTION("""COMPUTED_VALUE"""),"WA ONLY, OWNER CONTACT ONLY, CALL")</f>
        <v>WA ONLY, OWNER CONTACT ONLY, CALL</v>
      </c>
      <c r="P246" s="1" t="str">
        <f>IFERROR(__xludf.DUMMYFUNCTION("""COMPUTED_VALUE"""),"Madam")</f>
        <v>Madam</v>
      </c>
      <c r="Q246" s="1" t="str">
        <f>IFERROR(__xludf.DUMMYFUNCTION("""COMPUTED_VALUE"""),"No")</f>
        <v>No</v>
      </c>
      <c r="R246" s="1" t="str">
        <f>IFERROR(__xludf.DUMMYFUNCTION("""COMPUTED_VALUE"""),"OLD")</f>
        <v>OLD</v>
      </c>
      <c r="S246" s="1"/>
    </row>
    <row r="247">
      <c r="A247" s="2">
        <f>IFERROR(__xludf.DUMMYFUNCTION("""COMPUTED_VALUE"""),45368.7572340162)</f>
        <v>45368.75723</v>
      </c>
      <c r="B247" s="1" t="str">
        <f>IFERROR(__xludf.DUMMYFUNCTION("""COMPUTED_VALUE"""),"Latika")</f>
        <v>Latika</v>
      </c>
      <c r="C247" s="1">
        <f>IFERROR(__xludf.DUMMYFUNCTION("""COMPUTED_VALUE"""),9.1711476067E10)</f>
        <v>91711476067</v>
      </c>
      <c r="D247" s="1">
        <f>IFERROR(__xludf.DUMMYFUNCTION("""COMPUTED_VALUE"""),2.0)</f>
        <v>2</v>
      </c>
      <c r="E247" s="3">
        <f>IFERROR(__xludf.DUMMYFUNCTION("""COMPUTED_VALUE"""),0.7451388888875954)</f>
        <v>0.7451388889</v>
      </c>
      <c r="F247" s="1" t="str">
        <f>IFERROR(__xludf.DUMMYFUNCTION("""COMPUTED_VALUE"""),"Antique Gold")</f>
        <v>Antique Gold</v>
      </c>
      <c r="G247" s="1" t="str">
        <f>IFERROR(__xludf.DUMMYFUNCTION("""COMPUTED_VALUE"""),"Chhaya")</f>
        <v>Chhaya</v>
      </c>
      <c r="H247" s="1" t="str">
        <f>IFERROR(__xludf.DUMMYFUNCTION("""COMPUTED_VALUE"""),"Gold band")</f>
        <v>Gold band</v>
      </c>
      <c r="I247" s="1"/>
      <c r="J247" s="1"/>
      <c r="K247" s="3">
        <f>IFERROR(__xludf.DUMMYFUNCTION("""COMPUTED_VALUE"""),0.7326388888905058)</f>
        <v>0.7326388889</v>
      </c>
      <c r="L247" s="1" t="str">
        <f>IFERROR(__xludf.DUMMYFUNCTION("""COMPUTED_VALUE"""),"Yes")</f>
        <v>Yes</v>
      </c>
      <c r="M247" s="1" t="str">
        <f>IFERROR(__xludf.DUMMYFUNCTION("""COMPUTED_VALUE"""),"After order complete ")</f>
        <v>After order complete </v>
      </c>
      <c r="N247" s="1" t="str">
        <f>IFERROR(__xludf.DUMMYFUNCTION("""COMPUTED_VALUE"""),"After order complete ")</f>
        <v>After order complete </v>
      </c>
      <c r="O247" s="1" t="str">
        <f>IFERROR(__xludf.DUMMYFUNCTION("""COMPUTED_VALUE"""),"WA ONLY, CALL")</f>
        <v>WA ONLY, CALL</v>
      </c>
      <c r="P247" s="1" t="str">
        <f>IFERROR(__xludf.DUMMYFUNCTION("""COMPUTED_VALUE"""),"Madam")</f>
        <v>Madam</v>
      </c>
      <c r="Q247" s="1" t="str">
        <f>IFERROR(__xludf.DUMMYFUNCTION("""COMPUTED_VALUE"""),"No")</f>
        <v>No</v>
      </c>
      <c r="R247" s="1" t="str">
        <f>IFERROR(__xludf.DUMMYFUNCTION("""COMPUTED_VALUE"""),"NEW WALK IN")</f>
        <v>NEW WALK IN</v>
      </c>
      <c r="S247" s="1"/>
    </row>
    <row r="248">
      <c r="A248" s="2">
        <f>IFERROR(__xludf.DUMMYFUNCTION("""COMPUTED_VALUE"""),45368.75815751158)</f>
        <v>45368.75816</v>
      </c>
      <c r="B248" s="1" t="str">
        <f>IFERROR(__xludf.DUMMYFUNCTION("""COMPUTED_VALUE"""),"Mr.bhushan roy")</f>
        <v>Mr.bhushan roy</v>
      </c>
      <c r="C248" s="1">
        <f>IFERROR(__xludf.DUMMYFUNCTION("""COMPUTED_VALUE"""),9.81231937E9)</f>
        <v>9812319370</v>
      </c>
      <c r="D248" s="1">
        <f>IFERROR(__xludf.DUMMYFUNCTION("""COMPUTED_VALUE"""),2.0)</f>
        <v>2</v>
      </c>
      <c r="E248" s="3">
        <f>IFERROR(__xludf.DUMMYFUNCTION("""COMPUTED_VALUE"""),0.5736111111109494)</f>
        <v>0.5736111111</v>
      </c>
      <c r="F248" s="1" t="str">
        <f>IFERROR(__xludf.DUMMYFUNCTION("""COMPUTED_VALUE"""),"Diamond")</f>
        <v>Diamond</v>
      </c>
      <c r="G248" s="1" t="str">
        <f>IFERROR(__xludf.DUMMYFUNCTION("""COMPUTED_VALUE"""),"Chhaya")</f>
        <v>Chhaya</v>
      </c>
      <c r="H248" s="1" t="str">
        <f>IFERROR(__xludf.DUMMYFUNCTION("""COMPUTED_VALUE"""),"Diamond rig,bangles ")</f>
        <v>Diamond rig,bangles </v>
      </c>
      <c r="I248" s="1"/>
      <c r="J248" s="1"/>
      <c r="K248" s="3">
        <f>IFERROR(__xludf.DUMMYFUNCTION("""COMPUTED_VALUE"""),0.7138888888875954)</f>
        <v>0.7138888889</v>
      </c>
      <c r="L248" s="1" t="str">
        <f>IFERROR(__xludf.DUMMYFUNCTION("""COMPUTED_VALUE"""),"Yes")</f>
        <v>Yes</v>
      </c>
      <c r="M248" s="1" t="str">
        <f>IFERROR(__xludf.DUMMYFUNCTION("""COMPUTED_VALUE"""),"Yes")</f>
        <v>Yes</v>
      </c>
      <c r="N248" s="1" t="str">
        <f>IFERROR(__xludf.DUMMYFUNCTION("""COMPUTED_VALUE"""),"Yes")</f>
        <v>Yes</v>
      </c>
      <c r="O248" s="1" t="str">
        <f>IFERROR(__xludf.DUMMYFUNCTION("""COMPUTED_VALUE"""),"WA ONLY, CALL")</f>
        <v>WA ONLY, CALL</v>
      </c>
      <c r="P248" s="1" t="str">
        <f>IFERROR(__xludf.DUMMYFUNCTION("""COMPUTED_VALUE"""),"Sir")</f>
        <v>Sir</v>
      </c>
      <c r="Q248" s="1" t="str">
        <f>IFERROR(__xludf.DUMMYFUNCTION("""COMPUTED_VALUE"""),"No")</f>
        <v>No</v>
      </c>
      <c r="R248" s="1" t="str">
        <f>IFERROR(__xludf.DUMMYFUNCTION("""COMPUTED_VALUE"""),"NEW WALK IN")</f>
        <v>NEW WALK IN</v>
      </c>
      <c r="S248" s="1"/>
    </row>
    <row r="249">
      <c r="A249" s="2">
        <f>IFERROR(__xludf.DUMMYFUNCTION("""COMPUTED_VALUE"""),45368.75911175926)</f>
        <v>45368.75911</v>
      </c>
      <c r="B249" s="1" t="str">
        <f>IFERROR(__xludf.DUMMYFUNCTION("""COMPUTED_VALUE"""),"Gourav ")</f>
        <v>Gourav </v>
      </c>
      <c r="C249" s="1">
        <f>IFERROR(__xludf.DUMMYFUNCTION("""COMPUTED_VALUE"""),7.906897961E9)</f>
        <v>7906897961</v>
      </c>
      <c r="D249" s="1">
        <f>IFERROR(__xludf.DUMMYFUNCTION("""COMPUTED_VALUE"""),2.0)</f>
        <v>2</v>
      </c>
      <c r="E249" s="3">
        <f>IFERROR(__xludf.DUMMYFUNCTION("""COMPUTED_VALUE"""),0.6937499999985448)</f>
        <v>0.69375</v>
      </c>
      <c r="F249" s="1" t="str">
        <f>IFERROR(__xludf.DUMMYFUNCTION("""COMPUTED_VALUE"""),"Diamond")</f>
        <v>Diamond</v>
      </c>
      <c r="G249" s="1" t="str">
        <f>IFERROR(__xludf.DUMMYFUNCTION("""COMPUTED_VALUE"""),"Pooja")</f>
        <v>Pooja</v>
      </c>
      <c r="H249" s="1"/>
      <c r="I249" s="1" t="str">
        <f>IFERROR(__xludf.DUMMYFUNCTION("""COMPUTED_VALUE"""),"Give Payment")</f>
        <v>Give Payment</v>
      </c>
      <c r="J249" s="1"/>
      <c r="K249" s="3">
        <f>IFERROR(__xludf.DUMMYFUNCTION("""COMPUTED_VALUE"""),0.7395833333357587)</f>
        <v>0.7395833333</v>
      </c>
      <c r="L249" s="1" t="str">
        <f>IFERROR(__xludf.DUMMYFUNCTION("""COMPUTED_VALUE"""),"Yes")</f>
        <v>Yes</v>
      </c>
      <c r="M249" s="1" t="str">
        <f>IFERROR(__xludf.DUMMYFUNCTION("""COMPUTED_VALUE"""),"Already done")</f>
        <v>Already done</v>
      </c>
      <c r="N249" s="1" t="str">
        <f>IFERROR(__xludf.DUMMYFUNCTION("""COMPUTED_VALUE"""),"Already done")</f>
        <v>Already done</v>
      </c>
      <c r="O249" s="1" t="str">
        <f>IFERROR(__xludf.DUMMYFUNCTION("""COMPUTED_VALUE"""),"WA ONLY, CALL")</f>
        <v>WA ONLY, CALL</v>
      </c>
      <c r="P249" s="1" t="str">
        <f>IFERROR(__xludf.DUMMYFUNCTION("""COMPUTED_VALUE"""),"Sir")</f>
        <v>Sir</v>
      </c>
      <c r="Q249" s="1" t="str">
        <f>IFERROR(__xludf.DUMMYFUNCTION("""COMPUTED_VALUE"""),"No")</f>
        <v>No</v>
      </c>
      <c r="R249" s="1" t="str">
        <f>IFERROR(__xludf.DUMMYFUNCTION("""COMPUTED_VALUE"""),"OLD")</f>
        <v>OLD</v>
      </c>
      <c r="S249" s="1"/>
    </row>
    <row r="250">
      <c r="A250" s="2">
        <f>IFERROR(__xludf.DUMMYFUNCTION("""COMPUTED_VALUE"""),45368.77686731482)</f>
        <v>45368.77687</v>
      </c>
      <c r="B250" s="1" t="str">
        <f>IFERROR(__xludf.DUMMYFUNCTION("""COMPUTED_VALUE"""),"Deepak")</f>
        <v>Deepak</v>
      </c>
      <c r="C250" s="1">
        <f>IFERROR(__xludf.DUMMYFUNCTION("""COMPUTED_VALUE"""),9.560757721E9)</f>
        <v>9560757721</v>
      </c>
      <c r="D250" s="1">
        <f>IFERROR(__xludf.DUMMYFUNCTION("""COMPUTED_VALUE"""),1.0)</f>
        <v>1</v>
      </c>
      <c r="E250" s="3">
        <f>IFERROR(__xludf.DUMMYFUNCTION("""COMPUTED_VALUE"""),0.7638888888905058)</f>
        <v>0.7638888889</v>
      </c>
      <c r="F250" s="1" t="str">
        <f>IFERROR(__xludf.DUMMYFUNCTION("""COMPUTED_VALUE"""),"Diamond")</f>
        <v>Diamond</v>
      </c>
      <c r="G250" s="1" t="str">
        <f>IFERROR(__xludf.DUMMYFUNCTION("""COMPUTED_VALUE"""),"Chhaya")</f>
        <v>Chhaya</v>
      </c>
      <c r="H250" s="1"/>
      <c r="I250" s="1" t="str">
        <f>IFERROR(__xludf.DUMMYFUNCTION("""COMPUTED_VALUE"""),"Visit Again in 1 Month")</f>
        <v>Visit Again in 1 Month</v>
      </c>
      <c r="J250" s="1"/>
      <c r="K250" s="3">
        <f>IFERROR(__xludf.DUMMYFUNCTION("""COMPUTED_VALUE"""),0.7750000000014552)</f>
        <v>0.775</v>
      </c>
      <c r="L250" s="1" t="str">
        <f>IFERROR(__xludf.DUMMYFUNCTION("""COMPUTED_VALUE"""),"Yes")</f>
        <v>Yes</v>
      </c>
      <c r="M250" s="1" t="str">
        <f>IFERROR(__xludf.DUMMYFUNCTION("""COMPUTED_VALUE"""),"No")</f>
        <v>No</v>
      </c>
      <c r="N250" s="1" t="str">
        <f>IFERROR(__xludf.DUMMYFUNCTION("""COMPUTED_VALUE"""),"No")</f>
        <v>No</v>
      </c>
      <c r="O250" s="1" t="str">
        <f>IFERROR(__xludf.DUMMYFUNCTION("""COMPUTED_VALUE"""),"WA ONLY, CALL")</f>
        <v>WA ONLY, CALL</v>
      </c>
      <c r="P250" s="1" t="str">
        <f>IFERROR(__xludf.DUMMYFUNCTION("""COMPUTED_VALUE"""),"Sir")</f>
        <v>Sir</v>
      </c>
      <c r="Q250" s="1" t="str">
        <f>IFERROR(__xludf.DUMMYFUNCTION("""COMPUTED_VALUE"""),"No")</f>
        <v>No</v>
      </c>
      <c r="R250" s="1" t="str">
        <f>IFERROR(__xludf.DUMMYFUNCTION("""COMPUTED_VALUE"""),"NEW WALK IN")</f>
        <v>NEW WALK IN</v>
      </c>
      <c r="S250" s="1"/>
    </row>
    <row r="251">
      <c r="A251" s="2">
        <f>IFERROR(__xludf.DUMMYFUNCTION("""COMPUTED_VALUE"""),45370.77173851852)</f>
        <v>45370.77174</v>
      </c>
      <c r="B251" s="1" t="str">
        <f>IFERROR(__xludf.DUMMYFUNCTION("""COMPUTED_VALUE"""),"Shweta")</f>
        <v>Shweta</v>
      </c>
      <c r="C251" s="1">
        <f>IFERROR(__xludf.DUMMYFUNCTION("""COMPUTED_VALUE"""),9.811791798E9)</f>
        <v>9811791798</v>
      </c>
      <c r="D251" s="1">
        <f>IFERROR(__xludf.DUMMYFUNCTION("""COMPUTED_VALUE"""),1.0)</f>
        <v>1</v>
      </c>
      <c r="E251" s="3">
        <f>IFERROR(__xludf.DUMMYFUNCTION("""COMPUTED_VALUE"""),0.6333333333313931)</f>
        <v>0.6333333333</v>
      </c>
      <c r="F251" s="1" t="str">
        <f>IFERROR(__xludf.DUMMYFUNCTION("""COMPUTED_VALUE"""),"Antique Gold")</f>
        <v>Antique Gold</v>
      </c>
      <c r="G251" s="1" t="str">
        <f>IFERROR(__xludf.DUMMYFUNCTION("""COMPUTED_VALUE"""),"Pooja")</f>
        <v>Pooja</v>
      </c>
      <c r="H251" s="1" t="str">
        <f>IFERROR(__xludf.DUMMYFUNCTION("""COMPUTED_VALUE"""),"Gold chand suraj")</f>
        <v>Gold chand suraj</v>
      </c>
      <c r="I251" s="1"/>
      <c r="J251" s="1"/>
      <c r="K251" s="3">
        <f>IFERROR(__xludf.DUMMYFUNCTION("""COMPUTED_VALUE"""),0.6548611111065838)</f>
        <v>0.6548611111</v>
      </c>
      <c r="L251" s="1" t="str">
        <f>IFERROR(__xludf.DUMMYFUNCTION("""COMPUTED_VALUE"""),"Yes")</f>
        <v>Yes</v>
      </c>
      <c r="M251" s="1" t="str">
        <f>IFERROR(__xludf.DUMMYFUNCTION("""COMPUTED_VALUE"""),"Yes")</f>
        <v>Yes</v>
      </c>
      <c r="N251" s="1" t="str">
        <f>IFERROR(__xludf.DUMMYFUNCTION("""COMPUTED_VALUE"""),"No")</f>
        <v>No</v>
      </c>
      <c r="O251" s="1" t="str">
        <f>IFERROR(__xludf.DUMMYFUNCTION("""COMPUTED_VALUE"""),"WA ONLY, CALL")</f>
        <v>WA ONLY, CALL</v>
      </c>
      <c r="P251" s="1" t="str">
        <f>IFERROR(__xludf.DUMMYFUNCTION("""COMPUTED_VALUE"""),"Madam")</f>
        <v>Madam</v>
      </c>
      <c r="Q251" s="1" t="str">
        <f>IFERROR(__xludf.DUMMYFUNCTION("""COMPUTED_VALUE"""),"No")</f>
        <v>No</v>
      </c>
      <c r="R251" s="1" t="str">
        <f>IFERROR(__xludf.DUMMYFUNCTION("""COMPUTED_VALUE"""),"OLD")</f>
        <v>OLD</v>
      </c>
      <c r="S251" s="1"/>
    </row>
    <row r="252">
      <c r="A252" s="2">
        <f>IFERROR(__xludf.DUMMYFUNCTION("""COMPUTED_VALUE"""),45370.77463421296)</f>
        <v>45370.77463</v>
      </c>
      <c r="B252" s="1" t="str">
        <f>IFERROR(__xludf.DUMMYFUNCTION("""COMPUTED_VALUE"""),"Satyam")</f>
        <v>Satyam</v>
      </c>
      <c r="C252" s="1">
        <f>IFERROR(__xludf.DUMMYFUNCTION("""COMPUTED_VALUE"""),7.4091E9)</f>
        <v>7409100000</v>
      </c>
      <c r="D252" s="1">
        <f>IFERROR(__xludf.DUMMYFUNCTION("""COMPUTED_VALUE"""),1.0)</f>
        <v>1</v>
      </c>
      <c r="E252" s="3">
        <f>IFERROR(__xludf.DUMMYFUNCTION("""COMPUTED_VALUE"""),0.7458333333343035)</f>
        <v>0.7458333333</v>
      </c>
      <c r="F252" s="1" t="str">
        <f>IFERROR(__xludf.DUMMYFUNCTION("""COMPUTED_VALUE"""),"Diamond")</f>
        <v>Diamond</v>
      </c>
      <c r="G252" s="1" t="str">
        <f>IFERROR(__xludf.DUMMYFUNCTION("""COMPUTED_VALUE"""),"Bhumika")</f>
        <v>Bhumika</v>
      </c>
      <c r="H252" s="1"/>
      <c r="I252" s="1" t="str">
        <f>IFERROR(__xludf.DUMMYFUNCTION("""COMPUTED_VALUE"""),"Designs Not Liked")</f>
        <v>Designs Not Liked</v>
      </c>
      <c r="J252" s="1"/>
      <c r="K252" s="3">
        <f>IFERROR(__xludf.DUMMYFUNCTION("""COMPUTED_VALUE"""),0.7583333333313931)</f>
        <v>0.7583333333</v>
      </c>
      <c r="L252" s="1" t="str">
        <f>IFERROR(__xludf.DUMMYFUNCTION("""COMPUTED_VALUE"""),"Yes")</f>
        <v>Yes</v>
      </c>
      <c r="M252" s="1" t="str">
        <f>IFERROR(__xludf.DUMMYFUNCTION("""COMPUTED_VALUE"""),"No")</f>
        <v>No</v>
      </c>
      <c r="N252" s="1" t="str">
        <f>IFERROR(__xludf.DUMMYFUNCTION("""COMPUTED_VALUE"""),"No")</f>
        <v>No</v>
      </c>
      <c r="O252" s="1" t="str">
        <f>IFERROR(__xludf.DUMMYFUNCTION("""COMPUTED_VALUE"""),"WA ONLY, CALL")</f>
        <v>WA ONLY, CALL</v>
      </c>
      <c r="P252" s="1" t="str">
        <f>IFERROR(__xludf.DUMMYFUNCTION("""COMPUTED_VALUE"""),"Sir")</f>
        <v>Sir</v>
      </c>
      <c r="Q252" s="1" t="str">
        <f>IFERROR(__xludf.DUMMYFUNCTION("""COMPUTED_VALUE"""),"No")</f>
        <v>No</v>
      </c>
      <c r="R252" s="1" t="str">
        <f>IFERROR(__xludf.DUMMYFUNCTION("""COMPUTED_VALUE"""),"NEW WALK IN")</f>
        <v>NEW WALK IN</v>
      </c>
      <c r="S252" s="1"/>
    </row>
    <row r="253">
      <c r="A253" s="2">
        <f>IFERROR(__xludf.DUMMYFUNCTION("""COMPUTED_VALUE"""),45370.77583370371)</f>
        <v>45370.77583</v>
      </c>
      <c r="B253" s="1" t="str">
        <f>IFERROR(__xludf.DUMMYFUNCTION("""COMPUTED_VALUE"""),"Geeta")</f>
        <v>Geeta</v>
      </c>
      <c r="C253" s="1">
        <f>IFERROR(__xludf.DUMMYFUNCTION("""COMPUTED_VALUE"""),9.92640208E8)</f>
        <v>992640208</v>
      </c>
      <c r="D253" s="1">
        <f>IFERROR(__xludf.DUMMYFUNCTION("""COMPUTED_VALUE"""),2.0)</f>
        <v>2</v>
      </c>
      <c r="E253" s="3">
        <f>IFERROR(__xludf.DUMMYFUNCTION("""COMPUTED_VALUE"""),0.6972222222248092)</f>
        <v>0.6972222222</v>
      </c>
      <c r="F253" s="1" t="str">
        <f>IFERROR(__xludf.DUMMYFUNCTION("""COMPUTED_VALUE"""),"Antique Gold")</f>
        <v>Antique Gold</v>
      </c>
      <c r="G253" s="1" t="str">
        <f>IFERROR(__xludf.DUMMYFUNCTION("""COMPUTED_VALUE"""),"Pooja")</f>
        <v>Pooja</v>
      </c>
      <c r="H253" s="1" t="str">
        <f>IFERROR(__xludf.DUMMYFUNCTION("""COMPUTED_VALUE"""),"Gold tops,silver bands ")</f>
        <v>Gold tops,silver bands </v>
      </c>
      <c r="I253" s="1"/>
      <c r="J253" s="1"/>
      <c r="K253" s="3">
        <f>IFERROR(__xludf.DUMMYFUNCTION("""COMPUTED_VALUE"""),0.7715277777751908)</f>
        <v>0.7715277778</v>
      </c>
      <c r="L253" s="1" t="str">
        <f>IFERROR(__xludf.DUMMYFUNCTION("""COMPUTED_VALUE"""),"Yes")</f>
        <v>Yes</v>
      </c>
      <c r="M253" s="1" t="str">
        <f>IFERROR(__xludf.DUMMYFUNCTION("""COMPUTED_VALUE"""),"Yes")</f>
        <v>Yes</v>
      </c>
      <c r="N253" s="1" t="str">
        <f>IFERROR(__xludf.DUMMYFUNCTION("""COMPUTED_VALUE"""),"Not use")</f>
        <v>Not use</v>
      </c>
      <c r="O253" s="1" t="str">
        <f>IFERROR(__xludf.DUMMYFUNCTION("""COMPUTED_VALUE"""),"WA ONLY, CALL")</f>
        <v>WA ONLY, CALL</v>
      </c>
      <c r="P253" s="1" t="str">
        <f>IFERROR(__xludf.DUMMYFUNCTION("""COMPUTED_VALUE"""),"Madam")</f>
        <v>Madam</v>
      </c>
      <c r="Q253" s="1" t="str">
        <f>IFERROR(__xludf.DUMMYFUNCTION("""COMPUTED_VALUE"""),"No")</f>
        <v>No</v>
      </c>
      <c r="R253" s="1" t="str">
        <f>IFERROR(__xludf.DUMMYFUNCTION("""COMPUTED_VALUE"""),"OLD")</f>
        <v>OLD</v>
      </c>
      <c r="S253" s="1"/>
    </row>
    <row r="254">
      <c r="A254" s="2">
        <f>IFERROR(__xludf.DUMMYFUNCTION("""COMPUTED_VALUE"""),45370.80989123843)</f>
        <v>45370.80989</v>
      </c>
      <c r="B254" s="1" t="str">
        <f>IFERROR(__xludf.DUMMYFUNCTION("""COMPUTED_VALUE"""),"Bhawna")</f>
        <v>Bhawna</v>
      </c>
      <c r="C254" s="1">
        <f>IFERROR(__xludf.DUMMYFUNCTION("""COMPUTED_VALUE"""),9.818024252E9)</f>
        <v>9818024252</v>
      </c>
      <c r="D254" s="1">
        <f>IFERROR(__xludf.DUMMYFUNCTION("""COMPUTED_VALUE"""),1.0)</f>
        <v>1</v>
      </c>
      <c r="E254" s="3">
        <f>IFERROR(__xludf.DUMMYFUNCTION("""COMPUTED_VALUE"""),0.6972222222248092)</f>
        <v>0.6972222222</v>
      </c>
      <c r="F254" s="1" t="str">
        <f>IFERROR(__xludf.DUMMYFUNCTION("""COMPUTED_VALUE"""),"Antique Gold")</f>
        <v>Antique Gold</v>
      </c>
      <c r="G254" s="1" t="str">
        <f>IFERROR(__xludf.DUMMYFUNCTION("""COMPUTED_VALUE"""),"Chhaya")</f>
        <v>Chhaya</v>
      </c>
      <c r="H254" s="1" t="str">
        <f>IFERROR(__xludf.DUMMYFUNCTION("""COMPUTED_VALUE"""),"Antic set 1")</f>
        <v>Antic set 1</v>
      </c>
      <c r="I254" s="1"/>
      <c r="J254" s="1"/>
      <c r="K254" s="3">
        <f>IFERROR(__xludf.DUMMYFUNCTION("""COMPUTED_VALUE"""),0.8020833333357587)</f>
        <v>0.8020833333</v>
      </c>
      <c r="L254" s="1" t="str">
        <f>IFERROR(__xludf.DUMMYFUNCTION("""COMPUTED_VALUE"""),"Yes")</f>
        <v>Yes</v>
      </c>
      <c r="M254" s="1" t="str">
        <f>IFERROR(__xludf.DUMMYFUNCTION("""COMPUTED_VALUE"""),"No")</f>
        <v>No</v>
      </c>
      <c r="N254" s="1" t="str">
        <f>IFERROR(__xludf.DUMMYFUNCTION("""COMPUTED_VALUE"""),"No")</f>
        <v>No</v>
      </c>
      <c r="O254" s="1" t="str">
        <f>IFERROR(__xludf.DUMMYFUNCTION("""COMPUTED_VALUE"""),"WA ONLY, OWNER CONTACT ONLY, CALL")</f>
        <v>WA ONLY, OWNER CONTACT ONLY, CALL</v>
      </c>
      <c r="P254" s="1" t="str">
        <f>IFERROR(__xludf.DUMMYFUNCTION("""COMPUTED_VALUE"""),"Madam")</f>
        <v>Madam</v>
      </c>
      <c r="Q254" s="1" t="str">
        <f>IFERROR(__xludf.DUMMYFUNCTION("""COMPUTED_VALUE"""),"No")</f>
        <v>No</v>
      </c>
      <c r="R254" s="1" t="str">
        <f>IFERROR(__xludf.DUMMYFUNCTION("""COMPUTED_VALUE"""),"NEW WALK IN")</f>
        <v>NEW WALK IN</v>
      </c>
      <c r="S254" s="1"/>
    </row>
    <row r="255">
      <c r="A255" s="2">
        <f>IFERROR(__xludf.DUMMYFUNCTION("""COMPUTED_VALUE"""),45371.78316881944)</f>
        <v>45371.78317</v>
      </c>
      <c r="B255" s="1" t="str">
        <f>IFERROR(__xludf.DUMMYFUNCTION("""COMPUTED_VALUE"""),"Anjna")</f>
        <v>Anjna</v>
      </c>
      <c r="C255" s="1">
        <f>IFERROR(__xludf.DUMMYFUNCTION("""COMPUTED_VALUE"""),8.447575487E9)</f>
        <v>8447575487</v>
      </c>
      <c r="D255" s="1">
        <f>IFERROR(__xludf.DUMMYFUNCTION("""COMPUTED_VALUE"""),1.0)</f>
        <v>1</v>
      </c>
      <c r="E255" s="3">
        <f>IFERROR(__xludf.DUMMYFUNCTION("""COMPUTED_VALUE"""),0.5333333333328483)</f>
        <v>0.5333333333</v>
      </c>
      <c r="F255" s="1" t="str">
        <f>IFERROR(__xludf.DUMMYFUNCTION("""COMPUTED_VALUE"""),"Antique Gold")</f>
        <v>Antique Gold</v>
      </c>
      <c r="G255" s="1" t="str">
        <f>IFERROR(__xludf.DUMMYFUNCTION("""COMPUTED_VALUE"""),"Chhaya")</f>
        <v>Chhaya</v>
      </c>
      <c r="H255" s="1"/>
      <c r="I255" s="1" t="str">
        <f>IFERROR(__xludf.DUMMYFUNCTION("""COMPUTED_VALUE"""),"Visit Again in 1 Month")</f>
        <v>Visit Again in 1 Month</v>
      </c>
      <c r="J255" s="1"/>
      <c r="K255" s="3">
        <f>IFERROR(__xludf.DUMMYFUNCTION("""COMPUTED_VALUE"""),0.5479166666627862)</f>
        <v>0.5479166667</v>
      </c>
      <c r="L255" s="1" t="str">
        <f>IFERROR(__xludf.DUMMYFUNCTION("""COMPUTED_VALUE"""),"Yes")</f>
        <v>Yes</v>
      </c>
      <c r="M255" s="1" t="str">
        <f>IFERROR(__xludf.DUMMYFUNCTION("""COMPUTED_VALUE"""),"No")</f>
        <v>No</v>
      </c>
      <c r="N255" s="1" t="str">
        <f>IFERROR(__xludf.DUMMYFUNCTION("""COMPUTED_VALUE"""),"No")</f>
        <v>No</v>
      </c>
      <c r="O255" s="1" t="str">
        <f>IFERROR(__xludf.DUMMYFUNCTION("""COMPUTED_VALUE"""),"WA ONLY, CALL")</f>
        <v>WA ONLY, CALL</v>
      </c>
      <c r="P255" s="1" t="str">
        <f>IFERROR(__xludf.DUMMYFUNCTION("""COMPUTED_VALUE"""),"Madam")</f>
        <v>Madam</v>
      </c>
      <c r="Q255" s="1" t="str">
        <f>IFERROR(__xludf.DUMMYFUNCTION("""COMPUTED_VALUE"""),"No")</f>
        <v>No</v>
      </c>
      <c r="R255" s="1" t="str">
        <f>IFERROR(__xludf.DUMMYFUNCTION("""COMPUTED_VALUE"""),"NEW WALK IN")</f>
        <v>NEW WALK IN</v>
      </c>
      <c r="S255" s="1"/>
    </row>
    <row r="256">
      <c r="A256" s="2">
        <f>IFERROR(__xludf.DUMMYFUNCTION("""COMPUTED_VALUE"""),45372.59517704861)</f>
        <v>45372.59518</v>
      </c>
      <c r="B256" s="1" t="str">
        <f>IFERROR(__xludf.DUMMYFUNCTION("""COMPUTED_VALUE"""),"Sheela ")</f>
        <v>Sheela </v>
      </c>
      <c r="C256" s="1">
        <f>IFERROR(__xludf.DUMMYFUNCTION("""COMPUTED_VALUE"""),7.838100747E9)</f>
        <v>7838100747</v>
      </c>
      <c r="D256" s="1">
        <f>IFERROR(__xludf.DUMMYFUNCTION("""COMPUTED_VALUE"""),1.0)</f>
        <v>1</v>
      </c>
      <c r="E256" s="3">
        <f>IFERROR(__xludf.DUMMYFUNCTION("""COMPUTED_VALUE"""),0.7513888888934162)</f>
        <v>0.7513888889</v>
      </c>
      <c r="F256" s="1" t="str">
        <f>IFERROR(__xludf.DUMMYFUNCTION("""COMPUTED_VALUE"""),"Diamond")</f>
        <v>Diamond</v>
      </c>
      <c r="G256" s="1" t="str">
        <f>IFERROR(__xludf.DUMMYFUNCTION("""COMPUTED_VALUE"""),"Pooja")</f>
        <v>Pooja</v>
      </c>
      <c r="H256" s="1" t="str">
        <f>IFERROR(__xludf.DUMMYFUNCTION("""COMPUTED_VALUE"""),"Gold msg chain ")</f>
        <v>Gold msg chain </v>
      </c>
      <c r="I256" s="1"/>
      <c r="J256" s="1"/>
      <c r="K256" s="3">
        <f>IFERROR(__xludf.DUMMYFUNCTION("""COMPUTED_VALUE"""),0.8402777777810115)</f>
        <v>0.8402777778</v>
      </c>
      <c r="L256" s="1" t="str">
        <f>IFERROR(__xludf.DUMMYFUNCTION("""COMPUTED_VALUE"""),"Yes")</f>
        <v>Yes</v>
      </c>
      <c r="M256" s="1" t="str">
        <f>IFERROR(__xludf.DUMMYFUNCTION("""COMPUTED_VALUE"""),"Yes")</f>
        <v>Yes</v>
      </c>
      <c r="N256" s="1" t="str">
        <f>IFERROR(__xludf.DUMMYFUNCTION("""COMPUTED_VALUE"""),"Yes")</f>
        <v>Yes</v>
      </c>
      <c r="O256" s="1" t="str">
        <f>IFERROR(__xludf.DUMMYFUNCTION("""COMPUTED_VALUE"""),"WA ONLY, CALL")</f>
        <v>WA ONLY, CALL</v>
      </c>
      <c r="P256" s="1" t="str">
        <f>IFERROR(__xludf.DUMMYFUNCTION("""COMPUTED_VALUE"""),"Madam")</f>
        <v>Madam</v>
      </c>
      <c r="Q256" s="1" t="str">
        <f>IFERROR(__xludf.DUMMYFUNCTION("""COMPUTED_VALUE"""),"No")</f>
        <v>No</v>
      </c>
      <c r="R256" s="1" t="str">
        <f>IFERROR(__xludf.DUMMYFUNCTION("""COMPUTED_VALUE"""),"NEW WALK IN")</f>
        <v>NEW WALK IN</v>
      </c>
      <c r="S256" s="1"/>
    </row>
    <row r="257">
      <c r="A257" s="2">
        <f>IFERROR(__xludf.DUMMYFUNCTION("""COMPUTED_VALUE"""),45372.763139560186)</f>
        <v>45372.76314</v>
      </c>
      <c r="B257" s="1" t="str">
        <f>IFERROR(__xludf.DUMMYFUNCTION("""COMPUTED_VALUE"""),"R.c gupta")</f>
        <v>R.c gupta</v>
      </c>
      <c r="C257" s="1">
        <f>IFERROR(__xludf.DUMMYFUNCTION("""COMPUTED_VALUE"""),8.368667298E9)</f>
        <v>8368667298</v>
      </c>
      <c r="D257" s="1">
        <f>IFERROR(__xludf.DUMMYFUNCTION("""COMPUTED_VALUE"""),1.0)</f>
        <v>1</v>
      </c>
      <c r="E257" s="3">
        <f>IFERROR(__xludf.DUMMYFUNCTION("""COMPUTED_VALUE"""),0.5888888888875954)</f>
        <v>0.5888888889</v>
      </c>
      <c r="F257" s="1" t="str">
        <f>IFERROR(__xludf.DUMMYFUNCTION("""COMPUTED_VALUE"""),"Antique Gold")</f>
        <v>Antique Gold</v>
      </c>
      <c r="G257" s="1" t="str">
        <f>IFERROR(__xludf.DUMMYFUNCTION("""COMPUTED_VALUE"""),"Chhaya")</f>
        <v>Chhaya</v>
      </c>
      <c r="H257" s="1"/>
      <c r="I257" s="1" t="str">
        <f>IFERROR(__xludf.DUMMYFUNCTION("""COMPUTED_VALUE"""),"Visit Again in 1 Month")</f>
        <v>Visit Again in 1 Month</v>
      </c>
      <c r="J257" s="1"/>
      <c r="K257" s="3">
        <f>IFERROR(__xludf.DUMMYFUNCTION("""COMPUTED_VALUE"""),0.6472222222218988)</f>
        <v>0.6472222222</v>
      </c>
      <c r="L257" s="1" t="str">
        <f>IFERROR(__xludf.DUMMYFUNCTION("""COMPUTED_VALUE"""),"Yes")</f>
        <v>Yes</v>
      </c>
      <c r="M257" s="1" t="str">
        <f>IFERROR(__xludf.DUMMYFUNCTION("""COMPUTED_VALUE"""),"No")</f>
        <v>No</v>
      </c>
      <c r="N257" s="1" t="str">
        <f>IFERROR(__xludf.DUMMYFUNCTION("""COMPUTED_VALUE"""),"No")</f>
        <v>No</v>
      </c>
      <c r="O257" s="1" t="str">
        <f>IFERROR(__xludf.DUMMYFUNCTION("""COMPUTED_VALUE"""),"WA ONLY, CALL")</f>
        <v>WA ONLY, CALL</v>
      </c>
      <c r="P257" s="1" t="str">
        <f>IFERROR(__xludf.DUMMYFUNCTION("""COMPUTED_VALUE"""),"Sir")</f>
        <v>Sir</v>
      </c>
      <c r="Q257" s="1" t="str">
        <f>IFERROR(__xludf.DUMMYFUNCTION("""COMPUTED_VALUE"""),"No")</f>
        <v>No</v>
      </c>
      <c r="R257" s="1" t="str">
        <f>IFERROR(__xludf.DUMMYFUNCTION("""COMPUTED_VALUE"""),"NEW WALK IN")</f>
        <v>NEW WALK IN</v>
      </c>
      <c r="S257" s="1"/>
    </row>
    <row r="258">
      <c r="A258" s="2">
        <f>IFERROR(__xludf.DUMMYFUNCTION("""COMPUTED_VALUE"""),45372.76389728009)</f>
        <v>45372.7639</v>
      </c>
      <c r="B258" s="1" t="str">
        <f>IFERROR(__xludf.DUMMYFUNCTION("""COMPUTED_VALUE"""),"Neha")</f>
        <v>Neha</v>
      </c>
      <c r="C258" s="1">
        <f>IFERROR(__xludf.DUMMYFUNCTION("""COMPUTED_VALUE"""),9.654528846E9)</f>
        <v>9654528846</v>
      </c>
      <c r="D258" s="1">
        <f>IFERROR(__xludf.DUMMYFUNCTION("""COMPUTED_VALUE"""),1.0)</f>
        <v>1</v>
      </c>
      <c r="E258" s="3">
        <f>IFERROR(__xludf.DUMMYFUNCTION("""COMPUTED_VALUE"""),0.6847222222204437)</f>
        <v>0.6847222222</v>
      </c>
      <c r="F258" s="1" t="str">
        <f>IFERROR(__xludf.DUMMYFUNCTION("""COMPUTED_VALUE"""),"Diamond")</f>
        <v>Diamond</v>
      </c>
      <c r="G258" s="1" t="str">
        <f>IFERROR(__xludf.DUMMYFUNCTION("""COMPUTED_VALUE"""),"Bhumika")</f>
        <v>Bhumika</v>
      </c>
      <c r="H258" s="1"/>
      <c r="I258" s="1" t="str">
        <f>IFERROR(__xludf.DUMMYFUNCTION("""COMPUTED_VALUE"""),"Designs Not Liked")</f>
        <v>Designs Not Liked</v>
      </c>
      <c r="J258" s="1"/>
      <c r="K258" s="3">
        <f>IFERROR(__xludf.DUMMYFUNCTION("""COMPUTED_VALUE"""),0.6895833333328483)</f>
        <v>0.6895833333</v>
      </c>
      <c r="L258" s="1" t="str">
        <f>IFERROR(__xludf.DUMMYFUNCTION("""COMPUTED_VALUE"""),"Yes")</f>
        <v>Yes</v>
      </c>
      <c r="M258" s="1" t="str">
        <f>IFERROR(__xludf.DUMMYFUNCTION("""COMPUTED_VALUE"""),"No")</f>
        <v>No</v>
      </c>
      <c r="N258" s="1" t="str">
        <f>IFERROR(__xludf.DUMMYFUNCTION("""COMPUTED_VALUE"""),"No")</f>
        <v>No</v>
      </c>
      <c r="O258" s="1" t="str">
        <f>IFERROR(__xludf.DUMMYFUNCTION("""COMPUTED_VALUE"""),"WA ONLY")</f>
        <v>WA ONLY</v>
      </c>
      <c r="P258" s="1" t="str">
        <f>IFERROR(__xludf.DUMMYFUNCTION("""COMPUTED_VALUE"""),"Madam")</f>
        <v>Madam</v>
      </c>
      <c r="Q258" s="1" t="str">
        <f>IFERROR(__xludf.DUMMYFUNCTION("""COMPUTED_VALUE"""),"No")</f>
        <v>No</v>
      </c>
      <c r="R258" s="1" t="str">
        <f>IFERROR(__xludf.DUMMYFUNCTION("""COMPUTED_VALUE"""),"NEW WALK IN")</f>
        <v>NEW WALK IN</v>
      </c>
      <c r="S258" s="1"/>
    </row>
    <row r="259">
      <c r="A259" s="2">
        <f>IFERROR(__xludf.DUMMYFUNCTION("""COMPUTED_VALUE"""),45372.81997561343)</f>
        <v>45372.81998</v>
      </c>
      <c r="B259" s="1" t="str">
        <f>IFERROR(__xludf.DUMMYFUNCTION("""COMPUTED_VALUE"""),"Vishal")</f>
        <v>Vishal</v>
      </c>
      <c r="C259" s="1">
        <f>IFERROR(__xludf.DUMMYFUNCTION("""COMPUTED_VALUE"""),7.00816625E9)</f>
        <v>7008166250</v>
      </c>
      <c r="D259" s="1">
        <f>IFERROR(__xludf.DUMMYFUNCTION("""COMPUTED_VALUE"""),1.0)</f>
        <v>1</v>
      </c>
      <c r="E259" s="3">
        <f>IFERROR(__xludf.DUMMYFUNCTION("""COMPUTED_VALUE"""),0.75)</f>
        <v>0.75</v>
      </c>
      <c r="F259" s="1" t="str">
        <f>IFERROR(__xludf.DUMMYFUNCTION("""COMPUTED_VALUE"""),"Antique Gold")</f>
        <v>Antique Gold</v>
      </c>
      <c r="G259" s="1" t="str">
        <f>IFERROR(__xludf.DUMMYFUNCTION("""COMPUTED_VALUE"""),"Pooja")</f>
        <v>Pooja</v>
      </c>
      <c r="H259" s="1" t="str">
        <f>IFERROR(__xludf.DUMMYFUNCTION("""COMPUTED_VALUE"""),"Gold pendent ")</f>
        <v>Gold pendent </v>
      </c>
      <c r="I259" s="1"/>
      <c r="J259" s="1"/>
      <c r="K259" s="3">
        <f>IFERROR(__xludf.DUMMYFUNCTION("""COMPUTED_VALUE"""),0.8194444444452529)</f>
        <v>0.8194444444</v>
      </c>
      <c r="L259" s="1" t="str">
        <f>IFERROR(__xludf.DUMMYFUNCTION("""COMPUTED_VALUE"""),"Yes")</f>
        <v>Yes</v>
      </c>
      <c r="M259" s="1" t="str">
        <f>IFERROR(__xludf.DUMMYFUNCTION("""COMPUTED_VALUE"""),"Yes")</f>
        <v>Yes</v>
      </c>
      <c r="N259" s="1" t="str">
        <f>IFERROR(__xludf.DUMMYFUNCTION("""COMPUTED_VALUE"""),"Yes")</f>
        <v>Yes</v>
      </c>
      <c r="O259" s="1" t="str">
        <f>IFERROR(__xludf.DUMMYFUNCTION("""COMPUTED_VALUE"""),"WA ONLY, CALL")</f>
        <v>WA ONLY, CALL</v>
      </c>
      <c r="P259" s="1" t="str">
        <f>IFERROR(__xludf.DUMMYFUNCTION("""COMPUTED_VALUE"""),"Sir")</f>
        <v>Sir</v>
      </c>
      <c r="Q259" s="1" t="str">
        <f>IFERROR(__xludf.DUMMYFUNCTION("""COMPUTED_VALUE"""),"No")</f>
        <v>No</v>
      </c>
      <c r="R259" s="1" t="str">
        <f>IFERROR(__xludf.DUMMYFUNCTION("""COMPUTED_VALUE"""),"NEW WALK IN")</f>
        <v>NEW WALK IN</v>
      </c>
      <c r="S259" s="1"/>
    </row>
    <row r="260">
      <c r="A260" s="2">
        <f>IFERROR(__xludf.DUMMYFUNCTION("""COMPUTED_VALUE"""),45373.692503576385)</f>
        <v>45373.6925</v>
      </c>
      <c r="B260" s="1" t="str">
        <f>IFERROR(__xludf.DUMMYFUNCTION("""COMPUTED_VALUE"""),"Ram arora")</f>
        <v>Ram arora</v>
      </c>
      <c r="C260" s="1">
        <f>IFERROR(__xludf.DUMMYFUNCTION("""COMPUTED_VALUE"""),9.811333074E9)</f>
        <v>9811333074</v>
      </c>
      <c r="D260" s="1">
        <f>IFERROR(__xludf.DUMMYFUNCTION("""COMPUTED_VALUE"""),1.0)</f>
        <v>1</v>
      </c>
      <c r="E260" s="3">
        <f>IFERROR(__xludf.DUMMYFUNCTION("""COMPUTED_VALUE"""),0.5430555555576575)</f>
        <v>0.5430555556</v>
      </c>
      <c r="F260" s="1" t="str">
        <f>IFERROR(__xludf.DUMMYFUNCTION("""COMPUTED_VALUE"""),"Diamond")</f>
        <v>Diamond</v>
      </c>
      <c r="G260" s="1" t="str">
        <f>IFERROR(__xludf.DUMMYFUNCTION("""COMPUTED_VALUE"""),"Bhumika")</f>
        <v>Bhumika</v>
      </c>
      <c r="H260" s="1" t="str">
        <f>IFERROR(__xludf.DUMMYFUNCTION("""COMPUTED_VALUE"""),"Gold tops")</f>
        <v>Gold tops</v>
      </c>
      <c r="I260" s="1"/>
      <c r="J260" s="1"/>
      <c r="K260" s="3">
        <f>IFERROR(__xludf.DUMMYFUNCTION("""COMPUTED_VALUE"""),0.5729166666642413)</f>
        <v>0.5729166667</v>
      </c>
      <c r="L260" s="1" t="str">
        <f>IFERROR(__xludf.DUMMYFUNCTION("""COMPUTED_VALUE"""),"Yes")</f>
        <v>Yes</v>
      </c>
      <c r="M260" s="1" t="str">
        <f>IFERROR(__xludf.DUMMYFUNCTION("""COMPUTED_VALUE"""),"No")</f>
        <v>No</v>
      </c>
      <c r="N260" s="1" t="str">
        <f>IFERROR(__xludf.DUMMYFUNCTION("""COMPUTED_VALUE"""),"Yes")</f>
        <v>Yes</v>
      </c>
      <c r="O260" s="1" t="str">
        <f>IFERROR(__xludf.DUMMYFUNCTION("""COMPUTED_VALUE"""),"WA ONLY, CALL")</f>
        <v>WA ONLY, CALL</v>
      </c>
      <c r="P260" s="1" t="str">
        <f>IFERROR(__xludf.DUMMYFUNCTION("""COMPUTED_VALUE"""),"Sir")</f>
        <v>Sir</v>
      </c>
      <c r="Q260" s="1" t="str">
        <f>IFERROR(__xludf.DUMMYFUNCTION("""COMPUTED_VALUE"""),"No")</f>
        <v>No</v>
      </c>
      <c r="R260" s="1" t="str">
        <f>IFERROR(__xludf.DUMMYFUNCTION("""COMPUTED_VALUE"""),"NEW WALK IN")</f>
        <v>NEW WALK IN</v>
      </c>
      <c r="S260" s="1"/>
    </row>
    <row r="261">
      <c r="A261" s="2">
        <f>IFERROR(__xludf.DUMMYFUNCTION("""COMPUTED_VALUE"""),45374.68433668981)</f>
        <v>45374.68434</v>
      </c>
      <c r="B261" s="1" t="str">
        <f>IFERROR(__xludf.DUMMYFUNCTION("""COMPUTED_VALUE"""),"Vashali")</f>
        <v>Vashali</v>
      </c>
      <c r="C261" s="1">
        <f>IFERROR(__xludf.DUMMYFUNCTION("""COMPUTED_VALUE"""),9.717321137E9)</f>
        <v>9717321137</v>
      </c>
      <c r="D261" s="1">
        <f>IFERROR(__xludf.DUMMYFUNCTION("""COMPUTED_VALUE"""),3.0)</f>
        <v>3</v>
      </c>
      <c r="E261" s="3">
        <f>IFERROR(__xludf.DUMMYFUNCTION("""COMPUTED_VALUE"""),0.6631944444452529)</f>
        <v>0.6631944444</v>
      </c>
      <c r="F261" s="1" t="str">
        <f>IFERROR(__xludf.DUMMYFUNCTION("""COMPUTED_VALUE"""),"Antique Gold")</f>
        <v>Antique Gold</v>
      </c>
      <c r="G261" s="1" t="str">
        <f>IFERROR(__xludf.DUMMYFUNCTION("""COMPUTED_VALUE"""),"Pooja")</f>
        <v>Pooja</v>
      </c>
      <c r="H261" s="1" t="str">
        <f>IFERROR(__xludf.DUMMYFUNCTION("""COMPUTED_VALUE"""),"Gold bali, ring,tops")</f>
        <v>Gold bali, ring,tops</v>
      </c>
      <c r="I261" s="1"/>
      <c r="J261" s="1"/>
      <c r="K261" s="3">
        <f>IFERROR(__xludf.DUMMYFUNCTION("""COMPUTED_VALUE"""),0.6819444444408873)</f>
        <v>0.6819444444</v>
      </c>
      <c r="L261" s="1" t="str">
        <f>IFERROR(__xludf.DUMMYFUNCTION("""COMPUTED_VALUE"""),"Yes")</f>
        <v>Yes</v>
      </c>
      <c r="M261" s="1" t="str">
        <f>IFERROR(__xludf.DUMMYFUNCTION("""COMPUTED_VALUE"""),"Yes")</f>
        <v>Yes</v>
      </c>
      <c r="N261" s="1" t="str">
        <f>IFERROR(__xludf.DUMMYFUNCTION("""COMPUTED_VALUE"""),"Yes")</f>
        <v>Yes</v>
      </c>
      <c r="O261" s="1" t="str">
        <f>IFERROR(__xludf.DUMMYFUNCTION("""COMPUTED_VALUE"""),"WA ONLY, CALL")</f>
        <v>WA ONLY, CALL</v>
      </c>
      <c r="P261" s="1" t="str">
        <f>IFERROR(__xludf.DUMMYFUNCTION("""COMPUTED_VALUE"""),"Madam")</f>
        <v>Madam</v>
      </c>
      <c r="Q261" s="1" t="str">
        <f>IFERROR(__xludf.DUMMYFUNCTION("""COMPUTED_VALUE"""),"No")</f>
        <v>No</v>
      </c>
      <c r="R261" s="1" t="str">
        <f>IFERROR(__xludf.DUMMYFUNCTION("""COMPUTED_VALUE"""),"NEW WALK IN")</f>
        <v>NEW WALK IN</v>
      </c>
      <c r="S261" s="1"/>
    </row>
    <row r="262">
      <c r="A262" s="2">
        <f>IFERROR(__xludf.DUMMYFUNCTION("""COMPUTED_VALUE"""),45377.782176134264)</f>
        <v>45377.78218</v>
      </c>
      <c r="B262" s="1" t="str">
        <f>IFERROR(__xludf.DUMMYFUNCTION("""COMPUTED_VALUE"""),"Asha")</f>
        <v>Asha</v>
      </c>
      <c r="C262" s="1">
        <f>IFERROR(__xludf.DUMMYFUNCTION("""COMPUTED_VALUE"""),7.065869677E9)</f>
        <v>7065869677</v>
      </c>
      <c r="D262" s="1">
        <f>IFERROR(__xludf.DUMMYFUNCTION("""COMPUTED_VALUE"""),1.0)</f>
        <v>1</v>
      </c>
      <c r="E262" s="3">
        <f>IFERROR(__xludf.DUMMYFUNCTION("""COMPUTED_VALUE"""),0.5451388888905058)</f>
        <v>0.5451388889</v>
      </c>
      <c r="F262" s="1" t="str">
        <f>IFERROR(__xludf.DUMMYFUNCTION("""COMPUTED_VALUE"""),"Plain Gold")</f>
        <v>Plain Gold</v>
      </c>
      <c r="G262" s="1" t="str">
        <f>IFERROR(__xludf.DUMMYFUNCTION("""COMPUTED_VALUE"""),"Chhaya")</f>
        <v>Chhaya</v>
      </c>
      <c r="H262" s="1" t="str">
        <f>IFERROR(__xludf.DUMMYFUNCTION("""COMPUTED_VALUE"""),"Gold band ring")</f>
        <v>Gold band ring</v>
      </c>
      <c r="I262" s="1"/>
      <c r="J262" s="1"/>
      <c r="K262" s="3">
        <f>IFERROR(__xludf.DUMMYFUNCTION("""COMPUTED_VALUE"""),0.5729166666642413)</f>
        <v>0.5729166667</v>
      </c>
      <c r="L262" s="1" t="str">
        <f>IFERROR(__xludf.DUMMYFUNCTION("""COMPUTED_VALUE"""),"Yes")</f>
        <v>Yes</v>
      </c>
      <c r="M262" s="1" t="str">
        <f>IFERROR(__xludf.DUMMYFUNCTION("""COMPUTED_VALUE"""),"Yes")</f>
        <v>Yes</v>
      </c>
      <c r="N262" s="1" t="str">
        <f>IFERROR(__xludf.DUMMYFUNCTION("""COMPUTED_VALUE"""),"Yes")</f>
        <v>Yes</v>
      </c>
      <c r="O262" s="1" t="str">
        <f>IFERROR(__xludf.DUMMYFUNCTION("""COMPUTED_VALUE"""),"WA ONLY, CALL")</f>
        <v>WA ONLY, CALL</v>
      </c>
      <c r="P262" s="1" t="str">
        <f>IFERROR(__xludf.DUMMYFUNCTION("""COMPUTED_VALUE"""),"Madam")</f>
        <v>Madam</v>
      </c>
      <c r="Q262" s="1" t="str">
        <f>IFERROR(__xludf.DUMMYFUNCTION("""COMPUTED_VALUE"""),"No")</f>
        <v>No</v>
      </c>
      <c r="R262" s="1" t="str">
        <f>IFERROR(__xludf.DUMMYFUNCTION("""COMPUTED_VALUE"""),"NEW WALK IN")</f>
        <v>NEW WALK IN</v>
      </c>
      <c r="S262" s="1"/>
    </row>
    <row r="263">
      <c r="A263" s="2">
        <f>IFERROR(__xludf.DUMMYFUNCTION("""COMPUTED_VALUE"""),45377.78318398148)</f>
        <v>45377.78318</v>
      </c>
      <c r="B263" s="1" t="str">
        <f>IFERROR(__xludf.DUMMYFUNCTION("""COMPUTED_VALUE"""),"Shammy")</f>
        <v>Shammy</v>
      </c>
      <c r="C263" s="1">
        <f>IFERROR(__xludf.DUMMYFUNCTION("""COMPUTED_VALUE"""),9.654591719E9)</f>
        <v>9654591719</v>
      </c>
      <c r="D263" s="1">
        <f>IFERROR(__xludf.DUMMYFUNCTION("""COMPUTED_VALUE"""),1.0)</f>
        <v>1</v>
      </c>
      <c r="E263" s="3">
        <f>IFERROR(__xludf.DUMMYFUNCTION("""COMPUTED_VALUE"""),0.5729166666642413)</f>
        <v>0.5729166667</v>
      </c>
      <c r="F263" s="1" t="str">
        <f>IFERROR(__xludf.DUMMYFUNCTION("""COMPUTED_VALUE"""),"Antique Gold")</f>
        <v>Antique Gold</v>
      </c>
      <c r="G263" s="1" t="str">
        <f>IFERROR(__xludf.DUMMYFUNCTION("""COMPUTED_VALUE"""),"Pooja")</f>
        <v>Pooja</v>
      </c>
      <c r="H263" s="1" t="str">
        <f>IFERROR(__xludf.DUMMYFUNCTION("""COMPUTED_VALUE"""),"2 pendent,  chain,ring band")</f>
        <v>2 pendent,  chain,ring band</v>
      </c>
      <c r="I263" s="1"/>
      <c r="J263" s="1"/>
      <c r="K263" s="3">
        <f>IFERROR(__xludf.DUMMYFUNCTION("""COMPUTED_VALUE"""),0.7687500000029104)</f>
        <v>0.76875</v>
      </c>
      <c r="L263" s="1" t="str">
        <f>IFERROR(__xludf.DUMMYFUNCTION("""COMPUTED_VALUE"""),"Yes")</f>
        <v>Yes</v>
      </c>
      <c r="M263" s="1" t="str">
        <f>IFERROR(__xludf.DUMMYFUNCTION("""COMPUTED_VALUE"""),"Already done")</f>
        <v>Already done</v>
      </c>
      <c r="N263" s="1" t="str">
        <f>IFERROR(__xludf.DUMMYFUNCTION("""COMPUTED_VALUE"""),"Already done ")</f>
        <v>Already done </v>
      </c>
      <c r="O263" s="1" t="str">
        <f>IFERROR(__xludf.DUMMYFUNCTION("""COMPUTED_VALUE"""),"WA ONLY, CALL")</f>
        <v>WA ONLY, CALL</v>
      </c>
      <c r="P263" s="1" t="str">
        <f>IFERROR(__xludf.DUMMYFUNCTION("""COMPUTED_VALUE"""),"Sir")</f>
        <v>Sir</v>
      </c>
      <c r="Q263" s="1" t="str">
        <f>IFERROR(__xludf.DUMMYFUNCTION("""COMPUTED_VALUE"""),"No")</f>
        <v>No</v>
      </c>
      <c r="R263" s="1" t="str">
        <f>IFERROR(__xludf.DUMMYFUNCTION("""COMPUTED_VALUE"""),"OLD")</f>
        <v>OLD</v>
      </c>
      <c r="S263" s="1"/>
    </row>
    <row r="264">
      <c r="A264" s="2">
        <f>IFERROR(__xludf.DUMMYFUNCTION("""COMPUTED_VALUE"""),45378.78081030093)</f>
        <v>45378.78081</v>
      </c>
      <c r="B264" s="1" t="str">
        <f>IFERROR(__xludf.DUMMYFUNCTION("""COMPUTED_VALUE"""),"Parbhat")</f>
        <v>Parbhat</v>
      </c>
      <c r="C264" s="1">
        <f>IFERROR(__xludf.DUMMYFUNCTION("""COMPUTED_VALUE"""),9.386347767E9)</f>
        <v>9386347767</v>
      </c>
      <c r="D264" s="1">
        <f>IFERROR(__xludf.DUMMYFUNCTION("""COMPUTED_VALUE"""),1.0)</f>
        <v>1</v>
      </c>
      <c r="E264" s="3">
        <f>IFERROR(__xludf.DUMMYFUNCTION("""COMPUTED_VALUE"""),0.7402777777751908)</f>
        <v>0.7402777778</v>
      </c>
      <c r="F264" s="1" t="str">
        <f>IFERROR(__xludf.DUMMYFUNCTION("""COMPUTED_VALUE"""),"Plain Gold")</f>
        <v>Plain Gold</v>
      </c>
      <c r="G264" s="1" t="str">
        <f>IFERROR(__xludf.DUMMYFUNCTION("""COMPUTED_VALUE"""),"Pooja")</f>
        <v>Pooja</v>
      </c>
      <c r="H264" s="1" t="str">
        <f>IFERROR(__xludf.DUMMYFUNCTION("""COMPUTED_VALUE"""),"Gold Breslet order ")</f>
        <v>Gold Breslet order </v>
      </c>
      <c r="I264" s="1"/>
      <c r="J264" s="1"/>
      <c r="K264" s="3">
        <f>IFERROR(__xludf.DUMMYFUNCTION("""COMPUTED_VALUE"""),0.7750000000014552)</f>
        <v>0.775</v>
      </c>
      <c r="L264" s="1" t="str">
        <f>IFERROR(__xludf.DUMMYFUNCTION("""COMPUTED_VALUE"""),"Yes")</f>
        <v>Yes</v>
      </c>
      <c r="M264" s="1" t="str">
        <f>IFERROR(__xludf.DUMMYFUNCTION("""COMPUTED_VALUE"""),"Already done")</f>
        <v>Already done</v>
      </c>
      <c r="N264" s="1" t="str">
        <f>IFERROR(__xludf.DUMMYFUNCTION("""COMPUTED_VALUE"""),"Already done")</f>
        <v>Already done</v>
      </c>
      <c r="O264" s="1" t="str">
        <f>IFERROR(__xludf.DUMMYFUNCTION("""COMPUTED_VALUE"""),"WA ONLY, CALL")</f>
        <v>WA ONLY, CALL</v>
      </c>
      <c r="P264" s="1" t="str">
        <f>IFERROR(__xludf.DUMMYFUNCTION("""COMPUTED_VALUE"""),"Sir")</f>
        <v>Sir</v>
      </c>
      <c r="Q264" s="1" t="str">
        <f>IFERROR(__xludf.DUMMYFUNCTION("""COMPUTED_VALUE"""),"No")</f>
        <v>No</v>
      </c>
      <c r="R264" s="1" t="str">
        <f>IFERROR(__xludf.DUMMYFUNCTION("""COMPUTED_VALUE"""),"OLD")</f>
        <v>OLD</v>
      </c>
      <c r="S264" s="1"/>
    </row>
    <row r="265">
      <c r="A265" s="2">
        <f>IFERROR(__xludf.DUMMYFUNCTION("""COMPUTED_VALUE"""),45379.75431181713)</f>
        <v>45379.75431</v>
      </c>
      <c r="B265" s="1" t="str">
        <f>IFERROR(__xludf.DUMMYFUNCTION("""COMPUTED_VALUE"""),"Sanjay")</f>
        <v>Sanjay</v>
      </c>
      <c r="C265" s="1">
        <f>IFERROR(__xludf.DUMMYFUNCTION("""COMPUTED_VALUE"""),9.910138678E9)</f>
        <v>9910138678</v>
      </c>
      <c r="D265" s="1">
        <f>IFERROR(__xludf.DUMMYFUNCTION("""COMPUTED_VALUE"""),1.0)</f>
        <v>1</v>
      </c>
      <c r="E265" s="3">
        <f>IFERROR(__xludf.DUMMYFUNCTION("""COMPUTED_VALUE"""),0.5694444444452529)</f>
        <v>0.5694444444</v>
      </c>
      <c r="F265" s="1" t="str">
        <f>IFERROR(__xludf.DUMMYFUNCTION("""COMPUTED_VALUE"""),"Plain Gold")</f>
        <v>Plain Gold</v>
      </c>
      <c r="G265" s="1" t="str">
        <f>IFERROR(__xludf.DUMMYFUNCTION("""COMPUTED_VALUE"""),"Bhumika")</f>
        <v>Bhumika</v>
      </c>
      <c r="H265" s="1"/>
      <c r="I265" s="1" t="str">
        <f>IFERROR(__xludf.DUMMYFUNCTION("""COMPUTED_VALUE"""),"Exchange gold ")</f>
        <v>Exchange gold </v>
      </c>
      <c r="J265" s="1"/>
      <c r="K265" s="3">
        <f>IFERROR(__xludf.DUMMYFUNCTION("""COMPUTED_VALUE"""),0.6527777777810115)</f>
        <v>0.6527777778</v>
      </c>
      <c r="L265" s="1" t="str">
        <f>IFERROR(__xludf.DUMMYFUNCTION("""COMPUTED_VALUE"""),"Yes")</f>
        <v>Yes</v>
      </c>
      <c r="M265" s="1" t="str">
        <f>IFERROR(__xludf.DUMMYFUNCTION("""COMPUTED_VALUE"""),"Already done")</f>
        <v>Already done</v>
      </c>
      <c r="N265" s="1" t="str">
        <f>IFERROR(__xludf.DUMMYFUNCTION("""COMPUTED_VALUE"""),"Already done")</f>
        <v>Already done</v>
      </c>
      <c r="O265" s="1" t="str">
        <f>IFERROR(__xludf.DUMMYFUNCTION("""COMPUTED_VALUE"""),"WA ONLY, CALL")</f>
        <v>WA ONLY, CALL</v>
      </c>
      <c r="P265" s="1" t="str">
        <f>IFERROR(__xludf.DUMMYFUNCTION("""COMPUTED_VALUE"""),"Sir")</f>
        <v>Sir</v>
      </c>
      <c r="Q265" s="1" t="str">
        <f>IFERROR(__xludf.DUMMYFUNCTION("""COMPUTED_VALUE"""),"No")</f>
        <v>No</v>
      </c>
      <c r="R265" s="1" t="str">
        <f>IFERROR(__xludf.DUMMYFUNCTION("""COMPUTED_VALUE"""),"OLD")</f>
        <v>OLD</v>
      </c>
      <c r="S265" s="1"/>
    </row>
    <row r="266">
      <c r="A266" s="2">
        <f>IFERROR(__xludf.DUMMYFUNCTION("""COMPUTED_VALUE"""),45379.755163449074)</f>
        <v>45379.75516</v>
      </c>
      <c r="B266" s="1" t="str">
        <f>IFERROR(__xludf.DUMMYFUNCTION("""COMPUTED_VALUE"""),"Yer Mohamad ")</f>
        <v>Yer Mohamad </v>
      </c>
      <c r="C266" s="1">
        <f>IFERROR(__xludf.DUMMYFUNCTION("""COMPUTED_VALUE"""),6.289219597E9)</f>
        <v>6289219597</v>
      </c>
      <c r="D266" s="1">
        <f>IFERROR(__xludf.DUMMYFUNCTION("""COMPUTED_VALUE"""),1.0)</f>
        <v>1</v>
      </c>
      <c r="E266" s="3">
        <f>IFERROR(__xludf.DUMMYFUNCTION("""COMPUTED_VALUE"""),0.6958333333313931)</f>
        <v>0.6958333333</v>
      </c>
      <c r="F266" s="1" t="str">
        <f>IFERROR(__xludf.DUMMYFUNCTION("""COMPUTED_VALUE"""),"Antique Gold")</f>
        <v>Antique Gold</v>
      </c>
      <c r="G266" s="1" t="str">
        <f>IFERROR(__xludf.DUMMYFUNCTION("""COMPUTED_VALUE"""),"Bhumika")</f>
        <v>Bhumika</v>
      </c>
      <c r="H266" s="1"/>
      <c r="I266" s="1"/>
      <c r="J266" s="1"/>
      <c r="K266" s="3">
        <f>IFERROR(__xludf.DUMMYFUNCTION("""COMPUTED_VALUE"""),0.7138888888875954)</f>
        <v>0.7138888889</v>
      </c>
      <c r="L266" s="1" t="str">
        <f>IFERROR(__xludf.DUMMYFUNCTION("""COMPUTED_VALUE"""),"Yes")</f>
        <v>Yes</v>
      </c>
      <c r="M266" s="1" t="str">
        <f>IFERROR(__xludf.DUMMYFUNCTION("""COMPUTED_VALUE"""),"No")</f>
        <v>No</v>
      </c>
      <c r="N266" s="1" t="str">
        <f>IFERROR(__xludf.DUMMYFUNCTION("""COMPUTED_VALUE"""),"No")</f>
        <v>No</v>
      </c>
      <c r="O266" s="1" t="str">
        <f>IFERROR(__xludf.DUMMYFUNCTION("""COMPUTED_VALUE"""),"WA ONLY, CALL")</f>
        <v>WA ONLY, CALL</v>
      </c>
      <c r="P266" s="1" t="str">
        <f>IFERROR(__xludf.DUMMYFUNCTION("""COMPUTED_VALUE"""),"Sir")</f>
        <v>Sir</v>
      </c>
      <c r="Q266" s="1" t="str">
        <f>IFERROR(__xludf.DUMMYFUNCTION("""COMPUTED_VALUE"""),"No")</f>
        <v>No</v>
      </c>
      <c r="R266" s="1" t="str">
        <f>IFERROR(__xludf.DUMMYFUNCTION("""COMPUTED_VALUE"""),"NEW WALK IN")</f>
        <v>NEW WALK IN</v>
      </c>
      <c r="S266" s="1"/>
    </row>
    <row r="267">
      <c r="A267" s="2">
        <f>IFERROR(__xludf.DUMMYFUNCTION("""COMPUTED_VALUE"""),45379.77974067129)</f>
        <v>45379.77974</v>
      </c>
      <c r="B267" s="1" t="str">
        <f>IFERROR(__xludf.DUMMYFUNCTION("""COMPUTED_VALUE"""),"Ajay")</f>
        <v>Ajay</v>
      </c>
      <c r="C267" s="1">
        <f>IFERROR(__xludf.DUMMYFUNCTION("""COMPUTED_VALUE"""),8.800985838E9)</f>
        <v>8800985838</v>
      </c>
      <c r="D267" s="1">
        <f>IFERROR(__xludf.DUMMYFUNCTION("""COMPUTED_VALUE"""),1.0)</f>
        <v>1</v>
      </c>
      <c r="E267" s="3">
        <f>IFERROR(__xludf.DUMMYFUNCTION("""COMPUTED_VALUE"""),0.7395833333357587)</f>
        <v>0.7395833333</v>
      </c>
      <c r="F267" s="1" t="str">
        <f>IFERROR(__xludf.DUMMYFUNCTION("""COMPUTED_VALUE"""),"Plain Gold")</f>
        <v>Plain Gold</v>
      </c>
      <c r="G267" s="1" t="str">
        <f>IFERROR(__xludf.DUMMYFUNCTION("""COMPUTED_VALUE"""),"Deepali")</f>
        <v>Deepali</v>
      </c>
      <c r="H267" s="1"/>
      <c r="I267" s="1" t="str">
        <f>IFERROR(__xludf.DUMMYFUNCTION("""COMPUTED_VALUE"""),"Visit Again in 1 Month")</f>
        <v>Visit Again in 1 Month</v>
      </c>
      <c r="J267" s="1"/>
      <c r="K267" s="3">
        <f>IFERROR(__xludf.DUMMYFUNCTION("""COMPUTED_VALUE"""),0.7395833333357587)</f>
        <v>0.7395833333</v>
      </c>
      <c r="L267" s="1" t="str">
        <f>IFERROR(__xludf.DUMMYFUNCTION("""COMPUTED_VALUE"""),"Yes")</f>
        <v>Yes</v>
      </c>
      <c r="M267" s="1" t="str">
        <f>IFERROR(__xludf.DUMMYFUNCTION("""COMPUTED_VALUE"""),"No")</f>
        <v>No</v>
      </c>
      <c r="N267" s="1" t="str">
        <f>IFERROR(__xludf.DUMMYFUNCTION("""COMPUTED_VALUE"""),"No")</f>
        <v>No</v>
      </c>
      <c r="O267" s="1" t="str">
        <f>IFERROR(__xludf.DUMMYFUNCTION("""COMPUTED_VALUE"""),"WA ONLY, CALL")</f>
        <v>WA ONLY, CALL</v>
      </c>
      <c r="P267" s="1" t="str">
        <f>IFERROR(__xludf.DUMMYFUNCTION("""COMPUTED_VALUE"""),"Sir")</f>
        <v>Sir</v>
      </c>
      <c r="Q267" s="1" t="str">
        <f>IFERROR(__xludf.DUMMYFUNCTION("""COMPUTED_VALUE"""),"No")</f>
        <v>No</v>
      </c>
      <c r="R267" s="1" t="str">
        <f>IFERROR(__xludf.DUMMYFUNCTION("""COMPUTED_VALUE"""),"NEW WALK IN")</f>
        <v>NEW WALK IN</v>
      </c>
      <c r="S267" s="1"/>
    </row>
    <row r="268">
      <c r="A268" s="2">
        <f>IFERROR(__xludf.DUMMYFUNCTION("""COMPUTED_VALUE"""),45379.78381818287)</f>
        <v>45379.78382</v>
      </c>
      <c r="B268" s="1" t="str">
        <f>IFERROR(__xludf.DUMMYFUNCTION("""COMPUTED_VALUE"""),"Shammy")</f>
        <v>Shammy</v>
      </c>
      <c r="C268" s="1">
        <f>IFERROR(__xludf.DUMMYFUNCTION("""COMPUTED_VALUE"""),9.664591719E9)</f>
        <v>9664591719</v>
      </c>
      <c r="D268" s="1">
        <f>IFERROR(__xludf.DUMMYFUNCTION("""COMPUTED_VALUE"""),1.0)</f>
        <v>1</v>
      </c>
      <c r="E268" s="3">
        <f>IFERROR(__xludf.DUMMYFUNCTION("""COMPUTED_VALUE"""),0.65625)</f>
        <v>0.65625</v>
      </c>
      <c r="F268" s="1" t="str">
        <f>IFERROR(__xludf.DUMMYFUNCTION("""COMPUTED_VALUE"""),"Antique Gold")</f>
        <v>Antique Gold</v>
      </c>
      <c r="G268" s="1" t="str">
        <f>IFERROR(__xludf.DUMMYFUNCTION("""COMPUTED_VALUE"""),"Chhaya")</f>
        <v>Chhaya</v>
      </c>
      <c r="H268" s="1" t="str">
        <f>IFERROR(__xludf.DUMMYFUNCTION("""COMPUTED_VALUE"""),"1 antic kada, 1 breslet ")</f>
        <v>1 antic kada, 1 breslet </v>
      </c>
      <c r="I268" s="1"/>
      <c r="J268" s="1"/>
      <c r="K268" s="3">
        <f>IFERROR(__xludf.DUMMYFUNCTION("""COMPUTED_VALUE"""),0.7673611111094942)</f>
        <v>0.7673611111</v>
      </c>
      <c r="L268" s="1" t="str">
        <f>IFERROR(__xludf.DUMMYFUNCTION("""COMPUTED_VALUE"""),"Yes")</f>
        <v>Yes</v>
      </c>
      <c r="M268" s="1" t="str">
        <f>IFERROR(__xludf.DUMMYFUNCTION("""COMPUTED_VALUE"""),"Already done")</f>
        <v>Already done</v>
      </c>
      <c r="N268" s="1" t="str">
        <f>IFERROR(__xludf.DUMMYFUNCTION("""COMPUTED_VALUE"""),"Already done")</f>
        <v>Already done</v>
      </c>
      <c r="O268" s="1" t="str">
        <f>IFERROR(__xludf.DUMMYFUNCTION("""COMPUTED_VALUE"""),"WA ONLY, CALL")</f>
        <v>WA ONLY, CALL</v>
      </c>
      <c r="P268" s="1" t="str">
        <f>IFERROR(__xludf.DUMMYFUNCTION("""COMPUTED_VALUE"""),"Sir")</f>
        <v>Sir</v>
      </c>
      <c r="Q268" s="1" t="str">
        <f>IFERROR(__xludf.DUMMYFUNCTION("""COMPUTED_VALUE"""),"No")</f>
        <v>No</v>
      </c>
      <c r="R268" s="1" t="str">
        <f>IFERROR(__xludf.DUMMYFUNCTION("""COMPUTED_VALUE"""),"OLD")</f>
        <v>OLD</v>
      </c>
      <c r="S268" s="1"/>
    </row>
    <row r="269">
      <c r="A269" s="2">
        <f>IFERROR(__xludf.DUMMYFUNCTION("""COMPUTED_VALUE"""),45380.73716053241)</f>
        <v>45380.73716</v>
      </c>
      <c r="B269" s="1" t="str">
        <f>IFERROR(__xludf.DUMMYFUNCTION("""COMPUTED_VALUE"""),"Vebhav jain")</f>
        <v>Vebhav jain</v>
      </c>
      <c r="C269" s="1">
        <f>IFERROR(__xludf.DUMMYFUNCTION("""COMPUTED_VALUE"""),9.91037832E8)</f>
        <v>991037832</v>
      </c>
      <c r="D269" s="1">
        <f>IFERROR(__xludf.DUMMYFUNCTION("""COMPUTED_VALUE"""),1.0)</f>
        <v>1</v>
      </c>
      <c r="E269" s="3">
        <f>IFERROR(__xludf.DUMMYFUNCTION("""COMPUTED_VALUE"""),0.6111111111094942)</f>
        <v>0.6111111111</v>
      </c>
      <c r="F269" s="1" t="str">
        <f>IFERROR(__xludf.DUMMYFUNCTION("""COMPUTED_VALUE"""),"Diamond")</f>
        <v>Diamond</v>
      </c>
      <c r="G269" s="1" t="str">
        <f>IFERROR(__xludf.DUMMYFUNCTION("""COMPUTED_VALUE"""),"Bhumika")</f>
        <v>Bhumika</v>
      </c>
      <c r="H269" s="1" t="str">
        <f>IFERROR(__xludf.DUMMYFUNCTION("""COMPUTED_VALUE"""),"Silvar payal")</f>
        <v>Silvar payal</v>
      </c>
      <c r="I269" s="1"/>
      <c r="J269" s="1"/>
      <c r="K269" s="3">
        <f>IFERROR(__xludf.DUMMYFUNCTION("""COMPUTED_VALUE"""),0.695138888884685)</f>
        <v>0.6951388889</v>
      </c>
      <c r="L269" s="1" t="str">
        <f>IFERROR(__xludf.DUMMYFUNCTION("""COMPUTED_VALUE"""),"Yes")</f>
        <v>Yes</v>
      </c>
      <c r="M269" s="1" t="str">
        <f>IFERROR(__xludf.DUMMYFUNCTION("""COMPUTED_VALUE"""),"Yes")</f>
        <v>Yes</v>
      </c>
      <c r="N269" s="1" t="str">
        <f>IFERROR(__xludf.DUMMYFUNCTION("""COMPUTED_VALUE"""),"No")</f>
        <v>No</v>
      </c>
      <c r="O269" s="1" t="str">
        <f>IFERROR(__xludf.DUMMYFUNCTION("""COMPUTED_VALUE"""),"WA ONLY, CALL")</f>
        <v>WA ONLY, CALL</v>
      </c>
      <c r="P269" s="1" t="str">
        <f>IFERROR(__xludf.DUMMYFUNCTION("""COMPUTED_VALUE"""),"Sir")</f>
        <v>Sir</v>
      </c>
      <c r="Q269" s="1" t="str">
        <f>IFERROR(__xludf.DUMMYFUNCTION("""COMPUTED_VALUE"""),"No")</f>
        <v>No</v>
      </c>
      <c r="R269" s="1" t="str">
        <f>IFERROR(__xludf.DUMMYFUNCTION("""COMPUTED_VALUE"""),"NEW WALK IN")</f>
        <v>NEW WALK IN</v>
      </c>
      <c r="S269" s="1"/>
    </row>
    <row r="270">
      <c r="A270" s="2">
        <f>IFERROR(__xludf.DUMMYFUNCTION("""COMPUTED_VALUE"""),45380.73802518519)</f>
        <v>45380.73803</v>
      </c>
      <c r="B270" s="1" t="str">
        <f>IFERROR(__xludf.DUMMYFUNCTION("""COMPUTED_VALUE"""),"Ruby")</f>
        <v>Ruby</v>
      </c>
      <c r="C270" s="1">
        <f>IFERROR(__xludf.DUMMYFUNCTION("""COMPUTED_VALUE"""),9.818747966E9)</f>
        <v>9818747966</v>
      </c>
      <c r="D270" s="1">
        <f>IFERROR(__xludf.DUMMYFUNCTION("""COMPUTED_VALUE"""),1.0)</f>
        <v>1</v>
      </c>
      <c r="E270" s="3">
        <f>IFERROR(__xludf.DUMMYFUNCTION("""COMPUTED_VALUE"""),0.6604166666656965)</f>
        <v>0.6604166667</v>
      </c>
      <c r="F270" s="1" t="str">
        <f>IFERROR(__xludf.DUMMYFUNCTION("""COMPUTED_VALUE"""),"Diamond")</f>
        <v>Diamond</v>
      </c>
      <c r="G270" s="1" t="str">
        <f>IFERROR(__xludf.DUMMYFUNCTION("""COMPUTED_VALUE"""),"Bhumika")</f>
        <v>Bhumika</v>
      </c>
      <c r="H270" s="1"/>
      <c r="I270" s="1" t="str">
        <f>IFERROR(__xludf.DUMMYFUNCTION("""COMPUTED_VALUE"""),"Visit Again in 1 Month")</f>
        <v>Visit Again in 1 Month</v>
      </c>
      <c r="J270" s="1"/>
      <c r="K270" s="3">
        <f>IFERROR(__xludf.DUMMYFUNCTION("""COMPUTED_VALUE"""),0.7291666666642413)</f>
        <v>0.7291666667</v>
      </c>
      <c r="L270" s="1" t="str">
        <f>IFERROR(__xludf.DUMMYFUNCTION("""COMPUTED_VALUE"""),"No")</f>
        <v>No</v>
      </c>
      <c r="M270" s="1" t="str">
        <f>IFERROR(__xludf.DUMMYFUNCTION("""COMPUTED_VALUE"""),"No")</f>
        <v>No</v>
      </c>
      <c r="N270" s="1" t="str">
        <f>IFERROR(__xludf.DUMMYFUNCTION("""COMPUTED_VALUE"""),"No")</f>
        <v>No</v>
      </c>
      <c r="O270" s="1" t="str">
        <f>IFERROR(__xludf.DUMMYFUNCTION("""COMPUTED_VALUE"""),"WA ONLY, CALL")</f>
        <v>WA ONLY, CALL</v>
      </c>
      <c r="P270" s="1" t="str">
        <f>IFERROR(__xludf.DUMMYFUNCTION("""COMPUTED_VALUE"""),"Madam")</f>
        <v>Madam</v>
      </c>
      <c r="Q270" s="1" t="str">
        <f>IFERROR(__xludf.DUMMYFUNCTION("""COMPUTED_VALUE"""),"No")</f>
        <v>No</v>
      </c>
      <c r="R270" s="1" t="str">
        <f>IFERROR(__xludf.DUMMYFUNCTION("""COMPUTED_VALUE"""),"NEW WALK IN")</f>
        <v>NEW WALK IN</v>
      </c>
      <c r="S270" s="1"/>
    </row>
    <row r="271">
      <c r="A271" s="2">
        <f>IFERROR(__xludf.DUMMYFUNCTION("""COMPUTED_VALUE"""),45380.73907391204)</f>
        <v>45380.73907</v>
      </c>
      <c r="B271" s="1" t="str">
        <f>IFERROR(__xludf.DUMMYFUNCTION("""COMPUTED_VALUE"""),"Arun sharma")</f>
        <v>Arun sharma</v>
      </c>
      <c r="C271" s="1">
        <f>IFERROR(__xludf.DUMMYFUNCTION("""COMPUTED_VALUE"""),8.802238505E9)</f>
        <v>8802238505</v>
      </c>
      <c r="D271" s="1">
        <f>IFERROR(__xludf.DUMMYFUNCTION("""COMPUTED_VALUE"""),1.0)</f>
        <v>1</v>
      </c>
      <c r="E271" s="3">
        <f>IFERROR(__xludf.DUMMYFUNCTION("""COMPUTED_VALUE"""),0.6972222222248092)</f>
        <v>0.6972222222</v>
      </c>
      <c r="F271" s="1" t="str">
        <f>IFERROR(__xludf.DUMMYFUNCTION("""COMPUTED_VALUE"""),"Antique Gold")</f>
        <v>Antique Gold</v>
      </c>
      <c r="G271" s="1" t="str">
        <f>IFERROR(__xludf.DUMMYFUNCTION("""COMPUTED_VALUE"""),"Chhaya")</f>
        <v>Chhaya</v>
      </c>
      <c r="H271" s="1"/>
      <c r="I271" s="1" t="str">
        <f>IFERROR(__xludf.DUMMYFUNCTION("""COMPUTED_VALUE"""),"Want to see More Variety")</f>
        <v>Want to see More Variety</v>
      </c>
      <c r="J271" s="1"/>
      <c r="K271" s="3">
        <f>IFERROR(__xludf.DUMMYFUNCTION("""COMPUTED_VALUE"""),0.6993055555576575)</f>
        <v>0.6993055556</v>
      </c>
      <c r="L271" s="1" t="str">
        <f>IFERROR(__xludf.DUMMYFUNCTION("""COMPUTED_VALUE"""),"Yes")</f>
        <v>Yes</v>
      </c>
      <c r="M271" s="1" t="str">
        <f>IFERROR(__xludf.DUMMYFUNCTION("""COMPUTED_VALUE"""),"No")</f>
        <v>No</v>
      </c>
      <c r="N271" s="1" t="str">
        <f>IFERROR(__xludf.DUMMYFUNCTION("""COMPUTED_VALUE"""),"No")</f>
        <v>No</v>
      </c>
      <c r="O271" s="1" t="str">
        <f>IFERROR(__xludf.DUMMYFUNCTION("""COMPUTED_VALUE"""),"WA ONLY, CALL")</f>
        <v>WA ONLY, CALL</v>
      </c>
      <c r="P271" s="1" t="str">
        <f>IFERROR(__xludf.DUMMYFUNCTION("""COMPUTED_VALUE"""),"Sir")</f>
        <v>Sir</v>
      </c>
      <c r="Q271" s="1" t="str">
        <f>IFERROR(__xludf.DUMMYFUNCTION("""COMPUTED_VALUE"""),"No")</f>
        <v>No</v>
      </c>
      <c r="R271" s="1" t="str">
        <f>IFERROR(__xludf.DUMMYFUNCTION("""COMPUTED_VALUE"""),"NEW WALK IN")</f>
        <v>NEW WALK IN</v>
      </c>
      <c r="S271" s="1"/>
    </row>
    <row r="272">
      <c r="A272" s="2">
        <f>IFERROR(__xludf.DUMMYFUNCTION("""COMPUTED_VALUE"""),45381.76403314815)</f>
        <v>45381.76403</v>
      </c>
      <c r="B272" s="1" t="str">
        <f>IFERROR(__xludf.DUMMYFUNCTION("""COMPUTED_VALUE"""),"Andita gupta")</f>
        <v>Andita gupta</v>
      </c>
      <c r="C272" s="1">
        <f>IFERROR(__xludf.DUMMYFUNCTION("""COMPUTED_VALUE"""),9.899980269E9)</f>
        <v>9899980269</v>
      </c>
      <c r="D272" s="1">
        <f>IFERROR(__xludf.DUMMYFUNCTION("""COMPUTED_VALUE"""),3.0)</f>
        <v>3</v>
      </c>
      <c r="E272" s="3">
        <f>IFERROR(__xludf.DUMMYFUNCTION("""COMPUTED_VALUE"""),0.7069444444423425)</f>
        <v>0.7069444444</v>
      </c>
      <c r="F272" s="1" t="str">
        <f>IFERROR(__xludf.DUMMYFUNCTION("""COMPUTED_VALUE"""),"Plain Gold")</f>
        <v>Plain Gold</v>
      </c>
      <c r="G272" s="1" t="str">
        <f>IFERROR(__xludf.DUMMYFUNCTION("""COMPUTED_VALUE"""),"Chhaya")</f>
        <v>Chhaya</v>
      </c>
      <c r="H272" s="1" t="str">
        <f>IFERROR(__xludf.DUMMYFUNCTION("""COMPUTED_VALUE"""),"Gold bali ")</f>
        <v>Gold bali </v>
      </c>
      <c r="I272" s="1"/>
      <c r="J272" s="1"/>
      <c r="K272" s="3">
        <f>IFERROR(__xludf.DUMMYFUNCTION("""COMPUTED_VALUE"""),0.7513888888934162)</f>
        <v>0.7513888889</v>
      </c>
      <c r="L272" s="1" t="str">
        <f>IFERROR(__xludf.DUMMYFUNCTION("""COMPUTED_VALUE"""),"Yes")</f>
        <v>Yes</v>
      </c>
      <c r="M272" s="1" t="str">
        <f>IFERROR(__xludf.DUMMYFUNCTION("""COMPUTED_VALUE"""),"Yes")</f>
        <v>Yes</v>
      </c>
      <c r="N272" s="1" t="str">
        <f>IFERROR(__xludf.DUMMYFUNCTION("""COMPUTED_VALUE"""),"Yes")</f>
        <v>Yes</v>
      </c>
      <c r="O272" s="1" t="str">
        <f>IFERROR(__xludf.DUMMYFUNCTION("""COMPUTED_VALUE"""),"WA ONLY, CALL")</f>
        <v>WA ONLY, CALL</v>
      </c>
      <c r="P272" s="1" t="str">
        <f>IFERROR(__xludf.DUMMYFUNCTION("""COMPUTED_VALUE"""),"Madam")</f>
        <v>Madam</v>
      </c>
      <c r="Q272" s="1" t="str">
        <f>IFERROR(__xludf.DUMMYFUNCTION("""COMPUTED_VALUE"""),"No")</f>
        <v>No</v>
      </c>
      <c r="R272" s="1" t="str">
        <f>IFERROR(__xludf.DUMMYFUNCTION("""COMPUTED_VALUE"""),"NEW WALK IN")</f>
        <v>NEW WALK IN</v>
      </c>
      <c r="S272" s="1"/>
    </row>
    <row r="273">
      <c r="A273" s="2">
        <f>IFERROR(__xludf.DUMMYFUNCTION("""COMPUTED_VALUE"""),45381.78865259259)</f>
        <v>45381.78865</v>
      </c>
      <c r="B273" s="1" t="str">
        <f>IFERROR(__xludf.DUMMYFUNCTION("""COMPUTED_VALUE"""),"Atoshi")</f>
        <v>Atoshi</v>
      </c>
      <c r="C273" s="1">
        <f>IFERROR(__xludf.DUMMYFUNCTION("""COMPUTED_VALUE"""),8.700173741E9)</f>
        <v>8700173741</v>
      </c>
      <c r="D273" s="1">
        <f>IFERROR(__xludf.DUMMYFUNCTION("""COMPUTED_VALUE"""),1.0)</f>
        <v>1</v>
      </c>
      <c r="E273" s="3">
        <f>IFERROR(__xludf.DUMMYFUNCTION("""COMPUTED_VALUE"""),0.7569444444452529)</f>
        <v>0.7569444444</v>
      </c>
      <c r="F273" s="1" t="str">
        <f>IFERROR(__xludf.DUMMYFUNCTION("""COMPUTED_VALUE"""),"Plain Gold")</f>
        <v>Plain Gold</v>
      </c>
      <c r="G273" s="1" t="str">
        <f>IFERROR(__xludf.DUMMYFUNCTION("""COMPUTED_VALUE"""),"Chhaya")</f>
        <v>Chhaya</v>
      </c>
      <c r="H273" s="1" t="str">
        <f>IFERROR(__xludf.DUMMYFUNCTION("""COMPUTED_VALUE"""),"Gold chain oder ")</f>
        <v>Gold chain oder </v>
      </c>
      <c r="I273" s="1"/>
      <c r="J273" s="1" t="str">
        <f>IFERROR(__xludf.DUMMYFUNCTION("""COMPUTED_VALUE"""),"5000 per month LUCKY DRAW 7 EVERY MONTH, 2000 per month LUCKY PAY NO MORE")</f>
        <v>5000 per month LUCKY DRAW 7 EVERY MONTH, 2000 per month LUCKY PAY NO MORE</v>
      </c>
      <c r="K273" s="3">
        <f>IFERROR(__xludf.DUMMYFUNCTION("""COMPUTED_VALUE"""),0.7881944444452529)</f>
        <v>0.7881944444</v>
      </c>
      <c r="L273" s="1" t="str">
        <f>IFERROR(__xludf.DUMMYFUNCTION("""COMPUTED_VALUE"""),"Yes")</f>
        <v>Yes</v>
      </c>
      <c r="M273" s="1" t="str">
        <f>IFERROR(__xludf.DUMMYFUNCTION("""COMPUTED_VALUE"""),"Already done")</f>
        <v>Already done</v>
      </c>
      <c r="N273" s="1" t="str">
        <f>IFERROR(__xludf.DUMMYFUNCTION("""COMPUTED_VALUE"""),"Already done")</f>
        <v>Already done</v>
      </c>
      <c r="O273" s="1" t="str">
        <f>IFERROR(__xludf.DUMMYFUNCTION("""COMPUTED_VALUE"""),"WA ONLY, CALL")</f>
        <v>WA ONLY, CALL</v>
      </c>
      <c r="P273" s="1" t="str">
        <f>IFERROR(__xludf.DUMMYFUNCTION("""COMPUTED_VALUE"""),"Madam")</f>
        <v>Madam</v>
      </c>
      <c r="Q273" s="1" t="str">
        <f>IFERROR(__xludf.DUMMYFUNCTION("""COMPUTED_VALUE"""),"Yes")</f>
        <v>Yes</v>
      </c>
      <c r="R273" s="1" t="str">
        <f>IFERROR(__xludf.DUMMYFUNCTION("""COMPUTED_VALUE"""),"OLD")</f>
        <v>OLD</v>
      </c>
      <c r="S273" s="1"/>
    </row>
    <row r="274">
      <c r="A274" s="2">
        <f>IFERROR(__xludf.DUMMYFUNCTION("""COMPUTED_VALUE"""),45382.85592476852)</f>
        <v>45382.85592</v>
      </c>
      <c r="B274" s="1" t="str">
        <f>IFERROR(__xludf.DUMMYFUNCTION("""COMPUTED_VALUE"""),"Nupur agarwal")</f>
        <v>Nupur agarwal</v>
      </c>
      <c r="C274" s="1">
        <f>IFERROR(__xludf.DUMMYFUNCTION("""COMPUTED_VALUE"""),8.929324941E9)</f>
        <v>8929324941</v>
      </c>
      <c r="D274" s="1">
        <f>IFERROR(__xludf.DUMMYFUNCTION("""COMPUTED_VALUE"""),1.0)</f>
        <v>1</v>
      </c>
      <c r="E274" s="3">
        <f>IFERROR(__xludf.DUMMYFUNCTION("""COMPUTED_VALUE"""),0.7777777777810115)</f>
        <v>0.7777777778</v>
      </c>
      <c r="F274" s="1" t="str">
        <f>IFERROR(__xludf.DUMMYFUNCTION("""COMPUTED_VALUE"""),"Antique Gold")</f>
        <v>Antique Gold</v>
      </c>
      <c r="G274" s="1" t="str">
        <f>IFERROR(__xludf.DUMMYFUNCTION("""COMPUTED_VALUE"""),"Bhumika")</f>
        <v>Bhumika</v>
      </c>
      <c r="H274" s="1" t="str">
        <f>IFERROR(__xludf.DUMMYFUNCTION("""COMPUTED_VALUE"""),"Antic gold set tariqish")</f>
        <v>Antic gold set tariqish</v>
      </c>
      <c r="I274" s="1"/>
      <c r="J274" s="1" t="str">
        <f>IFERROR(__xludf.DUMMYFUNCTION("""COMPUTED_VALUE"""),"2000 per month LUCKY PAY NO MORE")</f>
        <v>2000 per month LUCKY PAY NO MORE</v>
      </c>
      <c r="K274" s="3">
        <f>IFERROR(__xludf.DUMMYFUNCTION("""COMPUTED_VALUE"""),0.8555555555576575)</f>
        <v>0.8555555556</v>
      </c>
      <c r="L274" s="1" t="str">
        <f>IFERROR(__xludf.DUMMYFUNCTION("""COMPUTED_VALUE"""),"Yes")</f>
        <v>Yes</v>
      </c>
      <c r="M274" s="1" t="str">
        <f>IFERROR(__xludf.DUMMYFUNCTION("""COMPUTED_VALUE"""),"Yes")</f>
        <v>Yes</v>
      </c>
      <c r="N274" s="1" t="str">
        <f>IFERROR(__xludf.DUMMYFUNCTION("""COMPUTED_VALUE"""),"Yes")</f>
        <v>Yes</v>
      </c>
      <c r="O274" s="1" t="str">
        <f>IFERROR(__xludf.DUMMYFUNCTION("""COMPUTED_VALUE"""),"WA ONLY, OWNER CONTACT ONLY, CALL")</f>
        <v>WA ONLY, OWNER CONTACT ONLY, CALL</v>
      </c>
      <c r="P274" s="1" t="str">
        <f>IFERROR(__xludf.DUMMYFUNCTION("""COMPUTED_VALUE"""),"Madam")</f>
        <v>Madam</v>
      </c>
      <c r="Q274" s="1" t="str">
        <f>IFERROR(__xludf.DUMMYFUNCTION("""COMPUTED_VALUE"""),"Yes")</f>
        <v>Yes</v>
      </c>
      <c r="R274" s="1" t="str">
        <f>IFERROR(__xludf.DUMMYFUNCTION("""COMPUTED_VALUE"""),"NEW WALK IN")</f>
        <v>NEW WALK IN</v>
      </c>
      <c r="S274" s="1"/>
    </row>
    <row r="275">
      <c r="A275" s="2">
        <f>IFERROR(__xludf.DUMMYFUNCTION("""COMPUTED_VALUE"""),45385.706878310186)</f>
        <v>45385.70688</v>
      </c>
      <c r="B275" s="1" t="str">
        <f>IFERROR(__xludf.DUMMYFUNCTION("""COMPUTED_VALUE"""),"Priyanka ")</f>
        <v>Priyanka </v>
      </c>
      <c r="C275" s="1">
        <f>IFERROR(__xludf.DUMMYFUNCTION("""COMPUTED_VALUE"""),9.818325544E9)</f>
        <v>9818325544</v>
      </c>
      <c r="D275" s="1">
        <f>IFERROR(__xludf.DUMMYFUNCTION("""COMPUTED_VALUE"""),1.0)</f>
        <v>1</v>
      </c>
      <c r="E275" s="3">
        <f>IFERROR(__xludf.DUMMYFUNCTION("""COMPUTED_VALUE"""),0.6347222222248092)</f>
        <v>0.6347222222</v>
      </c>
      <c r="F275" s="1" t="str">
        <f>IFERROR(__xludf.DUMMYFUNCTION("""COMPUTED_VALUE"""),"Diamond")</f>
        <v>Diamond</v>
      </c>
      <c r="G275" s="1" t="str">
        <f>IFERROR(__xludf.DUMMYFUNCTION("""COMPUTED_VALUE"""),"Chhaya")</f>
        <v>Chhaya</v>
      </c>
      <c r="H275" s="1"/>
      <c r="I275" s="1" t="str">
        <f>IFERROR(__xludf.DUMMYFUNCTION("""COMPUTED_VALUE"""),"Visit Again in 1 Month")</f>
        <v>Visit Again in 1 Month</v>
      </c>
      <c r="J275" s="1"/>
      <c r="K275" s="3">
        <f>IFERROR(__xludf.DUMMYFUNCTION("""COMPUTED_VALUE"""),0.6861111111065838)</f>
        <v>0.6861111111</v>
      </c>
      <c r="L275" s="1" t="str">
        <f>IFERROR(__xludf.DUMMYFUNCTION("""COMPUTED_VALUE"""),"Yes")</f>
        <v>Yes</v>
      </c>
      <c r="M275" s="1" t="str">
        <f>IFERROR(__xludf.DUMMYFUNCTION("""COMPUTED_VALUE"""),"No")</f>
        <v>No</v>
      </c>
      <c r="N275" s="1" t="str">
        <f>IFERROR(__xludf.DUMMYFUNCTION("""COMPUTED_VALUE"""),"No")</f>
        <v>No</v>
      </c>
      <c r="O275" s="1" t="str">
        <f>IFERROR(__xludf.DUMMYFUNCTION("""COMPUTED_VALUE"""),"WA ONLY, CALL")</f>
        <v>WA ONLY, CALL</v>
      </c>
      <c r="P275" s="1" t="str">
        <f>IFERROR(__xludf.DUMMYFUNCTION("""COMPUTED_VALUE"""),"Madam")</f>
        <v>Madam</v>
      </c>
      <c r="Q275" s="1" t="str">
        <f>IFERROR(__xludf.DUMMYFUNCTION("""COMPUTED_VALUE"""),"No")</f>
        <v>No</v>
      </c>
      <c r="R275" s="1" t="str">
        <f>IFERROR(__xludf.DUMMYFUNCTION("""COMPUTED_VALUE"""),"NEW WALK IN")</f>
        <v>NEW WALK IN</v>
      </c>
      <c r="S275" s="1"/>
    </row>
    <row r="276">
      <c r="A276" s="2">
        <f>IFERROR(__xludf.DUMMYFUNCTION("""COMPUTED_VALUE"""),45385.70951792824)</f>
        <v>45385.70952</v>
      </c>
      <c r="B276" s="1" t="str">
        <f>IFERROR(__xludf.DUMMYFUNCTION("""COMPUTED_VALUE"""),"Musir")</f>
        <v>Musir</v>
      </c>
      <c r="C276" s="1">
        <f>IFERROR(__xludf.DUMMYFUNCTION("""COMPUTED_VALUE"""),9.682615632E9)</f>
        <v>9682615632</v>
      </c>
      <c r="D276" s="1">
        <f>IFERROR(__xludf.DUMMYFUNCTION("""COMPUTED_VALUE"""),1.0)</f>
        <v>1</v>
      </c>
      <c r="E276" s="3">
        <f>IFERROR(__xludf.DUMMYFUNCTION("""COMPUTED_VALUE"""),0.6999999999970896)</f>
        <v>0.7</v>
      </c>
      <c r="F276" s="1" t="str">
        <f>IFERROR(__xludf.DUMMYFUNCTION("""COMPUTED_VALUE"""),"Plain Gold")</f>
        <v>Plain Gold</v>
      </c>
      <c r="G276" s="1" t="str">
        <f>IFERROR(__xludf.DUMMYFUNCTION("""COMPUTED_VALUE"""),"Pooja")</f>
        <v>Pooja</v>
      </c>
      <c r="H276" s="1"/>
      <c r="I276" s="1" t="str">
        <f>IFERROR(__xludf.DUMMYFUNCTION("""COMPUTED_VALUE"""),"Visit Again in 1 Month")</f>
        <v>Visit Again in 1 Month</v>
      </c>
      <c r="J276" s="1"/>
      <c r="K276" s="3">
        <f>IFERROR(__xludf.DUMMYFUNCTION("""COMPUTED_VALUE"""),0.7090277777751908)</f>
        <v>0.7090277778</v>
      </c>
      <c r="L276" s="1" t="str">
        <f>IFERROR(__xludf.DUMMYFUNCTION("""COMPUTED_VALUE"""),"Yes")</f>
        <v>Yes</v>
      </c>
      <c r="M276" s="1" t="str">
        <f>IFERROR(__xludf.DUMMYFUNCTION("""COMPUTED_VALUE"""),"No")</f>
        <v>No</v>
      </c>
      <c r="N276" s="1" t="str">
        <f>IFERROR(__xludf.DUMMYFUNCTION("""COMPUTED_VALUE"""),"No")</f>
        <v>No</v>
      </c>
      <c r="O276" s="1" t="str">
        <f>IFERROR(__xludf.DUMMYFUNCTION("""COMPUTED_VALUE"""),"WA ONLY, CALL")</f>
        <v>WA ONLY, CALL</v>
      </c>
      <c r="P276" s="1" t="str">
        <f>IFERROR(__xludf.DUMMYFUNCTION("""COMPUTED_VALUE"""),"Sir")</f>
        <v>Sir</v>
      </c>
      <c r="Q276" s="1" t="str">
        <f>IFERROR(__xludf.DUMMYFUNCTION("""COMPUTED_VALUE"""),"No")</f>
        <v>No</v>
      </c>
      <c r="R276" s="1" t="str">
        <f>IFERROR(__xludf.DUMMYFUNCTION("""COMPUTED_VALUE"""),"NEW WALK IN")</f>
        <v>NEW WALK IN</v>
      </c>
      <c r="S276" s="1"/>
    </row>
    <row r="277">
      <c r="A277" s="2">
        <f>IFERROR(__xludf.DUMMYFUNCTION("""COMPUTED_VALUE"""),45386.759846898145)</f>
        <v>45386.75985</v>
      </c>
      <c r="B277" s="1" t="str">
        <f>IFERROR(__xludf.DUMMYFUNCTION("""COMPUTED_VALUE"""),"Sheetal")</f>
        <v>Sheetal</v>
      </c>
      <c r="C277" s="1">
        <f>IFERROR(__xludf.DUMMYFUNCTION("""COMPUTED_VALUE"""),9.717700946E9)</f>
        <v>9717700946</v>
      </c>
      <c r="D277" s="1">
        <f>IFERROR(__xludf.DUMMYFUNCTION("""COMPUTED_VALUE"""),1.0)</f>
        <v>1</v>
      </c>
      <c r="E277" s="3">
        <f>IFERROR(__xludf.DUMMYFUNCTION("""COMPUTED_VALUE"""),0.6041666666642413)</f>
        <v>0.6041666667</v>
      </c>
      <c r="F277" s="1" t="str">
        <f>IFERROR(__xludf.DUMMYFUNCTION("""COMPUTED_VALUE"""),"Antique Gold")</f>
        <v>Antique Gold</v>
      </c>
      <c r="G277" s="1"/>
      <c r="H277" s="1"/>
      <c r="I277" s="1" t="str">
        <f>IFERROR(__xludf.DUMMYFUNCTION("""COMPUTED_VALUE"""),"Visit tomorrow ")</f>
        <v>Visit tomorrow </v>
      </c>
      <c r="J277" s="1"/>
      <c r="K277" s="3">
        <f>IFERROR(__xludf.DUMMYFUNCTION("""COMPUTED_VALUE"""),0.7513888888934162)</f>
        <v>0.7513888889</v>
      </c>
      <c r="L277" s="1" t="str">
        <f>IFERROR(__xludf.DUMMYFUNCTION("""COMPUTED_VALUE"""),"Yes")</f>
        <v>Yes</v>
      </c>
      <c r="M277" s="1" t="str">
        <f>IFERROR(__xludf.DUMMYFUNCTION("""COMPUTED_VALUE"""),"No")</f>
        <v>No</v>
      </c>
      <c r="N277" s="1" t="str">
        <f>IFERROR(__xludf.DUMMYFUNCTION("""COMPUTED_VALUE"""),"No")</f>
        <v>No</v>
      </c>
      <c r="O277" s="1" t="str">
        <f>IFERROR(__xludf.DUMMYFUNCTION("""COMPUTED_VALUE"""),"WA ONLY, CALL")</f>
        <v>WA ONLY, CALL</v>
      </c>
      <c r="P277" s="1" t="str">
        <f>IFERROR(__xludf.DUMMYFUNCTION("""COMPUTED_VALUE"""),"Madam")</f>
        <v>Madam</v>
      </c>
      <c r="Q277" s="1" t="str">
        <f>IFERROR(__xludf.DUMMYFUNCTION("""COMPUTED_VALUE"""),"No")</f>
        <v>No</v>
      </c>
      <c r="R277" s="1" t="str">
        <f>IFERROR(__xludf.DUMMYFUNCTION("""COMPUTED_VALUE"""),"NEW WALK IN")</f>
        <v>NEW WALK IN</v>
      </c>
      <c r="S277" s="1"/>
    </row>
    <row r="278">
      <c r="A278" s="2">
        <f>IFERROR(__xludf.DUMMYFUNCTION("""COMPUTED_VALUE"""),45387.67437171296)</f>
        <v>45387.67437</v>
      </c>
      <c r="B278" s="1" t="str">
        <f>IFERROR(__xludf.DUMMYFUNCTION("""COMPUTED_VALUE"""),"Seema gupta ")</f>
        <v>Seema gupta </v>
      </c>
      <c r="C278" s="1">
        <f>IFERROR(__xludf.DUMMYFUNCTION("""COMPUTED_VALUE"""),9.810413272E9)</f>
        <v>9810413272</v>
      </c>
      <c r="D278" s="1">
        <f>IFERROR(__xludf.DUMMYFUNCTION("""COMPUTED_VALUE"""),1.0)</f>
        <v>1</v>
      </c>
      <c r="E278" s="3">
        <f>IFERROR(__xludf.DUMMYFUNCTION("""COMPUTED_VALUE"""),0.5444444444437977)</f>
        <v>0.5444444444</v>
      </c>
      <c r="F278" s="1" t="str">
        <f>IFERROR(__xludf.DUMMYFUNCTION("""COMPUTED_VALUE"""),"Antique Gold")</f>
        <v>Antique Gold</v>
      </c>
      <c r="G278" s="1" t="str">
        <f>IFERROR(__xludf.DUMMYFUNCTION("""COMPUTED_VALUE"""),"Pooja")</f>
        <v>Pooja</v>
      </c>
      <c r="H278" s="1" t="str">
        <f>IFERROR(__xludf.DUMMYFUNCTION("""COMPUTED_VALUE"""),"Antique set")</f>
        <v>Antique set</v>
      </c>
      <c r="I278" s="1"/>
      <c r="J278" s="1"/>
      <c r="K278" s="3">
        <f>IFERROR(__xludf.DUMMYFUNCTION("""COMPUTED_VALUE"""),0.6708333333372138)</f>
        <v>0.6708333333</v>
      </c>
      <c r="L278" s="1" t="str">
        <f>IFERROR(__xludf.DUMMYFUNCTION("""COMPUTED_VALUE"""),"Yes")</f>
        <v>Yes</v>
      </c>
      <c r="M278" s="1" t="str">
        <f>IFERROR(__xludf.DUMMYFUNCTION("""COMPUTED_VALUE"""),"Already done")</f>
        <v>Already done</v>
      </c>
      <c r="N278" s="1" t="str">
        <f>IFERROR(__xludf.DUMMYFUNCTION("""COMPUTED_VALUE"""),"Already done")</f>
        <v>Already done</v>
      </c>
      <c r="O278" s="1" t="str">
        <f>IFERROR(__xludf.DUMMYFUNCTION("""COMPUTED_VALUE"""),"WA ONLY, OWNER CONTACT ONLY, CALL")</f>
        <v>WA ONLY, OWNER CONTACT ONLY, CALL</v>
      </c>
      <c r="P278" s="1" t="str">
        <f>IFERROR(__xludf.DUMMYFUNCTION("""COMPUTED_VALUE"""),"Madam")</f>
        <v>Madam</v>
      </c>
      <c r="Q278" s="1" t="str">
        <f>IFERROR(__xludf.DUMMYFUNCTION("""COMPUTED_VALUE"""),"No")</f>
        <v>No</v>
      </c>
      <c r="R278" s="1" t="str">
        <f>IFERROR(__xludf.DUMMYFUNCTION("""COMPUTED_VALUE"""),"OLD")</f>
        <v>OLD</v>
      </c>
      <c r="S278" s="1"/>
    </row>
    <row r="279">
      <c r="A279" s="2">
        <f>IFERROR(__xludf.DUMMYFUNCTION("""COMPUTED_VALUE"""),45388.711598298614)</f>
        <v>45388.7116</v>
      </c>
      <c r="B279" s="1" t="str">
        <f>IFERROR(__xludf.DUMMYFUNCTION("""COMPUTED_VALUE"""),"Putul kumari")</f>
        <v>Putul kumari</v>
      </c>
      <c r="C279" s="1">
        <f>IFERROR(__xludf.DUMMYFUNCTION("""COMPUTED_VALUE"""),9.582636788E9)</f>
        <v>9582636788</v>
      </c>
      <c r="D279" s="1">
        <f>IFERROR(__xludf.DUMMYFUNCTION("""COMPUTED_VALUE"""),1.0)</f>
        <v>1</v>
      </c>
      <c r="E279" s="3">
        <f>IFERROR(__xludf.DUMMYFUNCTION("""COMPUTED_VALUE"""),0.4944444444408873)</f>
        <v>0.4944444444</v>
      </c>
      <c r="F279" s="1" t="str">
        <f>IFERROR(__xludf.DUMMYFUNCTION("""COMPUTED_VALUE"""),"Diamond")</f>
        <v>Diamond</v>
      </c>
      <c r="G279" s="1" t="str">
        <f>IFERROR(__xludf.DUMMYFUNCTION("""COMPUTED_VALUE"""),"Bhumika")</f>
        <v>Bhumika</v>
      </c>
      <c r="H279" s="1"/>
      <c r="I279" s="1" t="str">
        <f>IFERROR(__xludf.DUMMYFUNCTION("""COMPUTED_VALUE"""),"Designs Not Liked")</f>
        <v>Designs Not Liked</v>
      </c>
      <c r="J279" s="1"/>
      <c r="K279" s="3">
        <f>IFERROR(__xludf.DUMMYFUNCTION("""COMPUTED_VALUE"""),0.515277777776646)</f>
        <v>0.5152777778</v>
      </c>
      <c r="L279" s="1" t="str">
        <f>IFERROR(__xludf.DUMMYFUNCTION("""COMPUTED_VALUE"""),"Yes")</f>
        <v>Yes</v>
      </c>
      <c r="M279" s="1" t="str">
        <f>IFERROR(__xludf.DUMMYFUNCTION("""COMPUTED_VALUE"""),"No")</f>
        <v>No</v>
      </c>
      <c r="N279" s="1" t="str">
        <f>IFERROR(__xludf.DUMMYFUNCTION("""COMPUTED_VALUE"""),"No")</f>
        <v>No</v>
      </c>
      <c r="O279" s="1" t="str">
        <f>IFERROR(__xludf.DUMMYFUNCTION("""COMPUTED_VALUE"""),"WA ONLY, CALL")</f>
        <v>WA ONLY, CALL</v>
      </c>
      <c r="P279" s="1" t="str">
        <f>IFERROR(__xludf.DUMMYFUNCTION("""COMPUTED_VALUE"""),"Madam")</f>
        <v>Madam</v>
      </c>
      <c r="Q279" s="1" t="str">
        <f>IFERROR(__xludf.DUMMYFUNCTION("""COMPUTED_VALUE"""),"No")</f>
        <v>No</v>
      </c>
      <c r="R279" s="1" t="str">
        <f>IFERROR(__xludf.DUMMYFUNCTION("""COMPUTED_VALUE"""),"NEW WALK IN")</f>
        <v>NEW WALK IN</v>
      </c>
      <c r="S279" s="1"/>
    </row>
    <row r="280">
      <c r="A280" s="2">
        <f>IFERROR(__xludf.DUMMYFUNCTION("""COMPUTED_VALUE"""),45388.71566835648)</f>
        <v>45388.71567</v>
      </c>
      <c r="B280" s="1" t="str">
        <f>IFERROR(__xludf.DUMMYFUNCTION("""COMPUTED_VALUE"""),"Neeeraj")</f>
        <v>Neeeraj</v>
      </c>
      <c r="C280" s="1">
        <f>IFERROR(__xludf.DUMMYFUNCTION("""COMPUTED_VALUE"""),9.711525419E9)</f>
        <v>9711525419</v>
      </c>
      <c r="D280" s="1">
        <f>IFERROR(__xludf.DUMMYFUNCTION("""COMPUTED_VALUE"""),1.0)</f>
        <v>1</v>
      </c>
      <c r="E280" s="3">
        <f>IFERROR(__xludf.DUMMYFUNCTION("""COMPUTED_VALUE"""),0.6055555555576575)</f>
        <v>0.6055555556</v>
      </c>
      <c r="F280" s="1" t="str">
        <f>IFERROR(__xludf.DUMMYFUNCTION("""COMPUTED_VALUE"""),"Plain Gold")</f>
        <v>Plain Gold</v>
      </c>
      <c r="G280" s="1" t="str">
        <f>IFERROR(__xludf.DUMMYFUNCTION("""COMPUTED_VALUE"""),"Bhumika")</f>
        <v>Bhumika</v>
      </c>
      <c r="H280" s="1" t="str">
        <f>IFERROR(__xludf.DUMMYFUNCTION("""COMPUTED_VALUE"""),"Gems,attend by priya")</f>
        <v>Gems,attend by priya</v>
      </c>
      <c r="I280" s="1"/>
      <c r="J280" s="1" t="str">
        <f>IFERROR(__xludf.DUMMYFUNCTION("""COMPUTED_VALUE"""),"5000 per month LUCKY DRAW 7 EVERY MONTH")</f>
        <v>5000 per month LUCKY DRAW 7 EVERY MONTH</v>
      </c>
      <c r="K280" s="3">
        <f>IFERROR(__xludf.DUMMYFUNCTION("""COMPUTED_VALUE"""),0.65625)</f>
        <v>0.65625</v>
      </c>
      <c r="L280" s="1" t="str">
        <f>IFERROR(__xludf.DUMMYFUNCTION("""COMPUTED_VALUE"""),"Yes")</f>
        <v>Yes</v>
      </c>
      <c r="M280" s="1" t="str">
        <f>IFERROR(__xludf.DUMMYFUNCTION("""COMPUTED_VALUE"""),"Yes")</f>
        <v>Yes</v>
      </c>
      <c r="N280" s="1" t="str">
        <f>IFERROR(__xludf.DUMMYFUNCTION("""COMPUTED_VALUE"""),"Yes")</f>
        <v>Yes</v>
      </c>
      <c r="O280" s="1" t="str">
        <f>IFERROR(__xludf.DUMMYFUNCTION("""COMPUTED_VALUE"""),"WA ONLY, OWNER CONTACT ONLY, CALL")</f>
        <v>WA ONLY, OWNER CONTACT ONLY, CALL</v>
      </c>
      <c r="P280" s="1" t="str">
        <f>IFERROR(__xludf.DUMMYFUNCTION("""COMPUTED_VALUE"""),"Sir")</f>
        <v>Sir</v>
      </c>
      <c r="Q280" s="1" t="str">
        <f>IFERROR(__xludf.DUMMYFUNCTION("""COMPUTED_VALUE"""),"Yes")</f>
        <v>Yes</v>
      </c>
      <c r="R280" s="1" t="str">
        <f>IFERROR(__xludf.DUMMYFUNCTION("""COMPUTED_VALUE"""),"OLD")</f>
        <v>OLD</v>
      </c>
      <c r="S280" s="1"/>
    </row>
    <row r="281">
      <c r="A281" s="2">
        <f>IFERROR(__xludf.DUMMYFUNCTION("""COMPUTED_VALUE"""),45388.716748935185)</f>
        <v>45388.71675</v>
      </c>
      <c r="B281" s="1" t="str">
        <f>IFERROR(__xludf.DUMMYFUNCTION("""COMPUTED_VALUE"""),"Rekha jain")</f>
        <v>Rekha jain</v>
      </c>
      <c r="C281" s="1">
        <f>IFERROR(__xludf.DUMMYFUNCTION("""COMPUTED_VALUE"""),9.899007399E9)</f>
        <v>9899007399</v>
      </c>
      <c r="D281" s="1">
        <f>IFERROR(__xludf.DUMMYFUNCTION("""COMPUTED_VALUE"""),1.0)</f>
        <v>1</v>
      </c>
      <c r="E281" s="3">
        <f>IFERROR(__xludf.DUMMYFUNCTION("""COMPUTED_VALUE"""),0.6826388888875954)</f>
        <v>0.6826388889</v>
      </c>
      <c r="F281" s="1" t="str">
        <f>IFERROR(__xludf.DUMMYFUNCTION("""COMPUTED_VALUE"""),"Diamond")</f>
        <v>Diamond</v>
      </c>
      <c r="G281" s="1" t="str">
        <f>IFERROR(__xludf.DUMMYFUNCTION("""COMPUTED_VALUE"""),"Bhumika")</f>
        <v>Bhumika</v>
      </c>
      <c r="H281" s="1"/>
      <c r="I281" s="1" t="str">
        <f>IFERROR(__xludf.DUMMYFUNCTION("""COMPUTED_VALUE"""),"Visit Again in 1 Month")</f>
        <v>Visit Again in 1 Month</v>
      </c>
      <c r="J281" s="1"/>
      <c r="K281" s="3">
        <f>IFERROR(__xludf.DUMMYFUNCTION("""COMPUTED_VALUE"""),0.6909722222189885)</f>
        <v>0.6909722222</v>
      </c>
      <c r="L281" s="1" t="str">
        <f>IFERROR(__xludf.DUMMYFUNCTION("""COMPUTED_VALUE"""),"Yes")</f>
        <v>Yes</v>
      </c>
      <c r="M281" s="1" t="str">
        <f>IFERROR(__xludf.DUMMYFUNCTION("""COMPUTED_VALUE"""),"No")</f>
        <v>No</v>
      </c>
      <c r="N281" s="1" t="str">
        <f>IFERROR(__xludf.DUMMYFUNCTION("""COMPUTED_VALUE"""),"No")</f>
        <v>No</v>
      </c>
      <c r="O281" s="1" t="str">
        <f>IFERROR(__xludf.DUMMYFUNCTION("""COMPUTED_VALUE"""),"WA ONLY, CALL")</f>
        <v>WA ONLY, CALL</v>
      </c>
      <c r="P281" s="1" t="str">
        <f>IFERROR(__xludf.DUMMYFUNCTION("""COMPUTED_VALUE"""),"Madam")</f>
        <v>Madam</v>
      </c>
      <c r="Q281" s="1" t="str">
        <f>IFERROR(__xludf.DUMMYFUNCTION("""COMPUTED_VALUE"""),"No")</f>
        <v>No</v>
      </c>
      <c r="R281" s="1" t="str">
        <f>IFERROR(__xludf.DUMMYFUNCTION("""COMPUTED_VALUE"""),"OLD")</f>
        <v>OLD</v>
      </c>
      <c r="S281" s="1"/>
    </row>
    <row r="282">
      <c r="A282" s="2">
        <f>IFERROR(__xludf.DUMMYFUNCTION("""COMPUTED_VALUE"""),45389.75860767361)</f>
        <v>45389.75861</v>
      </c>
      <c r="B282" s="1" t="str">
        <f>IFERROR(__xludf.DUMMYFUNCTION("""COMPUTED_VALUE"""),"Saran")</f>
        <v>Saran</v>
      </c>
      <c r="C282" s="1">
        <f>IFERROR(__xludf.DUMMYFUNCTION("""COMPUTED_VALUE"""),9.811255881E9)</f>
        <v>9811255881</v>
      </c>
      <c r="D282" s="1">
        <f>IFERROR(__xludf.DUMMYFUNCTION("""COMPUTED_VALUE"""),1.0)</f>
        <v>1</v>
      </c>
      <c r="E282" s="3">
        <f>IFERROR(__xludf.DUMMYFUNCTION("""COMPUTED_VALUE"""),0.53125)</f>
        <v>0.53125</v>
      </c>
      <c r="F282" s="1" t="str">
        <f>IFERROR(__xludf.DUMMYFUNCTION("""COMPUTED_VALUE"""),"Plain Gold")</f>
        <v>Plain Gold</v>
      </c>
      <c r="G282" s="1" t="str">
        <f>IFERROR(__xludf.DUMMYFUNCTION("""COMPUTED_VALUE"""),"Pooja")</f>
        <v>Pooja</v>
      </c>
      <c r="H282" s="1" t="str">
        <f>IFERROR(__xludf.DUMMYFUNCTION("""COMPUTED_VALUE"""),"Gold ring")</f>
        <v>Gold ring</v>
      </c>
      <c r="I282" s="1"/>
      <c r="J282" s="1"/>
      <c r="K282" s="3">
        <f>IFERROR(__xludf.DUMMYFUNCTION("""COMPUTED_VALUE"""),0.5625)</f>
        <v>0.5625</v>
      </c>
      <c r="L282" s="1" t="str">
        <f>IFERROR(__xludf.DUMMYFUNCTION("""COMPUTED_VALUE"""),"Yes")</f>
        <v>Yes</v>
      </c>
      <c r="M282" s="1" t="str">
        <f>IFERROR(__xludf.DUMMYFUNCTION("""COMPUTED_VALUE"""),"Yes")</f>
        <v>Yes</v>
      </c>
      <c r="N282" s="1" t="str">
        <f>IFERROR(__xludf.DUMMYFUNCTION("""COMPUTED_VALUE"""),"Yes")</f>
        <v>Yes</v>
      </c>
      <c r="O282" s="1" t="str">
        <f>IFERROR(__xludf.DUMMYFUNCTION("""COMPUTED_VALUE"""),"WA ONLY, OWNER CONTACT ONLY, CALL")</f>
        <v>WA ONLY, OWNER CONTACT ONLY, CALL</v>
      </c>
      <c r="P282" s="1" t="str">
        <f>IFERROR(__xludf.DUMMYFUNCTION("""COMPUTED_VALUE"""),"Sir")</f>
        <v>Sir</v>
      </c>
      <c r="Q282" s="1" t="str">
        <f>IFERROR(__xludf.DUMMYFUNCTION("""COMPUTED_VALUE"""),"No")</f>
        <v>No</v>
      </c>
      <c r="R282" s="1" t="str">
        <f>IFERROR(__xludf.DUMMYFUNCTION("""COMPUTED_VALUE"""),"NEW WALK IN")</f>
        <v>NEW WALK IN</v>
      </c>
      <c r="S282" s="1"/>
    </row>
    <row r="283">
      <c r="A283" s="2">
        <f>IFERROR(__xludf.DUMMYFUNCTION("""COMPUTED_VALUE"""),45389.7593328125)</f>
        <v>45389.75933</v>
      </c>
      <c r="B283" s="1" t="str">
        <f>IFERROR(__xludf.DUMMYFUNCTION("""COMPUTED_VALUE"""),"Sarita")</f>
        <v>Sarita</v>
      </c>
      <c r="C283" s="1">
        <f>IFERROR(__xludf.DUMMYFUNCTION("""COMPUTED_VALUE"""),9.213882013E9)</f>
        <v>9213882013</v>
      </c>
      <c r="D283" s="1">
        <f>IFERROR(__xludf.DUMMYFUNCTION("""COMPUTED_VALUE"""),1.0)</f>
        <v>1</v>
      </c>
      <c r="E283" s="3">
        <f>IFERROR(__xludf.DUMMYFUNCTION("""COMPUTED_VALUE"""),0.6819444444408873)</f>
        <v>0.6819444444</v>
      </c>
      <c r="F283" s="1" t="str">
        <f>IFERROR(__xludf.DUMMYFUNCTION("""COMPUTED_VALUE"""),"Antique Gold")</f>
        <v>Antique Gold</v>
      </c>
      <c r="G283" s="1" t="str">
        <f>IFERROR(__xludf.DUMMYFUNCTION("""COMPUTED_VALUE"""),"Pooja")</f>
        <v>Pooja</v>
      </c>
      <c r="H283" s="1"/>
      <c r="I283" s="1" t="str">
        <f>IFERROR(__xludf.DUMMYFUNCTION("""COMPUTED_VALUE"""),"Visit Again in 1 Month")</f>
        <v>Visit Again in 1 Month</v>
      </c>
      <c r="J283" s="1"/>
      <c r="K283" s="3">
        <f>IFERROR(__xludf.DUMMYFUNCTION("""COMPUTED_VALUE"""),0.6909722222189885)</f>
        <v>0.6909722222</v>
      </c>
      <c r="L283" s="1" t="str">
        <f>IFERROR(__xludf.DUMMYFUNCTION("""COMPUTED_VALUE"""),"No")</f>
        <v>No</v>
      </c>
      <c r="M283" s="1" t="str">
        <f>IFERROR(__xludf.DUMMYFUNCTION("""COMPUTED_VALUE"""),"No")</f>
        <v>No</v>
      </c>
      <c r="N283" s="1" t="str">
        <f>IFERROR(__xludf.DUMMYFUNCTION("""COMPUTED_VALUE"""),"No")</f>
        <v>No</v>
      </c>
      <c r="O283" s="1" t="str">
        <f>IFERROR(__xludf.DUMMYFUNCTION("""COMPUTED_VALUE"""),"WA ONLY, CALL")</f>
        <v>WA ONLY, CALL</v>
      </c>
      <c r="P283" s="1" t="str">
        <f>IFERROR(__xludf.DUMMYFUNCTION("""COMPUTED_VALUE"""),"Madam")</f>
        <v>Madam</v>
      </c>
      <c r="Q283" s="1" t="str">
        <f>IFERROR(__xludf.DUMMYFUNCTION("""COMPUTED_VALUE"""),"No")</f>
        <v>No</v>
      </c>
      <c r="R283" s="1" t="str">
        <f>IFERROR(__xludf.DUMMYFUNCTION("""COMPUTED_VALUE"""),"NEW WALK IN")</f>
        <v>NEW WALK IN</v>
      </c>
      <c r="S283" s="1"/>
    </row>
    <row r="284">
      <c r="A284" s="2">
        <f>IFERROR(__xludf.DUMMYFUNCTION("""COMPUTED_VALUE"""),45389.76049144676)</f>
        <v>45389.76049</v>
      </c>
      <c r="B284" s="1" t="str">
        <f>IFERROR(__xludf.DUMMYFUNCTION("""COMPUTED_VALUE"""),"Ruchi kumari")</f>
        <v>Ruchi kumari</v>
      </c>
      <c r="C284" s="1">
        <f>IFERROR(__xludf.DUMMYFUNCTION("""COMPUTED_VALUE"""),9.582356161E9)</f>
        <v>9582356161</v>
      </c>
      <c r="D284" s="1">
        <f>IFERROR(__xludf.DUMMYFUNCTION("""COMPUTED_VALUE"""),2.0)</f>
        <v>2</v>
      </c>
      <c r="E284" s="3">
        <f>IFERROR(__xludf.DUMMYFUNCTION("""COMPUTED_VALUE"""),0.6666666666642413)</f>
        <v>0.6666666667</v>
      </c>
      <c r="F284" s="1" t="str">
        <f>IFERROR(__xludf.DUMMYFUNCTION("""COMPUTED_VALUE"""),"Antique Gold")</f>
        <v>Antique Gold</v>
      </c>
      <c r="G284" s="1" t="str">
        <f>IFERROR(__xludf.DUMMYFUNCTION("""COMPUTED_VALUE"""),"Pooja")</f>
        <v>Pooja</v>
      </c>
      <c r="H284" s="1" t="str">
        <f>IFERROR(__xludf.DUMMYFUNCTION("""COMPUTED_VALUE"""),"Diamond tops,pic the order ")</f>
        <v>Diamond tops,pic the order </v>
      </c>
      <c r="I284" s="1"/>
      <c r="J284" s="1" t="str">
        <f>IFERROR(__xludf.DUMMYFUNCTION("""COMPUTED_VALUE"""),"2000 per month LUCKY PAY NO MORE")</f>
        <v>2000 per month LUCKY PAY NO MORE</v>
      </c>
      <c r="K284" s="3">
        <f>IFERROR(__xludf.DUMMYFUNCTION("""COMPUTED_VALUE"""),0.7597222222248092)</f>
        <v>0.7597222222</v>
      </c>
      <c r="L284" s="1" t="str">
        <f>IFERROR(__xludf.DUMMYFUNCTION("""COMPUTED_VALUE"""),"Yes")</f>
        <v>Yes</v>
      </c>
      <c r="M284" s="1" t="str">
        <f>IFERROR(__xludf.DUMMYFUNCTION("""COMPUTED_VALUE"""),"Yes")</f>
        <v>Yes</v>
      </c>
      <c r="N284" s="1" t="str">
        <f>IFERROR(__xludf.DUMMYFUNCTION("""COMPUTED_VALUE"""),"Yes")</f>
        <v>Yes</v>
      </c>
      <c r="O284" s="1" t="str">
        <f>IFERROR(__xludf.DUMMYFUNCTION("""COMPUTED_VALUE"""),"WA ONLY, OWNER CONTACT ONLY, CALL")</f>
        <v>WA ONLY, OWNER CONTACT ONLY, CALL</v>
      </c>
      <c r="P284" s="1" t="str">
        <f>IFERROR(__xludf.DUMMYFUNCTION("""COMPUTED_VALUE"""),"Madam")</f>
        <v>Madam</v>
      </c>
      <c r="Q284" s="1" t="str">
        <f>IFERROR(__xludf.DUMMYFUNCTION("""COMPUTED_VALUE"""),"Yes")</f>
        <v>Yes</v>
      </c>
      <c r="R284" s="1" t="str">
        <f>IFERROR(__xludf.DUMMYFUNCTION("""COMPUTED_VALUE"""),"OLD")</f>
        <v>OLD</v>
      </c>
      <c r="S284" s="1"/>
    </row>
    <row r="285">
      <c r="A285" s="2">
        <f>IFERROR(__xludf.DUMMYFUNCTION("""COMPUTED_VALUE"""),45391.8170294213)</f>
        <v>45391.81703</v>
      </c>
      <c r="B285" s="1" t="str">
        <f>IFERROR(__xludf.DUMMYFUNCTION("""COMPUTED_VALUE"""),"Raj sing")</f>
        <v>Raj sing</v>
      </c>
      <c r="C285" s="1">
        <f>IFERROR(__xludf.DUMMYFUNCTION("""COMPUTED_VALUE"""),9.346561515E9)</f>
        <v>9346561515</v>
      </c>
      <c r="D285" s="1">
        <f>IFERROR(__xludf.DUMMYFUNCTION("""COMPUTED_VALUE"""),1.0)</f>
        <v>1</v>
      </c>
      <c r="E285" s="3">
        <f>IFERROR(__xludf.DUMMYFUNCTION("""COMPUTED_VALUE"""),0.7819444444467081)</f>
        <v>0.7819444444</v>
      </c>
      <c r="F285" s="1" t="str">
        <f>IFERROR(__xludf.DUMMYFUNCTION("""COMPUTED_VALUE"""),"Plain Gold")</f>
        <v>Plain Gold</v>
      </c>
      <c r="G285" s="1" t="str">
        <f>IFERROR(__xludf.DUMMYFUNCTION("""COMPUTED_VALUE"""),"Pooja")</f>
        <v>Pooja</v>
      </c>
      <c r="H285" s="1"/>
      <c r="I285" s="1" t="str">
        <f>IFERROR(__xludf.DUMMYFUNCTION("""COMPUTED_VALUE"""),"Visit Again in 1 Month")</f>
        <v>Visit Again in 1 Month</v>
      </c>
      <c r="J285" s="1"/>
      <c r="K285" s="3">
        <f>IFERROR(__xludf.DUMMYFUNCTION("""COMPUTED_VALUE"""),0.7923611111109494)</f>
        <v>0.7923611111</v>
      </c>
      <c r="L285" s="1" t="str">
        <f>IFERROR(__xludf.DUMMYFUNCTION("""COMPUTED_VALUE"""),"No")</f>
        <v>No</v>
      </c>
      <c r="M285" s="1" t="str">
        <f>IFERROR(__xludf.DUMMYFUNCTION("""COMPUTED_VALUE"""),"No")</f>
        <v>No</v>
      </c>
      <c r="N285" s="1" t="str">
        <f>IFERROR(__xludf.DUMMYFUNCTION("""COMPUTED_VALUE"""),"No")</f>
        <v>No</v>
      </c>
      <c r="O285" s="1" t="str">
        <f>IFERROR(__xludf.DUMMYFUNCTION("""COMPUTED_VALUE"""),"WA ONLY, CALL")</f>
        <v>WA ONLY, CALL</v>
      </c>
      <c r="P285" s="1" t="str">
        <f>IFERROR(__xludf.DUMMYFUNCTION("""COMPUTED_VALUE"""),"Sir")</f>
        <v>Sir</v>
      </c>
      <c r="Q285" s="1" t="str">
        <f>IFERROR(__xludf.DUMMYFUNCTION("""COMPUTED_VALUE"""),"No")</f>
        <v>No</v>
      </c>
      <c r="R285" s="1" t="str">
        <f>IFERROR(__xludf.DUMMYFUNCTION("""COMPUTED_VALUE"""),"NEW WALK IN")</f>
        <v>NEW WALK IN</v>
      </c>
      <c r="S285" s="1"/>
    </row>
    <row r="286">
      <c r="A286" s="2">
        <f>IFERROR(__xludf.DUMMYFUNCTION("""COMPUTED_VALUE"""),45392.81951851852)</f>
        <v>45392.81952</v>
      </c>
      <c r="B286" s="1" t="str">
        <f>IFERROR(__xludf.DUMMYFUNCTION("""COMPUTED_VALUE"""),"Rekha ")</f>
        <v>Rekha </v>
      </c>
      <c r="C286" s="1">
        <f>IFERROR(__xludf.DUMMYFUNCTION("""COMPUTED_VALUE"""),9.818498821E9)</f>
        <v>9818498821</v>
      </c>
      <c r="D286" s="1">
        <f>IFERROR(__xludf.DUMMYFUNCTION("""COMPUTED_VALUE"""),4.0)</f>
        <v>4</v>
      </c>
      <c r="E286" s="3">
        <f>IFERROR(__xludf.DUMMYFUNCTION("""COMPUTED_VALUE"""),0.6111111111094942)</f>
        <v>0.6111111111</v>
      </c>
      <c r="F286" s="1" t="str">
        <f>IFERROR(__xludf.DUMMYFUNCTION("""COMPUTED_VALUE"""),"Plain Gold")</f>
        <v>Plain Gold</v>
      </c>
      <c r="G286" s="1" t="str">
        <f>IFERROR(__xludf.DUMMYFUNCTION("""COMPUTED_VALUE"""),"Pooja")</f>
        <v>Pooja</v>
      </c>
      <c r="H286" s="1" t="str">
        <f>IFERROR(__xludf.DUMMYFUNCTION("""COMPUTED_VALUE"""),"1 chokar set,1 pair tops,2 ring,1tika,1nath,1manglsutr 1kan chain,1 gold chain.")</f>
        <v>1 chokar set,1 pair tops,2 ring,1tika,1nath,1manglsutr 1kan chain,1 gold chain.</v>
      </c>
      <c r="I286" s="1"/>
      <c r="J286" s="1"/>
      <c r="K286" s="3">
        <f>IFERROR(__xludf.DUMMYFUNCTION("""COMPUTED_VALUE"""),0.7604166666642413)</f>
        <v>0.7604166667</v>
      </c>
      <c r="L286" s="1" t="str">
        <f>IFERROR(__xludf.DUMMYFUNCTION("""COMPUTED_VALUE"""),"Yes")</f>
        <v>Yes</v>
      </c>
      <c r="M286" s="1" t="str">
        <f>IFERROR(__xludf.DUMMYFUNCTION("""COMPUTED_VALUE"""),"Yes")</f>
        <v>Yes</v>
      </c>
      <c r="N286" s="1" t="str">
        <f>IFERROR(__xludf.DUMMYFUNCTION("""COMPUTED_VALUE"""),"Yes")</f>
        <v>Yes</v>
      </c>
      <c r="O286" s="1" t="str">
        <f>IFERROR(__xludf.DUMMYFUNCTION("""COMPUTED_VALUE"""),"WA ONLY, CALL")</f>
        <v>WA ONLY, CALL</v>
      </c>
      <c r="P286" s="1" t="str">
        <f>IFERROR(__xludf.DUMMYFUNCTION("""COMPUTED_VALUE"""),"Madam")</f>
        <v>Madam</v>
      </c>
      <c r="Q286" s="1" t="str">
        <f>IFERROR(__xludf.DUMMYFUNCTION("""COMPUTED_VALUE"""),"No")</f>
        <v>No</v>
      </c>
      <c r="R286" s="1" t="str">
        <f>IFERROR(__xludf.DUMMYFUNCTION("""COMPUTED_VALUE"""),"NEW WALK IN")</f>
        <v>NEW WALK IN</v>
      </c>
      <c r="S286" s="1"/>
    </row>
    <row r="287">
      <c r="A287" s="2">
        <f>IFERROR(__xludf.DUMMYFUNCTION("""COMPUTED_VALUE"""),45392.82091079861)</f>
        <v>45392.82091</v>
      </c>
      <c r="B287" s="1" t="str">
        <f>IFERROR(__xludf.DUMMYFUNCTION("""COMPUTED_VALUE"""),"Asha")</f>
        <v>Asha</v>
      </c>
      <c r="C287" s="1">
        <f>IFERROR(__xludf.DUMMYFUNCTION("""COMPUTED_VALUE"""),7.417700981E9)</f>
        <v>7417700981</v>
      </c>
      <c r="D287" s="1">
        <f>IFERROR(__xludf.DUMMYFUNCTION("""COMPUTED_VALUE"""),1.0)</f>
        <v>1</v>
      </c>
      <c r="E287" s="3">
        <f>IFERROR(__xludf.DUMMYFUNCTION("""COMPUTED_VALUE"""),0.7743055555547471)</f>
        <v>0.7743055556</v>
      </c>
      <c r="F287" s="1" t="str">
        <f>IFERROR(__xludf.DUMMYFUNCTION("""COMPUTED_VALUE"""),"Plain Gold")</f>
        <v>Plain Gold</v>
      </c>
      <c r="G287" s="1" t="str">
        <f>IFERROR(__xludf.DUMMYFUNCTION("""COMPUTED_VALUE"""),"Pooja")</f>
        <v>Pooja</v>
      </c>
      <c r="H287" s="1" t="str">
        <f>IFERROR(__xludf.DUMMYFUNCTION("""COMPUTED_VALUE"""),"1 set,ring")</f>
        <v>1 set,ring</v>
      </c>
      <c r="I287" s="1"/>
      <c r="J287" s="1"/>
      <c r="K287" s="3">
        <f>IFERROR(__xludf.DUMMYFUNCTION("""COMPUTED_VALUE"""),0.8125)</f>
        <v>0.8125</v>
      </c>
      <c r="L287" s="1" t="str">
        <f>IFERROR(__xludf.DUMMYFUNCTION("""COMPUTED_VALUE"""),"Yes")</f>
        <v>Yes</v>
      </c>
      <c r="M287" s="1" t="str">
        <f>IFERROR(__xludf.DUMMYFUNCTION("""COMPUTED_VALUE"""),"Yes")</f>
        <v>Yes</v>
      </c>
      <c r="N287" s="1" t="str">
        <f>IFERROR(__xludf.DUMMYFUNCTION("""COMPUTED_VALUE"""),"Yes")</f>
        <v>Yes</v>
      </c>
      <c r="O287" s="1" t="str">
        <f>IFERROR(__xludf.DUMMYFUNCTION("""COMPUTED_VALUE"""),"WA ONLY, CALL")</f>
        <v>WA ONLY, CALL</v>
      </c>
      <c r="P287" s="1" t="str">
        <f>IFERROR(__xludf.DUMMYFUNCTION("""COMPUTED_VALUE"""),"Madam")</f>
        <v>Madam</v>
      </c>
      <c r="Q287" s="1" t="str">
        <f>IFERROR(__xludf.DUMMYFUNCTION("""COMPUTED_VALUE"""),"No")</f>
        <v>No</v>
      </c>
      <c r="R287" s="1" t="str">
        <f>IFERROR(__xludf.DUMMYFUNCTION("""COMPUTED_VALUE"""),"NEW WALK IN")</f>
        <v>NEW WALK IN</v>
      </c>
      <c r="S287" s="1"/>
    </row>
    <row r="288">
      <c r="A288" s="2">
        <f>IFERROR(__xludf.DUMMYFUNCTION("""COMPUTED_VALUE"""),45392.823542569444)</f>
        <v>45392.82354</v>
      </c>
      <c r="B288" s="1" t="str">
        <f>IFERROR(__xludf.DUMMYFUNCTION("""COMPUTED_VALUE"""),"Rahul ")</f>
        <v>Rahul </v>
      </c>
      <c r="C288" s="1">
        <f>IFERROR(__xludf.DUMMYFUNCTION("""COMPUTED_VALUE"""),9.82124854E8)</f>
        <v>982124854</v>
      </c>
      <c r="D288" s="1">
        <f>IFERROR(__xludf.DUMMYFUNCTION("""COMPUTED_VALUE"""),1.0)</f>
        <v>1</v>
      </c>
      <c r="E288" s="3">
        <f>IFERROR(__xludf.DUMMYFUNCTION("""COMPUTED_VALUE"""),0.7847222222189885)</f>
        <v>0.7847222222</v>
      </c>
      <c r="F288" s="1" t="str">
        <f>IFERROR(__xludf.DUMMYFUNCTION("""COMPUTED_VALUE"""),"Diamond")</f>
        <v>Diamond</v>
      </c>
      <c r="G288" s="1" t="str">
        <f>IFERROR(__xludf.DUMMYFUNCTION("""COMPUTED_VALUE"""),"Bhumika")</f>
        <v>Bhumika</v>
      </c>
      <c r="H288" s="1"/>
      <c r="I288" s="1" t="str">
        <f>IFERROR(__xludf.DUMMYFUNCTION("""COMPUTED_VALUE"""),"Visit Again in 1 Month")</f>
        <v>Visit Again in 1 Month</v>
      </c>
      <c r="J288" s="1"/>
      <c r="K288" s="3">
        <f>IFERROR(__xludf.DUMMYFUNCTION("""COMPUTED_VALUE"""),0.8229166666642413)</f>
        <v>0.8229166667</v>
      </c>
      <c r="L288" s="1" t="str">
        <f>IFERROR(__xludf.DUMMYFUNCTION("""COMPUTED_VALUE"""),"Yes")</f>
        <v>Yes</v>
      </c>
      <c r="M288" s="1" t="str">
        <f>IFERROR(__xludf.DUMMYFUNCTION("""COMPUTED_VALUE"""),"No")</f>
        <v>No</v>
      </c>
      <c r="N288" s="1" t="str">
        <f>IFERROR(__xludf.DUMMYFUNCTION("""COMPUTED_VALUE"""),"No")</f>
        <v>No</v>
      </c>
      <c r="O288" s="1" t="str">
        <f>IFERROR(__xludf.DUMMYFUNCTION("""COMPUTED_VALUE"""),"WA ONLY, OWNER CONTACT ONLY, CALL")</f>
        <v>WA ONLY, OWNER CONTACT ONLY, CALL</v>
      </c>
      <c r="P288" s="1" t="str">
        <f>IFERROR(__xludf.DUMMYFUNCTION("""COMPUTED_VALUE"""),"Sir")</f>
        <v>Sir</v>
      </c>
      <c r="Q288" s="1" t="str">
        <f>IFERROR(__xludf.DUMMYFUNCTION("""COMPUTED_VALUE"""),"No")</f>
        <v>No</v>
      </c>
      <c r="R288" s="1" t="str">
        <f>IFERROR(__xludf.DUMMYFUNCTION("""COMPUTED_VALUE"""),"NEW WALK IN")</f>
        <v>NEW WALK IN</v>
      </c>
      <c r="S288" s="1"/>
    </row>
    <row r="289">
      <c r="A289" s="2">
        <f>IFERROR(__xludf.DUMMYFUNCTION("""COMPUTED_VALUE"""),45393.80533449074)</f>
        <v>45393.80533</v>
      </c>
      <c r="B289" s="1" t="str">
        <f>IFERROR(__xludf.DUMMYFUNCTION("""COMPUTED_VALUE"""),"Mukta")</f>
        <v>Mukta</v>
      </c>
      <c r="C289" s="1">
        <f>IFERROR(__xludf.DUMMYFUNCTION("""COMPUTED_VALUE"""),7.988345244E9)</f>
        <v>7988345244</v>
      </c>
      <c r="D289" s="1">
        <f>IFERROR(__xludf.DUMMYFUNCTION("""COMPUTED_VALUE"""),1.0)</f>
        <v>1</v>
      </c>
      <c r="E289" s="3">
        <f>IFERROR(__xludf.DUMMYFUNCTION("""COMPUTED_VALUE"""),0.7534722222189885)</f>
        <v>0.7534722222</v>
      </c>
      <c r="F289" s="1" t="str">
        <f>IFERROR(__xludf.DUMMYFUNCTION("""COMPUTED_VALUE"""),"Plain Gold")</f>
        <v>Plain Gold</v>
      </c>
      <c r="G289" s="1" t="str">
        <f>IFERROR(__xludf.DUMMYFUNCTION("""COMPUTED_VALUE"""),"Pooja")</f>
        <v>Pooja</v>
      </c>
      <c r="H289" s="1"/>
      <c r="I289" s="1" t="str">
        <f>IFERROR(__xludf.DUMMYFUNCTION("""COMPUTED_VALUE"""),"Visit Again in 1 Month")</f>
        <v>Visit Again in 1 Month</v>
      </c>
      <c r="J289" s="1"/>
      <c r="K289" s="3">
        <f>IFERROR(__xludf.DUMMYFUNCTION("""COMPUTED_VALUE"""),0.7569444444452529)</f>
        <v>0.7569444444</v>
      </c>
      <c r="L289" s="1" t="str">
        <f>IFERROR(__xludf.DUMMYFUNCTION("""COMPUTED_VALUE"""),"Yes")</f>
        <v>Yes</v>
      </c>
      <c r="M289" s="1" t="str">
        <f>IFERROR(__xludf.DUMMYFUNCTION("""COMPUTED_VALUE"""),"No")</f>
        <v>No</v>
      </c>
      <c r="N289" s="1" t="str">
        <f>IFERROR(__xludf.DUMMYFUNCTION("""COMPUTED_VALUE"""),"No")</f>
        <v>No</v>
      </c>
      <c r="O289" s="1" t="str">
        <f>IFERROR(__xludf.DUMMYFUNCTION("""COMPUTED_VALUE"""),"WA ONLY, CALL")</f>
        <v>WA ONLY, CALL</v>
      </c>
      <c r="P289" s="1" t="str">
        <f>IFERROR(__xludf.DUMMYFUNCTION("""COMPUTED_VALUE"""),"Madam")</f>
        <v>Madam</v>
      </c>
      <c r="Q289" s="1" t="str">
        <f>IFERROR(__xludf.DUMMYFUNCTION("""COMPUTED_VALUE"""),"No")</f>
        <v>No</v>
      </c>
      <c r="R289" s="1" t="str">
        <f>IFERROR(__xludf.DUMMYFUNCTION("""COMPUTED_VALUE"""),"NEW WALK IN")</f>
        <v>NEW WALK IN</v>
      </c>
      <c r="S289" s="1"/>
    </row>
    <row r="290">
      <c r="A290" s="2">
        <f>IFERROR(__xludf.DUMMYFUNCTION("""COMPUTED_VALUE"""),45393.8142946875)</f>
        <v>45393.81429</v>
      </c>
      <c r="B290" s="1" t="str">
        <f>IFERROR(__xludf.DUMMYFUNCTION("""COMPUTED_VALUE"""),"Kritika")</f>
        <v>Kritika</v>
      </c>
      <c r="C290" s="1">
        <f>IFERROR(__xludf.DUMMYFUNCTION("""COMPUTED_VALUE"""),8.588087194E9)</f>
        <v>8588087194</v>
      </c>
      <c r="D290" s="1">
        <f>IFERROR(__xludf.DUMMYFUNCTION("""COMPUTED_VALUE"""),3.0)</f>
        <v>3</v>
      </c>
      <c r="E290" s="3">
        <f>IFERROR(__xludf.DUMMYFUNCTION("""COMPUTED_VALUE"""),0.7923611111109494)</f>
        <v>0.7923611111</v>
      </c>
      <c r="F290" s="1" t="str">
        <f>IFERROR(__xludf.DUMMYFUNCTION("""COMPUTED_VALUE"""),"Diamond")</f>
        <v>Diamond</v>
      </c>
      <c r="G290" s="1" t="str">
        <f>IFERROR(__xludf.DUMMYFUNCTION("""COMPUTED_VALUE"""),"Bhumika")</f>
        <v>Bhumika</v>
      </c>
      <c r="H290" s="1"/>
      <c r="I290" s="1" t="str">
        <f>IFERROR(__xludf.DUMMYFUNCTION("""COMPUTED_VALUE"""),"Visit Again in 1 Month")</f>
        <v>Visit Again in 1 Month</v>
      </c>
      <c r="J290" s="1"/>
      <c r="K290" s="3">
        <f>IFERROR(__xludf.DUMMYFUNCTION("""COMPUTED_VALUE"""),0.7951388888905058)</f>
        <v>0.7951388889</v>
      </c>
      <c r="L290" s="1" t="str">
        <f>IFERROR(__xludf.DUMMYFUNCTION("""COMPUTED_VALUE"""),"Yes")</f>
        <v>Yes</v>
      </c>
      <c r="M290" s="1" t="str">
        <f>IFERROR(__xludf.DUMMYFUNCTION("""COMPUTED_VALUE"""),"No")</f>
        <v>No</v>
      </c>
      <c r="N290" s="1" t="str">
        <f>IFERROR(__xludf.DUMMYFUNCTION("""COMPUTED_VALUE"""),"No")</f>
        <v>No</v>
      </c>
      <c r="O290" s="1" t="str">
        <f>IFERROR(__xludf.DUMMYFUNCTION("""COMPUTED_VALUE"""),"WA ONLY, CALL")</f>
        <v>WA ONLY, CALL</v>
      </c>
      <c r="P290" s="1" t="str">
        <f>IFERROR(__xludf.DUMMYFUNCTION("""COMPUTED_VALUE"""),"Madam")</f>
        <v>Madam</v>
      </c>
      <c r="Q290" s="1" t="str">
        <f>IFERROR(__xludf.DUMMYFUNCTION("""COMPUTED_VALUE"""),"No")</f>
        <v>No</v>
      </c>
      <c r="R290" s="1" t="str">
        <f>IFERROR(__xludf.DUMMYFUNCTION("""COMPUTED_VALUE"""),"NEW WALK IN")</f>
        <v>NEW WALK IN</v>
      </c>
      <c r="S290" s="1"/>
    </row>
    <row r="291">
      <c r="A291" s="2">
        <f>IFERROR(__xludf.DUMMYFUNCTION("""COMPUTED_VALUE"""),45393.835701874996)</f>
        <v>45393.8357</v>
      </c>
      <c r="B291" s="1" t="str">
        <f>IFERROR(__xludf.DUMMYFUNCTION("""COMPUTED_VALUE"""),"Anupar")</f>
        <v>Anupar</v>
      </c>
      <c r="C291" s="1">
        <f>IFERROR(__xludf.DUMMYFUNCTION("""COMPUTED_VALUE"""),8.929324941E9)</f>
        <v>8929324941</v>
      </c>
      <c r="D291" s="1">
        <f>IFERROR(__xludf.DUMMYFUNCTION("""COMPUTED_VALUE"""),1.0)</f>
        <v>1</v>
      </c>
      <c r="E291" s="3">
        <f>IFERROR(__xludf.DUMMYFUNCTION("""COMPUTED_VALUE"""),0.7916666666642413)</f>
        <v>0.7916666667</v>
      </c>
      <c r="F291" s="1" t="str">
        <f>IFERROR(__xludf.DUMMYFUNCTION("""COMPUTED_VALUE"""),"Antique Gold")</f>
        <v>Antique Gold</v>
      </c>
      <c r="G291" s="1" t="str">
        <f>IFERROR(__xludf.DUMMYFUNCTION("""COMPUTED_VALUE"""),"Pooja")</f>
        <v>Pooja</v>
      </c>
      <c r="H291" s="1"/>
      <c r="I291" s="1" t="str">
        <f>IFERROR(__xludf.DUMMYFUNCTION("""COMPUTED_VALUE"""),"Pick up Order")</f>
        <v>Pick up Order</v>
      </c>
      <c r="J291" s="1"/>
      <c r="K291" s="3">
        <f>IFERROR(__xludf.DUMMYFUNCTION("""COMPUTED_VALUE"""),0.8340277777751908)</f>
        <v>0.8340277778</v>
      </c>
      <c r="L291" s="1" t="str">
        <f>IFERROR(__xludf.DUMMYFUNCTION("""COMPUTED_VALUE"""),"Yes")</f>
        <v>Yes</v>
      </c>
      <c r="M291" s="1" t="str">
        <f>IFERROR(__xludf.DUMMYFUNCTION("""COMPUTED_VALUE"""),"Already done")</f>
        <v>Already done</v>
      </c>
      <c r="N291" s="1" t="str">
        <f>IFERROR(__xludf.DUMMYFUNCTION("""COMPUTED_VALUE"""),"Already done ")</f>
        <v>Already done </v>
      </c>
      <c r="O291" s="1" t="str">
        <f>IFERROR(__xludf.DUMMYFUNCTION("""COMPUTED_VALUE"""),"WA ONLY, CALL")</f>
        <v>WA ONLY, CALL</v>
      </c>
      <c r="P291" s="1" t="str">
        <f>IFERROR(__xludf.DUMMYFUNCTION("""COMPUTED_VALUE"""),"Madam")</f>
        <v>Madam</v>
      </c>
      <c r="Q291" s="1" t="str">
        <f>IFERROR(__xludf.DUMMYFUNCTION("""COMPUTED_VALUE"""),"No")</f>
        <v>No</v>
      </c>
      <c r="R291" s="1" t="str">
        <f>IFERROR(__xludf.DUMMYFUNCTION("""COMPUTED_VALUE"""),"OLD")</f>
        <v>OLD</v>
      </c>
      <c r="S291" s="1"/>
    </row>
    <row r="292">
      <c r="A292" s="2">
        <f>IFERROR(__xludf.DUMMYFUNCTION("""COMPUTED_VALUE"""),45393.84085555555)</f>
        <v>45393.84086</v>
      </c>
      <c r="B292" s="1" t="str">
        <f>IFERROR(__xludf.DUMMYFUNCTION("""COMPUTED_VALUE"""),"Asha")</f>
        <v>Asha</v>
      </c>
      <c r="C292" s="1">
        <f>IFERROR(__xludf.DUMMYFUNCTION("""COMPUTED_VALUE"""),7.417700981E9)</f>
        <v>7417700981</v>
      </c>
      <c r="D292" s="1">
        <f>IFERROR(__xludf.DUMMYFUNCTION("""COMPUTED_VALUE"""),1.0)</f>
        <v>1</v>
      </c>
      <c r="E292" s="3">
        <f>IFERROR(__xludf.DUMMYFUNCTION("""COMPUTED_VALUE"""),0.8076388888875954)</f>
        <v>0.8076388889</v>
      </c>
      <c r="F292" s="1" t="str">
        <f>IFERROR(__xludf.DUMMYFUNCTION("""COMPUTED_VALUE"""),"Plain Gold")</f>
        <v>Plain Gold</v>
      </c>
      <c r="G292" s="1" t="str">
        <f>IFERROR(__xludf.DUMMYFUNCTION("""COMPUTED_VALUE"""),"Pooja")</f>
        <v>Pooja</v>
      </c>
      <c r="H292" s="1" t="str">
        <f>IFERROR(__xludf.DUMMYFUNCTION("""COMPUTED_VALUE"""),"Gold set")</f>
        <v>Gold set</v>
      </c>
      <c r="I292" s="1"/>
      <c r="J292" s="1"/>
      <c r="K292" s="3">
        <f>IFERROR(__xludf.DUMMYFUNCTION("""COMPUTED_VALUE"""),0.8409722222204437)</f>
        <v>0.8409722222</v>
      </c>
      <c r="L292" s="1" t="str">
        <f>IFERROR(__xludf.DUMMYFUNCTION("""COMPUTED_VALUE"""),"Yes")</f>
        <v>Yes</v>
      </c>
      <c r="M292" s="1" t="str">
        <f>IFERROR(__xludf.DUMMYFUNCTION("""COMPUTED_VALUE"""),"Already done")</f>
        <v>Already done</v>
      </c>
      <c r="N292" s="1" t="str">
        <f>IFERROR(__xludf.DUMMYFUNCTION("""COMPUTED_VALUE"""),"Already done")</f>
        <v>Already done</v>
      </c>
      <c r="O292" s="1" t="str">
        <f>IFERROR(__xludf.DUMMYFUNCTION("""COMPUTED_VALUE"""),"WA ONLY, CALL")</f>
        <v>WA ONLY, CALL</v>
      </c>
      <c r="P292" s="1" t="str">
        <f>IFERROR(__xludf.DUMMYFUNCTION("""COMPUTED_VALUE"""),"Madam")</f>
        <v>Madam</v>
      </c>
      <c r="Q292" s="1" t="str">
        <f>IFERROR(__xludf.DUMMYFUNCTION("""COMPUTED_VALUE"""),"No")</f>
        <v>No</v>
      </c>
      <c r="R292" s="1" t="str">
        <f>IFERROR(__xludf.DUMMYFUNCTION("""COMPUTED_VALUE"""),"OLD")</f>
        <v>OLD</v>
      </c>
      <c r="S292" s="1"/>
    </row>
    <row r="293">
      <c r="A293" s="2">
        <f>IFERROR(__xludf.DUMMYFUNCTION("""COMPUTED_VALUE"""),45394.788118993056)</f>
        <v>45394.78812</v>
      </c>
      <c r="B293" s="1" t="str">
        <f>IFERROR(__xludf.DUMMYFUNCTION("""COMPUTED_VALUE"""),"Asha")</f>
        <v>Asha</v>
      </c>
      <c r="C293" s="1">
        <f>IFERROR(__xludf.DUMMYFUNCTION("""COMPUTED_VALUE"""),7.417700981E9)</f>
        <v>7417700981</v>
      </c>
      <c r="D293" s="1">
        <f>IFERROR(__xludf.DUMMYFUNCTION("""COMPUTED_VALUE"""),1.0)</f>
        <v>1</v>
      </c>
      <c r="E293" s="3">
        <f>IFERROR(__xludf.DUMMYFUNCTION("""COMPUTED_VALUE"""),0.4756944444452529)</f>
        <v>0.4756944444</v>
      </c>
      <c r="F293" s="1" t="str">
        <f>IFERROR(__xludf.DUMMYFUNCTION("""COMPUTED_VALUE"""),"Antique Gold")</f>
        <v>Antique Gold</v>
      </c>
      <c r="G293" s="1" t="str">
        <f>IFERROR(__xludf.DUMMYFUNCTION("""COMPUTED_VALUE"""),"Pooja")</f>
        <v>Pooja</v>
      </c>
      <c r="H293" s="1"/>
      <c r="I293" s="1" t="str">
        <f>IFERROR(__xludf.DUMMYFUNCTION("""COMPUTED_VALUE"""),"Pick up Order")</f>
        <v>Pick up Order</v>
      </c>
      <c r="J293" s="1"/>
      <c r="K293" s="3">
        <f>IFERROR(__xludf.DUMMYFUNCTION("""COMPUTED_VALUE"""),0.515277777776646)</f>
        <v>0.5152777778</v>
      </c>
      <c r="L293" s="1" t="str">
        <f>IFERROR(__xludf.DUMMYFUNCTION("""COMPUTED_VALUE"""),"Yes")</f>
        <v>Yes</v>
      </c>
      <c r="M293" s="1" t="str">
        <f>IFERROR(__xludf.DUMMYFUNCTION("""COMPUTED_VALUE"""),"Already done")</f>
        <v>Already done</v>
      </c>
      <c r="N293" s="1" t="str">
        <f>IFERROR(__xludf.DUMMYFUNCTION("""COMPUTED_VALUE"""),"Already done")</f>
        <v>Already done</v>
      </c>
      <c r="O293" s="1" t="str">
        <f>IFERROR(__xludf.DUMMYFUNCTION("""COMPUTED_VALUE"""),"WA ONLY, CALL")</f>
        <v>WA ONLY, CALL</v>
      </c>
      <c r="P293" s="1" t="str">
        <f>IFERROR(__xludf.DUMMYFUNCTION("""COMPUTED_VALUE"""),"Madam")</f>
        <v>Madam</v>
      </c>
      <c r="Q293" s="1" t="str">
        <f>IFERROR(__xludf.DUMMYFUNCTION("""COMPUTED_VALUE"""),"No")</f>
        <v>No</v>
      </c>
      <c r="R293" s="1" t="str">
        <f>IFERROR(__xludf.DUMMYFUNCTION("""COMPUTED_VALUE"""),"OLD")</f>
        <v>OLD</v>
      </c>
      <c r="S293" s="1"/>
    </row>
    <row r="294">
      <c r="A294" s="2">
        <f>IFERROR(__xludf.DUMMYFUNCTION("""COMPUTED_VALUE"""),45394.78887725694)</f>
        <v>45394.78888</v>
      </c>
      <c r="B294" s="1" t="str">
        <f>IFERROR(__xludf.DUMMYFUNCTION("""COMPUTED_VALUE"""),"Tabu")</f>
        <v>Tabu</v>
      </c>
      <c r="C294" s="1">
        <f>IFERROR(__xludf.DUMMYFUNCTION("""COMPUTED_VALUE"""),9.971620451E9)</f>
        <v>9971620451</v>
      </c>
      <c r="D294" s="1">
        <f>IFERROR(__xludf.DUMMYFUNCTION("""COMPUTED_VALUE"""),2.0)</f>
        <v>2</v>
      </c>
      <c r="E294" s="3">
        <f>IFERROR(__xludf.DUMMYFUNCTION("""COMPUTED_VALUE"""),0.7152777777810115)</f>
        <v>0.7152777778</v>
      </c>
      <c r="F294" s="1" t="str">
        <f>IFERROR(__xludf.DUMMYFUNCTION("""COMPUTED_VALUE"""),"Antique Gold")</f>
        <v>Antique Gold</v>
      </c>
      <c r="G294" s="1" t="str">
        <f>IFERROR(__xludf.DUMMYFUNCTION("""COMPUTED_VALUE"""),"Pooja")</f>
        <v>Pooja</v>
      </c>
      <c r="H294" s="1"/>
      <c r="I294" s="1" t="str">
        <f>IFERROR(__xludf.DUMMYFUNCTION("""COMPUTED_VALUE"""),"Visit Again in 1 Month")</f>
        <v>Visit Again in 1 Month</v>
      </c>
      <c r="J294" s="1"/>
      <c r="K294" s="3">
        <f>IFERROR(__xludf.DUMMYFUNCTION("""COMPUTED_VALUE"""),0.742361111115315)</f>
        <v>0.7423611111</v>
      </c>
      <c r="L294" s="1" t="str">
        <f>IFERROR(__xludf.DUMMYFUNCTION("""COMPUTED_VALUE"""),"Yes")</f>
        <v>Yes</v>
      </c>
      <c r="M294" s="1" t="str">
        <f>IFERROR(__xludf.DUMMYFUNCTION("""COMPUTED_VALUE"""),"No ")</f>
        <v>No </v>
      </c>
      <c r="N294" s="1" t="str">
        <f>IFERROR(__xludf.DUMMYFUNCTION("""COMPUTED_VALUE"""),"No")</f>
        <v>No</v>
      </c>
      <c r="O294" s="1" t="str">
        <f>IFERROR(__xludf.DUMMYFUNCTION("""COMPUTED_VALUE"""),"WA ONLY, CALL")</f>
        <v>WA ONLY, CALL</v>
      </c>
      <c r="P294" s="1" t="str">
        <f>IFERROR(__xludf.DUMMYFUNCTION("""COMPUTED_VALUE"""),"Madam")</f>
        <v>Madam</v>
      </c>
      <c r="Q294" s="1" t="str">
        <f>IFERROR(__xludf.DUMMYFUNCTION("""COMPUTED_VALUE"""),"No")</f>
        <v>No</v>
      </c>
      <c r="R294" s="1" t="str">
        <f>IFERROR(__xludf.DUMMYFUNCTION("""COMPUTED_VALUE"""),"NEW WALK IN")</f>
        <v>NEW WALK IN</v>
      </c>
      <c r="S294" s="1"/>
    </row>
    <row r="295">
      <c r="A295" s="2">
        <f>IFERROR(__xludf.DUMMYFUNCTION("""COMPUTED_VALUE"""),45394.78957009259)</f>
        <v>45394.78957</v>
      </c>
      <c r="B295" s="1" t="str">
        <f>IFERROR(__xludf.DUMMYFUNCTION("""COMPUTED_VALUE"""),"Asha")</f>
        <v>Asha</v>
      </c>
      <c r="C295" s="1">
        <f>IFERROR(__xludf.DUMMYFUNCTION("""COMPUTED_VALUE"""),8.920888312E9)</f>
        <v>8920888312</v>
      </c>
      <c r="D295" s="1">
        <f>IFERROR(__xludf.DUMMYFUNCTION("""COMPUTED_VALUE"""),1.0)</f>
        <v>1</v>
      </c>
      <c r="E295" s="3">
        <f>IFERROR(__xludf.DUMMYFUNCTION("""COMPUTED_VALUE"""),0.78125)</f>
        <v>0.78125</v>
      </c>
      <c r="F295" s="1" t="str">
        <f>IFERROR(__xludf.DUMMYFUNCTION("""COMPUTED_VALUE"""),"Diamond")</f>
        <v>Diamond</v>
      </c>
      <c r="G295" s="1" t="str">
        <f>IFERROR(__xludf.DUMMYFUNCTION("""COMPUTED_VALUE"""),"Bhumika")</f>
        <v>Bhumika</v>
      </c>
      <c r="H295" s="1"/>
      <c r="I295" s="1" t="str">
        <f>IFERROR(__xludf.DUMMYFUNCTION("""COMPUTED_VALUE"""),"Visit Again in 1 Month")</f>
        <v>Visit Again in 1 Month</v>
      </c>
      <c r="J295" s="1"/>
      <c r="K295" s="3">
        <f>IFERROR(__xludf.DUMMYFUNCTION("""COMPUTED_VALUE"""),0.7861111111124046)</f>
        <v>0.7861111111</v>
      </c>
      <c r="L295" s="1" t="str">
        <f>IFERROR(__xludf.DUMMYFUNCTION("""COMPUTED_VALUE"""),"Yes")</f>
        <v>Yes</v>
      </c>
      <c r="M295" s="1" t="str">
        <f>IFERROR(__xludf.DUMMYFUNCTION("""COMPUTED_VALUE"""),"No")</f>
        <v>No</v>
      </c>
      <c r="N295" s="1" t="str">
        <f>IFERROR(__xludf.DUMMYFUNCTION("""COMPUTED_VALUE"""),"No")</f>
        <v>No</v>
      </c>
      <c r="O295" s="1" t="str">
        <f>IFERROR(__xludf.DUMMYFUNCTION("""COMPUTED_VALUE"""),"WA ONLY, CALL")</f>
        <v>WA ONLY, CALL</v>
      </c>
      <c r="P295" s="1" t="str">
        <f>IFERROR(__xludf.DUMMYFUNCTION("""COMPUTED_VALUE"""),"Madam")</f>
        <v>Madam</v>
      </c>
      <c r="Q295" s="1" t="str">
        <f>IFERROR(__xludf.DUMMYFUNCTION("""COMPUTED_VALUE"""),"No")</f>
        <v>No</v>
      </c>
      <c r="R295" s="1" t="str">
        <f>IFERROR(__xludf.DUMMYFUNCTION("""COMPUTED_VALUE"""),"NEW WALK IN")</f>
        <v>NEW WALK IN</v>
      </c>
      <c r="S295" s="1"/>
    </row>
    <row r="296">
      <c r="A296" s="2">
        <f>IFERROR(__xludf.DUMMYFUNCTION("""COMPUTED_VALUE"""),45395.74558008102)</f>
        <v>45395.74558</v>
      </c>
      <c r="B296" s="1" t="str">
        <f>IFERROR(__xludf.DUMMYFUNCTION("""COMPUTED_VALUE"""),"Ravi kumar")</f>
        <v>Ravi kumar</v>
      </c>
      <c r="C296" s="1">
        <f>IFERROR(__xludf.DUMMYFUNCTION("""COMPUTED_VALUE"""),7.82772007E9)</f>
        <v>7827720070</v>
      </c>
      <c r="D296" s="1">
        <f>IFERROR(__xludf.DUMMYFUNCTION("""COMPUTED_VALUE"""),1.0)</f>
        <v>1</v>
      </c>
      <c r="E296" s="3">
        <f>IFERROR(__xludf.DUMMYFUNCTION("""COMPUTED_VALUE"""),0.6444444444423425)</f>
        <v>0.6444444444</v>
      </c>
      <c r="F296" s="1" t="str">
        <f>IFERROR(__xludf.DUMMYFUNCTION("""COMPUTED_VALUE"""),"Plain Gold")</f>
        <v>Plain Gold</v>
      </c>
      <c r="G296" s="1" t="str">
        <f>IFERROR(__xludf.DUMMYFUNCTION("""COMPUTED_VALUE"""),"Pooja")</f>
        <v>Pooja</v>
      </c>
      <c r="H296" s="1"/>
      <c r="I296" s="1" t="str">
        <f>IFERROR(__xludf.DUMMYFUNCTION("""COMPUTED_VALUE"""),"Will ask family and come with them")</f>
        <v>Will ask family and come with them</v>
      </c>
      <c r="J296" s="1"/>
      <c r="K296" s="3">
        <f>IFERROR(__xludf.DUMMYFUNCTION("""COMPUTED_VALUE"""),0.65625)</f>
        <v>0.65625</v>
      </c>
      <c r="L296" s="1" t="str">
        <f>IFERROR(__xludf.DUMMYFUNCTION("""COMPUTED_VALUE"""),"Yes")</f>
        <v>Yes</v>
      </c>
      <c r="M296" s="1" t="str">
        <f>IFERROR(__xludf.DUMMYFUNCTION("""COMPUTED_VALUE"""),"no")</f>
        <v>no</v>
      </c>
      <c r="N296" s="1" t="str">
        <f>IFERROR(__xludf.DUMMYFUNCTION("""COMPUTED_VALUE"""),"No")</f>
        <v>No</v>
      </c>
      <c r="O296" s="1" t="str">
        <f>IFERROR(__xludf.DUMMYFUNCTION("""COMPUTED_VALUE"""),"WA ONLY")</f>
        <v>WA ONLY</v>
      </c>
      <c r="P296" s="1" t="str">
        <f>IFERROR(__xludf.DUMMYFUNCTION("""COMPUTED_VALUE"""),"Sir")</f>
        <v>Sir</v>
      </c>
      <c r="Q296" s="1" t="str">
        <f>IFERROR(__xludf.DUMMYFUNCTION("""COMPUTED_VALUE"""),"No")</f>
        <v>No</v>
      </c>
      <c r="R296" s="1" t="str">
        <f>IFERROR(__xludf.DUMMYFUNCTION("""COMPUTED_VALUE"""),"NEW WALK IN")</f>
        <v>NEW WALK IN</v>
      </c>
      <c r="S296" s="1"/>
    </row>
    <row r="297">
      <c r="A297" s="2">
        <f>IFERROR(__xludf.DUMMYFUNCTION("""COMPUTED_VALUE"""),45395.74618967593)</f>
        <v>45395.74619</v>
      </c>
      <c r="B297" s="1" t="str">
        <f>IFERROR(__xludf.DUMMYFUNCTION("""COMPUTED_VALUE"""),"Sameer")</f>
        <v>Sameer</v>
      </c>
      <c r="C297" s="1">
        <f>IFERROR(__xludf.DUMMYFUNCTION("""COMPUTED_VALUE"""),8.377867496E9)</f>
        <v>8377867496</v>
      </c>
      <c r="D297" s="1">
        <f>IFERROR(__xludf.DUMMYFUNCTION("""COMPUTED_VALUE"""),1.0)</f>
        <v>1</v>
      </c>
      <c r="E297" s="3">
        <f>IFERROR(__xludf.DUMMYFUNCTION("""COMPUTED_VALUE"""),0.6666666666642413)</f>
        <v>0.6666666667</v>
      </c>
      <c r="F297" s="1" t="str">
        <f>IFERROR(__xludf.DUMMYFUNCTION("""COMPUTED_VALUE"""),"Plain Gold")</f>
        <v>Plain Gold</v>
      </c>
      <c r="G297" s="1" t="str">
        <f>IFERROR(__xludf.DUMMYFUNCTION("""COMPUTED_VALUE"""),"Bhumika")</f>
        <v>Bhumika</v>
      </c>
      <c r="H297" s="1"/>
      <c r="I297" s="1" t="str">
        <f>IFERROR(__xludf.DUMMYFUNCTION("""COMPUTED_VALUE"""),"Will ask family and come with them")</f>
        <v>Will ask family and come with them</v>
      </c>
      <c r="J297" s="1"/>
      <c r="K297" s="3">
        <f>IFERROR(__xludf.DUMMYFUNCTION("""COMPUTED_VALUE"""),0.6805555555547471)</f>
        <v>0.6805555556</v>
      </c>
      <c r="L297" s="1" t="str">
        <f>IFERROR(__xludf.DUMMYFUNCTION("""COMPUTED_VALUE"""),"Yes")</f>
        <v>Yes</v>
      </c>
      <c r="M297" s="1" t="str">
        <f>IFERROR(__xludf.DUMMYFUNCTION("""COMPUTED_VALUE"""),"No")</f>
        <v>No</v>
      </c>
      <c r="N297" s="1" t="str">
        <f>IFERROR(__xludf.DUMMYFUNCTION("""COMPUTED_VALUE"""),"No")</f>
        <v>No</v>
      </c>
      <c r="O297" s="1" t="str">
        <f>IFERROR(__xludf.DUMMYFUNCTION("""COMPUTED_VALUE"""),"WA ONLY, CALL")</f>
        <v>WA ONLY, CALL</v>
      </c>
      <c r="P297" s="1" t="str">
        <f>IFERROR(__xludf.DUMMYFUNCTION("""COMPUTED_VALUE"""),"Sir")</f>
        <v>Sir</v>
      </c>
      <c r="Q297" s="1" t="str">
        <f>IFERROR(__xludf.DUMMYFUNCTION("""COMPUTED_VALUE"""),"No")</f>
        <v>No</v>
      </c>
      <c r="R297" s="1" t="str">
        <f>IFERROR(__xludf.DUMMYFUNCTION("""COMPUTED_VALUE"""),"NEW WALK IN")</f>
        <v>NEW WALK IN</v>
      </c>
      <c r="S297" s="1"/>
    </row>
    <row r="298">
      <c r="A298" s="2">
        <f>IFERROR(__xludf.DUMMYFUNCTION("""COMPUTED_VALUE"""),45395.7470749537)</f>
        <v>45395.74707</v>
      </c>
      <c r="B298" s="1" t="str">
        <f>IFERROR(__xludf.DUMMYFUNCTION("""COMPUTED_VALUE"""),"Pawan")</f>
        <v>Pawan</v>
      </c>
      <c r="C298" s="1">
        <f>IFERROR(__xludf.DUMMYFUNCTION("""COMPUTED_VALUE"""),9.599026033E9)</f>
        <v>9599026033</v>
      </c>
      <c r="D298" s="1">
        <f>IFERROR(__xludf.DUMMYFUNCTION("""COMPUTED_VALUE"""),2.0)</f>
        <v>2</v>
      </c>
      <c r="E298" s="3">
        <f>IFERROR(__xludf.DUMMYFUNCTION("""COMPUTED_VALUE"""),0.6909722222189885)</f>
        <v>0.6909722222</v>
      </c>
      <c r="F298" s="1" t="str">
        <f>IFERROR(__xludf.DUMMYFUNCTION("""COMPUTED_VALUE"""),"Antique Gold")</f>
        <v>Antique Gold</v>
      </c>
      <c r="G298" s="1" t="str">
        <f>IFERROR(__xludf.DUMMYFUNCTION("""COMPUTED_VALUE"""),"Pooja")</f>
        <v>Pooja</v>
      </c>
      <c r="H298" s="1"/>
      <c r="I298" s="1" t="str">
        <f>IFERROR(__xludf.DUMMYFUNCTION("""COMPUTED_VALUE"""),"Will ask family and come with them")</f>
        <v>Will ask family and come with them</v>
      </c>
      <c r="J298" s="1"/>
      <c r="K298" s="3">
        <f>IFERROR(__xludf.DUMMYFUNCTION("""COMPUTED_VALUE"""),0.7083333333357587)</f>
        <v>0.7083333333</v>
      </c>
      <c r="L298" s="1" t="str">
        <f>IFERROR(__xludf.DUMMYFUNCTION("""COMPUTED_VALUE"""),"Yes")</f>
        <v>Yes</v>
      </c>
      <c r="M298" s="1" t="str">
        <f>IFERROR(__xludf.DUMMYFUNCTION("""COMPUTED_VALUE"""),"Yes")</f>
        <v>Yes</v>
      </c>
      <c r="N298" s="1" t="str">
        <f>IFERROR(__xludf.DUMMYFUNCTION("""COMPUTED_VALUE"""),"Yes")</f>
        <v>Yes</v>
      </c>
      <c r="O298" s="1" t="str">
        <f>IFERROR(__xludf.DUMMYFUNCTION("""COMPUTED_VALUE"""),"WA ONLY, CALL")</f>
        <v>WA ONLY, CALL</v>
      </c>
      <c r="P298" s="1" t="str">
        <f>IFERROR(__xludf.DUMMYFUNCTION("""COMPUTED_VALUE"""),"Sir")</f>
        <v>Sir</v>
      </c>
      <c r="Q298" s="1" t="str">
        <f>IFERROR(__xludf.DUMMYFUNCTION("""COMPUTED_VALUE"""),"No")</f>
        <v>No</v>
      </c>
      <c r="R298" s="1" t="str">
        <f>IFERROR(__xludf.DUMMYFUNCTION("""COMPUTED_VALUE"""),"NEW WALK IN")</f>
        <v>NEW WALK IN</v>
      </c>
      <c r="S298" s="1"/>
    </row>
    <row r="299">
      <c r="A299" s="2">
        <f>IFERROR(__xludf.DUMMYFUNCTION("""COMPUTED_VALUE"""),45402.79491189815)</f>
        <v>45402.79491</v>
      </c>
      <c r="B299" s="1" t="str">
        <f>IFERROR(__xludf.DUMMYFUNCTION("""COMPUTED_VALUE"""),"Ruchi")</f>
        <v>Ruchi</v>
      </c>
      <c r="C299" s="1">
        <f>IFERROR(__xludf.DUMMYFUNCTION("""COMPUTED_VALUE"""),9.899090013E9)</f>
        <v>9899090013</v>
      </c>
      <c r="D299" s="1">
        <f>IFERROR(__xludf.DUMMYFUNCTION("""COMPUTED_VALUE"""),1.0)</f>
        <v>1</v>
      </c>
      <c r="E299" s="3">
        <f>IFERROR(__xludf.DUMMYFUNCTION("""COMPUTED_VALUE"""),0.5909722222204437)</f>
        <v>0.5909722222</v>
      </c>
      <c r="F299" s="1" t="str">
        <f>IFERROR(__xludf.DUMMYFUNCTION("""COMPUTED_VALUE"""),"Diamond")</f>
        <v>Diamond</v>
      </c>
      <c r="G299" s="1" t="str">
        <f>IFERROR(__xludf.DUMMYFUNCTION("""COMPUTED_VALUE"""),"Bhumika")</f>
        <v>Bhumika</v>
      </c>
      <c r="H299" s="1"/>
      <c r="I299" s="1" t="str">
        <f>IFERROR(__xludf.DUMMYFUNCTION("""COMPUTED_VALUE"""),"Visit Again in 1 Month")</f>
        <v>Visit Again in 1 Month</v>
      </c>
      <c r="J299" s="1"/>
      <c r="K299" s="3">
        <f>IFERROR(__xludf.DUMMYFUNCTION("""COMPUTED_VALUE"""),0.6145833333357587)</f>
        <v>0.6145833333</v>
      </c>
      <c r="L299" s="1" t="str">
        <f>IFERROR(__xludf.DUMMYFUNCTION("""COMPUTED_VALUE"""),"Yes")</f>
        <v>Yes</v>
      </c>
      <c r="M299" s="1" t="str">
        <f>IFERROR(__xludf.DUMMYFUNCTION("""COMPUTED_VALUE"""),"No")</f>
        <v>No</v>
      </c>
      <c r="N299" s="1" t="str">
        <f>IFERROR(__xludf.DUMMYFUNCTION("""COMPUTED_VALUE"""),"No")</f>
        <v>No</v>
      </c>
      <c r="O299" s="1" t="str">
        <f>IFERROR(__xludf.DUMMYFUNCTION("""COMPUTED_VALUE"""),"WA ONLY, CALL")</f>
        <v>WA ONLY, CALL</v>
      </c>
      <c r="P299" s="1" t="str">
        <f>IFERROR(__xludf.DUMMYFUNCTION("""COMPUTED_VALUE"""),"Madam")</f>
        <v>Madam</v>
      </c>
      <c r="Q299" s="1" t="str">
        <f>IFERROR(__xludf.DUMMYFUNCTION("""COMPUTED_VALUE"""),"No")</f>
        <v>No</v>
      </c>
      <c r="R299" s="1" t="str">
        <f>IFERROR(__xludf.DUMMYFUNCTION("""COMPUTED_VALUE"""),"NEW WALK IN")</f>
        <v>NEW WALK IN</v>
      </c>
      <c r="S299" s="1"/>
    </row>
    <row r="300">
      <c r="A300" s="2">
        <f>IFERROR(__xludf.DUMMYFUNCTION("""COMPUTED_VALUE"""),45403.66202905093)</f>
        <v>45403.66203</v>
      </c>
      <c r="B300" s="1" t="str">
        <f>IFERROR(__xludf.DUMMYFUNCTION("""COMPUTED_VALUE"""),"J.k roy Choudhry ")</f>
        <v>J.k roy Choudhry </v>
      </c>
      <c r="C300" s="1">
        <f>IFERROR(__xludf.DUMMYFUNCTION("""COMPUTED_VALUE"""),9.434246914E9)</f>
        <v>9434246914</v>
      </c>
      <c r="D300" s="1">
        <f>IFERROR(__xludf.DUMMYFUNCTION("""COMPUTED_VALUE"""),1.0)</f>
        <v>1</v>
      </c>
      <c r="E300" s="3">
        <f>IFERROR(__xludf.DUMMYFUNCTION("""COMPUTED_VALUE"""),0.6208333333343035)</f>
        <v>0.6208333333</v>
      </c>
      <c r="F300" s="1" t="str">
        <f>IFERROR(__xludf.DUMMYFUNCTION("""COMPUTED_VALUE"""),"Plain Gold")</f>
        <v>Plain Gold</v>
      </c>
      <c r="G300" s="1" t="str">
        <f>IFERROR(__xludf.DUMMYFUNCTION("""COMPUTED_VALUE"""),"Bhumika")</f>
        <v>Bhumika</v>
      </c>
      <c r="H300" s="1" t="str">
        <f>IFERROR(__xludf.DUMMYFUNCTION("""COMPUTED_VALUE"""),"Gold kids ring")</f>
        <v>Gold kids ring</v>
      </c>
      <c r="I300" s="1"/>
      <c r="J300" s="1"/>
      <c r="K300" s="3">
        <f>IFERROR(__xludf.DUMMYFUNCTION("""COMPUTED_VALUE"""),0.6423611111094942)</f>
        <v>0.6423611111</v>
      </c>
      <c r="L300" s="1" t="str">
        <f>IFERROR(__xludf.DUMMYFUNCTION("""COMPUTED_VALUE"""),"Yes")</f>
        <v>Yes</v>
      </c>
      <c r="M300" s="1" t="str">
        <f>IFERROR(__xludf.DUMMYFUNCTION("""COMPUTED_VALUE"""),"Yes")</f>
        <v>Yes</v>
      </c>
      <c r="N300" s="1" t="str">
        <f>IFERROR(__xludf.DUMMYFUNCTION("""COMPUTED_VALUE"""),"Yes")</f>
        <v>Yes</v>
      </c>
      <c r="O300" s="1" t="str">
        <f>IFERROR(__xludf.DUMMYFUNCTION("""COMPUTED_VALUE"""),"WA ONLY, CALL")</f>
        <v>WA ONLY, CALL</v>
      </c>
      <c r="P300" s="1" t="str">
        <f>IFERROR(__xludf.DUMMYFUNCTION("""COMPUTED_VALUE"""),"Sir")</f>
        <v>Sir</v>
      </c>
      <c r="Q300" s="1" t="str">
        <f>IFERROR(__xludf.DUMMYFUNCTION("""COMPUTED_VALUE"""),"No")</f>
        <v>No</v>
      </c>
      <c r="R300" s="1" t="str">
        <f>IFERROR(__xludf.DUMMYFUNCTION("""COMPUTED_VALUE"""),"NEW WALK IN")</f>
        <v>NEW WALK IN</v>
      </c>
      <c r="S300" s="1"/>
    </row>
    <row r="301">
      <c r="A301" s="2">
        <f>IFERROR(__xludf.DUMMYFUNCTION("""COMPUTED_VALUE"""),45403.68622530093)</f>
        <v>45403.68623</v>
      </c>
      <c r="B301" s="1" t="str">
        <f>IFERROR(__xludf.DUMMYFUNCTION("""COMPUTED_VALUE"""),"Payal")</f>
        <v>Payal</v>
      </c>
      <c r="C301" s="1">
        <f>IFERROR(__xludf.DUMMYFUNCTION("""COMPUTED_VALUE"""),9.899721688E9)</f>
        <v>9899721688</v>
      </c>
      <c r="D301" s="1">
        <f>IFERROR(__xludf.DUMMYFUNCTION("""COMPUTED_VALUE"""),1.0)</f>
        <v>1</v>
      </c>
      <c r="E301" s="3">
        <f>IFERROR(__xludf.DUMMYFUNCTION("""COMPUTED_VALUE"""),0.6576388888934162)</f>
        <v>0.6576388889</v>
      </c>
      <c r="F301" s="1" t="str">
        <f>IFERROR(__xludf.DUMMYFUNCTION("""COMPUTED_VALUE"""),"Diamond")</f>
        <v>Diamond</v>
      </c>
      <c r="G301" s="1" t="str">
        <f>IFERROR(__xludf.DUMMYFUNCTION("""COMPUTED_VALUE"""),"Chhaya")</f>
        <v>Chhaya</v>
      </c>
      <c r="H301" s="1"/>
      <c r="I301" s="1" t="str">
        <f>IFERROR(__xludf.DUMMYFUNCTION("""COMPUTED_VALUE"""),"Visit Again in 1 Month")</f>
        <v>Visit Again in 1 Month</v>
      </c>
      <c r="J301" s="1"/>
      <c r="K301" s="3">
        <f>IFERROR(__xludf.DUMMYFUNCTION("""COMPUTED_VALUE"""),0.6854166666671517)</f>
        <v>0.6854166667</v>
      </c>
      <c r="L301" s="1" t="str">
        <f>IFERROR(__xludf.DUMMYFUNCTION("""COMPUTED_VALUE"""),"Yes")</f>
        <v>Yes</v>
      </c>
      <c r="M301" s="1" t="str">
        <f>IFERROR(__xludf.DUMMYFUNCTION("""COMPUTED_VALUE"""),"No")</f>
        <v>No</v>
      </c>
      <c r="N301" s="1" t="str">
        <f>IFERROR(__xludf.DUMMYFUNCTION("""COMPUTED_VALUE"""),"No")</f>
        <v>No</v>
      </c>
      <c r="O301" s="1" t="str">
        <f>IFERROR(__xludf.DUMMYFUNCTION("""COMPUTED_VALUE"""),"WA ONLY, CALL")</f>
        <v>WA ONLY, CALL</v>
      </c>
      <c r="P301" s="1" t="str">
        <f>IFERROR(__xludf.DUMMYFUNCTION("""COMPUTED_VALUE"""),"Madam")</f>
        <v>Madam</v>
      </c>
      <c r="Q301" s="1"/>
      <c r="R301" s="1" t="str">
        <f>IFERROR(__xludf.DUMMYFUNCTION("""COMPUTED_VALUE"""),"INSTAGRAM")</f>
        <v>INSTAGRAM</v>
      </c>
      <c r="S301" s="1"/>
    </row>
    <row r="302">
      <c r="A302" s="2">
        <f>IFERROR(__xludf.DUMMYFUNCTION("""COMPUTED_VALUE"""),45403.775093414355)</f>
        <v>45403.77509</v>
      </c>
      <c r="B302" s="1" t="str">
        <f>IFERROR(__xludf.DUMMYFUNCTION("""COMPUTED_VALUE"""),"Muskan")</f>
        <v>Muskan</v>
      </c>
      <c r="C302" s="1">
        <f>IFERROR(__xludf.DUMMYFUNCTION("""COMPUTED_VALUE"""),9.999376232E9)</f>
        <v>9999376232</v>
      </c>
      <c r="D302" s="1">
        <f>IFERROR(__xludf.DUMMYFUNCTION("""COMPUTED_VALUE"""),2.0)</f>
        <v>2</v>
      </c>
      <c r="E302" s="3">
        <f>IFERROR(__xludf.DUMMYFUNCTION("""COMPUTED_VALUE"""),0.734722222223354)</f>
        <v>0.7347222222</v>
      </c>
      <c r="F302" s="1" t="str">
        <f>IFERROR(__xludf.DUMMYFUNCTION("""COMPUTED_VALUE"""),"Antique Gold")</f>
        <v>Antique Gold</v>
      </c>
      <c r="G302" s="1" t="str">
        <f>IFERROR(__xludf.DUMMYFUNCTION("""COMPUTED_VALUE"""),"Pooja")</f>
        <v>Pooja</v>
      </c>
      <c r="H302" s="1"/>
      <c r="I302" s="1" t="str">
        <f>IFERROR(__xludf.DUMMYFUNCTION("""COMPUTED_VALUE"""),"Visit Again in 1 Month")</f>
        <v>Visit Again in 1 Month</v>
      </c>
      <c r="J302" s="1"/>
      <c r="K302" s="3">
        <f>IFERROR(__xludf.DUMMYFUNCTION("""COMPUTED_VALUE"""),0.773611111115315)</f>
        <v>0.7736111111</v>
      </c>
      <c r="L302" s="1" t="str">
        <f>IFERROR(__xludf.DUMMYFUNCTION("""COMPUTED_VALUE"""),"Yes")</f>
        <v>Yes</v>
      </c>
      <c r="M302" s="1" t="str">
        <f>IFERROR(__xludf.DUMMYFUNCTION("""COMPUTED_VALUE"""),"No")</f>
        <v>No</v>
      </c>
      <c r="N302" s="1" t="str">
        <f>IFERROR(__xludf.DUMMYFUNCTION("""COMPUTED_VALUE"""),"No")</f>
        <v>No</v>
      </c>
      <c r="O302" s="1" t="str">
        <f>IFERROR(__xludf.DUMMYFUNCTION("""COMPUTED_VALUE"""),"WA ONLY, CALL")</f>
        <v>WA ONLY, CALL</v>
      </c>
      <c r="P302" s="1" t="str">
        <f>IFERROR(__xludf.DUMMYFUNCTION("""COMPUTED_VALUE"""),"Madam")</f>
        <v>Madam</v>
      </c>
      <c r="Q302" s="1" t="str">
        <f>IFERROR(__xludf.DUMMYFUNCTION("""COMPUTED_VALUE"""),"No")</f>
        <v>No</v>
      </c>
      <c r="R302" s="1" t="str">
        <f>IFERROR(__xludf.DUMMYFUNCTION("""COMPUTED_VALUE"""),"NEW WALK IN")</f>
        <v>NEW WALK IN</v>
      </c>
      <c r="S302" s="1"/>
    </row>
    <row r="303">
      <c r="A303" s="2">
        <f>IFERROR(__xludf.DUMMYFUNCTION("""COMPUTED_VALUE"""),45405.771272303245)</f>
        <v>45405.77127</v>
      </c>
      <c r="B303" s="1" t="str">
        <f>IFERROR(__xludf.DUMMYFUNCTION("""COMPUTED_VALUE"""),"Padam kumar")</f>
        <v>Padam kumar</v>
      </c>
      <c r="C303" s="1">
        <f>IFERROR(__xludf.DUMMYFUNCTION("""COMPUTED_VALUE"""),9.289617468E9)</f>
        <v>9289617468</v>
      </c>
      <c r="D303" s="1">
        <f>IFERROR(__xludf.DUMMYFUNCTION("""COMPUTED_VALUE"""),1.0)</f>
        <v>1</v>
      </c>
      <c r="E303" s="3">
        <f>IFERROR(__xludf.DUMMYFUNCTION("""COMPUTED_VALUE"""),0.65625)</f>
        <v>0.65625</v>
      </c>
      <c r="F303" s="1" t="str">
        <f>IFERROR(__xludf.DUMMYFUNCTION("""COMPUTED_VALUE"""),"Diamond")</f>
        <v>Diamond</v>
      </c>
      <c r="G303" s="1" t="str">
        <f>IFERROR(__xludf.DUMMYFUNCTION("""COMPUTED_VALUE"""),"Pooja")</f>
        <v>Pooja</v>
      </c>
      <c r="H303" s="1" t="str">
        <f>IFERROR(__xludf.DUMMYFUNCTION("""COMPUTED_VALUE"""),"Gold coin ")</f>
        <v>Gold coin </v>
      </c>
      <c r="I303" s="1"/>
      <c r="J303" s="1"/>
      <c r="K303" s="3">
        <f>IFERROR(__xludf.DUMMYFUNCTION("""COMPUTED_VALUE"""),0.6826388888875954)</f>
        <v>0.6826388889</v>
      </c>
      <c r="L303" s="1" t="str">
        <f>IFERROR(__xludf.DUMMYFUNCTION("""COMPUTED_VALUE"""),"Yes")</f>
        <v>Yes</v>
      </c>
      <c r="M303" s="1" t="str">
        <f>IFERROR(__xludf.DUMMYFUNCTION("""COMPUTED_VALUE"""),"Yes")</f>
        <v>Yes</v>
      </c>
      <c r="N303" s="1" t="str">
        <f>IFERROR(__xludf.DUMMYFUNCTION("""COMPUTED_VALUE"""),"No")</f>
        <v>No</v>
      </c>
      <c r="O303" s="1" t="str">
        <f>IFERROR(__xludf.DUMMYFUNCTION("""COMPUTED_VALUE"""),"WA ONLY, CALL")</f>
        <v>WA ONLY, CALL</v>
      </c>
      <c r="P303" s="1" t="str">
        <f>IFERROR(__xludf.DUMMYFUNCTION("""COMPUTED_VALUE"""),"Sir")</f>
        <v>Sir</v>
      </c>
      <c r="Q303" s="1" t="str">
        <f>IFERROR(__xludf.DUMMYFUNCTION("""COMPUTED_VALUE"""),"No")</f>
        <v>No</v>
      </c>
      <c r="R303" s="1" t="str">
        <f>IFERROR(__xludf.DUMMYFUNCTION("""COMPUTED_VALUE"""),"NEW WALK IN")</f>
        <v>NEW WALK IN</v>
      </c>
      <c r="S303" s="1"/>
    </row>
    <row r="304">
      <c r="A304" s="2">
        <f>IFERROR(__xludf.DUMMYFUNCTION("""COMPUTED_VALUE"""),45405.77218714121)</f>
        <v>45405.77219</v>
      </c>
      <c r="B304" s="1" t="str">
        <f>IFERROR(__xludf.DUMMYFUNCTION("""COMPUTED_VALUE"""),"Renu")</f>
        <v>Renu</v>
      </c>
      <c r="C304" s="1">
        <f>IFERROR(__xludf.DUMMYFUNCTION("""COMPUTED_VALUE"""),9.968266086E9)</f>
        <v>9968266086</v>
      </c>
      <c r="D304" s="1">
        <f>IFERROR(__xludf.DUMMYFUNCTION("""COMPUTED_VALUE"""),1.0)</f>
        <v>1</v>
      </c>
      <c r="E304" s="3">
        <f>IFERROR(__xludf.DUMMYFUNCTION("""COMPUTED_VALUE"""),0.6458333333357587)</f>
        <v>0.6458333333</v>
      </c>
      <c r="F304" s="1" t="str">
        <f>IFERROR(__xludf.DUMMYFUNCTION("""COMPUTED_VALUE"""),"Antique Gold")</f>
        <v>Antique Gold</v>
      </c>
      <c r="G304" s="1" t="str">
        <f>IFERROR(__xludf.DUMMYFUNCTION("""COMPUTED_VALUE"""),"Chhaya")</f>
        <v>Chhaya</v>
      </c>
      <c r="H304" s="1"/>
      <c r="I304" s="1" t="str">
        <f>IFERROR(__xludf.DUMMYFUNCTION("""COMPUTED_VALUE"""),"Visit Again in 1 Month")</f>
        <v>Visit Again in 1 Month</v>
      </c>
      <c r="J304" s="1"/>
      <c r="K304" s="3">
        <f>IFERROR(__xludf.DUMMYFUNCTION("""COMPUTED_VALUE"""),0.7097222222218988)</f>
        <v>0.7097222222</v>
      </c>
      <c r="L304" s="1" t="str">
        <f>IFERROR(__xludf.DUMMYFUNCTION("""COMPUTED_VALUE"""),"Yes")</f>
        <v>Yes</v>
      </c>
      <c r="M304" s="1" t="str">
        <f>IFERROR(__xludf.DUMMYFUNCTION("""COMPUTED_VALUE"""),"No")</f>
        <v>No</v>
      </c>
      <c r="N304" s="1" t="str">
        <f>IFERROR(__xludf.DUMMYFUNCTION("""COMPUTED_VALUE"""),"No")</f>
        <v>No</v>
      </c>
      <c r="O304" s="1" t="str">
        <f>IFERROR(__xludf.DUMMYFUNCTION("""COMPUTED_VALUE"""),"WA ONLY, CALL")</f>
        <v>WA ONLY, CALL</v>
      </c>
      <c r="P304" s="1" t="str">
        <f>IFERROR(__xludf.DUMMYFUNCTION("""COMPUTED_VALUE"""),"Madam")</f>
        <v>Madam</v>
      </c>
      <c r="Q304" s="1" t="str">
        <f>IFERROR(__xludf.DUMMYFUNCTION("""COMPUTED_VALUE"""),"No")</f>
        <v>No</v>
      </c>
      <c r="R304" s="1" t="str">
        <f>IFERROR(__xludf.DUMMYFUNCTION("""COMPUTED_VALUE"""),"OLD")</f>
        <v>OLD</v>
      </c>
      <c r="S304" s="1"/>
    </row>
    <row r="305">
      <c r="A305" s="2">
        <f>IFERROR(__xludf.DUMMYFUNCTION("""COMPUTED_VALUE"""),45406.699742349534)</f>
        <v>45406.69974</v>
      </c>
      <c r="B305" s="1" t="str">
        <f>IFERROR(__xludf.DUMMYFUNCTION("""COMPUTED_VALUE"""),"Monika ")</f>
        <v>Monika </v>
      </c>
      <c r="C305" s="1">
        <f>IFERROR(__xludf.DUMMYFUNCTION("""COMPUTED_VALUE"""),9.873833656E9)</f>
        <v>9873833656</v>
      </c>
      <c r="D305" s="1">
        <f>IFERROR(__xludf.DUMMYFUNCTION("""COMPUTED_VALUE"""),2.0)</f>
        <v>2</v>
      </c>
      <c r="E305" s="3">
        <f>IFERROR(__xludf.DUMMYFUNCTION("""COMPUTED_VALUE"""),0.53125)</f>
        <v>0.53125</v>
      </c>
      <c r="F305" s="1" t="str">
        <f>IFERROR(__xludf.DUMMYFUNCTION("""COMPUTED_VALUE"""),"Plain Gold")</f>
        <v>Plain Gold</v>
      </c>
      <c r="G305" s="1" t="str">
        <f>IFERROR(__xludf.DUMMYFUNCTION("""COMPUTED_VALUE"""),"Pooja")</f>
        <v>Pooja</v>
      </c>
      <c r="H305" s="1"/>
      <c r="I305" s="1" t="str">
        <f>IFERROR(__xludf.DUMMYFUNCTION("""COMPUTED_VALUE"""),"Visit Again in 1 Month")</f>
        <v>Visit Again in 1 Month</v>
      </c>
      <c r="J305" s="1" t="str">
        <f>IFERROR(__xludf.DUMMYFUNCTION("""COMPUTED_VALUE"""),"2000 per month LUCKY PAY NO MORE")</f>
        <v>2000 per month LUCKY PAY NO MORE</v>
      </c>
      <c r="K305" s="3">
        <f>IFERROR(__xludf.DUMMYFUNCTION("""COMPUTED_VALUE"""),0.6277777777795563)</f>
        <v>0.6277777778</v>
      </c>
      <c r="L305" s="1" t="str">
        <f>IFERROR(__xludf.DUMMYFUNCTION("""COMPUTED_VALUE"""),"Yes")</f>
        <v>Yes</v>
      </c>
      <c r="M305" s="1" t="str">
        <f>IFERROR(__xludf.DUMMYFUNCTION("""COMPUTED_VALUE"""),"Already done")</f>
        <v>Already done</v>
      </c>
      <c r="N305" s="1" t="str">
        <f>IFERROR(__xludf.DUMMYFUNCTION("""COMPUTED_VALUE"""),"Already done ")</f>
        <v>Already done </v>
      </c>
      <c r="O305" s="1" t="str">
        <f>IFERROR(__xludf.DUMMYFUNCTION("""COMPUTED_VALUE"""),"WA ONLY, OWNER CONTACT ONLY, CALL")</f>
        <v>WA ONLY, OWNER CONTACT ONLY, CALL</v>
      </c>
      <c r="P305" s="1" t="str">
        <f>IFERROR(__xludf.DUMMYFUNCTION("""COMPUTED_VALUE"""),"Madam")</f>
        <v>Madam</v>
      </c>
      <c r="Q305" s="1" t="str">
        <f>IFERROR(__xludf.DUMMYFUNCTION("""COMPUTED_VALUE"""),"Yes")</f>
        <v>Yes</v>
      </c>
      <c r="R305" s="1" t="str">
        <f>IFERROR(__xludf.DUMMYFUNCTION("""COMPUTED_VALUE"""),"OLD")</f>
        <v>OLD</v>
      </c>
      <c r="S305" s="1"/>
    </row>
    <row r="306">
      <c r="A306" s="2">
        <f>IFERROR(__xludf.DUMMYFUNCTION("""COMPUTED_VALUE"""),45406.700646701385)</f>
        <v>45406.70065</v>
      </c>
      <c r="B306" s="1" t="str">
        <f>IFERROR(__xludf.DUMMYFUNCTION("""COMPUTED_VALUE"""),"Shalu nagpal")</f>
        <v>Shalu nagpal</v>
      </c>
      <c r="C306" s="1">
        <f>IFERROR(__xludf.DUMMYFUNCTION("""COMPUTED_VALUE"""),9.873469848E9)</f>
        <v>9873469848</v>
      </c>
      <c r="D306" s="1">
        <f>IFERROR(__xludf.DUMMYFUNCTION("""COMPUTED_VALUE"""),1.0)</f>
        <v>1</v>
      </c>
      <c r="E306" s="3">
        <f>IFERROR(__xludf.DUMMYFUNCTION("""COMPUTED_VALUE"""),0.5347222222189885)</f>
        <v>0.5347222222</v>
      </c>
      <c r="F306" s="1" t="str">
        <f>IFERROR(__xludf.DUMMYFUNCTION("""COMPUTED_VALUE"""),"Diamond")</f>
        <v>Diamond</v>
      </c>
      <c r="G306" s="1" t="str">
        <f>IFERROR(__xludf.DUMMYFUNCTION("""COMPUTED_VALUE"""),"Pooja")</f>
        <v>Pooja</v>
      </c>
      <c r="H306" s="1" t="str">
        <f>IFERROR(__xludf.DUMMYFUNCTION("""COMPUTED_VALUE"""),"4 diamond eing,1 gold chain ")</f>
        <v>4 diamond eing,1 gold chain </v>
      </c>
      <c r="I306" s="1"/>
      <c r="J306" s="1"/>
      <c r="K306" s="3">
        <f>IFERROR(__xludf.DUMMYFUNCTION("""COMPUTED_VALUE"""),0.6805555555547471)</f>
        <v>0.6805555556</v>
      </c>
      <c r="L306" s="1" t="str">
        <f>IFERROR(__xludf.DUMMYFUNCTION("""COMPUTED_VALUE"""),"Yes")</f>
        <v>Yes</v>
      </c>
      <c r="M306" s="1" t="str">
        <f>IFERROR(__xludf.DUMMYFUNCTION("""COMPUTED_VALUE"""),"Already done")</f>
        <v>Already done</v>
      </c>
      <c r="N306" s="1" t="str">
        <f>IFERROR(__xludf.DUMMYFUNCTION("""COMPUTED_VALUE"""),"Already done")</f>
        <v>Already done</v>
      </c>
      <c r="O306" s="1" t="str">
        <f>IFERROR(__xludf.DUMMYFUNCTION("""COMPUTED_VALUE"""),"WA ONLY, OWNER CONTACT ONLY, CALL")</f>
        <v>WA ONLY, OWNER CONTACT ONLY, CALL</v>
      </c>
      <c r="P306" s="1" t="str">
        <f>IFERROR(__xludf.DUMMYFUNCTION("""COMPUTED_VALUE"""),"Madam")</f>
        <v>Madam</v>
      </c>
      <c r="Q306" s="1" t="str">
        <f>IFERROR(__xludf.DUMMYFUNCTION("""COMPUTED_VALUE"""),"No")</f>
        <v>No</v>
      </c>
      <c r="R306" s="1" t="str">
        <f>IFERROR(__xludf.DUMMYFUNCTION("""COMPUTED_VALUE"""),"OLD")</f>
        <v>OLD</v>
      </c>
      <c r="S306" s="1"/>
    </row>
    <row r="307">
      <c r="A307" s="2">
        <f>IFERROR(__xludf.DUMMYFUNCTION("""COMPUTED_VALUE"""),45406.70290365741)</f>
        <v>45406.7029</v>
      </c>
      <c r="B307" s="1" t="str">
        <f>IFERROR(__xludf.DUMMYFUNCTION("""COMPUTED_VALUE"""),"Usha")</f>
        <v>Usha</v>
      </c>
      <c r="C307" s="1">
        <f>IFERROR(__xludf.DUMMYFUNCTION("""COMPUTED_VALUE"""),9.313251554E9)</f>
        <v>9313251554</v>
      </c>
      <c r="D307" s="1">
        <f>IFERROR(__xludf.DUMMYFUNCTION("""COMPUTED_VALUE"""),1.0)</f>
        <v>1</v>
      </c>
      <c r="E307" s="3">
        <f>IFERROR(__xludf.DUMMYFUNCTION("""COMPUTED_VALUE"""),0.5451388888905058)</f>
        <v>0.5451388889</v>
      </c>
      <c r="F307" s="1" t="str">
        <f>IFERROR(__xludf.DUMMYFUNCTION("""COMPUTED_VALUE"""),"Antique Gold")</f>
        <v>Antique Gold</v>
      </c>
      <c r="G307" s="1" t="str">
        <f>IFERROR(__xludf.DUMMYFUNCTION("""COMPUTED_VALUE"""),"Chhaya")</f>
        <v>Chhaya</v>
      </c>
      <c r="H307" s="1"/>
      <c r="I307" s="1" t="str">
        <f>IFERROR(__xludf.DUMMYFUNCTION("""COMPUTED_VALUE"""),"Visit Again in 1 Month")</f>
        <v>Visit Again in 1 Month</v>
      </c>
      <c r="J307" s="1"/>
      <c r="K307" s="3">
        <f>IFERROR(__xludf.DUMMYFUNCTION("""COMPUTED_VALUE"""),0.6687499999970896)</f>
        <v>0.66875</v>
      </c>
      <c r="L307" s="1" t="str">
        <f>IFERROR(__xludf.DUMMYFUNCTION("""COMPUTED_VALUE"""),"Yes")</f>
        <v>Yes</v>
      </c>
      <c r="M307" s="1" t="str">
        <f>IFERROR(__xludf.DUMMYFUNCTION("""COMPUTED_VALUE"""),"Already done")</f>
        <v>Already done</v>
      </c>
      <c r="N307" s="1" t="str">
        <f>IFERROR(__xludf.DUMMYFUNCTION("""COMPUTED_VALUE"""),"Already done")</f>
        <v>Already done</v>
      </c>
      <c r="O307" s="1" t="str">
        <f>IFERROR(__xludf.DUMMYFUNCTION("""COMPUTED_VALUE"""),"WA ONLY, OWNER CONTACT ONLY, CALL")</f>
        <v>WA ONLY, OWNER CONTACT ONLY, CALL</v>
      </c>
      <c r="P307" s="1" t="str">
        <f>IFERROR(__xludf.DUMMYFUNCTION("""COMPUTED_VALUE"""),"Madam")</f>
        <v>Madam</v>
      </c>
      <c r="Q307" s="1" t="str">
        <f>IFERROR(__xludf.DUMMYFUNCTION("""COMPUTED_VALUE"""),"No")</f>
        <v>No</v>
      </c>
      <c r="R307" s="1" t="str">
        <f>IFERROR(__xludf.DUMMYFUNCTION("""COMPUTED_VALUE"""),"OLD")</f>
        <v>OLD</v>
      </c>
      <c r="S307" s="1"/>
    </row>
    <row r="308">
      <c r="A308" s="2">
        <f>IFERROR(__xludf.DUMMYFUNCTION("""COMPUTED_VALUE"""),45407.7991796412)</f>
        <v>45407.79918</v>
      </c>
      <c r="B308" s="1" t="str">
        <f>IFERROR(__xludf.DUMMYFUNCTION("""COMPUTED_VALUE"""),"Shuammy")</f>
        <v>Shuammy</v>
      </c>
      <c r="C308" s="1">
        <f>IFERROR(__xludf.DUMMYFUNCTION("""COMPUTED_VALUE"""),9.664591719E9)</f>
        <v>9664591719</v>
      </c>
      <c r="D308" s="1">
        <f>IFERROR(__xludf.DUMMYFUNCTION("""COMPUTED_VALUE"""),1.0)</f>
        <v>1</v>
      </c>
      <c r="E308" s="3">
        <f>IFERROR(__xludf.DUMMYFUNCTION("""COMPUTED_VALUE"""),0.5729166666642413)</f>
        <v>0.5729166667</v>
      </c>
      <c r="F308" s="1" t="str">
        <f>IFERROR(__xludf.DUMMYFUNCTION("""COMPUTED_VALUE"""),"Antique Gold")</f>
        <v>Antique Gold</v>
      </c>
      <c r="G308" s="1" t="str">
        <f>IFERROR(__xludf.DUMMYFUNCTION("""COMPUTED_VALUE"""),"Chhaya")</f>
        <v>Chhaya</v>
      </c>
      <c r="H308" s="1"/>
      <c r="I308" s="1" t="str">
        <f>IFERROR(__xludf.DUMMYFUNCTION("""COMPUTED_VALUE"""),"Pick up Order")</f>
        <v>Pick up Order</v>
      </c>
      <c r="J308" s="1"/>
      <c r="K308" s="3">
        <f>IFERROR(__xludf.DUMMYFUNCTION("""COMPUTED_VALUE"""),0.6673611111109494)</f>
        <v>0.6673611111</v>
      </c>
      <c r="L308" s="1" t="str">
        <f>IFERROR(__xludf.DUMMYFUNCTION("""COMPUTED_VALUE"""),"Yes")</f>
        <v>Yes</v>
      </c>
      <c r="M308" s="1" t="str">
        <f>IFERROR(__xludf.DUMMYFUNCTION("""COMPUTED_VALUE"""),"Already done")</f>
        <v>Already done</v>
      </c>
      <c r="N308" s="1" t="str">
        <f>IFERROR(__xludf.DUMMYFUNCTION("""COMPUTED_VALUE"""),"Already done")</f>
        <v>Already done</v>
      </c>
      <c r="O308" s="1" t="str">
        <f>IFERROR(__xludf.DUMMYFUNCTION("""COMPUTED_VALUE"""),"WA ONLY, CALL")</f>
        <v>WA ONLY, CALL</v>
      </c>
      <c r="P308" s="1" t="str">
        <f>IFERROR(__xludf.DUMMYFUNCTION("""COMPUTED_VALUE"""),"Sir")</f>
        <v>Sir</v>
      </c>
      <c r="Q308" s="1" t="str">
        <f>IFERROR(__xludf.DUMMYFUNCTION("""COMPUTED_VALUE"""),"No")</f>
        <v>No</v>
      </c>
      <c r="R308" s="1" t="str">
        <f>IFERROR(__xludf.DUMMYFUNCTION("""COMPUTED_VALUE"""),"OLD")</f>
        <v>OLD</v>
      </c>
      <c r="S308" s="1"/>
    </row>
    <row r="309">
      <c r="A309" s="2">
        <f>IFERROR(__xludf.DUMMYFUNCTION("""COMPUTED_VALUE"""),45407.79986024306)</f>
        <v>45407.79986</v>
      </c>
      <c r="B309" s="1" t="str">
        <f>IFERROR(__xludf.DUMMYFUNCTION("""COMPUTED_VALUE"""),"Anshika")</f>
        <v>Anshika</v>
      </c>
      <c r="C309" s="1">
        <f>IFERROR(__xludf.DUMMYFUNCTION("""COMPUTED_VALUE"""),9.654168668E9)</f>
        <v>9654168668</v>
      </c>
      <c r="D309" s="1">
        <f>IFERROR(__xludf.DUMMYFUNCTION("""COMPUTED_VALUE"""),1.0)</f>
        <v>1</v>
      </c>
      <c r="E309" s="3">
        <f>IFERROR(__xludf.DUMMYFUNCTION("""COMPUTED_VALUE"""),0.7145833333343035)</f>
        <v>0.7145833333</v>
      </c>
      <c r="F309" s="1" t="str">
        <f>IFERROR(__xludf.DUMMYFUNCTION("""COMPUTED_VALUE"""),"Antique Gold")</f>
        <v>Antique Gold</v>
      </c>
      <c r="G309" s="1" t="str">
        <f>IFERROR(__xludf.DUMMYFUNCTION("""COMPUTED_VALUE"""),"Pooja")</f>
        <v>Pooja</v>
      </c>
      <c r="H309" s="1"/>
      <c r="I309" s="1" t="str">
        <f>IFERROR(__xludf.DUMMYFUNCTION("""COMPUTED_VALUE"""),"Pick up Order")</f>
        <v>Pick up Order</v>
      </c>
      <c r="J309" s="1"/>
      <c r="K309" s="3">
        <f>IFERROR(__xludf.DUMMYFUNCTION("""COMPUTED_VALUE"""),0.7937499999970896)</f>
        <v>0.79375</v>
      </c>
      <c r="L309" s="1" t="str">
        <f>IFERROR(__xludf.DUMMYFUNCTION("""COMPUTED_VALUE"""),"Yes")</f>
        <v>Yes</v>
      </c>
      <c r="M309" s="1" t="str">
        <f>IFERROR(__xludf.DUMMYFUNCTION("""COMPUTED_VALUE"""),"Already done ")</f>
        <v>Already done </v>
      </c>
      <c r="N309" s="1" t="str">
        <f>IFERROR(__xludf.DUMMYFUNCTION("""COMPUTED_VALUE"""),"Already done")</f>
        <v>Already done</v>
      </c>
      <c r="O309" s="1" t="str">
        <f>IFERROR(__xludf.DUMMYFUNCTION("""COMPUTED_VALUE"""),"WA ONLY, CALL")</f>
        <v>WA ONLY, CALL</v>
      </c>
      <c r="P309" s="1" t="str">
        <f>IFERROR(__xludf.DUMMYFUNCTION("""COMPUTED_VALUE"""),"Madam")</f>
        <v>Madam</v>
      </c>
      <c r="Q309" s="1" t="str">
        <f>IFERROR(__xludf.DUMMYFUNCTION("""COMPUTED_VALUE"""),"No")</f>
        <v>No</v>
      </c>
      <c r="R309" s="1" t="str">
        <f>IFERROR(__xludf.DUMMYFUNCTION("""COMPUTED_VALUE"""),"OLD")</f>
        <v>OLD</v>
      </c>
      <c r="S309" s="1"/>
    </row>
    <row r="310">
      <c r="A310" s="2">
        <f>IFERROR(__xludf.DUMMYFUNCTION("""COMPUTED_VALUE"""),45408.77924159722)</f>
        <v>45408.77924</v>
      </c>
      <c r="B310" s="1" t="str">
        <f>IFERROR(__xludf.DUMMYFUNCTION("""COMPUTED_VALUE"""),"Kamlender singh")</f>
        <v>Kamlender singh</v>
      </c>
      <c r="C310" s="1">
        <f>IFERROR(__xludf.DUMMYFUNCTION("""COMPUTED_VALUE"""),8.769597023E9)</f>
        <v>8769597023</v>
      </c>
      <c r="D310" s="1">
        <f>IFERROR(__xludf.DUMMYFUNCTION("""COMPUTED_VALUE"""),1.0)</f>
        <v>1</v>
      </c>
      <c r="E310" s="3">
        <f>IFERROR(__xludf.DUMMYFUNCTION("""COMPUTED_VALUE"""),0.7256944444452529)</f>
        <v>0.7256944444</v>
      </c>
      <c r="F310" s="1" t="str">
        <f>IFERROR(__xludf.DUMMYFUNCTION("""COMPUTED_VALUE"""),"Plain Gold")</f>
        <v>Plain Gold</v>
      </c>
      <c r="G310" s="1" t="str">
        <f>IFERROR(__xludf.DUMMYFUNCTION("""COMPUTED_VALUE"""),"Bhumika")</f>
        <v>Bhumika</v>
      </c>
      <c r="H310" s="1"/>
      <c r="I310" s="1" t="str">
        <f>IFERROR(__xludf.DUMMYFUNCTION("""COMPUTED_VALUE"""),"Only Ask for Gold Rate")</f>
        <v>Only Ask for Gold Rate</v>
      </c>
      <c r="J310" s="1"/>
      <c r="K310" s="3">
        <f>IFERROR(__xludf.DUMMYFUNCTION("""COMPUTED_VALUE"""),0.7270833333313931)</f>
        <v>0.7270833333</v>
      </c>
      <c r="L310" s="1" t="str">
        <f>IFERROR(__xludf.DUMMYFUNCTION("""COMPUTED_VALUE"""),"Yes")</f>
        <v>Yes</v>
      </c>
      <c r="M310" s="1" t="str">
        <f>IFERROR(__xludf.DUMMYFUNCTION("""COMPUTED_VALUE"""),"No")</f>
        <v>No</v>
      </c>
      <c r="N310" s="1" t="str">
        <f>IFERROR(__xludf.DUMMYFUNCTION("""COMPUTED_VALUE"""),"No")</f>
        <v>No</v>
      </c>
      <c r="O310" s="1" t="str">
        <f>IFERROR(__xludf.DUMMYFUNCTION("""COMPUTED_VALUE"""),"WA ONLY, CALL")</f>
        <v>WA ONLY, CALL</v>
      </c>
      <c r="P310" s="1" t="str">
        <f>IFERROR(__xludf.DUMMYFUNCTION("""COMPUTED_VALUE"""),"Sir")</f>
        <v>Sir</v>
      </c>
      <c r="Q310" s="1" t="str">
        <f>IFERROR(__xludf.DUMMYFUNCTION("""COMPUTED_VALUE"""),"No")</f>
        <v>No</v>
      </c>
      <c r="R310" s="1" t="str">
        <f>IFERROR(__xludf.DUMMYFUNCTION("""COMPUTED_VALUE"""),"NEW WALK IN")</f>
        <v>NEW WALK IN</v>
      </c>
      <c r="S310" s="1"/>
    </row>
    <row r="311">
      <c r="A311" s="2">
        <f>IFERROR(__xludf.DUMMYFUNCTION("""COMPUTED_VALUE"""),45413.47473021991)</f>
        <v>45413.47473</v>
      </c>
      <c r="B311" s="1" t="str">
        <f>IFERROR(__xludf.DUMMYFUNCTION("""COMPUTED_VALUE"""),"Bhawna")</f>
        <v>Bhawna</v>
      </c>
      <c r="C311" s="1">
        <f>IFERROR(__xludf.DUMMYFUNCTION("""COMPUTED_VALUE"""),9.81062888E9)</f>
        <v>9810628880</v>
      </c>
      <c r="D311" s="1">
        <f>IFERROR(__xludf.DUMMYFUNCTION("""COMPUTED_VALUE"""),1.0)</f>
        <v>1</v>
      </c>
      <c r="E311" s="3">
        <f>IFERROR(__xludf.DUMMYFUNCTION("""COMPUTED_VALUE"""),0.78125)</f>
        <v>0.78125</v>
      </c>
      <c r="F311" s="1" t="str">
        <f>IFERROR(__xludf.DUMMYFUNCTION("""COMPUTED_VALUE"""),"Antique Gold")</f>
        <v>Antique Gold</v>
      </c>
      <c r="G311" s="1" t="str">
        <f>IFERROR(__xludf.DUMMYFUNCTION("""COMPUTED_VALUE"""),"Chhaya")</f>
        <v>Chhaya</v>
      </c>
      <c r="H311" s="1" t="str">
        <f>IFERROR(__xludf.DUMMYFUNCTION("""COMPUTED_VALUE"""),"Silver mmtc coin ")</f>
        <v>Silver mmtc coin </v>
      </c>
      <c r="I311" s="1"/>
      <c r="J311" s="1"/>
      <c r="K311" s="3">
        <f>IFERROR(__xludf.DUMMYFUNCTION("""COMPUTED_VALUE"""),0.8402777777810115)</f>
        <v>0.8402777778</v>
      </c>
      <c r="L311" s="1" t="str">
        <f>IFERROR(__xludf.DUMMYFUNCTION("""COMPUTED_VALUE"""),"Yes")</f>
        <v>Yes</v>
      </c>
      <c r="M311" s="1" t="str">
        <f>IFERROR(__xludf.DUMMYFUNCTION("""COMPUTED_VALUE"""),"Already done")</f>
        <v>Already done</v>
      </c>
      <c r="N311" s="1" t="str">
        <f>IFERROR(__xludf.DUMMYFUNCTION("""COMPUTED_VALUE"""),"Already done")</f>
        <v>Already done</v>
      </c>
      <c r="O311" s="1" t="str">
        <f>IFERROR(__xludf.DUMMYFUNCTION("""COMPUTED_VALUE"""),"WA ONLY, OWNER CONTACT ONLY, CALL")</f>
        <v>WA ONLY, OWNER CONTACT ONLY, CALL</v>
      </c>
      <c r="P311" s="1" t="str">
        <f>IFERROR(__xludf.DUMMYFUNCTION("""COMPUTED_VALUE"""),"Madam")</f>
        <v>Madam</v>
      </c>
      <c r="Q311" s="1" t="str">
        <f>IFERROR(__xludf.DUMMYFUNCTION("""COMPUTED_VALUE"""),"No")</f>
        <v>No</v>
      </c>
      <c r="R311" s="1" t="str">
        <f>IFERROR(__xludf.DUMMYFUNCTION("""COMPUTED_VALUE"""),"OLD")</f>
        <v>OLD</v>
      </c>
      <c r="S311" s="1"/>
    </row>
    <row r="312">
      <c r="A312" s="2">
        <f>IFERROR(__xludf.DUMMYFUNCTION("""COMPUTED_VALUE"""),45413.677566956016)</f>
        <v>45413.67757</v>
      </c>
      <c r="B312" s="1" t="str">
        <f>IFERROR(__xludf.DUMMYFUNCTION("""COMPUTED_VALUE"""),"Sharafat ali")</f>
        <v>Sharafat ali</v>
      </c>
      <c r="C312" s="1">
        <f>IFERROR(__xludf.DUMMYFUNCTION("""COMPUTED_VALUE"""),7.982577704E9)</f>
        <v>7982577704</v>
      </c>
      <c r="D312" s="1">
        <f>IFERROR(__xludf.DUMMYFUNCTION("""COMPUTED_VALUE"""),1.0)</f>
        <v>1</v>
      </c>
      <c r="E312" s="3">
        <f>IFERROR(__xludf.DUMMYFUNCTION("""COMPUTED_VALUE"""),0.5138888888905058)</f>
        <v>0.5138888889</v>
      </c>
      <c r="F312" s="1" t="str">
        <f>IFERROR(__xludf.DUMMYFUNCTION("""COMPUTED_VALUE"""),"Plain Gold")</f>
        <v>Plain Gold</v>
      </c>
      <c r="G312" s="1" t="str">
        <f>IFERROR(__xludf.DUMMYFUNCTION("""COMPUTED_VALUE"""),"Pooja")</f>
        <v>Pooja</v>
      </c>
      <c r="H312" s="1"/>
      <c r="I312" s="1" t="str">
        <f>IFERROR(__xludf.DUMMYFUNCTION("""COMPUTED_VALUE"""),"Visit Again in 1 Month")</f>
        <v>Visit Again in 1 Month</v>
      </c>
      <c r="J312" s="1"/>
      <c r="K312" s="3">
        <f>IFERROR(__xludf.DUMMYFUNCTION("""COMPUTED_VALUE"""),0.5305555555532919)</f>
        <v>0.5305555556</v>
      </c>
      <c r="L312" s="1" t="str">
        <f>IFERROR(__xludf.DUMMYFUNCTION("""COMPUTED_VALUE"""),"Yes")</f>
        <v>Yes</v>
      </c>
      <c r="M312" s="1" t="str">
        <f>IFERROR(__xludf.DUMMYFUNCTION("""COMPUTED_VALUE"""),"No")</f>
        <v>No</v>
      </c>
      <c r="N312" s="1" t="str">
        <f>IFERROR(__xludf.DUMMYFUNCTION("""COMPUTED_VALUE"""),"No")</f>
        <v>No</v>
      </c>
      <c r="O312" s="1" t="str">
        <f>IFERROR(__xludf.DUMMYFUNCTION("""COMPUTED_VALUE"""),"WA ONLY, CALL")</f>
        <v>WA ONLY, CALL</v>
      </c>
      <c r="P312" s="1" t="str">
        <f>IFERROR(__xludf.DUMMYFUNCTION("""COMPUTED_VALUE"""),"Sir")</f>
        <v>Sir</v>
      </c>
      <c r="Q312" s="1" t="str">
        <f>IFERROR(__xludf.DUMMYFUNCTION("""COMPUTED_VALUE"""),"No")</f>
        <v>No</v>
      </c>
      <c r="R312" s="1" t="str">
        <f>IFERROR(__xludf.DUMMYFUNCTION("""COMPUTED_VALUE"""),"NEW WALK IN")</f>
        <v>NEW WALK IN</v>
      </c>
      <c r="S312" s="1"/>
    </row>
    <row r="313">
      <c r="A313" s="2">
        <f>IFERROR(__xludf.DUMMYFUNCTION("""COMPUTED_VALUE"""),45413.6786975)</f>
        <v>45413.6787</v>
      </c>
      <c r="B313" s="1" t="str">
        <f>IFERROR(__xludf.DUMMYFUNCTION("""COMPUTED_VALUE"""),"Kamlesh")</f>
        <v>Kamlesh</v>
      </c>
      <c r="C313" s="1">
        <f>IFERROR(__xludf.DUMMYFUNCTION("""COMPUTED_VALUE"""),9.891102336E9)</f>
        <v>9891102336</v>
      </c>
      <c r="D313" s="1">
        <f>IFERROR(__xludf.DUMMYFUNCTION("""COMPUTED_VALUE"""),1.0)</f>
        <v>1</v>
      </c>
      <c r="E313" s="3">
        <f>IFERROR(__xludf.DUMMYFUNCTION("""COMPUTED_VALUE"""),0.5277777777810115)</f>
        <v>0.5277777778</v>
      </c>
      <c r="F313" s="1" t="str">
        <f>IFERROR(__xludf.DUMMYFUNCTION("""COMPUTED_VALUE"""),"Antique Gold")</f>
        <v>Antique Gold</v>
      </c>
      <c r="G313" s="1" t="str">
        <f>IFERROR(__xludf.DUMMYFUNCTION("""COMPUTED_VALUE"""),"Payal")</f>
        <v>Payal</v>
      </c>
      <c r="H313" s="1"/>
      <c r="I313" s="1" t="str">
        <f>IFERROR(__xludf.DUMMYFUNCTION("""COMPUTED_VALUE"""),"Kitty payment done")</f>
        <v>Kitty payment done</v>
      </c>
      <c r="J313" s="1" t="str">
        <f>IFERROR(__xludf.DUMMYFUNCTION("""COMPUTED_VALUE"""),"2000 per month LUCKY PAY NO MORE")</f>
        <v>2000 per month LUCKY PAY NO MORE</v>
      </c>
      <c r="K313" s="3">
        <f>IFERROR(__xludf.DUMMYFUNCTION("""COMPUTED_VALUE"""),0.5347222222189885)</f>
        <v>0.5347222222</v>
      </c>
      <c r="L313" s="1" t="str">
        <f>IFERROR(__xludf.DUMMYFUNCTION("""COMPUTED_VALUE"""),"Yes")</f>
        <v>Yes</v>
      </c>
      <c r="M313" s="1" t="str">
        <f>IFERROR(__xludf.DUMMYFUNCTION("""COMPUTED_VALUE"""),"Already done")</f>
        <v>Already done</v>
      </c>
      <c r="N313" s="1" t="str">
        <f>IFERROR(__xludf.DUMMYFUNCTION("""COMPUTED_VALUE"""),"Already done")</f>
        <v>Already done</v>
      </c>
      <c r="O313" s="1" t="str">
        <f>IFERROR(__xludf.DUMMYFUNCTION("""COMPUTED_VALUE"""),"WA ONLY, CALL")</f>
        <v>WA ONLY, CALL</v>
      </c>
      <c r="P313" s="1" t="str">
        <f>IFERROR(__xludf.DUMMYFUNCTION("""COMPUTED_VALUE"""),"Madam")</f>
        <v>Madam</v>
      </c>
      <c r="Q313" s="1" t="str">
        <f>IFERROR(__xludf.DUMMYFUNCTION("""COMPUTED_VALUE"""),"Yes")</f>
        <v>Yes</v>
      </c>
      <c r="R313" s="1" t="str">
        <f>IFERROR(__xludf.DUMMYFUNCTION("""COMPUTED_VALUE"""),"OLD")</f>
        <v>OLD</v>
      </c>
      <c r="S313" s="1"/>
    </row>
    <row r="314">
      <c r="A314" s="2">
        <f>IFERROR(__xludf.DUMMYFUNCTION("""COMPUTED_VALUE"""),45413.67952938657)</f>
        <v>45413.67953</v>
      </c>
      <c r="B314" s="1" t="str">
        <f>IFERROR(__xludf.DUMMYFUNCTION("""COMPUTED_VALUE"""),"Javed imran")</f>
        <v>Javed imran</v>
      </c>
      <c r="C314" s="1">
        <f>IFERROR(__xludf.DUMMYFUNCTION("""COMPUTED_VALUE"""),9.89109509E9)</f>
        <v>9891095090</v>
      </c>
      <c r="D314" s="1">
        <f>IFERROR(__xludf.DUMMYFUNCTION("""COMPUTED_VALUE"""),1.0)</f>
        <v>1</v>
      </c>
      <c r="E314" s="3">
        <f>IFERROR(__xludf.DUMMYFUNCTION("""COMPUTED_VALUE"""),0.5604166666671517)</f>
        <v>0.5604166667</v>
      </c>
      <c r="F314" s="1" t="str">
        <f>IFERROR(__xludf.DUMMYFUNCTION("""COMPUTED_VALUE"""),"Plain Gold")</f>
        <v>Plain Gold</v>
      </c>
      <c r="G314" s="1" t="str">
        <f>IFERROR(__xludf.DUMMYFUNCTION("""COMPUTED_VALUE"""),"Pooja")</f>
        <v>Pooja</v>
      </c>
      <c r="H314" s="1" t="str">
        <f>IFERROR(__xludf.DUMMYFUNCTION("""COMPUTED_VALUE"""),"Gold ring")</f>
        <v>Gold ring</v>
      </c>
      <c r="I314" s="1"/>
      <c r="J314" s="1"/>
      <c r="K314" s="3">
        <f>IFERROR(__xludf.DUMMYFUNCTION("""COMPUTED_VALUE"""),0.59375)</f>
        <v>0.59375</v>
      </c>
      <c r="L314" s="1" t="str">
        <f>IFERROR(__xludf.DUMMYFUNCTION("""COMPUTED_VALUE"""),"Yes")</f>
        <v>Yes</v>
      </c>
      <c r="M314" s="1" t="str">
        <f>IFERROR(__xludf.DUMMYFUNCTION("""COMPUTED_VALUE"""),"Yes")</f>
        <v>Yes</v>
      </c>
      <c r="N314" s="1" t="str">
        <f>IFERROR(__xludf.DUMMYFUNCTION("""COMPUTED_VALUE"""),"No")</f>
        <v>No</v>
      </c>
      <c r="O314" s="1" t="str">
        <f>IFERROR(__xludf.DUMMYFUNCTION("""COMPUTED_VALUE"""),"WA ONLY, CALL")</f>
        <v>WA ONLY, CALL</v>
      </c>
      <c r="P314" s="1" t="str">
        <f>IFERROR(__xludf.DUMMYFUNCTION("""COMPUTED_VALUE"""),"Sir")</f>
        <v>Sir</v>
      </c>
      <c r="Q314" s="1" t="str">
        <f>IFERROR(__xludf.DUMMYFUNCTION("""COMPUTED_VALUE"""),"No")</f>
        <v>No</v>
      </c>
      <c r="R314" s="1" t="str">
        <f>IFERROR(__xludf.DUMMYFUNCTION("""COMPUTED_VALUE"""),"NEW WALK IN")</f>
        <v>NEW WALK IN</v>
      </c>
      <c r="S314" s="1"/>
    </row>
    <row r="315">
      <c r="A315" s="2">
        <f>IFERROR(__xludf.DUMMYFUNCTION("""COMPUTED_VALUE"""),45413.81637634259)</f>
        <v>45413.81638</v>
      </c>
      <c r="B315" s="1" t="str">
        <f>IFERROR(__xludf.DUMMYFUNCTION("""COMPUTED_VALUE"""),"Sheetal")</f>
        <v>Sheetal</v>
      </c>
      <c r="C315" s="1">
        <f>IFERROR(__xludf.DUMMYFUNCTION("""COMPUTED_VALUE"""),9.717700546E9)</f>
        <v>9717700546</v>
      </c>
      <c r="D315" s="1">
        <f>IFERROR(__xludf.DUMMYFUNCTION("""COMPUTED_VALUE"""),2.0)</f>
        <v>2</v>
      </c>
      <c r="E315" s="3">
        <f>IFERROR(__xludf.DUMMYFUNCTION("""COMPUTED_VALUE"""),0.6756944444423425)</f>
        <v>0.6756944444</v>
      </c>
      <c r="F315" s="1" t="str">
        <f>IFERROR(__xludf.DUMMYFUNCTION("""COMPUTED_VALUE"""),"Antique Gold")</f>
        <v>Antique Gold</v>
      </c>
      <c r="G315" s="1" t="str">
        <f>IFERROR(__xludf.DUMMYFUNCTION("""COMPUTED_VALUE"""),"Pooja")</f>
        <v>Pooja</v>
      </c>
      <c r="H315" s="1" t="str">
        <f>IFERROR(__xludf.DUMMYFUNCTION("""COMPUTED_VALUE"""),"Antique gold set")</f>
        <v>Antique gold set</v>
      </c>
      <c r="I315" s="1"/>
      <c r="J315" s="1"/>
      <c r="K315" s="3">
        <f>IFERROR(__xludf.DUMMYFUNCTION("""COMPUTED_VALUE"""),0.8125)</f>
        <v>0.8125</v>
      </c>
      <c r="L315" s="1" t="str">
        <f>IFERROR(__xludf.DUMMYFUNCTION("""COMPUTED_VALUE"""),"Yes")</f>
        <v>Yes</v>
      </c>
      <c r="M315" s="1" t="str">
        <f>IFERROR(__xludf.DUMMYFUNCTION("""COMPUTED_VALUE"""),"No")</f>
        <v>No</v>
      </c>
      <c r="N315" s="1" t="str">
        <f>IFERROR(__xludf.DUMMYFUNCTION("""COMPUTED_VALUE"""),"Yes")</f>
        <v>Yes</v>
      </c>
      <c r="O315" s="1" t="str">
        <f>IFERROR(__xludf.DUMMYFUNCTION("""COMPUTED_VALUE"""),"WA ONLY, OWNER CONTACT ONLY, CALL")</f>
        <v>WA ONLY, OWNER CONTACT ONLY, CALL</v>
      </c>
      <c r="P315" s="1" t="str">
        <f>IFERROR(__xludf.DUMMYFUNCTION("""COMPUTED_VALUE"""),"Madam")</f>
        <v>Madam</v>
      </c>
      <c r="Q315" s="1" t="str">
        <f>IFERROR(__xludf.DUMMYFUNCTION("""COMPUTED_VALUE"""),"No")</f>
        <v>No</v>
      </c>
      <c r="R315" s="1" t="str">
        <f>IFERROR(__xludf.DUMMYFUNCTION("""COMPUTED_VALUE"""),"NEW WALK IN")</f>
        <v>NEW WALK IN</v>
      </c>
      <c r="S315" s="1"/>
    </row>
    <row r="316">
      <c r="A316" s="2">
        <f>IFERROR(__xludf.DUMMYFUNCTION("""COMPUTED_VALUE"""),45414.785222997685)</f>
        <v>45414.78522</v>
      </c>
      <c r="B316" s="1" t="str">
        <f>IFERROR(__xludf.DUMMYFUNCTION("""COMPUTED_VALUE"""),"Neha")</f>
        <v>Neha</v>
      </c>
      <c r="C316" s="1">
        <f>IFERROR(__xludf.DUMMYFUNCTION("""COMPUTED_VALUE"""),7.703938998E9)</f>
        <v>7703938998</v>
      </c>
      <c r="D316" s="1">
        <f>IFERROR(__xludf.DUMMYFUNCTION("""COMPUTED_VALUE"""),1.0)</f>
        <v>1</v>
      </c>
      <c r="E316" s="3">
        <f>IFERROR(__xludf.DUMMYFUNCTION("""COMPUTED_VALUE"""),0.6861111111065838)</f>
        <v>0.6861111111</v>
      </c>
      <c r="F316" s="1" t="str">
        <f>IFERROR(__xludf.DUMMYFUNCTION("""COMPUTED_VALUE"""),"Plain Gold")</f>
        <v>Plain Gold</v>
      </c>
      <c r="G316" s="1" t="str">
        <f>IFERROR(__xludf.DUMMYFUNCTION("""COMPUTED_VALUE"""),"Pooja")</f>
        <v>Pooja</v>
      </c>
      <c r="H316" s="1"/>
      <c r="I316" s="1" t="str">
        <f>IFERROR(__xludf.DUMMYFUNCTION("""COMPUTED_VALUE"""),"Visit Again in 1 Month")</f>
        <v>Visit Again in 1 Month</v>
      </c>
      <c r="J316" s="1"/>
      <c r="K316" s="3">
        <f>IFERROR(__xludf.DUMMYFUNCTION("""COMPUTED_VALUE"""),0.6930555555591127)</f>
        <v>0.6930555556</v>
      </c>
      <c r="L316" s="1" t="str">
        <f>IFERROR(__xludf.DUMMYFUNCTION("""COMPUTED_VALUE"""),"Yes")</f>
        <v>Yes</v>
      </c>
      <c r="M316" s="1" t="str">
        <f>IFERROR(__xludf.DUMMYFUNCTION("""COMPUTED_VALUE"""),"No")</f>
        <v>No</v>
      </c>
      <c r="N316" s="1" t="str">
        <f>IFERROR(__xludf.DUMMYFUNCTION("""COMPUTED_VALUE"""),"No")</f>
        <v>No</v>
      </c>
      <c r="O316" s="1" t="str">
        <f>IFERROR(__xludf.DUMMYFUNCTION("""COMPUTED_VALUE"""),"WA ONLY, CALL")</f>
        <v>WA ONLY, CALL</v>
      </c>
      <c r="P316" s="1" t="str">
        <f>IFERROR(__xludf.DUMMYFUNCTION("""COMPUTED_VALUE"""),"Madam")</f>
        <v>Madam</v>
      </c>
      <c r="Q316" s="1" t="str">
        <f>IFERROR(__xludf.DUMMYFUNCTION("""COMPUTED_VALUE"""),"No")</f>
        <v>No</v>
      </c>
      <c r="R316" s="1" t="str">
        <f>IFERROR(__xludf.DUMMYFUNCTION("""COMPUTED_VALUE"""),"NEW WALK IN")</f>
        <v>NEW WALK IN</v>
      </c>
      <c r="S316" s="1"/>
    </row>
    <row r="317">
      <c r="A317" s="2">
        <f>IFERROR(__xludf.DUMMYFUNCTION("""COMPUTED_VALUE"""),45415.76162105324)</f>
        <v>45415.76162</v>
      </c>
      <c r="B317" s="1" t="str">
        <f>IFERROR(__xludf.DUMMYFUNCTION("""COMPUTED_VALUE"""),"Anchal")</f>
        <v>Anchal</v>
      </c>
      <c r="C317" s="1">
        <f>IFERROR(__xludf.DUMMYFUNCTION("""COMPUTED_VALUE"""),9.711063633E9)</f>
        <v>9711063633</v>
      </c>
      <c r="D317" s="1">
        <f>IFERROR(__xludf.DUMMYFUNCTION("""COMPUTED_VALUE"""),1.0)</f>
        <v>1</v>
      </c>
      <c r="E317" s="3">
        <f>IFERROR(__xludf.DUMMYFUNCTION("""COMPUTED_VALUE"""),0.6201388888875954)</f>
        <v>0.6201388889</v>
      </c>
      <c r="F317" s="1" t="str">
        <f>IFERROR(__xludf.DUMMYFUNCTION("""COMPUTED_VALUE"""),"Plain Gold")</f>
        <v>Plain Gold</v>
      </c>
      <c r="G317" s="1" t="str">
        <f>IFERROR(__xludf.DUMMYFUNCTION("""COMPUTED_VALUE"""),"Pooja")</f>
        <v>Pooja</v>
      </c>
      <c r="H317" s="1"/>
      <c r="I317" s="1" t="str">
        <f>IFERROR(__xludf.DUMMYFUNCTION("""COMPUTED_VALUE"""),"Visit again few days ")</f>
        <v>Visit again few days </v>
      </c>
      <c r="J317" s="1"/>
      <c r="K317" s="3">
        <f>IFERROR(__xludf.DUMMYFUNCTION("""COMPUTED_VALUE"""),0.6256944444467081)</f>
        <v>0.6256944444</v>
      </c>
      <c r="L317" s="1" t="str">
        <f>IFERROR(__xludf.DUMMYFUNCTION("""COMPUTED_VALUE"""),"Yes")</f>
        <v>Yes</v>
      </c>
      <c r="M317" s="1" t="str">
        <f>IFERROR(__xludf.DUMMYFUNCTION("""COMPUTED_VALUE"""),"Already done ")</f>
        <v>Already done </v>
      </c>
      <c r="N317" s="1" t="str">
        <f>IFERROR(__xludf.DUMMYFUNCTION("""COMPUTED_VALUE"""),"Already done ")</f>
        <v>Already done </v>
      </c>
      <c r="O317" s="1" t="str">
        <f>IFERROR(__xludf.DUMMYFUNCTION("""COMPUTED_VALUE"""),"WA ONLY, CALL")</f>
        <v>WA ONLY, CALL</v>
      </c>
      <c r="P317" s="1" t="str">
        <f>IFERROR(__xludf.DUMMYFUNCTION("""COMPUTED_VALUE"""),"Madam")</f>
        <v>Madam</v>
      </c>
      <c r="Q317" s="1" t="str">
        <f>IFERROR(__xludf.DUMMYFUNCTION("""COMPUTED_VALUE"""),"No")</f>
        <v>No</v>
      </c>
      <c r="R317" s="1" t="str">
        <f>IFERROR(__xludf.DUMMYFUNCTION("""COMPUTED_VALUE"""),"OLD")</f>
        <v>OLD</v>
      </c>
      <c r="S317" s="1"/>
    </row>
    <row r="318">
      <c r="A318" s="2">
        <f>IFERROR(__xludf.DUMMYFUNCTION("""COMPUTED_VALUE"""),45415.762473622686)</f>
        <v>45415.76247</v>
      </c>
      <c r="B318" s="1" t="str">
        <f>IFERROR(__xludf.DUMMYFUNCTION("""COMPUTED_VALUE"""),"Amita mehta")</f>
        <v>Amita mehta</v>
      </c>
      <c r="C318" s="1"/>
      <c r="D318" s="1">
        <f>IFERROR(__xludf.DUMMYFUNCTION("""COMPUTED_VALUE"""),2.0)</f>
        <v>2</v>
      </c>
      <c r="E318" s="3">
        <f>IFERROR(__xludf.DUMMYFUNCTION("""COMPUTED_VALUE"""),0.625)</f>
        <v>0.625</v>
      </c>
      <c r="F318" s="1" t="str">
        <f>IFERROR(__xludf.DUMMYFUNCTION("""COMPUTED_VALUE"""),"Diamond")</f>
        <v>Diamond</v>
      </c>
      <c r="G318" s="1" t="str">
        <f>IFERROR(__xludf.DUMMYFUNCTION("""COMPUTED_VALUE"""),"Pooja")</f>
        <v>Pooja</v>
      </c>
      <c r="H318" s="1" t="str">
        <f>IFERROR(__xludf.DUMMYFUNCTION("""COMPUTED_VALUE"""),"Oder done")</f>
        <v>Oder done</v>
      </c>
      <c r="I318" s="1"/>
      <c r="J318" s="1"/>
      <c r="K318" s="3">
        <f>IFERROR(__xludf.DUMMYFUNCTION("""COMPUTED_VALUE"""),0.7395833333357587)</f>
        <v>0.7395833333</v>
      </c>
      <c r="L318" s="1" t="str">
        <f>IFERROR(__xludf.DUMMYFUNCTION("""COMPUTED_VALUE"""),"Yes")</f>
        <v>Yes</v>
      </c>
      <c r="M318" s="1" t="str">
        <f>IFERROR(__xludf.DUMMYFUNCTION("""COMPUTED_VALUE"""),"Already done ")</f>
        <v>Already done </v>
      </c>
      <c r="N318" s="1" t="str">
        <f>IFERROR(__xludf.DUMMYFUNCTION("""COMPUTED_VALUE"""),"Already done ")</f>
        <v>Already done </v>
      </c>
      <c r="O318" s="1" t="str">
        <f>IFERROR(__xludf.DUMMYFUNCTION("""COMPUTED_VALUE"""),"WA ONLY, OWNER CONTACT ONLY, CALL")</f>
        <v>WA ONLY, OWNER CONTACT ONLY, CALL</v>
      </c>
      <c r="P318" s="1" t="str">
        <f>IFERROR(__xludf.DUMMYFUNCTION("""COMPUTED_VALUE"""),"Madam")</f>
        <v>Madam</v>
      </c>
      <c r="Q318" s="1" t="str">
        <f>IFERROR(__xludf.DUMMYFUNCTION("""COMPUTED_VALUE"""),"No")</f>
        <v>No</v>
      </c>
      <c r="R318" s="1" t="str">
        <f>IFERROR(__xludf.DUMMYFUNCTION("""COMPUTED_VALUE"""),"OLD")</f>
        <v>OLD</v>
      </c>
      <c r="S318" s="1"/>
    </row>
    <row r="319">
      <c r="A319" s="2">
        <f>IFERROR(__xludf.DUMMYFUNCTION("""COMPUTED_VALUE"""),45416.69030659722)</f>
        <v>45416.69031</v>
      </c>
      <c r="B319" s="1" t="str">
        <f>IFERROR(__xludf.DUMMYFUNCTION("""COMPUTED_VALUE"""),"Boby")</f>
        <v>Boby</v>
      </c>
      <c r="C319" s="1">
        <f>IFERROR(__xludf.DUMMYFUNCTION("""COMPUTED_VALUE"""),9.81809325E9)</f>
        <v>9818093250</v>
      </c>
      <c r="D319" s="1">
        <f>IFERROR(__xludf.DUMMYFUNCTION("""COMPUTED_VALUE"""),1.0)</f>
        <v>1</v>
      </c>
      <c r="E319" s="3">
        <f>IFERROR(__xludf.DUMMYFUNCTION("""COMPUTED_VALUE"""),0.5805555555562023)</f>
        <v>0.5805555556</v>
      </c>
      <c r="F319" s="1" t="str">
        <f>IFERROR(__xludf.DUMMYFUNCTION("""COMPUTED_VALUE"""),"Plain Gold")</f>
        <v>Plain Gold</v>
      </c>
      <c r="G319" s="1" t="str">
        <f>IFERROR(__xludf.DUMMYFUNCTION("""COMPUTED_VALUE"""),"Pooja")</f>
        <v>Pooja</v>
      </c>
      <c r="H319" s="1"/>
      <c r="I319" s="1" t="str">
        <f>IFERROR(__xludf.DUMMYFUNCTION("""COMPUTED_VALUE"""),"Visit Again in 1 Month")</f>
        <v>Visit Again in 1 Month</v>
      </c>
      <c r="J319" s="1"/>
      <c r="K319" s="3">
        <f>IFERROR(__xludf.DUMMYFUNCTION("""COMPUTED_VALUE"""),0.5819444444423425)</f>
        <v>0.5819444444</v>
      </c>
      <c r="L319" s="1" t="str">
        <f>IFERROR(__xludf.DUMMYFUNCTION("""COMPUTED_VALUE"""),"Yes")</f>
        <v>Yes</v>
      </c>
      <c r="M319" s="1" t="str">
        <f>IFERROR(__xludf.DUMMYFUNCTION("""COMPUTED_VALUE"""),"No")</f>
        <v>No</v>
      </c>
      <c r="N319" s="1" t="str">
        <f>IFERROR(__xludf.DUMMYFUNCTION("""COMPUTED_VALUE"""),"No")</f>
        <v>No</v>
      </c>
      <c r="O319" s="1" t="str">
        <f>IFERROR(__xludf.DUMMYFUNCTION("""COMPUTED_VALUE"""),"WA ONLY, OWNER CONTACT ONLY, CALL")</f>
        <v>WA ONLY, OWNER CONTACT ONLY, CALL</v>
      </c>
      <c r="P319" s="1" t="str">
        <f>IFERROR(__xludf.DUMMYFUNCTION("""COMPUTED_VALUE"""),"Madam")</f>
        <v>Madam</v>
      </c>
      <c r="Q319" s="1" t="str">
        <f>IFERROR(__xludf.DUMMYFUNCTION("""COMPUTED_VALUE"""),"No")</f>
        <v>No</v>
      </c>
      <c r="R319" s="1" t="str">
        <f>IFERROR(__xludf.DUMMYFUNCTION("""COMPUTED_VALUE"""),"NEW WALK IN")</f>
        <v>NEW WALK IN</v>
      </c>
      <c r="S319" s="1"/>
    </row>
    <row r="320">
      <c r="A320" s="2">
        <f>IFERROR(__xludf.DUMMYFUNCTION("""COMPUTED_VALUE"""),45416.77069738426)</f>
        <v>45416.7707</v>
      </c>
      <c r="B320" s="1" t="str">
        <f>IFERROR(__xludf.DUMMYFUNCTION("""COMPUTED_VALUE"""),"Shreya sharma ")</f>
        <v>Shreya sharma </v>
      </c>
      <c r="C320" s="1">
        <f>IFERROR(__xludf.DUMMYFUNCTION("""COMPUTED_VALUE"""),8.851312233E9)</f>
        <v>8851312233</v>
      </c>
      <c r="D320" s="1">
        <f>IFERROR(__xludf.DUMMYFUNCTION("""COMPUTED_VALUE"""),2.0)</f>
        <v>2</v>
      </c>
      <c r="E320" s="3">
        <f>IFERROR(__xludf.DUMMYFUNCTION("""COMPUTED_VALUE"""),0.5208333333357587)</f>
        <v>0.5208333333</v>
      </c>
      <c r="F320" s="1" t="str">
        <f>IFERROR(__xludf.DUMMYFUNCTION("""COMPUTED_VALUE"""),"Antique Gold")</f>
        <v>Antique Gold</v>
      </c>
      <c r="G320" s="1" t="str">
        <f>IFERROR(__xludf.DUMMYFUNCTION("""COMPUTED_VALUE"""),"Chhaya")</f>
        <v>Chhaya</v>
      </c>
      <c r="H320" s="1" t="str">
        <f>IFERROR(__xludf.DUMMYFUNCTION("""COMPUTED_VALUE"""),"Antique set")</f>
        <v>Antique set</v>
      </c>
      <c r="I320" s="1"/>
      <c r="J320" s="1"/>
      <c r="K320" s="3">
        <f>IFERROR(__xludf.DUMMYFUNCTION("""COMPUTED_VALUE"""),0.7673611111094942)</f>
        <v>0.7673611111</v>
      </c>
      <c r="L320" s="1" t="str">
        <f>IFERROR(__xludf.DUMMYFUNCTION("""COMPUTED_VALUE"""),"Yes")</f>
        <v>Yes</v>
      </c>
      <c r="M320" s="1" t="str">
        <f>IFERROR(__xludf.DUMMYFUNCTION("""COMPUTED_VALUE"""),"Already done ")</f>
        <v>Already done </v>
      </c>
      <c r="N320" s="1" t="str">
        <f>IFERROR(__xludf.DUMMYFUNCTION("""COMPUTED_VALUE"""),"Already done ")</f>
        <v>Already done </v>
      </c>
      <c r="O320" s="1" t="str">
        <f>IFERROR(__xludf.DUMMYFUNCTION("""COMPUTED_VALUE"""),"WA ONLY, OWNER CONTACT ONLY, CALL")</f>
        <v>WA ONLY, OWNER CONTACT ONLY, CALL</v>
      </c>
      <c r="P320" s="1" t="str">
        <f>IFERROR(__xludf.DUMMYFUNCTION("""COMPUTED_VALUE"""),"Madam")</f>
        <v>Madam</v>
      </c>
      <c r="Q320" s="1" t="str">
        <f>IFERROR(__xludf.DUMMYFUNCTION("""COMPUTED_VALUE"""),"No")</f>
        <v>No</v>
      </c>
      <c r="R320" s="1" t="str">
        <f>IFERROR(__xludf.DUMMYFUNCTION("""COMPUTED_VALUE"""),"NEW WALK IN")</f>
        <v>NEW WALK IN</v>
      </c>
      <c r="S320" s="1"/>
    </row>
    <row r="321">
      <c r="A321" s="2">
        <f>IFERROR(__xludf.DUMMYFUNCTION("""COMPUTED_VALUE"""),45417.74699950231)</f>
        <v>45417.747</v>
      </c>
      <c r="B321" s="1" t="str">
        <f>IFERROR(__xludf.DUMMYFUNCTION("""COMPUTED_VALUE"""),"Akshay gupta")</f>
        <v>Akshay gupta</v>
      </c>
      <c r="C321" s="1">
        <f>IFERROR(__xludf.DUMMYFUNCTION("""COMPUTED_VALUE"""),9.953475761E9)</f>
        <v>9953475761</v>
      </c>
      <c r="D321" s="1">
        <f>IFERROR(__xludf.DUMMYFUNCTION("""COMPUTED_VALUE"""),3.0)</f>
        <v>3</v>
      </c>
      <c r="E321" s="3">
        <f>IFERROR(__xludf.DUMMYFUNCTION("""COMPUTED_VALUE"""),0.6062499999970896)</f>
        <v>0.60625</v>
      </c>
      <c r="F321" s="1" t="str">
        <f>IFERROR(__xludf.DUMMYFUNCTION("""COMPUTED_VALUE"""),"Antique Gold")</f>
        <v>Antique Gold</v>
      </c>
      <c r="G321" s="1" t="str">
        <f>IFERROR(__xludf.DUMMYFUNCTION("""COMPUTED_VALUE"""),"Pooja")</f>
        <v>Pooja</v>
      </c>
      <c r="H321" s="1"/>
      <c r="I321" s="1" t="str">
        <f>IFERROR(__xludf.DUMMYFUNCTION("""COMPUTED_VALUE"""),"Visit Again in 1 Month")</f>
        <v>Visit Again in 1 Month</v>
      </c>
      <c r="J321" s="1"/>
      <c r="K321" s="3">
        <f>IFERROR(__xludf.DUMMYFUNCTION("""COMPUTED_VALUE"""),0.640277777776646)</f>
        <v>0.6402777778</v>
      </c>
      <c r="L321" s="1" t="str">
        <f>IFERROR(__xludf.DUMMYFUNCTION("""COMPUTED_VALUE"""),"Yes")</f>
        <v>Yes</v>
      </c>
      <c r="M321" s="1" t="str">
        <f>IFERROR(__xludf.DUMMYFUNCTION("""COMPUTED_VALUE"""),"No")</f>
        <v>No</v>
      </c>
      <c r="N321" s="1" t="str">
        <f>IFERROR(__xludf.DUMMYFUNCTION("""COMPUTED_VALUE"""),"No")</f>
        <v>No</v>
      </c>
      <c r="O321" s="1" t="str">
        <f>IFERROR(__xludf.DUMMYFUNCTION("""COMPUTED_VALUE"""),"WA ONLY, CALL")</f>
        <v>WA ONLY, CALL</v>
      </c>
      <c r="P321" s="1" t="str">
        <f>IFERROR(__xludf.DUMMYFUNCTION("""COMPUTED_VALUE"""),"Sir")</f>
        <v>Sir</v>
      </c>
      <c r="Q321" s="1" t="str">
        <f>IFERROR(__xludf.DUMMYFUNCTION("""COMPUTED_VALUE"""),"No")</f>
        <v>No</v>
      </c>
      <c r="R321" s="1" t="str">
        <f>IFERROR(__xludf.DUMMYFUNCTION("""COMPUTED_VALUE"""),"NEW WALK IN")</f>
        <v>NEW WALK IN</v>
      </c>
      <c r="S321" s="1"/>
    </row>
    <row r="322">
      <c r="A322" s="2">
        <f>IFERROR(__xludf.DUMMYFUNCTION("""COMPUTED_VALUE"""),45417.74811714121)</f>
        <v>45417.74812</v>
      </c>
      <c r="B322" s="1" t="str">
        <f>IFERROR(__xludf.DUMMYFUNCTION("""COMPUTED_VALUE"""),"Parvesh")</f>
        <v>Parvesh</v>
      </c>
      <c r="C322" s="1">
        <f>IFERROR(__xludf.DUMMYFUNCTION("""COMPUTED_VALUE"""),9.818416046E9)</f>
        <v>9818416046</v>
      </c>
      <c r="D322" s="1">
        <f>IFERROR(__xludf.DUMMYFUNCTION("""COMPUTED_VALUE"""),1.0)</f>
        <v>1</v>
      </c>
      <c r="E322" s="3">
        <f>IFERROR(__xludf.DUMMYFUNCTION("""COMPUTED_VALUE"""),0.6208333333343035)</f>
        <v>0.6208333333</v>
      </c>
      <c r="F322" s="1" t="str">
        <f>IFERROR(__xludf.DUMMYFUNCTION("""COMPUTED_VALUE"""),"Plain Gold")</f>
        <v>Plain Gold</v>
      </c>
      <c r="G322" s="1" t="str">
        <f>IFERROR(__xludf.DUMMYFUNCTION("""COMPUTED_VALUE"""),"Deepali")</f>
        <v>Deepali</v>
      </c>
      <c r="H322" s="1" t="str">
        <f>IFERROR(__xludf.DUMMYFUNCTION("""COMPUTED_VALUE"""),"Gold ring, diamond nose pin")</f>
        <v>Gold ring, diamond nose pin</v>
      </c>
      <c r="I322" s="1"/>
      <c r="J322" s="1"/>
      <c r="K322" s="3">
        <f>IFERROR(__xludf.DUMMYFUNCTION("""COMPUTED_VALUE"""),0.7083333333357587)</f>
        <v>0.7083333333</v>
      </c>
      <c r="L322" s="1" t="str">
        <f>IFERROR(__xludf.DUMMYFUNCTION("""COMPUTED_VALUE"""),"Yes")</f>
        <v>Yes</v>
      </c>
      <c r="M322" s="1" t="str">
        <f>IFERROR(__xludf.DUMMYFUNCTION("""COMPUTED_VALUE"""),"No")</f>
        <v>No</v>
      </c>
      <c r="N322" s="1" t="str">
        <f>IFERROR(__xludf.DUMMYFUNCTION("""COMPUTED_VALUE"""),"No")</f>
        <v>No</v>
      </c>
      <c r="O322" s="1" t="str">
        <f>IFERROR(__xludf.DUMMYFUNCTION("""COMPUTED_VALUE"""),"WA ONLY, CALL")</f>
        <v>WA ONLY, CALL</v>
      </c>
      <c r="P322" s="1" t="str">
        <f>IFERROR(__xludf.DUMMYFUNCTION("""COMPUTED_VALUE"""),"Sir")</f>
        <v>Sir</v>
      </c>
      <c r="Q322" s="1" t="str">
        <f>IFERROR(__xludf.DUMMYFUNCTION("""COMPUTED_VALUE"""),"No")</f>
        <v>No</v>
      </c>
      <c r="R322" s="1" t="str">
        <f>IFERROR(__xludf.DUMMYFUNCTION("""COMPUTED_VALUE"""),"NEW WALK IN")</f>
        <v>NEW WALK IN</v>
      </c>
      <c r="S322" s="1"/>
    </row>
    <row r="323">
      <c r="A323" s="2">
        <f>IFERROR(__xludf.DUMMYFUNCTION("""COMPUTED_VALUE"""),45417.74906984954)</f>
        <v>45417.74907</v>
      </c>
      <c r="B323" s="1" t="str">
        <f>IFERROR(__xludf.DUMMYFUNCTION("""COMPUTED_VALUE"""),"Monika")</f>
        <v>Monika</v>
      </c>
      <c r="C323" s="1">
        <f>IFERROR(__xludf.DUMMYFUNCTION("""COMPUTED_VALUE"""),7.300620421E9)</f>
        <v>7300620421</v>
      </c>
      <c r="D323" s="1">
        <f>IFERROR(__xludf.DUMMYFUNCTION("""COMPUTED_VALUE"""),2.0)</f>
        <v>2</v>
      </c>
      <c r="E323" s="3">
        <f>IFERROR(__xludf.DUMMYFUNCTION("""COMPUTED_VALUE"""),0.6979166666642413)</f>
        <v>0.6979166667</v>
      </c>
      <c r="F323" s="1" t="str">
        <f>IFERROR(__xludf.DUMMYFUNCTION("""COMPUTED_VALUE"""),"Diamond")</f>
        <v>Diamond</v>
      </c>
      <c r="G323" s="1" t="str">
        <f>IFERROR(__xludf.DUMMYFUNCTION("""COMPUTED_VALUE"""),"Chhaya")</f>
        <v>Chhaya</v>
      </c>
      <c r="H323" s="1" t="str">
        <f>IFERROR(__xludf.DUMMYFUNCTION("""COMPUTED_VALUE"""),"Gold tops")</f>
        <v>Gold tops</v>
      </c>
      <c r="I323" s="1"/>
      <c r="J323" s="1"/>
      <c r="K323" s="3">
        <f>IFERROR(__xludf.DUMMYFUNCTION("""COMPUTED_VALUE"""),0.71875)</f>
        <v>0.71875</v>
      </c>
      <c r="L323" s="1" t="str">
        <f>IFERROR(__xludf.DUMMYFUNCTION("""COMPUTED_VALUE"""),"Yes")</f>
        <v>Yes</v>
      </c>
      <c r="M323" s="1" t="str">
        <f>IFERROR(__xludf.DUMMYFUNCTION("""COMPUTED_VALUE"""),"Already done ")</f>
        <v>Already done </v>
      </c>
      <c r="N323" s="1" t="str">
        <f>IFERROR(__xludf.DUMMYFUNCTION("""COMPUTED_VALUE"""),"Already done ")</f>
        <v>Already done </v>
      </c>
      <c r="O323" s="1" t="str">
        <f>IFERROR(__xludf.DUMMYFUNCTION("""COMPUTED_VALUE"""),"WA ONLY, CALL")</f>
        <v>WA ONLY, CALL</v>
      </c>
      <c r="P323" s="1" t="str">
        <f>IFERROR(__xludf.DUMMYFUNCTION("""COMPUTED_VALUE"""),"Madam")</f>
        <v>Madam</v>
      </c>
      <c r="Q323" s="1" t="str">
        <f>IFERROR(__xludf.DUMMYFUNCTION("""COMPUTED_VALUE"""),"No")</f>
        <v>No</v>
      </c>
      <c r="R323" s="1" t="str">
        <f>IFERROR(__xludf.DUMMYFUNCTION("""COMPUTED_VALUE"""),"OLD")</f>
        <v>OLD</v>
      </c>
      <c r="S323" s="1"/>
    </row>
    <row r="324">
      <c r="A324" s="2">
        <f>IFERROR(__xludf.DUMMYFUNCTION("""COMPUTED_VALUE"""),45417.76762763889)</f>
        <v>45417.76763</v>
      </c>
      <c r="B324" s="1" t="str">
        <f>IFERROR(__xludf.DUMMYFUNCTION("""COMPUTED_VALUE"""),"Nayma")</f>
        <v>Nayma</v>
      </c>
      <c r="C324" s="1">
        <f>IFERROR(__xludf.DUMMYFUNCTION("""COMPUTED_VALUE"""),9.999347862E9)</f>
        <v>9999347862</v>
      </c>
      <c r="D324" s="1">
        <f>IFERROR(__xludf.DUMMYFUNCTION("""COMPUTED_VALUE"""),2.0)</f>
        <v>2</v>
      </c>
      <c r="E324" s="3">
        <f>IFERROR(__xludf.DUMMYFUNCTION("""COMPUTED_VALUE"""),0.6513888888875954)</f>
        <v>0.6513888889</v>
      </c>
      <c r="F324" s="1" t="str">
        <f>IFERROR(__xludf.DUMMYFUNCTION("""COMPUTED_VALUE"""),"Antique Gold")</f>
        <v>Antique Gold</v>
      </c>
      <c r="G324" s="1" t="str">
        <f>IFERROR(__xludf.DUMMYFUNCTION("""COMPUTED_VALUE"""),"Pooja")</f>
        <v>Pooja</v>
      </c>
      <c r="H324" s="1" t="str">
        <f>IFERROR(__xludf.DUMMYFUNCTION("""COMPUTED_VALUE"""),"Gold ring and bali")</f>
        <v>Gold ring and bali</v>
      </c>
      <c r="I324" s="1"/>
      <c r="J324" s="1"/>
      <c r="K324" s="3">
        <f>IFERROR(__xludf.DUMMYFUNCTION("""COMPUTED_VALUE"""),0.7673611111094942)</f>
        <v>0.7673611111</v>
      </c>
      <c r="L324" s="1" t="str">
        <f>IFERROR(__xludf.DUMMYFUNCTION("""COMPUTED_VALUE"""),"Yes")</f>
        <v>Yes</v>
      </c>
      <c r="M324" s="1" t="str">
        <f>IFERROR(__xludf.DUMMYFUNCTION("""COMPUTED_VALUE"""),"Already done ")</f>
        <v>Already done </v>
      </c>
      <c r="N324" s="1" t="str">
        <f>IFERROR(__xludf.DUMMYFUNCTION("""COMPUTED_VALUE"""),"Already done ")</f>
        <v>Already done </v>
      </c>
      <c r="O324" s="1" t="str">
        <f>IFERROR(__xludf.DUMMYFUNCTION("""COMPUTED_VALUE"""),"WA ONLY, CALL")</f>
        <v>WA ONLY, CALL</v>
      </c>
      <c r="P324" s="1" t="str">
        <f>IFERROR(__xludf.DUMMYFUNCTION("""COMPUTED_VALUE"""),"Madam")</f>
        <v>Madam</v>
      </c>
      <c r="Q324" s="1" t="str">
        <f>IFERROR(__xludf.DUMMYFUNCTION("""COMPUTED_VALUE"""),"No")</f>
        <v>No</v>
      </c>
      <c r="R324" s="1" t="str">
        <f>IFERROR(__xludf.DUMMYFUNCTION("""COMPUTED_VALUE"""),"OLD")</f>
        <v>OLD</v>
      </c>
      <c r="S324" s="1"/>
    </row>
    <row r="325">
      <c r="A325" s="2">
        <f>IFERROR(__xludf.DUMMYFUNCTION("""COMPUTED_VALUE"""),45419.73223876157)</f>
        <v>45419.73224</v>
      </c>
      <c r="B325" s="1" t="str">
        <f>IFERROR(__xludf.DUMMYFUNCTION("""COMPUTED_VALUE"""),"R.k thakur")</f>
        <v>R.k thakur</v>
      </c>
      <c r="C325" s="1">
        <f>IFERROR(__xludf.DUMMYFUNCTION("""COMPUTED_VALUE"""),9.871921125E9)</f>
        <v>9871921125</v>
      </c>
      <c r="D325" s="1">
        <f>IFERROR(__xludf.DUMMYFUNCTION("""COMPUTED_VALUE"""),1.0)</f>
        <v>1</v>
      </c>
      <c r="E325" s="3">
        <f>IFERROR(__xludf.DUMMYFUNCTION("""COMPUTED_VALUE"""),0.6215277777810115)</f>
        <v>0.6215277778</v>
      </c>
      <c r="F325" s="1" t="str">
        <f>IFERROR(__xludf.DUMMYFUNCTION("""COMPUTED_VALUE"""),"Plain Gold")</f>
        <v>Plain Gold</v>
      </c>
      <c r="G325" s="1" t="str">
        <f>IFERROR(__xludf.DUMMYFUNCTION("""COMPUTED_VALUE"""),"Pooja")</f>
        <v>Pooja</v>
      </c>
      <c r="H325" s="1"/>
      <c r="I325" s="1" t="str">
        <f>IFERROR(__xludf.DUMMYFUNCTION("""COMPUTED_VALUE"""),"Want to see More Variety")</f>
        <v>Want to see More Variety</v>
      </c>
      <c r="J325" s="1"/>
      <c r="K325" s="3">
        <f>IFERROR(__xludf.DUMMYFUNCTION("""COMPUTED_VALUE"""),0.6319444444452529)</f>
        <v>0.6319444444</v>
      </c>
      <c r="L325" s="1" t="str">
        <f>IFERROR(__xludf.DUMMYFUNCTION("""COMPUTED_VALUE"""),"Yes")</f>
        <v>Yes</v>
      </c>
      <c r="M325" s="1" t="str">
        <f>IFERROR(__xludf.DUMMYFUNCTION("""COMPUTED_VALUE"""),"No")</f>
        <v>No</v>
      </c>
      <c r="N325" s="1" t="str">
        <f>IFERROR(__xludf.DUMMYFUNCTION("""COMPUTED_VALUE"""),"No")</f>
        <v>No</v>
      </c>
      <c r="O325" s="1" t="str">
        <f>IFERROR(__xludf.DUMMYFUNCTION("""COMPUTED_VALUE"""),"WA ONLY, CALL")</f>
        <v>WA ONLY, CALL</v>
      </c>
      <c r="P325" s="1" t="str">
        <f>IFERROR(__xludf.DUMMYFUNCTION("""COMPUTED_VALUE"""),"Sir")</f>
        <v>Sir</v>
      </c>
      <c r="Q325" s="1" t="str">
        <f>IFERROR(__xludf.DUMMYFUNCTION("""COMPUTED_VALUE"""),"No")</f>
        <v>No</v>
      </c>
      <c r="R325" s="1" t="str">
        <f>IFERROR(__xludf.DUMMYFUNCTION("""COMPUTED_VALUE"""),"NEW WALK IN")</f>
        <v>NEW WALK IN</v>
      </c>
      <c r="S325" s="1"/>
    </row>
    <row r="326">
      <c r="A326" s="2">
        <f>IFERROR(__xludf.DUMMYFUNCTION("""COMPUTED_VALUE"""),45419.73299027778)</f>
        <v>45419.73299</v>
      </c>
      <c r="B326" s="1" t="str">
        <f>IFERROR(__xludf.DUMMYFUNCTION("""COMPUTED_VALUE"""),"Shital Arora ")</f>
        <v>Shital Arora </v>
      </c>
      <c r="C326" s="1">
        <f>IFERROR(__xludf.DUMMYFUNCTION("""COMPUTED_VALUE"""),9.717700546E9)</f>
        <v>9717700546</v>
      </c>
      <c r="D326" s="1">
        <f>IFERROR(__xludf.DUMMYFUNCTION("""COMPUTED_VALUE"""),1.0)</f>
        <v>1</v>
      </c>
      <c r="E326" s="3">
        <f>IFERROR(__xludf.DUMMYFUNCTION("""COMPUTED_VALUE"""),0.5486111111094942)</f>
        <v>0.5486111111</v>
      </c>
      <c r="F326" s="1" t="str">
        <f>IFERROR(__xludf.DUMMYFUNCTION("""COMPUTED_VALUE"""),"Antique Gold")</f>
        <v>Antique Gold</v>
      </c>
      <c r="G326" s="1" t="str">
        <f>IFERROR(__xludf.DUMMYFUNCTION("""COMPUTED_VALUE"""),"Chhaya")</f>
        <v>Chhaya</v>
      </c>
      <c r="H326" s="1"/>
      <c r="I326" s="1" t="str">
        <f>IFERROR(__xludf.DUMMYFUNCTION("""COMPUTED_VALUE"""),"Give Payment")</f>
        <v>Give Payment</v>
      </c>
      <c r="J326" s="1"/>
      <c r="K326" s="3">
        <f>IFERROR(__xludf.DUMMYFUNCTION("""COMPUTED_VALUE"""),0.6909722222189885)</f>
        <v>0.6909722222</v>
      </c>
      <c r="L326" s="1" t="str">
        <f>IFERROR(__xludf.DUMMYFUNCTION("""COMPUTED_VALUE"""),"Yes")</f>
        <v>Yes</v>
      </c>
      <c r="M326" s="1" t="str">
        <f>IFERROR(__xludf.DUMMYFUNCTION("""COMPUTED_VALUE"""),"Already done")</f>
        <v>Already done</v>
      </c>
      <c r="N326" s="1" t="str">
        <f>IFERROR(__xludf.DUMMYFUNCTION("""COMPUTED_VALUE"""),"Already done")</f>
        <v>Already done</v>
      </c>
      <c r="O326" s="1" t="str">
        <f>IFERROR(__xludf.DUMMYFUNCTION("""COMPUTED_VALUE"""),"WA ONLY, OWNER CONTACT ONLY, CALL")</f>
        <v>WA ONLY, OWNER CONTACT ONLY, CALL</v>
      </c>
      <c r="P326" s="1" t="str">
        <f>IFERROR(__xludf.DUMMYFUNCTION("""COMPUTED_VALUE"""),"Madam")</f>
        <v>Madam</v>
      </c>
      <c r="Q326" s="1" t="str">
        <f>IFERROR(__xludf.DUMMYFUNCTION("""COMPUTED_VALUE"""),"No")</f>
        <v>No</v>
      </c>
      <c r="R326" s="1" t="str">
        <f>IFERROR(__xludf.DUMMYFUNCTION("""COMPUTED_VALUE"""),"OLD")</f>
        <v>OLD</v>
      </c>
      <c r="S326" s="1"/>
    </row>
    <row r="327">
      <c r="A327" s="2">
        <f>IFERROR(__xludf.DUMMYFUNCTION("""COMPUTED_VALUE"""),45420.72631251157)</f>
        <v>45420.72631</v>
      </c>
      <c r="B327" s="1" t="str">
        <f>IFERROR(__xludf.DUMMYFUNCTION("""COMPUTED_VALUE"""),"Raman sharma")</f>
        <v>Raman sharma</v>
      </c>
      <c r="C327" s="1">
        <f>IFERROR(__xludf.DUMMYFUNCTION("""COMPUTED_VALUE"""),9.971149898E9)</f>
        <v>9971149898</v>
      </c>
      <c r="D327" s="1">
        <f>IFERROR(__xludf.DUMMYFUNCTION("""COMPUTED_VALUE"""),1.0)</f>
        <v>1</v>
      </c>
      <c r="E327" s="3">
        <f>IFERROR(__xludf.DUMMYFUNCTION("""COMPUTED_VALUE"""),0.6041666666642413)</f>
        <v>0.6041666667</v>
      </c>
      <c r="F327" s="1" t="str">
        <f>IFERROR(__xludf.DUMMYFUNCTION("""COMPUTED_VALUE"""),"Diamond")</f>
        <v>Diamond</v>
      </c>
      <c r="G327" s="1" t="str">
        <f>IFERROR(__xludf.DUMMYFUNCTION("""COMPUTED_VALUE"""),"Chhaya")</f>
        <v>Chhaya</v>
      </c>
      <c r="H327" s="1" t="str">
        <f>IFERROR(__xludf.DUMMYFUNCTION("""COMPUTED_VALUE"""),"Diamond ring")</f>
        <v>Diamond ring</v>
      </c>
      <c r="I327" s="1"/>
      <c r="J327" s="1"/>
      <c r="K327" s="3">
        <f>IFERROR(__xludf.DUMMYFUNCTION("""COMPUTED_VALUE"""),0.6909722222189885)</f>
        <v>0.6909722222</v>
      </c>
      <c r="L327" s="1" t="str">
        <f>IFERROR(__xludf.DUMMYFUNCTION("""COMPUTED_VALUE"""),"Yes")</f>
        <v>Yes</v>
      </c>
      <c r="M327" s="1" t="str">
        <f>IFERROR(__xludf.DUMMYFUNCTION("""COMPUTED_VALUE"""),"Already done")</f>
        <v>Already done</v>
      </c>
      <c r="N327" s="1" t="str">
        <f>IFERROR(__xludf.DUMMYFUNCTION("""COMPUTED_VALUE"""),"Already done ")</f>
        <v>Already done </v>
      </c>
      <c r="O327" s="1" t="str">
        <f>IFERROR(__xludf.DUMMYFUNCTION("""COMPUTED_VALUE"""),"WA ONLY, OWNER CONTACT ONLY, CALL")</f>
        <v>WA ONLY, OWNER CONTACT ONLY, CALL</v>
      </c>
      <c r="P327" s="1" t="str">
        <f>IFERROR(__xludf.DUMMYFUNCTION("""COMPUTED_VALUE"""),"Sir")</f>
        <v>Sir</v>
      </c>
      <c r="Q327" s="1" t="str">
        <f>IFERROR(__xludf.DUMMYFUNCTION("""COMPUTED_VALUE"""),"No")</f>
        <v>No</v>
      </c>
      <c r="R327" s="1" t="str">
        <f>IFERROR(__xludf.DUMMYFUNCTION("""COMPUTED_VALUE"""),"OLD")</f>
        <v>OLD</v>
      </c>
      <c r="S327" s="1"/>
    </row>
    <row r="328">
      <c r="A328" s="2">
        <f>IFERROR(__xludf.DUMMYFUNCTION("""COMPUTED_VALUE"""),45420.76732010416)</f>
        <v>45420.76732</v>
      </c>
      <c r="B328" s="1" t="str">
        <f>IFERROR(__xludf.DUMMYFUNCTION("""COMPUTED_VALUE"""),"Vinod ")</f>
        <v>Vinod </v>
      </c>
      <c r="C328" s="1">
        <f>IFERROR(__xludf.DUMMYFUNCTION("""COMPUTED_VALUE"""),9.711668159E9)</f>
        <v>9711668159</v>
      </c>
      <c r="D328" s="1">
        <f>IFERROR(__xludf.DUMMYFUNCTION("""COMPUTED_VALUE"""),1.0)</f>
        <v>1</v>
      </c>
      <c r="E328" s="3">
        <f>IFERROR(__xludf.DUMMYFUNCTION("""COMPUTED_VALUE"""),0.7249999999985448)</f>
        <v>0.725</v>
      </c>
      <c r="F328" s="1" t="str">
        <f>IFERROR(__xludf.DUMMYFUNCTION("""COMPUTED_VALUE"""),"Plain Gold")</f>
        <v>Plain Gold</v>
      </c>
      <c r="G328" s="1" t="str">
        <f>IFERROR(__xludf.DUMMYFUNCTION("""COMPUTED_VALUE"""),"Pooja")</f>
        <v>Pooja</v>
      </c>
      <c r="H328" s="1" t="str">
        <f>IFERROR(__xludf.DUMMYFUNCTION("""COMPUTED_VALUE"""),"Gold mang tika")</f>
        <v>Gold mang tika</v>
      </c>
      <c r="I328" s="1"/>
      <c r="J328" s="1"/>
      <c r="K328" s="3">
        <f>IFERROR(__xludf.DUMMYFUNCTION("""COMPUTED_VALUE"""),0.7666666666627862)</f>
        <v>0.7666666667</v>
      </c>
      <c r="L328" s="1" t="str">
        <f>IFERROR(__xludf.DUMMYFUNCTION("""COMPUTED_VALUE"""),"Yes")</f>
        <v>Yes</v>
      </c>
      <c r="M328" s="1" t="str">
        <f>IFERROR(__xludf.DUMMYFUNCTION("""COMPUTED_VALUE"""),"Yes")</f>
        <v>Yes</v>
      </c>
      <c r="N328" s="1" t="str">
        <f>IFERROR(__xludf.DUMMYFUNCTION("""COMPUTED_VALUE"""),"No")</f>
        <v>No</v>
      </c>
      <c r="O328" s="1" t="str">
        <f>IFERROR(__xludf.DUMMYFUNCTION("""COMPUTED_VALUE"""),"WA ONLY, CALL")</f>
        <v>WA ONLY, CALL</v>
      </c>
      <c r="P328" s="1" t="str">
        <f>IFERROR(__xludf.DUMMYFUNCTION("""COMPUTED_VALUE"""),"Sir")</f>
        <v>Sir</v>
      </c>
      <c r="Q328" s="1" t="str">
        <f>IFERROR(__xludf.DUMMYFUNCTION("""COMPUTED_VALUE"""),"No")</f>
        <v>No</v>
      </c>
      <c r="R328" s="1" t="str">
        <f>IFERROR(__xludf.DUMMYFUNCTION("""COMPUTED_VALUE"""),"NEW WALK IN")</f>
        <v>NEW WALK IN</v>
      </c>
      <c r="S328" s="1"/>
    </row>
    <row r="329">
      <c r="A329" s="2">
        <f>IFERROR(__xludf.DUMMYFUNCTION("""COMPUTED_VALUE"""),45420.771912638884)</f>
        <v>45420.77191</v>
      </c>
      <c r="B329" s="1" t="str">
        <f>IFERROR(__xludf.DUMMYFUNCTION("""COMPUTED_VALUE"""),"Nayma")</f>
        <v>Nayma</v>
      </c>
      <c r="C329" s="1">
        <f>IFERROR(__xludf.DUMMYFUNCTION("""COMPUTED_VALUE"""),9.999347862E9)</f>
        <v>9999347862</v>
      </c>
      <c r="D329" s="1">
        <f>IFERROR(__xludf.DUMMYFUNCTION("""COMPUTED_VALUE"""),2.0)</f>
        <v>2</v>
      </c>
      <c r="E329" s="3">
        <f>IFERROR(__xludf.DUMMYFUNCTION("""COMPUTED_VALUE"""),0.7437500000014552)</f>
        <v>0.74375</v>
      </c>
      <c r="F329" s="1" t="str">
        <f>IFERROR(__xludf.DUMMYFUNCTION("""COMPUTED_VALUE"""),"Plain Gold")</f>
        <v>Plain Gold</v>
      </c>
      <c r="G329" s="1" t="str">
        <f>IFERROR(__xludf.DUMMYFUNCTION("""COMPUTED_VALUE"""),"Pooja")</f>
        <v>Pooja</v>
      </c>
      <c r="H329" s="1" t="str">
        <f>IFERROR(__xludf.DUMMYFUNCTION("""COMPUTED_VALUE"""),"Gold bali")</f>
        <v>Gold bali</v>
      </c>
      <c r="I329" s="1"/>
      <c r="J329" s="1"/>
      <c r="K329" s="3">
        <f>IFERROR(__xludf.DUMMYFUNCTION("""COMPUTED_VALUE"""),0.7680555555562023)</f>
        <v>0.7680555556</v>
      </c>
      <c r="L329" s="1" t="str">
        <f>IFERROR(__xludf.DUMMYFUNCTION("""COMPUTED_VALUE"""),"Yes")</f>
        <v>Yes</v>
      </c>
      <c r="M329" s="1" t="str">
        <f>IFERROR(__xludf.DUMMYFUNCTION("""COMPUTED_VALUE"""),"Already done ")</f>
        <v>Already done </v>
      </c>
      <c r="N329" s="1" t="str">
        <f>IFERROR(__xludf.DUMMYFUNCTION("""COMPUTED_VALUE"""),"Already done")</f>
        <v>Already done</v>
      </c>
      <c r="O329" s="1" t="str">
        <f>IFERROR(__xludf.DUMMYFUNCTION("""COMPUTED_VALUE"""),"WA ONLY, CALL")</f>
        <v>WA ONLY, CALL</v>
      </c>
      <c r="P329" s="1" t="str">
        <f>IFERROR(__xludf.DUMMYFUNCTION("""COMPUTED_VALUE"""),"Madam")</f>
        <v>Madam</v>
      </c>
      <c r="Q329" s="1" t="str">
        <f>IFERROR(__xludf.DUMMYFUNCTION("""COMPUTED_VALUE"""),"No")</f>
        <v>No</v>
      </c>
      <c r="R329" s="1" t="str">
        <f>IFERROR(__xludf.DUMMYFUNCTION("""COMPUTED_VALUE"""),"OLD")</f>
        <v>OLD</v>
      </c>
      <c r="S329" s="1"/>
    </row>
    <row r="330">
      <c r="A330" s="2">
        <f>IFERROR(__xludf.DUMMYFUNCTION("""COMPUTED_VALUE"""),45420.81668712963)</f>
        <v>45420.81669</v>
      </c>
      <c r="B330" s="1" t="str">
        <f>IFERROR(__xludf.DUMMYFUNCTION("""COMPUTED_VALUE"""),"Md.imran")</f>
        <v>Md.imran</v>
      </c>
      <c r="C330" s="1">
        <f>IFERROR(__xludf.DUMMYFUNCTION("""COMPUTED_VALUE"""),9.9990054084E10)</f>
        <v>99990054084</v>
      </c>
      <c r="D330" s="1">
        <f>IFERROR(__xludf.DUMMYFUNCTION("""COMPUTED_VALUE"""),1.0)</f>
        <v>1</v>
      </c>
      <c r="E330" s="3">
        <f>IFERROR(__xludf.DUMMYFUNCTION("""COMPUTED_VALUE"""),0.7486111111065838)</f>
        <v>0.7486111111</v>
      </c>
      <c r="F330" s="1" t="str">
        <f>IFERROR(__xludf.DUMMYFUNCTION("""COMPUTED_VALUE"""),"Plain Gold")</f>
        <v>Plain Gold</v>
      </c>
      <c r="G330" s="1" t="str">
        <f>IFERROR(__xludf.DUMMYFUNCTION("""COMPUTED_VALUE"""),"Pooja")</f>
        <v>Pooja</v>
      </c>
      <c r="H330" s="1" t="str">
        <f>IFERROR(__xludf.DUMMYFUNCTION("""COMPUTED_VALUE"""),"Gold set")</f>
        <v>Gold set</v>
      </c>
      <c r="I330" s="1"/>
      <c r="J330" s="1"/>
      <c r="K330" s="3">
        <f>IFERROR(__xludf.DUMMYFUNCTION("""COMPUTED_VALUE"""),0.8166666666656965)</f>
        <v>0.8166666667</v>
      </c>
      <c r="L330" s="1" t="str">
        <f>IFERROR(__xludf.DUMMYFUNCTION("""COMPUTED_VALUE"""),"Yes")</f>
        <v>Yes</v>
      </c>
      <c r="M330" s="1" t="str">
        <f>IFERROR(__xludf.DUMMYFUNCTION("""COMPUTED_VALUE"""),"es")</f>
        <v>es</v>
      </c>
      <c r="N330" s="1"/>
      <c r="O330" s="1" t="str">
        <f>IFERROR(__xludf.DUMMYFUNCTION("""COMPUTED_VALUE"""),"WA ONLY, CALL")</f>
        <v>WA ONLY, CALL</v>
      </c>
      <c r="P330" s="1" t="str">
        <f>IFERROR(__xludf.DUMMYFUNCTION("""COMPUTED_VALUE"""),"Sir")</f>
        <v>Sir</v>
      </c>
      <c r="Q330" s="1" t="str">
        <f>IFERROR(__xludf.DUMMYFUNCTION("""COMPUTED_VALUE"""),"No")</f>
        <v>No</v>
      </c>
      <c r="R330" s="1" t="str">
        <f>IFERROR(__xludf.DUMMYFUNCTION("""COMPUTED_VALUE"""),"NEW WALK IN")</f>
        <v>NEW WALK IN</v>
      </c>
      <c r="S330" s="1"/>
    </row>
    <row r="331">
      <c r="A331" s="2">
        <f>IFERROR(__xludf.DUMMYFUNCTION("""COMPUTED_VALUE"""),45421.748873136574)</f>
        <v>45421.74887</v>
      </c>
      <c r="B331" s="1" t="str">
        <f>IFERROR(__xludf.DUMMYFUNCTION("""COMPUTED_VALUE"""),"Gunisha")</f>
        <v>Gunisha</v>
      </c>
      <c r="C331" s="1">
        <f>IFERROR(__xludf.DUMMYFUNCTION("""COMPUTED_VALUE"""),8.59528338E9)</f>
        <v>8595283380</v>
      </c>
      <c r="D331" s="1">
        <f>IFERROR(__xludf.DUMMYFUNCTION("""COMPUTED_VALUE"""),1.0)</f>
        <v>1</v>
      </c>
      <c r="E331" s="3">
        <f>IFERROR(__xludf.DUMMYFUNCTION("""COMPUTED_VALUE"""),0.5409722222248092)</f>
        <v>0.5409722222</v>
      </c>
      <c r="F331" s="1" t="str">
        <f>IFERROR(__xludf.DUMMYFUNCTION("""COMPUTED_VALUE"""),"Plain Gold")</f>
        <v>Plain Gold</v>
      </c>
      <c r="G331" s="1" t="str">
        <f>IFERROR(__xludf.DUMMYFUNCTION("""COMPUTED_VALUE"""),"Pooja")</f>
        <v>Pooja</v>
      </c>
      <c r="H331" s="1" t="str">
        <f>IFERROR(__xludf.DUMMYFUNCTION("""COMPUTED_VALUE"""),"Gold ring ")</f>
        <v>Gold ring </v>
      </c>
      <c r="I331" s="1"/>
      <c r="J331" s="1"/>
      <c r="K331" s="3">
        <f>IFERROR(__xludf.DUMMYFUNCTION("""COMPUTED_VALUE"""),0.5715277777781012)</f>
        <v>0.5715277778</v>
      </c>
      <c r="L331" s="1" t="str">
        <f>IFERROR(__xludf.DUMMYFUNCTION("""COMPUTED_VALUE"""),"Yes")</f>
        <v>Yes</v>
      </c>
      <c r="M331" s="1" t="str">
        <f>IFERROR(__xludf.DUMMYFUNCTION("""COMPUTED_VALUE"""),"Already done")</f>
        <v>Already done</v>
      </c>
      <c r="N331" s="1" t="str">
        <f>IFERROR(__xludf.DUMMYFUNCTION("""COMPUTED_VALUE"""),"Already done")</f>
        <v>Already done</v>
      </c>
      <c r="O331" s="1" t="str">
        <f>IFERROR(__xludf.DUMMYFUNCTION("""COMPUTED_VALUE"""),"WA ONLY, CALL")</f>
        <v>WA ONLY, CALL</v>
      </c>
      <c r="P331" s="1" t="str">
        <f>IFERROR(__xludf.DUMMYFUNCTION("""COMPUTED_VALUE"""),"Madam")</f>
        <v>Madam</v>
      </c>
      <c r="Q331" s="1" t="str">
        <f>IFERROR(__xludf.DUMMYFUNCTION("""COMPUTED_VALUE"""),"No")</f>
        <v>No</v>
      </c>
      <c r="R331" s="1" t="str">
        <f>IFERROR(__xludf.DUMMYFUNCTION("""COMPUTED_VALUE"""),"OLD")</f>
        <v>OLD</v>
      </c>
      <c r="S331" s="1"/>
    </row>
    <row r="332">
      <c r="A332" s="2">
        <f>IFERROR(__xludf.DUMMYFUNCTION("""COMPUTED_VALUE"""),45421.76232796296)</f>
        <v>45421.76233</v>
      </c>
      <c r="B332" s="1" t="str">
        <f>IFERROR(__xludf.DUMMYFUNCTION("""COMPUTED_VALUE"""),"Imran")</f>
        <v>Imran</v>
      </c>
      <c r="C332" s="1">
        <f>IFERROR(__xludf.DUMMYFUNCTION("""COMPUTED_VALUE"""),9.990054084E9)</f>
        <v>9990054084</v>
      </c>
      <c r="D332" s="1">
        <f>IFERROR(__xludf.DUMMYFUNCTION("""COMPUTED_VALUE"""),2.0)</f>
        <v>2</v>
      </c>
      <c r="E332" s="3">
        <f>IFERROR(__xludf.DUMMYFUNCTION("""COMPUTED_VALUE"""),0.7118055555547471)</f>
        <v>0.7118055556</v>
      </c>
      <c r="F332" s="1" t="str">
        <f>IFERROR(__xludf.DUMMYFUNCTION("""COMPUTED_VALUE"""),"Plain Gold")</f>
        <v>Plain Gold</v>
      </c>
      <c r="G332" s="1" t="str">
        <f>IFERROR(__xludf.DUMMYFUNCTION("""COMPUTED_VALUE"""),"Chhaya")</f>
        <v>Chhaya</v>
      </c>
      <c r="H332" s="1"/>
      <c r="I332" s="1" t="str">
        <f>IFERROR(__xludf.DUMMYFUNCTION("""COMPUTED_VALUE"""),"Pick up Order")</f>
        <v>Pick up Order</v>
      </c>
      <c r="J332" s="1"/>
      <c r="K332" s="3">
        <f>IFERROR(__xludf.DUMMYFUNCTION("""COMPUTED_VALUE"""),0.7624999999970896)</f>
        <v>0.7625</v>
      </c>
      <c r="L332" s="1" t="str">
        <f>IFERROR(__xludf.DUMMYFUNCTION("""COMPUTED_VALUE"""),"Yes")</f>
        <v>Yes</v>
      </c>
      <c r="M332" s="1" t="str">
        <f>IFERROR(__xludf.DUMMYFUNCTION("""COMPUTED_VALUE"""),"Already done ")</f>
        <v>Already done </v>
      </c>
      <c r="N332" s="1" t="str">
        <f>IFERROR(__xludf.DUMMYFUNCTION("""COMPUTED_VALUE"""),"Already done ")</f>
        <v>Already done </v>
      </c>
      <c r="O332" s="1" t="str">
        <f>IFERROR(__xludf.DUMMYFUNCTION("""COMPUTED_VALUE"""),"WA ONLY, CALL")</f>
        <v>WA ONLY, CALL</v>
      </c>
      <c r="P332" s="1" t="str">
        <f>IFERROR(__xludf.DUMMYFUNCTION("""COMPUTED_VALUE"""),"Sir")</f>
        <v>Sir</v>
      </c>
      <c r="Q332" s="1" t="str">
        <f>IFERROR(__xludf.DUMMYFUNCTION("""COMPUTED_VALUE"""),"No")</f>
        <v>No</v>
      </c>
      <c r="R332" s="1" t="str">
        <f>IFERROR(__xludf.DUMMYFUNCTION("""COMPUTED_VALUE"""),"OLD")</f>
        <v>OLD</v>
      </c>
      <c r="S332" s="1"/>
    </row>
    <row r="333">
      <c r="A333" s="2">
        <f>IFERROR(__xludf.DUMMYFUNCTION("""COMPUTED_VALUE"""),45421.805520208334)</f>
        <v>45421.80552</v>
      </c>
      <c r="B333" s="1" t="str">
        <f>IFERROR(__xludf.DUMMYFUNCTION("""COMPUTED_VALUE"""),"Souranshi")</f>
        <v>Souranshi</v>
      </c>
      <c r="C333" s="1">
        <f>IFERROR(__xludf.DUMMYFUNCTION("""COMPUTED_VALUE"""),8.909741255E9)</f>
        <v>8909741255</v>
      </c>
      <c r="D333" s="1">
        <f>IFERROR(__xludf.DUMMYFUNCTION("""COMPUTED_VALUE"""),1.0)</f>
        <v>1</v>
      </c>
      <c r="E333" s="3">
        <f>IFERROR(__xludf.DUMMYFUNCTION("""COMPUTED_VALUE"""),0.7819444444467081)</f>
        <v>0.7819444444</v>
      </c>
      <c r="F333" s="1" t="str">
        <f>IFERROR(__xludf.DUMMYFUNCTION("""COMPUTED_VALUE"""),"Antique Gold")</f>
        <v>Antique Gold</v>
      </c>
      <c r="G333" s="1" t="str">
        <f>IFERROR(__xludf.DUMMYFUNCTION("""COMPUTED_VALUE"""),"Pooja")</f>
        <v>Pooja</v>
      </c>
      <c r="H333" s="1"/>
      <c r="I333" s="1" t="str">
        <f>IFERROR(__xludf.DUMMYFUNCTION("""COMPUTED_VALUE"""),"Visit Again in 1 Month")</f>
        <v>Visit Again in 1 Month</v>
      </c>
      <c r="J333" s="1"/>
      <c r="K333" s="3">
        <f>IFERROR(__xludf.DUMMYFUNCTION("""COMPUTED_VALUE"""),0.8041666666686069)</f>
        <v>0.8041666667</v>
      </c>
      <c r="L333" s="1" t="str">
        <f>IFERROR(__xludf.DUMMYFUNCTION("""COMPUTED_VALUE"""),"Yes")</f>
        <v>Yes</v>
      </c>
      <c r="M333" s="1" t="str">
        <f>IFERROR(__xludf.DUMMYFUNCTION("""COMPUTED_VALUE"""),"No")</f>
        <v>No</v>
      </c>
      <c r="N333" s="1" t="str">
        <f>IFERROR(__xludf.DUMMYFUNCTION("""COMPUTED_VALUE"""),"No")</f>
        <v>No</v>
      </c>
      <c r="O333" s="1" t="str">
        <f>IFERROR(__xludf.DUMMYFUNCTION("""COMPUTED_VALUE"""),"WA ONLY, CALL")</f>
        <v>WA ONLY, CALL</v>
      </c>
      <c r="P333" s="1" t="str">
        <f>IFERROR(__xludf.DUMMYFUNCTION("""COMPUTED_VALUE"""),"Madam")</f>
        <v>Madam</v>
      </c>
      <c r="Q333" s="1" t="str">
        <f>IFERROR(__xludf.DUMMYFUNCTION("""COMPUTED_VALUE"""),"No")</f>
        <v>No</v>
      </c>
      <c r="R333" s="1" t="str">
        <f>IFERROR(__xludf.DUMMYFUNCTION("""COMPUTED_VALUE"""),"NEW WALK IN")</f>
        <v>NEW WALK IN</v>
      </c>
      <c r="S333" s="1"/>
    </row>
    <row r="334">
      <c r="A334" s="2">
        <f>IFERROR(__xludf.DUMMYFUNCTION("""COMPUTED_VALUE"""),45421.82413862269)</f>
        <v>45421.82414</v>
      </c>
      <c r="B334" s="1" t="str">
        <f>IFERROR(__xludf.DUMMYFUNCTION("""COMPUTED_VALUE"""),"Mosim")</f>
        <v>Mosim</v>
      </c>
      <c r="C334" s="1">
        <f>IFERROR(__xludf.DUMMYFUNCTION("""COMPUTED_VALUE"""),9.810287478E9)</f>
        <v>9810287478</v>
      </c>
      <c r="D334" s="1">
        <f>IFERROR(__xludf.DUMMYFUNCTION("""COMPUTED_VALUE"""),1.0)</f>
        <v>1</v>
      </c>
      <c r="E334" s="3">
        <f>IFERROR(__xludf.DUMMYFUNCTION("""COMPUTED_VALUE"""),0.7708333333357587)</f>
        <v>0.7708333333</v>
      </c>
      <c r="F334" s="1" t="str">
        <f>IFERROR(__xludf.DUMMYFUNCTION("""COMPUTED_VALUE"""),"Diamond")</f>
        <v>Diamond</v>
      </c>
      <c r="G334" s="1" t="str">
        <f>IFERROR(__xludf.DUMMYFUNCTION("""COMPUTED_VALUE"""),"Chhaya")</f>
        <v>Chhaya</v>
      </c>
      <c r="H334" s="1" t="str">
        <f>IFERROR(__xludf.DUMMYFUNCTION("""COMPUTED_VALUE"""),"Diamond ring,tops")</f>
        <v>Diamond ring,tops</v>
      </c>
      <c r="I334" s="1"/>
      <c r="J334" s="1"/>
      <c r="K334" s="3">
        <f>IFERROR(__xludf.DUMMYFUNCTION("""COMPUTED_VALUE"""),0.8208333333313931)</f>
        <v>0.8208333333</v>
      </c>
      <c r="L334" s="1" t="str">
        <f>IFERROR(__xludf.DUMMYFUNCTION("""COMPUTED_VALUE"""),"Yes")</f>
        <v>Yes</v>
      </c>
      <c r="M334" s="1" t="str">
        <f>IFERROR(__xludf.DUMMYFUNCTION("""COMPUTED_VALUE"""),"Already done")</f>
        <v>Already done</v>
      </c>
      <c r="N334" s="1" t="str">
        <f>IFERROR(__xludf.DUMMYFUNCTION("""COMPUTED_VALUE"""),"Already done")</f>
        <v>Already done</v>
      </c>
      <c r="O334" s="1" t="str">
        <f>IFERROR(__xludf.DUMMYFUNCTION("""COMPUTED_VALUE"""),"WA ONLY, CALL")</f>
        <v>WA ONLY, CALL</v>
      </c>
      <c r="P334" s="1" t="str">
        <f>IFERROR(__xludf.DUMMYFUNCTION("""COMPUTED_VALUE"""),"Sir")</f>
        <v>Sir</v>
      </c>
      <c r="Q334" s="1" t="str">
        <f>IFERROR(__xludf.DUMMYFUNCTION("""COMPUTED_VALUE"""),"No")</f>
        <v>No</v>
      </c>
      <c r="R334" s="1" t="str">
        <f>IFERROR(__xludf.DUMMYFUNCTION("""COMPUTED_VALUE"""),"OLD")</f>
        <v>OLD</v>
      </c>
      <c r="S334" s="1"/>
    </row>
    <row r="335">
      <c r="A335" s="2">
        <f>IFERROR(__xludf.DUMMYFUNCTION("""COMPUTED_VALUE"""),45422.73433331019)</f>
        <v>45422.73433</v>
      </c>
      <c r="B335" s="1" t="str">
        <f>IFERROR(__xludf.DUMMYFUNCTION("""COMPUTED_VALUE"""),"Priya")</f>
        <v>Priya</v>
      </c>
      <c r="C335" s="1">
        <f>IFERROR(__xludf.DUMMYFUNCTION("""COMPUTED_VALUE"""),9.26851437E9)</f>
        <v>9268514370</v>
      </c>
      <c r="D335" s="1">
        <f>IFERROR(__xludf.DUMMYFUNCTION("""COMPUTED_VALUE"""),1.0)</f>
        <v>1</v>
      </c>
      <c r="E335" s="3">
        <f>IFERROR(__xludf.DUMMYFUNCTION("""COMPUTED_VALUE"""),0.6215277777810115)</f>
        <v>0.6215277778</v>
      </c>
      <c r="F335" s="1" t="str">
        <f>IFERROR(__xludf.DUMMYFUNCTION("""COMPUTED_VALUE"""),"Plain Gold")</f>
        <v>Plain Gold</v>
      </c>
      <c r="G335" s="1" t="str">
        <f>IFERROR(__xludf.DUMMYFUNCTION("""COMPUTED_VALUE"""),"Pooja")</f>
        <v>Pooja</v>
      </c>
      <c r="H335" s="1"/>
      <c r="I335" s="1" t="str">
        <f>IFERROR(__xludf.DUMMYFUNCTION("""COMPUTED_VALUE"""),"Visit Again in 1 Month")</f>
        <v>Visit Again in 1 Month</v>
      </c>
      <c r="J335" s="1"/>
      <c r="K335" s="3">
        <f>IFERROR(__xludf.DUMMYFUNCTION("""COMPUTED_VALUE"""),0.6319444444452529)</f>
        <v>0.6319444444</v>
      </c>
      <c r="L335" s="1" t="str">
        <f>IFERROR(__xludf.DUMMYFUNCTION("""COMPUTED_VALUE"""),"Yes")</f>
        <v>Yes</v>
      </c>
      <c r="M335" s="1" t="str">
        <f>IFERROR(__xludf.DUMMYFUNCTION("""COMPUTED_VALUE"""),"No")</f>
        <v>No</v>
      </c>
      <c r="N335" s="1" t="str">
        <f>IFERROR(__xludf.DUMMYFUNCTION("""COMPUTED_VALUE"""),"No")</f>
        <v>No</v>
      </c>
      <c r="O335" s="1" t="str">
        <f>IFERROR(__xludf.DUMMYFUNCTION("""COMPUTED_VALUE"""),"WA ONLY, CALL")</f>
        <v>WA ONLY, CALL</v>
      </c>
      <c r="P335" s="1" t="str">
        <f>IFERROR(__xludf.DUMMYFUNCTION("""COMPUTED_VALUE"""),"Madam")</f>
        <v>Madam</v>
      </c>
      <c r="Q335" s="1" t="str">
        <f>IFERROR(__xludf.DUMMYFUNCTION("""COMPUTED_VALUE"""),"No")</f>
        <v>No</v>
      </c>
      <c r="R335" s="1" t="str">
        <f>IFERROR(__xludf.DUMMYFUNCTION("""COMPUTED_VALUE"""),"NEW WALK IN")</f>
        <v>NEW WALK IN</v>
      </c>
      <c r="S335" s="1"/>
    </row>
    <row r="336">
      <c r="A336" s="2">
        <f>IFERROR(__xludf.DUMMYFUNCTION("""COMPUTED_VALUE"""),45422.73504688658)</f>
        <v>45422.73505</v>
      </c>
      <c r="B336" s="1" t="str">
        <f>IFERROR(__xludf.DUMMYFUNCTION("""COMPUTED_VALUE"""),"Souranshi")</f>
        <v>Souranshi</v>
      </c>
      <c r="C336" s="1">
        <f>IFERROR(__xludf.DUMMYFUNCTION("""COMPUTED_VALUE"""),8.909741255E9)</f>
        <v>8909741255</v>
      </c>
      <c r="D336" s="1">
        <f>IFERROR(__xludf.DUMMYFUNCTION("""COMPUTED_VALUE"""),1.0)</f>
        <v>1</v>
      </c>
      <c r="E336" s="3">
        <f>IFERROR(__xludf.DUMMYFUNCTION("""COMPUTED_VALUE"""),0.53125)</f>
        <v>0.53125</v>
      </c>
      <c r="F336" s="1" t="str">
        <f>IFERROR(__xludf.DUMMYFUNCTION("""COMPUTED_VALUE"""),"Plain Gold")</f>
        <v>Plain Gold</v>
      </c>
      <c r="G336" s="1" t="str">
        <f>IFERROR(__xludf.DUMMYFUNCTION("""COMPUTED_VALUE"""),"Pooja")</f>
        <v>Pooja</v>
      </c>
      <c r="H336" s="1" t="str">
        <f>IFERROR(__xludf.DUMMYFUNCTION("""COMPUTED_VALUE"""),"Gold bali")</f>
        <v>Gold bali</v>
      </c>
      <c r="I336" s="1"/>
      <c r="J336" s="1"/>
      <c r="K336" s="3">
        <f>IFERROR(__xludf.DUMMYFUNCTION("""COMPUTED_VALUE"""),0.6319444444452529)</f>
        <v>0.6319444444</v>
      </c>
      <c r="L336" s="1" t="str">
        <f>IFERROR(__xludf.DUMMYFUNCTION("""COMPUTED_VALUE"""),"Yes")</f>
        <v>Yes</v>
      </c>
      <c r="M336" s="1" t="str">
        <f>IFERROR(__xludf.DUMMYFUNCTION("""COMPUTED_VALUE"""),"Yes")</f>
        <v>Yes</v>
      </c>
      <c r="N336" s="1" t="str">
        <f>IFERROR(__xludf.DUMMYFUNCTION("""COMPUTED_VALUE"""),"Yes")</f>
        <v>Yes</v>
      </c>
      <c r="O336" s="1" t="str">
        <f>IFERROR(__xludf.DUMMYFUNCTION("""COMPUTED_VALUE"""),"WA ONLY, CALL")</f>
        <v>WA ONLY, CALL</v>
      </c>
      <c r="P336" s="1" t="str">
        <f>IFERROR(__xludf.DUMMYFUNCTION("""COMPUTED_VALUE"""),"Madam")</f>
        <v>Madam</v>
      </c>
      <c r="Q336" s="1" t="str">
        <f>IFERROR(__xludf.DUMMYFUNCTION("""COMPUTED_VALUE"""),"No")</f>
        <v>No</v>
      </c>
      <c r="R336" s="1" t="str">
        <f>IFERROR(__xludf.DUMMYFUNCTION("""COMPUTED_VALUE"""),"NEW WALK IN")</f>
        <v>NEW WALK IN</v>
      </c>
      <c r="S336" s="1"/>
    </row>
    <row r="337">
      <c r="A337" s="2">
        <f>IFERROR(__xludf.DUMMYFUNCTION("""COMPUTED_VALUE"""),45422.742145868055)</f>
        <v>45422.74215</v>
      </c>
      <c r="B337" s="1" t="str">
        <f>IFERROR(__xludf.DUMMYFUNCTION("""COMPUTED_VALUE"""),"Muskan")</f>
        <v>Muskan</v>
      </c>
      <c r="C337" s="1">
        <f>IFERROR(__xludf.DUMMYFUNCTION("""COMPUTED_VALUE"""),7.889096931E9)</f>
        <v>7889096931</v>
      </c>
      <c r="D337" s="1">
        <f>IFERROR(__xludf.DUMMYFUNCTION("""COMPUTED_VALUE"""),1.0)</f>
        <v>1</v>
      </c>
      <c r="E337" s="3">
        <f>IFERROR(__xludf.DUMMYFUNCTION("""COMPUTED_VALUE"""),0.7048611111094942)</f>
        <v>0.7048611111</v>
      </c>
      <c r="F337" s="1" t="str">
        <f>IFERROR(__xludf.DUMMYFUNCTION("""COMPUTED_VALUE"""),"Antique Gold")</f>
        <v>Antique Gold</v>
      </c>
      <c r="G337" s="1" t="str">
        <f>IFERROR(__xludf.DUMMYFUNCTION("""COMPUTED_VALUE"""),"Chhaya")</f>
        <v>Chhaya</v>
      </c>
      <c r="H337" s="1" t="str">
        <f>IFERROR(__xludf.DUMMYFUNCTION("""COMPUTED_VALUE"""),"Mmtc coin")</f>
        <v>Mmtc coin</v>
      </c>
      <c r="I337" s="1"/>
      <c r="J337" s="1"/>
      <c r="K337" s="3">
        <f>IFERROR(__xludf.DUMMYFUNCTION("""COMPUTED_VALUE"""),0.7416666666686069)</f>
        <v>0.7416666667</v>
      </c>
      <c r="L337" s="1" t="str">
        <f>IFERROR(__xludf.DUMMYFUNCTION("""COMPUTED_VALUE"""),"Yes")</f>
        <v>Yes</v>
      </c>
      <c r="M337" s="1" t="str">
        <f>IFERROR(__xludf.DUMMYFUNCTION("""COMPUTED_VALUE"""),"No")</f>
        <v>No</v>
      </c>
      <c r="N337" s="1" t="str">
        <f>IFERROR(__xludf.DUMMYFUNCTION("""COMPUTED_VALUE"""),"Yes")</f>
        <v>Yes</v>
      </c>
      <c r="O337" s="1" t="str">
        <f>IFERROR(__xludf.DUMMYFUNCTION("""COMPUTED_VALUE"""),"WA ONLY, CALL")</f>
        <v>WA ONLY, CALL</v>
      </c>
      <c r="P337" s="1" t="str">
        <f>IFERROR(__xludf.DUMMYFUNCTION("""COMPUTED_VALUE"""),"Madam")</f>
        <v>Madam</v>
      </c>
      <c r="Q337" s="1" t="str">
        <f>IFERROR(__xludf.DUMMYFUNCTION("""COMPUTED_VALUE"""),"No")</f>
        <v>No</v>
      </c>
      <c r="R337" s="1" t="str">
        <f>IFERROR(__xludf.DUMMYFUNCTION("""COMPUTED_VALUE"""),"NEW WALK IN")</f>
        <v>NEW WALK IN</v>
      </c>
      <c r="S337" s="1"/>
    </row>
    <row r="338">
      <c r="A338" s="2">
        <f>IFERROR(__xludf.DUMMYFUNCTION("""COMPUTED_VALUE"""),45422.791382627314)</f>
        <v>45422.79138</v>
      </c>
      <c r="B338" s="1" t="str">
        <f>IFERROR(__xludf.DUMMYFUNCTION("""COMPUTED_VALUE"""),"Payal ")</f>
        <v>Payal </v>
      </c>
      <c r="C338" s="1">
        <f>IFERROR(__xludf.DUMMYFUNCTION("""COMPUTED_VALUE"""),9.711710329E9)</f>
        <v>9711710329</v>
      </c>
      <c r="D338" s="1">
        <f>IFERROR(__xludf.DUMMYFUNCTION("""COMPUTED_VALUE"""),2.0)</f>
        <v>2</v>
      </c>
      <c r="E338" s="3">
        <f>IFERROR(__xludf.DUMMYFUNCTION("""COMPUTED_VALUE"""),0.7701388888890506)</f>
        <v>0.7701388889</v>
      </c>
      <c r="F338" s="1" t="str">
        <f>IFERROR(__xludf.DUMMYFUNCTION("""COMPUTED_VALUE"""),"Plain Gold")</f>
        <v>Plain Gold</v>
      </c>
      <c r="G338" s="1" t="str">
        <f>IFERROR(__xludf.DUMMYFUNCTION("""COMPUTED_VALUE"""),"Pooja")</f>
        <v>Pooja</v>
      </c>
      <c r="H338" s="1"/>
      <c r="I338" s="1" t="str">
        <f>IFERROR(__xludf.DUMMYFUNCTION("""COMPUTED_VALUE"""),"Designs Not Liked")</f>
        <v>Designs Not Liked</v>
      </c>
      <c r="J338" s="1"/>
      <c r="K338" s="3">
        <f>IFERROR(__xludf.DUMMYFUNCTION("""COMPUTED_VALUE"""),0.788888888884685)</f>
        <v>0.7888888889</v>
      </c>
      <c r="L338" s="1" t="str">
        <f>IFERROR(__xludf.DUMMYFUNCTION("""COMPUTED_VALUE"""),"Yes")</f>
        <v>Yes</v>
      </c>
      <c r="M338" s="1" t="str">
        <f>IFERROR(__xludf.DUMMYFUNCTION("""COMPUTED_VALUE"""),"No")</f>
        <v>No</v>
      </c>
      <c r="N338" s="1" t="str">
        <f>IFERROR(__xludf.DUMMYFUNCTION("""COMPUTED_VALUE"""),"No")</f>
        <v>No</v>
      </c>
      <c r="O338" s="1" t="str">
        <f>IFERROR(__xludf.DUMMYFUNCTION("""COMPUTED_VALUE"""),"WA ONLY, CALL")</f>
        <v>WA ONLY, CALL</v>
      </c>
      <c r="P338" s="1" t="str">
        <f>IFERROR(__xludf.DUMMYFUNCTION("""COMPUTED_VALUE"""),"Madam")</f>
        <v>Madam</v>
      </c>
      <c r="Q338" s="1" t="str">
        <f>IFERROR(__xludf.DUMMYFUNCTION("""COMPUTED_VALUE"""),"No")</f>
        <v>No</v>
      </c>
      <c r="R338" s="1" t="str">
        <f>IFERROR(__xludf.DUMMYFUNCTION("""COMPUTED_VALUE"""),"NEW WALK IN")</f>
        <v>NEW WALK IN</v>
      </c>
      <c r="S338" s="1"/>
    </row>
    <row r="339">
      <c r="A339" s="2">
        <f>IFERROR(__xludf.DUMMYFUNCTION("""COMPUTED_VALUE"""),45422.84388043982)</f>
        <v>45422.84388</v>
      </c>
      <c r="B339" s="1" t="str">
        <f>IFERROR(__xludf.DUMMYFUNCTION("""COMPUTED_VALUE"""),"Ritu")</f>
        <v>Ritu</v>
      </c>
      <c r="C339" s="1">
        <f>IFERROR(__xludf.DUMMYFUNCTION("""COMPUTED_VALUE"""),8.447540669E9)</f>
        <v>8447540669</v>
      </c>
      <c r="D339" s="1">
        <f>IFERROR(__xludf.DUMMYFUNCTION("""COMPUTED_VALUE"""),1.0)</f>
        <v>1</v>
      </c>
      <c r="E339" s="3">
        <f>IFERROR(__xludf.DUMMYFUNCTION("""COMPUTED_VALUE"""),0.8305555555562023)</f>
        <v>0.8305555556</v>
      </c>
      <c r="F339" s="1" t="str">
        <f>IFERROR(__xludf.DUMMYFUNCTION("""COMPUTED_VALUE"""),"Plain Gold")</f>
        <v>Plain Gold</v>
      </c>
      <c r="G339" s="1" t="str">
        <f>IFERROR(__xludf.DUMMYFUNCTION("""COMPUTED_VALUE"""),"Pooja")</f>
        <v>Pooja</v>
      </c>
      <c r="H339" s="1"/>
      <c r="I339" s="1" t="str">
        <f>IFERROR(__xludf.DUMMYFUNCTION("""COMPUTED_VALUE"""),"Want to see More Variety")</f>
        <v>Want to see More Variety</v>
      </c>
      <c r="J339" s="1"/>
      <c r="K339" s="3">
        <f>IFERROR(__xludf.DUMMYFUNCTION("""COMPUTED_VALUE"""),0.8381944444408873)</f>
        <v>0.8381944444</v>
      </c>
      <c r="L339" s="1" t="str">
        <f>IFERROR(__xludf.DUMMYFUNCTION("""COMPUTED_VALUE"""),"Yes")</f>
        <v>Yes</v>
      </c>
      <c r="M339" s="1" t="str">
        <f>IFERROR(__xludf.DUMMYFUNCTION("""COMPUTED_VALUE"""),"No")</f>
        <v>No</v>
      </c>
      <c r="N339" s="1" t="str">
        <f>IFERROR(__xludf.DUMMYFUNCTION("""COMPUTED_VALUE"""),"No")</f>
        <v>No</v>
      </c>
      <c r="O339" s="1" t="str">
        <f>IFERROR(__xludf.DUMMYFUNCTION("""COMPUTED_VALUE"""),"WA ONLY, CALL")</f>
        <v>WA ONLY, CALL</v>
      </c>
      <c r="P339" s="1" t="str">
        <f>IFERROR(__xludf.DUMMYFUNCTION("""COMPUTED_VALUE"""),"Madam")</f>
        <v>Madam</v>
      </c>
      <c r="Q339" s="1" t="str">
        <f>IFERROR(__xludf.DUMMYFUNCTION("""COMPUTED_VALUE"""),"No")</f>
        <v>No</v>
      </c>
      <c r="R339" s="1" t="str">
        <f>IFERROR(__xludf.DUMMYFUNCTION("""COMPUTED_VALUE"""),"NEW WALK IN")</f>
        <v>NEW WALK IN</v>
      </c>
      <c r="S339" s="1"/>
    </row>
    <row r="340">
      <c r="A340" s="2">
        <f>IFERROR(__xludf.DUMMYFUNCTION("""COMPUTED_VALUE"""),45422.844547650464)</f>
        <v>45422.84455</v>
      </c>
      <c r="B340" s="1" t="str">
        <f>IFERROR(__xludf.DUMMYFUNCTION("""COMPUTED_VALUE"""),"Archna")</f>
        <v>Archna</v>
      </c>
      <c r="C340" s="1">
        <f>IFERROR(__xludf.DUMMYFUNCTION("""COMPUTED_VALUE"""),9.999323701E9)</f>
        <v>9999323701</v>
      </c>
      <c r="D340" s="1">
        <f>IFERROR(__xludf.DUMMYFUNCTION("""COMPUTED_VALUE"""),1.0)</f>
        <v>1</v>
      </c>
      <c r="E340" s="3">
        <f>IFERROR(__xludf.DUMMYFUNCTION("""COMPUTED_VALUE"""),0.8263888888905058)</f>
        <v>0.8263888889</v>
      </c>
      <c r="F340" s="1" t="str">
        <f>IFERROR(__xludf.DUMMYFUNCTION("""COMPUTED_VALUE"""),"Antique Gold")</f>
        <v>Antique Gold</v>
      </c>
      <c r="G340" s="1" t="str">
        <f>IFERROR(__xludf.DUMMYFUNCTION("""COMPUTED_VALUE"""),"Chhaya")</f>
        <v>Chhaya</v>
      </c>
      <c r="H340" s="1" t="str">
        <f>IFERROR(__xludf.DUMMYFUNCTION("""COMPUTED_VALUE"""),"Gold bali")</f>
        <v>Gold bali</v>
      </c>
      <c r="I340" s="1"/>
      <c r="J340" s="1"/>
      <c r="K340" s="3">
        <f>IFERROR(__xludf.DUMMYFUNCTION("""COMPUTED_VALUE"""),0.8430555555532919)</f>
        <v>0.8430555556</v>
      </c>
      <c r="L340" s="1" t="str">
        <f>IFERROR(__xludf.DUMMYFUNCTION("""COMPUTED_VALUE"""),"Yes")</f>
        <v>Yes</v>
      </c>
      <c r="M340" s="1" t="str">
        <f>IFERROR(__xludf.DUMMYFUNCTION("""COMPUTED_VALUE"""),"Yes")</f>
        <v>Yes</v>
      </c>
      <c r="N340" s="1" t="str">
        <f>IFERROR(__xludf.DUMMYFUNCTION("""COMPUTED_VALUE"""),"Yes")</f>
        <v>Yes</v>
      </c>
      <c r="O340" s="1" t="str">
        <f>IFERROR(__xludf.DUMMYFUNCTION("""COMPUTED_VALUE"""),"WA ONLY, CALL")</f>
        <v>WA ONLY, CALL</v>
      </c>
      <c r="P340" s="1" t="str">
        <f>IFERROR(__xludf.DUMMYFUNCTION("""COMPUTED_VALUE"""),"Madam")</f>
        <v>Madam</v>
      </c>
      <c r="Q340" s="1" t="str">
        <f>IFERROR(__xludf.DUMMYFUNCTION("""COMPUTED_VALUE"""),"No")</f>
        <v>No</v>
      </c>
      <c r="R340" s="1" t="str">
        <f>IFERROR(__xludf.DUMMYFUNCTION("""COMPUTED_VALUE"""),"NEW WALK IN")</f>
        <v>NEW WALK IN</v>
      </c>
      <c r="S340" s="1"/>
    </row>
    <row r="341">
      <c r="A341" s="2">
        <f>IFERROR(__xludf.DUMMYFUNCTION("""COMPUTED_VALUE"""),45423.772262094906)</f>
        <v>45423.77226</v>
      </c>
      <c r="B341" s="1" t="str">
        <f>IFERROR(__xludf.DUMMYFUNCTION("""COMPUTED_VALUE"""),"Gunisha")</f>
        <v>Gunisha</v>
      </c>
      <c r="C341" s="1">
        <f>IFERROR(__xludf.DUMMYFUNCTION("""COMPUTED_VALUE"""),8.59528338E9)</f>
        <v>8595283380</v>
      </c>
      <c r="D341" s="1">
        <f>IFERROR(__xludf.DUMMYFUNCTION("""COMPUTED_VALUE"""),1.0)</f>
        <v>1</v>
      </c>
      <c r="E341" s="3">
        <f>IFERROR(__xludf.DUMMYFUNCTION("""COMPUTED_VALUE"""),0.53125)</f>
        <v>0.53125</v>
      </c>
      <c r="F341" s="1" t="str">
        <f>IFERROR(__xludf.DUMMYFUNCTION("""COMPUTED_VALUE"""),"Plain Gold")</f>
        <v>Plain Gold</v>
      </c>
      <c r="G341" s="1" t="str">
        <f>IFERROR(__xludf.DUMMYFUNCTION("""COMPUTED_VALUE"""),"Chhaya")</f>
        <v>Chhaya</v>
      </c>
      <c r="H341" s="1"/>
      <c r="I341" s="1" t="str">
        <f>IFERROR(__xludf.DUMMYFUNCTION("""COMPUTED_VALUE"""),"Give Payment")</f>
        <v>Give Payment</v>
      </c>
      <c r="J341" s="1"/>
      <c r="K341" s="3">
        <f>IFERROR(__xludf.DUMMYFUNCTION("""COMPUTED_VALUE"""),0.6041666666642413)</f>
        <v>0.6041666667</v>
      </c>
      <c r="L341" s="1" t="str">
        <f>IFERROR(__xludf.DUMMYFUNCTION("""COMPUTED_VALUE"""),"Yes")</f>
        <v>Yes</v>
      </c>
      <c r="M341" s="1" t="str">
        <f>IFERROR(__xludf.DUMMYFUNCTION("""COMPUTED_VALUE"""),"Already done ")</f>
        <v>Already done </v>
      </c>
      <c r="N341" s="1" t="str">
        <f>IFERROR(__xludf.DUMMYFUNCTION("""COMPUTED_VALUE"""),"Already done ")</f>
        <v>Already done </v>
      </c>
      <c r="O341" s="1" t="str">
        <f>IFERROR(__xludf.DUMMYFUNCTION("""COMPUTED_VALUE"""),"WA ONLY, CALL")</f>
        <v>WA ONLY, CALL</v>
      </c>
      <c r="P341" s="1" t="str">
        <f>IFERROR(__xludf.DUMMYFUNCTION("""COMPUTED_VALUE"""),"Madam")</f>
        <v>Madam</v>
      </c>
      <c r="Q341" s="1" t="str">
        <f>IFERROR(__xludf.DUMMYFUNCTION("""COMPUTED_VALUE"""),"No")</f>
        <v>No</v>
      </c>
      <c r="R341" s="1" t="str">
        <f>IFERROR(__xludf.DUMMYFUNCTION("""COMPUTED_VALUE"""),"OLD")</f>
        <v>OLD</v>
      </c>
      <c r="S341" s="1"/>
    </row>
    <row r="342">
      <c r="A342" s="2">
        <f>IFERROR(__xludf.DUMMYFUNCTION("""COMPUTED_VALUE"""),45423.80395780093)</f>
        <v>45423.80396</v>
      </c>
      <c r="B342" s="1" t="str">
        <f>IFERROR(__xludf.DUMMYFUNCTION("""COMPUTED_VALUE"""),"Amit bhaskar")</f>
        <v>Amit bhaskar</v>
      </c>
      <c r="C342" s="1">
        <f>IFERROR(__xludf.DUMMYFUNCTION("""COMPUTED_VALUE"""),9.013504064E9)</f>
        <v>9013504064</v>
      </c>
      <c r="D342" s="1">
        <f>IFERROR(__xludf.DUMMYFUNCTION("""COMPUTED_VALUE"""),1.0)</f>
        <v>1</v>
      </c>
      <c r="E342" s="3">
        <f>IFERROR(__xludf.DUMMYFUNCTION("""COMPUTED_VALUE"""),0.7902777777781012)</f>
        <v>0.7902777778</v>
      </c>
      <c r="F342" s="1" t="str">
        <f>IFERROR(__xludf.DUMMYFUNCTION("""COMPUTED_VALUE"""),"Antique Gold")</f>
        <v>Antique Gold</v>
      </c>
      <c r="G342" s="1" t="str">
        <f>IFERROR(__xludf.DUMMYFUNCTION("""COMPUTED_VALUE"""),"Payal")</f>
        <v>Payal</v>
      </c>
      <c r="H342" s="1" t="str">
        <f>IFERROR(__xludf.DUMMYFUNCTION("""COMPUTED_VALUE"""),"Gold nose pin")</f>
        <v>Gold nose pin</v>
      </c>
      <c r="I342" s="1"/>
      <c r="J342" s="1"/>
      <c r="K342" s="3">
        <f>IFERROR(__xludf.DUMMYFUNCTION("""COMPUTED_VALUE"""),0.8027777777751908)</f>
        <v>0.8027777778</v>
      </c>
      <c r="L342" s="1" t="str">
        <f>IFERROR(__xludf.DUMMYFUNCTION("""COMPUTED_VALUE"""),"Yes")</f>
        <v>Yes</v>
      </c>
      <c r="M342" s="1" t="str">
        <f>IFERROR(__xludf.DUMMYFUNCTION("""COMPUTED_VALUE"""),"Yes")</f>
        <v>Yes</v>
      </c>
      <c r="N342" s="1" t="str">
        <f>IFERROR(__xludf.DUMMYFUNCTION("""COMPUTED_VALUE"""),"Yes")</f>
        <v>Yes</v>
      </c>
      <c r="O342" s="1" t="str">
        <f>IFERROR(__xludf.DUMMYFUNCTION("""COMPUTED_VALUE"""),"WA ONLY, CALL")</f>
        <v>WA ONLY, CALL</v>
      </c>
      <c r="P342" s="1" t="str">
        <f>IFERROR(__xludf.DUMMYFUNCTION("""COMPUTED_VALUE"""),"Sir")</f>
        <v>Sir</v>
      </c>
      <c r="Q342" s="1" t="str">
        <f>IFERROR(__xludf.DUMMYFUNCTION("""COMPUTED_VALUE"""),"No")</f>
        <v>No</v>
      </c>
      <c r="R342" s="1" t="str">
        <f>IFERROR(__xludf.DUMMYFUNCTION("""COMPUTED_VALUE"""),"NEW WALK IN")</f>
        <v>NEW WALK IN</v>
      </c>
      <c r="S342" s="1"/>
    </row>
    <row r="343">
      <c r="A343" s="2">
        <f>IFERROR(__xludf.DUMMYFUNCTION("""COMPUTED_VALUE"""),45423.833760532405)</f>
        <v>45423.83376</v>
      </c>
      <c r="B343" s="1" t="str">
        <f>IFERROR(__xludf.DUMMYFUNCTION("""COMPUTED_VALUE"""),"Pream parkash chand")</f>
        <v>Pream parkash chand</v>
      </c>
      <c r="C343" s="1">
        <f>IFERROR(__xludf.DUMMYFUNCTION("""COMPUTED_VALUE"""),9.999641245E9)</f>
        <v>9999641245</v>
      </c>
      <c r="D343" s="1">
        <f>IFERROR(__xludf.DUMMYFUNCTION("""COMPUTED_VALUE"""),5.0)</f>
        <v>5</v>
      </c>
      <c r="E343" s="3">
        <f>IFERROR(__xludf.DUMMYFUNCTION("""COMPUTED_VALUE"""),0.6666666666642413)</f>
        <v>0.6666666667</v>
      </c>
      <c r="F343" s="1" t="str">
        <f>IFERROR(__xludf.DUMMYFUNCTION("""COMPUTED_VALUE"""),"Diamond")</f>
        <v>Diamond</v>
      </c>
      <c r="G343" s="1" t="str">
        <f>IFERROR(__xludf.DUMMYFUNCTION("""COMPUTED_VALUE"""),"Chhaya")</f>
        <v>Chhaya</v>
      </c>
      <c r="H343" s="1" t="str">
        <f>IFERROR(__xludf.DUMMYFUNCTION("""COMPUTED_VALUE"""),"Diamond set")</f>
        <v>Diamond set</v>
      </c>
      <c r="I343" s="1"/>
      <c r="J343" s="1"/>
      <c r="K343" s="3">
        <f>IFERROR(__xludf.DUMMYFUNCTION("""COMPUTED_VALUE"""),0.8173611111124046)</f>
        <v>0.8173611111</v>
      </c>
      <c r="L343" s="1" t="str">
        <f>IFERROR(__xludf.DUMMYFUNCTION("""COMPUTED_VALUE"""),"Yes")</f>
        <v>Yes</v>
      </c>
      <c r="M343" s="1" t="str">
        <f>IFERROR(__xludf.DUMMYFUNCTION("""COMPUTED_VALUE"""),"Yes")</f>
        <v>Yes</v>
      </c>
      <c r="N343" s="1" t="str">
        <f>IFERROR(__xludf.DUMMYFUNCTION("""COMPUTED_VALUE"""),"Yes")</f>
        <v>Yes</v>
      </c>
      <c r="O343" s="1" t="str">
        <f>IFERROR(__xludf.DUMMYFUNCTION("""COMPUTED_VALUE"""),"WA ONLY, CALL")</f>
        <v>WA ONLY, CALL</v>
      </c>
      <c r="P343" s="1" t="str">
        <f>IFERROR(__xludf.DUMMYFUNCTION("""COMPUTED_VALUE"""),"Sir")</f>
        <v>Sir</v>
      </c>
      <c r="Q343" s="1" t="str">
        <f>IFERROR(__xludf.DUMMYFUNCTION("""COMPUTED_VALUE"""),"No")</f>
        <v>No</v>
      </c>
      <c r="R343" s="1" t="str">
        <f>IFERROR(__xludf.DUMMYFUNCTION("""COMPUTED_VALUE"""),"NEW WALK IN")</f>
        <v>NEW WALK IN</v>
      </c>
      <c r="S343" s="1"/>
    </row>
    <row r="344">
      <c r="A344" s="2">
        <f>IFERROR(__xludf.DUMMYFUNCTION("""COMPUTED_VALUE"""),45424.772395277774)</f>
        <v>45424.7724</v>
      </c>
      <c r="B344" s="1" t="str">
        <f>IFERROR(__xludf.DUMMYFUNCTION("""COMPUTED_VALUE"""),"Shital")</f>
        <v>Shital</v>
      </c>
      <c r="C344" s="1">
        <f>IFERROR(__xludf.DUMMYFUNCTION("""COMPUTED_VALUE"""),9.717700546E9)</f>
        <v>9717700546</v>
      </c>
      <c r="D344" s="1">
        <f>IFERROR(__xludf.DUMMYFUNCTION("""COMPUTED_VALUE"""),1.0)</f>
        <v>1</v>
      </c>
      <c r="E344" s="3">
        <f>IFERROR(__xludf.DUMMYFUNCTION("""COMPUTED_VALUE"""),0.6041666666642413)</f>
        <v>0.6041666667</v>
      </c>
      <c r="F344" s="1" t="str">
        <f>IFERROR(__xludf.DUMMYFUNCTION("""COMPUTED_VALUE"""),"Antique Gold")</f>
        <v>Antique Gold</v>
      </c>
      <c r="G344" s="1" t="str">
        <f>IFERROR(__xludf.DUMMYFUNCTION("""COMPUTED_VALUE"""),"Chhaya")</f>
        <v>Chhaya</v>
      </c>
      <c r="H344" s="1"/>
      <c r="I344" s="1" t="str">
        <f>IFERROR(__xludf.DUMMYFUNCTION("""COMPUTED_VALUE"""),"Want to see More Variety")</f>
        <v>Want to see More Variety</v>
      </c>
      <c r="J344" s="1"/>
      <c r="K344" s="3">
        <f>IFERROR(__xludf.DUMMYFUNCTION("""COMPUTED_VALUE"""),0.7479166666671517)</f>
        <v>0.7479166667</v>
      </c>
      <c r="L344" s="1" t="str">
        <f>IFERROR(__xludf.DUMMYFUNCTION("""COMPUTED_VALUE"""),"Yes")</f>
        <v>Yes</v>
      </c>
      <c r="M344" s="1" t="str">
        <f>IFERROR(__xludf.DUMMYFUNCTION("""COMPUTED_VALUE"""),"Already done ")</f>
        <v>Already done </v>
      </c>
      <c r="N344" s="1" t="str">
        <f>IFERROR(__xludf.DUMMYFUNCTION("""COMPUTED_VALUE"""),"Already done ")</f>
        <v>Already done </v>
      </c>
      <c r="O344" s="1" t="str">
        <f>IFERROR(__xludf.DUMMYFUNCTION("""COMPUTED_VALUE"""),"WA ONLY, CALL")</f>
        <v>WA ONLY, CALL</v>
      </c>
      <c r="P344" s="1" t="str">
        <f>IFERROR(__xludf.DUMMYFUNCTION("""COMPUTED_VALUE"""),"Madam")</f>
        <v>Madam</v>
      </c>
      <c r="Q344" s="1" t="str">
        <f>IFERROR(__xludf.DUMMYFUNCTION("""COMPUTED_VALUE"""),"No")</f>
        <v>No</v>
      </c>
      <c r="R344" s="1" t="str">
        <f>IFERROR(__xludf.DUMMYFUNCTION("""COMPUTED_VALUE"""),"OLD")</f>
        <v>OLD</v>
      </c>
      <c r="S344" s="1"/>
    </row>
    <row r="345">
      <c r="A345" s="2">
        <f>IFERROR(__xludf.DUMMYFUNCTION("""COMPUTED_VALUE"""),45424.77334659723)</f>
        <v>45424.77335</v>
      </c>
      <c r="B345" s="1" t="str">
        <f>IFERROR(__xludf.DUMMYFUNCTION("""COMPUTED_VALUE"""),"Shammy ")</f>
        <v>Shammy </v>
      </c>
      <c r="C345" s="1">
        <f>IFERROR(__xludf.DUMMYFUNCTION("""COMPUTED_VALUE"""),9.654591719E9)</f>
        <v>9654591719</v>
      </c>
      <c r="D345" s="1">
        <f>IFERROR(__xludf.DUMMYFUNCTION("""COMPUTED_VALUE"""),1.0)</f>
        <v>1</v>
      </c>
      <c r="E345" s="3">
        <f>IFERROR(__xludf.DUMMYFUNCTION("""COMPUTED_VALUE"""),0.6666666666642413)</f>
        <v>0.6666666667</v>
      </c>
      <c r="F345" s="1" t="str">
        <f>IFERROR(__xludf.DUMMYFUNCTION("""COMPUTED_VALUE"""),"Antique Gold")</f>
        <v>Antique Gold</v>
      </c>
      <c r="G345" s="1" t="str">
        <f>IFERROR(__xludf.DUMMYFUNCTION("""COMPUTED_VALUE"""),"Pooja")</f>
        <v>Pooja</v>
      </c>
      <c r="H345" s="1"/>
      <c r="I345" s="1" t="str">
        <f>IFERROR(__xludf.DUMMYFUNCTION("""COMPUTED_VALUE"""),"Give Payment")</f>
        <v>Give Payment</v>
      </c>
      <c r="J345" s="1"/>
      <c r="K345" s="3">
        <f>IFERROR(__xludf.DUMMYFUNCTION("""COMPUTED_VALUE"""),0.7083333333357587)</f>
        <v>0.7083333333</v>
      </c>
      <c r="L345" s="1" t="str">
        <f>IFERROR(__xludf.DUMMYFUNCTION("""COMPUTED_VALUE"""),"Yes")</f>
        <v>Yes</v>
      </c>
      <c r="M345" s="1" t="str">
        <f>IFERROR(__xludf.DUMMYFUNCTION("""COMPUTED_VALUE"""),"Already done ")</f>
        <v>Already done </v>
      </c>
      <c r="N345" s="1" t="str">
        <f>IFERROR(__xludf.DUMMYFUNCTION("""COMPUTED_VALUE"""),"Already done ")</f>
        <v>Already done </v>
      </c>
      <c r="O345" s="1" t="str">
        <f>IFERROR(__xludf.DUMMYFUNCTION("""COMPUTED_VALUE"""),"WA ONLY, CALL")</f>
        <v>WA ONLY, CALL</v>
      </c>
      <c r="P345" s="1" t="str">
        <f>IFERROR(__xludf.DUMMYFUNCTION("""COMPUTED_VALUE"""),"Sir")</f>
        <v>Sir</v>
      </c>
      <c r="Q345" s="1" t="str">
        <f>IFERROR(__xludf.DUMMYFUNCTION("""COMPUTED_VALUE"""),"No")</f>
        <v>No</v>
      </c>
      <c r="R345" s="1" t="str">
        <f>IFERROR(__xludf.DUMMYFUNCTION("""COMPUTED_VALUE"""),"OLD")</f>
        <v>OLD</v>
      </c>
      <c r="S345" s="1"/>
    </row>
    <row r="346">
      <c r="A346" s="2">
        <f>IFERROR(__xludf.DUMMYFUNCTION("""COMPUTED_VALUE"""),45424.831701041665)</f>
        <v>45424.8317</v>
      </c>
      <c r="B346" s="1" t="str">
        <f>IFERROR(__xludf.DUMMYFUNCTION("""COMPUTED_VALUE"""),"Harshul")</f>
        <v>Harshul</v>
      </c>
      <c r="C346" s="1">
        <f>IFERROR(__xludf.DUMMYFUNCTION("""COMPUTED_VALUE"""),9.911220005E9)</f>
        <v>9911220005</v>
      </c>
      <c r="D346" s="1">
        <f>IFERROR(__xludf.DUMMYFUNCTION("""COMPUTED_VALUE"""),2.0)</f>
        <v>2</v>
      </c>
      <c r="E346" s="3">
        <f>IFERROR(__xludf.DUMMYFUNCTION("""COMPUTED_VALUE"""),0.7361111111094942)</f>
        <v>0.7361111111</v>
      </c>
      <c r="F346" s="1" t="str">
        <f>IFERROR(__xludf.DUMMYFUNCTION("""COMPUTED_VALUE"""),"Plain Gold")</f>
        <v>Plain Gold</v>
      </c>
      <c r="G346" s="1" t="str">
        <f>IFERROR(__xludf.DUMMYFUNCTION("""COMPUTED_VALUE"""),"Chhaya")</f>
        <v>Chhaya</v>
      </c>
      <c r="H346" s="1" t="str">
        <f>IFERROR(__xludf.DUMMYFUNCTION("""COMPUTED_VALUE"""),"Tarquish gold set")</f>
        <v>Tarquish gold set</v>
      </c>
      <c r="I346" s="1"/>
      <c r="J346" s="1"/>
      <c r="K346" s="3">
        <f>IFERROR(__xludf.DUMMYFUNCTION("""COMPUTED_VALUE"""),0.8312500000029104)</f>
        <v>0.83125</v>
      </c>
      <c r="L346" s="1" t="str">
        <f>IFERROR(__xludf.DUMMYFUNCTION("""COMPUTED_VALUE"""),"Yes")</f>
        <v>Yes</v>
      </c>
      <c r="M346" s="1" t="str">
        <f>IFERROR(__xludf.DUMMYFUNCTION("""COMPUTED_VALUE"""),"Yes")</f>
        <v>Yes</v>
      </c>
      <c r="N346" s="1" t="str">
        <f>IFERROR(__xludf.DUMMYFUNCTION("""COMPUTED_VALUE"""),"Yes")</f>
        <v>Yes</v>
      </c>
      <c r="O346" s="1" t="str">
        <f>IFERROR(__xludf.DUMMYFUNCTION("""COMPUTED_VALUE"""),"WA ONLY, CALL")</f>
        <v>WA ONLY, CALL</v>
      </c>
      <c r="P346" s="1" t="str">
        <f>IFERROR(__xludf.DUMMYFUNCTION("""COMPUTED_VALUE"""),"Sir")</f>
        <v>Sir</v>
      </c>
      <c r="Q346" s="1" t="str">
        <f>IFERROR(__xludf.DUMMYFUNCTION("""COMPUTED_VALUE"""),"No")</f>
        <v>No</v>
      </c>
      <c r="R346" s="1" t="str">
        <f>IFERROR(__xludf.DUMMYFUNCTION("""COMPUTED_VALUE"""),"NEW WALK IN")</f>
        <v>NEW WALK IN</v>
      </c>
      <c r="S346" s="1"/>
    </row>
    <row r="347">
      <c r="A347" s="2">
        <f>IFERROR(__xludf.DUMMYFUNCTION("""COMPUTED_VALUE"""),45424.841016446764)</f>
        <v>45424.84102</v>
      </c>
      <c r="B347" s="1" t="str">
        <f>IFERROR(__xludf.DUMMYFUNCTION("""COMPUTED_VALUE"""),"Ajay kumar")</f>
        <v>Ajay kumar</v>
      </c>
      <c r="C347" s="1">
        <f>IFERROR(__xludf.DUMMYFUNCTION("""COMPUTED_VALUE"""),8.800985838E9)</f>
        <v>8800985838</v>
      </c>
      <c r="D347" s="1">
        <f>IFERROR(__xludf.DUMMYFUNCTION("""COMPUTED_VALUE"""),1.0)</f>
        <v>1</v>
      </c>
      <c r="E347" s="3">
        <f>IFERROR(__xludf.DUMMYFUNCTION("""COMPUTED_VALUE"""),0.8055555555547471)</f>
        <v>0.8055555556</v>
      </c>
      <c r="F347" s="1" t="str">
        <f>IFERROR(__xludf.DUMMYFUNCTION("""COMPUTED_VALUE"""),"Antique Gold")</f>
        <v>Antique Gold</v>
      </c>
      <c r="G347" s="1" t="str">
        <f>IFERROR(__xludf.DUMMYFUNCTION("""COMPUTED_VALUE"""),"Pooja")</f>
        <v>Pooja</v>
      </c>
      <c r="H347" s="1"/>
      <c r="I347" s="1" t="str">
        <f>IFERROR(__xludf.DUMMYFUNCTION("""COMPUTED_VALUE"""),"Tuesday visit")</f>
        <v>Tuesday visit</v>
      </c>
      <c r="J347" s="1"/>
      <c r="K347" s="3">
        <f>IFERROR(__xludf.DUMMYFUNCTION("""COMPUTED_VALUE"""),0.8388888888875954)</f>
        <v>0.8388888889</v>
      </c>
      <c r="L347" s="1" t="str">
        <f>IFERROR(__xludf.DUMMYFUNCTION("""COMPUTED_VALUE"""),"Yes")</f>
        <v>Yes</v>
      </c>
      <c r="M347" s="1" t="str">
        <f>IFERROR(__xludf.DUMMYFUNCTION("""COMPUTED_VALUE"""),"No")</f>
        <v>No</v>
      </c>
      <c r="N347" s="1" t="str">
        <f>IFERROR(__xludf.DUMMYFUNCTION("""COMPUTED_VALUE"""),"No")</f>
        <v>No</v>
      </c>
      <c r="O347" s="1" t="str">
        <f>IFERROR(__xludf.DUMMYFUNCTION("""COMPUTED_VALUE"""),"WA ONLY, CALL")</f>
        <v>WA ONLY, CALL</v>
      </c>
      <c r="P347" s="1" t="str">
        <f>IFERROR(__xludf.DUMMYFUNCTION("""COMPUTED_VALUE"""),"Sir")</f>
        <v>Sir</v>
      </c>
      <c r="Q347" s="1" t="str">
        <f>IFERROR(__xludf.DUMMYFUNCTION("""COMPUTED_VALUE"""),"No")</f>
        <v>No</v>
      </c>
      <c r="R347" s="1" t="str">
        <f>IFERROR(__xludf.DUMMYFUNCTION("""COMPUTED_VALUE"""),"NEW WALK IN")</f>
        <v>NEW WALK IN</v>
      </c>
      <c r="S347" s="1"/>
    </row>
    <row r="348">
      <c r="A348" s="2">
        <f>IFERROR(__xludf.DUMMYFUNCTION("""COMPUTED_VALUE"""),45427.756289108795)</f>
        <v>45427.75629</v>
      </c>
      <c r="B348" s="1" t="str">
        <f>IFERROR(__xludf.DUMMYFUNCTION("""COMPUTED_VALUE"""),"Sanjay")</f>
        <v>Sanjay</v>
      </c>
      <c r="C348" s="1">
        <f>IFERROR(__xludf.DUMMYFUNCTION("""COMPUTED_VALUE"""),9.71702601E9)</f>
        <v>9717026010</v>
      </c>
      <c r="D348" s="1">
        <f>IFERROR(__xludf.DUMMYFUNCTION("""COMPUTED_VALUE"""),1.0)</f>
        <v>1</v>
      </c>
      <c r="E348" s="3">
        <f>IFERROR(__xludf.DUMMYFUNCTION("""COMPUTED_VALUE"""),0.6909722222189885)</f>
        <v>0.6909722222</v>
      </c>
      <c r="F348" s="1" t="str">
        <f>IFERROR(__xludf.DUMMYFUNCTION("""COMPUTED_VALUE"""),"Plain Gold")</f>
        <v>Plain Gold</v>
      </c>
      <c r="G348" s="1" t="str">
        <f>IFERROR(__xludf.DUMMYFUNCTION("""COMPUTED_VALUE"""),"Pooja")</f>
        <v>Pooja</v>
      </c>
      <c r="H348" s="1" t="str">
        <f>IFERROR(__xludf.DUMMYFUNCTION("""COMPUTED_VALUE"""),"Gold gents kada,chain,band ")</f>
        <v>Gold gents kada,chain,band </v>
      </c>
      <c r="I348" s="1"/>
      <c r="J348" s="1"/>
      <c r="K348" s="3">
        <f>IFERROR(__xludf.DUMMYFUNCTION("""COMPUTED_VALUE"""),0.7513888888934162)</f>
        <v>0.7513888889</v>
      </c>
      <c r="L348" s="1" t="str">
        <f>IFERROR(__xludf.DUMMYFUNCTION("""COMPUTED_VALUE"""),"Yes")</f>
        <v>Yes</v>
      </c>
      <c r="M348" s="1" t="str">
        <f>IFERROR(__xludf.DUMMYFUNCTION("""COMPUTED_VALUE"""),"Yes")</f>
        <v>Yes</v>
      </c>
      <c r="N348" s="1" t="str">
        <f>IFERROR(__xludf.DUMMYFUNCTION("""COMPUTED_VALUE"""),"No")</f>
        <v>No</v>
      </c>
      <c r="O348" s="1" t="str">
        <f>IFERROR(__xludf.DUMMYFUNCTION("""COMPUTED_VALUE"""),"WA ONLY, CALL")</f>
        <v>WA ONLY, CALL</v>
      </c>
      <c r="P348" s="1" t="str">
        <f>IFERROR(__xludf.DUMMYFUNCTION("""COMPUTED_VALUE"""),"Sir")</f>
        <v>Sir</v>
      </c>
      <c r="Q348" s="1" t="str">
        <f>IFERROR(__xludf.DUMMYFUNCTION("""COMPUTED_VALUE"""),"No")</f>
        <v>No</v>
      </c>
      <c r="R348" s="1" t="str">
        <f>IFERROR(__xludf.DUMMYFUNCTION("""COMPUTED_VALUE"""),"NEW WALK IN")</f>
        <v>NEW WALK IN</v>
      </c>
      <c r="S348" s="1"/>
    </row>
    <row r="349">
      <c r="A349" s="2">
        <f>IFERROR(__xludf.DUMMYFUNCTION("""COMPUTED_VALUE"""),45427.7918539699)</f>
        <v>45427.79185</v>
      </c>
      <c r="B349" s="1" t="str">
        <f>IFERROR(__xludf.DUMMYFUNCTION("""COMPUTED_VALUE"""),"Jagriti")</f>
        <v>Jagriti</v>
      </c>
      <c r="C349" s="1">
        <f>IFERROR(__xludf.DUMMYFUNCTION("""COMPUTED_VALUE"""),8.882131759E9)</f>
        <v>8882131759</v>
      </c>
      <c r="D349" s="1">
        <f>IFERROR(__xludf.DUMMYFUNCTION("""COMPUTED_VALUE"""),2.0)</f>
        <v>2</v>
      </c>
      <c r="E349" s="3">
        <f>IFERROR(__xludf.DUMMYFUNCTION("""COMPUTED_VALUE"""),0.7784722222204437)</f>
        <v>0.7784722222</v>
      </c>
      <c r="F349" s="1" t="str">
        <f>IFERROR(__xludf.DUMMYFUNCTION("""COMPUTED_VALUE"""),"Diamond")</f>
        <v>Diamond</v>
      </c>
      <c r="G349" s="1" t="str">
        <f>IFERROR(__xludf.DUMMYFUNCTION("""COMPUTED_VALUE"""),"Chhaya")</f>
        <v>Chhaya</v>
      </c>
      <c r="H349" s="1"/>
      <c r="I349" s="1" t="str">
        <f>IFERROR(__xludf.DUMMYFUNCTION("""COMPUTED_VALUE"""),"Want to see More Variety")</f>
        <v>Want to see More Variety</v>
      </c>
      <c r="J349" s="1"/>
      <c r="K349" s="3">
        <f>IFERROR(__xludf.DUMMYFUNCTION("""COMPUTED_VALUE"""),0.8298611111094942)</f>
        <v>0.8298611111</v>
      </c>
      <c r="L349" s="1" t="str">
        <f>IFERROR(__xludf.DUMMYFUNCTION("""COMPUTED_VALUE"""),"Yes")</f>
        <v>Yes</v>
      </c>
      <c r="M349" s="1" t="str">
        <f>IFERROR(__xludf.DUMMYFUNCTION("""COMPUTED_VALUE"""),"No")</f>
        <v>No</v>
      </c>
      <c r="N349" s="1" t="str">
        <f>IFERROR(__xludf.DUMMYFUNCTION("""COMPUTED_VALUE"""),"No")</f>
        <v>No</v>
      </c>
      <c r="O349" s="1" t="str">
        <f>IFERROR(__xludf.DUMMYFUNCTION("""COMPUTED_VALUE"""),"WA ONLY, CALL")</f>
        <v>WA ONLY, CALL</v>
      </c>
      <c r="P349" s="1" t="str">
        <f>IFERROR(__xludf.DUMMYFUNCTION("""COMPUTED_VALUE"""),"Madam")</f>
        <v>Madam</v>
      </c>
      <c r="Q349" s="1" t="str">
        <f>IFERROR(__xludf.DUMMYFUNCTION("""COMPUTED_VALUE"""),"No")</f>
        <v>No</v>
      </c>
      <c r="R349" s="1" t="str">
        <f>IFERROR(__xludf.DUMMYFUNCTION("""COMPUTED_VALUE"""),"NEW WALK IN")</f>
        <v>NEW WALK IN</v>
      </c>
      <c r="S349" s="1"/>
    </row>
    <row r="350">
      <c r="A350" s="2">
        <f>IFERROR(__xludf.DUMMYFUNCTION("""COMPUTED_VALUE"""),45429.77685172454)</f>
        <v>45429.77685</v>
      </c>
      <c r="B350" s="1" t="str">
        <f>IFERROR(__xludf.DUMMYFUNCTION("""COMPUTED_VALUE"""),"Pargya")</f>
        <v>Pargya</v>
      </c>
      <c r="C350" s="1">
        <f>IFERROR(__xludf.DUMMYFUNCTION("""COMPUTED_VALUE"""),9.313890608E9)</f>
        <v>9313890608</v>
      </c>
      <c r="D350" s="1">
        <f>IFERROR(__xludf.DUMMYFUNCTION("""COMPUTED_VALUE"""),1.0)</f>
        <v>1</v>
      </c>
      <c r="E350" s="3">
        <f>IFERROR(__xludf.DUMMYFUNCTION("""COMPUTED_VALUE"""),0.6930555555591127)</f>
        <v>0.6930555556</v>
      </c>
      <c r="F350" s="1" t="str">
        <f>IFERROR(__xludf.DUMMYFUNCTION("""COMPUTED_VALUE"""),"Antique Gold")</f>
        <v>Antique Gold</v>
      </c>
      <c r="G350" s="1" t="str">
        <f>IFERROR(__xludf.DUMMYFUNCTION("""COMPUTED_VALUE"""),"Chhaya")</f>
        <v>Chhaya</v>
      </c>
      <c r="H350" s="1"/>
      <c r="I350" s="1" t="str">
        <f>IFERROR(__xludf.DUMMYFUNCTION("""COMPUTED_VALUE"""),"Customer wants silver jewellery but not available in the store")</f>
        <v>Customer wants silver jewellery but not available in the store</v>
      </c>
      <c r="J350" s="1"/>
      <c r="K350" s="3">
        <f>IFERROR(__xludf.DUMMYFUNCTION("""COMPUTED_VALUE"""),0.6979166666642413)</f>
        <v>0.6979166667</v>
      </c>
      <c r="L350" s="1" t="str">
        <f>IFERROR(__xludf.DUMMYFUNCTION("""COMPUTED_VALUE"""),"No")</f>
        <v>No</v>
      </c>
      <c r="M350" s="1" t="str">
        <f>IFERROR(__xludf.DUMMYFUNCTION("""COMPUTED_VALUE"""),"No")</f>
        <v>No</v>
      </c>
      <c r="N350" s="1" t="str">
        <f>IFERROR(__xludf.DUMMYFUNCTION("""COMPUTED_VALUE"""),"No")</f>
        <v>No</v>
      </c>
      <c r="O350" s="1" t="str">
        <f>IFERROR(__xludf.DUMMYFUNCTION("""COMPUTED_VALUE"""),"WA ONLY, CALL")</f>
        <v>WA ONLY, CALL</v>
      </c>
      <c r="P350" s="1" t="str">
        <f>IFERROR(__xludf.DUMMYFUNCTION("""COMPUTED_VALUE"""),"Madam")</f>
        <v>Madam</v>
      </c>
      <c r="Q350" s="1" t="str">
        <f>IFERROR(__xludf.DUMMYFUNCTION("""COMPUTED_VALUE"""),"No")</f>
        <v>No</v>
      </c>
      <c r="R350" s="1" t="str">
        <f>IFERROR(__xludf.DUMMYFUNCTION("""COMPUTED_VALUE"""),"NEW WALK IN")</f>
        <v>NEW WALK IN</v>
      </c>
      <c r="S350" s="1"/>
    </row>
    <row r="351">
      <c r="A351" s="2">
        <f>IFERROR(__xludf.DUMMYFUNCTION("""COMPUTED_VALUE"""),45430.75164086805)</f>
        <v>45430.75164</v>
      </c>
      <c r="B351" s="1" t="str">
        <f>IFERROR(__xludf.DUMMYFUNCTION("""COMPUTED_VALUE"""),"Nagma")</f>
        <v>Nagma</v>
      </c>
      <c r="C351" s="1">
        <f>IFERROR(__xludf.DUMMYFUNCTION("""COMPUTED_VALUE"""),8.826639017E9)</f>
        <v>8826639017</v>
      </c>
      <c r="D351" s="1">
        <f>IFERROR(__xludf.DUMMYFUNCTION("""COMPUTED_VALUE"""),2.0)</f>
        <v>2</v>
      </c>
      <c r="E351" s="3">
        <f>IFERROR(__xludf.DUMMYFUNCTION("""COMPUTED_VALUE"""),0.625)</f>
        <v>0.625</v>
      </c>
      <c r="F351" s="1" t="str">
        <f>IFERROR(__xludf.DUMMYFUNCTION("""COMPUTED_VALUE"""),"Plain Gold")</f>
        <v>Plain Gold</v>
      </c>
      <c r="G351" s="1" t="str">
        <f>IFERROR(__xludf.DUMMYFUNCTION("""COMPUTED_VALUE"""),"Pooja")</f>
        <v>Pooja</v>
      </c>
      <c r="H351" s="1"/>
      <c r="I351" s="1" t="str">
        <f>IFERROR(__xludf.DUMMYFUNCTION("""COMPUTED_VALUE"""),"Want to see More Variety")</f>
        <v>Want to see More Variety</v>
      </c>
      <c r="J351" s="1"/>
      <c r="K351" s="3">
        <f>IFERROR(__xludf.DUMMYFUNCTION("""COMPUTED_VALUE"""),0.6319444444452529)</f>
        <v>0.6319444444</v>
      </c>
      <c r="L351" s="1" t="str">
        <f>IFERROR(__xludf.DUMMYFUNCTION("""COMPUTED_VALUE"""),"Yes")</f>
        <v>Yes</v>
      </c>
      <c r="M351" s="1" t="str">
        <f>IFERROR(__xludf.DUMMYFUNCTION("""COMPUTED_VALUE"""),"No")</f>
        <v>No</v>
      </c>
      <c r="N351" s="1" t="str">
        <f>IFERROR(__xludf.DUMMYFUNCTION("""COMPUTED_VALUE"""),"No")</f>
        <v>No</v>
      </c>
      <c r="O351" s="1" t="str">
        <f>IFERROR(__xludf.DUMMYFUNCTION("""COMPUTED_VALUE"""),"WA ONLY, CALL")</f>
        <v>WA ONLY, CALL</v>
      </c>
      <c r="P351" s="1" t="str">
        <f>IFERROR(__xludf.DUMMYFUNCTION("""COMPUTED_VALUE"""),"Madam")</f>
        <v>Madam</v>
      </c>
      <c r="Q351" s="1" t="str">
        <f>IFERROR(__xludf.DUMMYFUNCTION("""COMPUTED_VALUE"""),"No")</f>
        <v>No</v>
      </c>
      <c r="R351" s="1" t="str">
        <f>IFERROR(__xludf.DUMMYFUNCTION("""COMPUTED_VALUE"""),"NEW WALK IN")</f>
        <v>NEW WALK IN</v>
      </c>
      <c r="S351" s="1"/>
    </row>
    <row r="352">
      <c r="A352" s="2">
        <f>IFERROR(__xludf.DUMMYFUNCTION("""COMPUTED_VALUE"""),45430.75246108796)</f>
        <v>45430.75246</v>
      </c>
      <c r="B352" s="1" t="str">
        <f>IFERROR(__xludf.DUMMYFUNCTION("""COMPUTED_VALUE"""),"Aman")</f>
        <v>Aman</v>
      </c>
      <c r="C352" s="1">
        <f>IFERROR(__xludf.DUMMYFUNCTION("""COMPUTED_VALUE"""),7.838532754E9)</f>
        <v>7838532754</v>
      </c>
      <c r="D352" s="1">
        <f>IFERROR(__xludf.DUMMYFUNCTION("""COMPUTED_VALUE"""),2.0)</f>
        <v>2</v>
      </c>
      <c r="E352" s="3">
        <f>IFERROR(__xludf.DUMMYFUNCTION("""COMPUTED_VALUE"""),0.7291666666642413)</f>
        <v>0.7291666667</v>
      </c>
      <c r="F352" s="1" t="str">
        <f>IFERROR(__xludf.DUMMYFUNCTION("""COMPUTED_VALUE"""),"Plain Gold")</f>
        <v>Plain Gold</v>
      </c>
      <c r="G352" s="1" t="str">
        <f>IFERROR(__xludf.DUMMYFUNCTION("""COMPUTED_VALUE"""),"Pooja")</f>
        <v>Pooja</v>
      </c>
      <c r="H352" s="1" t="str">
        <f>IFERROR(__xludf.DUMMYFUNCTION("""COMPUTED_VALUE"""),"Gold bali")</f>
        <v>Gold bali</v>
      </c>
      <c r="I352" s="1"/>
      <c r="J352" s="1"/>
      <c r="K352" s="3">
        <f>IFERROR(__xludf.DUMMYFUNCTION("""COMPUTED_VALUE"""),0.7506944444467081)</f>
        <v>0.7506944444</v>
      </c>
      <c r="L352" s="1" t="str">
        <f>IFERROR(__xludf.DUMMYFUNCTION("""COMPUTED_VALUE"""),"Yes")</f>
        <v>Yes</v>
      </c>
      <c r="M352" s="1" t="str">
        <f>IFERROR(__xludf.DUMMYFUNCTION("""COMPUTED_VALUE"""),"Yes")</f>
        <v>Yes</v>
      </c>
      <c r="N352" s="1" t="str">
        <f>IFERROR(__xludf.DUMMYFUNCTION("""COMPUTED_VALUE"""),"Yes")</f>
        <v>Yes</v>
      </c>
      <c r="O352" s="1" t="str">
        <f>IFERROR(__xludf.DUMMYFUNCTION("""COMPUTED_VALUE"""),"WA ONLY, CALL")</f>
        <v>WA ONLY, CALL</v>
      </c>
      <c r="P352" s="1" t="str">
        <f>IFERROR(__xludf.DUMMYFUNCTION("""COMPUTED_VALUE"""),"Sir")</f>
        <v>Sir</v>
      </c>
      <c r="Q352" s="1" t="str">
        <f>IFERROR(__xludf.DUMMYFUNCTION("""COMPUTED_VALUE"""),"No")</f>
        <v>No</v>
      </c>
      <c r="R352" s="1" t="str">
        <f>IFERROR(__xludf.DUMMYFUNCTION("""COMPUTED_VALUE"""),"NEW WALK IN")</f>
        <v>NEW WALK IN</v>
      </c>
      <c r="S352" s="1"/>
    </row>
    <row r="353">
      <c r="A353" s="2">
        <f>IFERROR(__xludf.DUMMYFUNCTION("""COMPUTED_VALUE"""),45430.839967465276)</f>
        <v>45430.83997</v>
      </c>
      <c r="B353" s="1" t="str">
        <f>IFERROR(__xludf.DUMMYFUNCTION("""COMPUTED_VALUE"""),"Pavnaat")</f>
        <v>Pavnaat</v>
      </c>
      <c r="C353" s="1">
        <f>IFERROR(__xludf.DUMMYFUNCTION("""COMPUTED_VALUE"""),9.718226622E9)</f>
        <v>9718226622</v>
      </c>
      <c r="D353" s="1">
        <f>IFERROR(__xludf.DUMMYFUNCTION("""COMPUTED_VALUE"""),4.0)</f>
        <v>4</v>
      </c>
      <c r="E353" s="3">
        <f>IFERROR(__xludf.DUMMYFUNCTION("""COMPUTED_VALUE"""),0.78125)</f>
        <v>0.78125</v>
      </c>
      <c r="F353" s="1" t="str">
        <f>IFERROR(__xludf.DUMMYFUNCTION("""COMPUTED_VALUE"""),"Antique Gold")</f>
        <v>Antique Gold</v>
      </c>
      <c r="G353" s="1" t="str">
        <f>IFERROR(__xludf.DUMMYFUNCTION("""COMPUTED_VALUE"""),"Chhaya")</f>
        <v>Chhaya</v>
      </c>
      <c r="H353" s="1"/>
      <c r="I353" s="1" t="str">
        <f>IFERROR(__xludf.DUMMYFUNCTION("""COMPUTED_VALUE"""),"Visit Again in 1 Month")</f>
        <v>Visit Again in 1 Month</v>
      </c>
      <c r="J353" s="1"/>
      <c r="K353" s="3">
        <f>IFERROR(__xludf.DUMMYFUNCTION("""COMPUTED_VALUE"""),0.8381944444408873)</f>
        <v>0.8381944444</v>
      </c>
      <c r="L353" s="1" t="str">
        <f>IFERROR(__xludf.DUMMYFUNCTION("""COMPUTED_VALUE"""),"Yes")</f>
        <v>Yes</v>
      </c>
      <c r="M353" s="1" t="str">
        <f>IFERROR(__xludf.DUMMYFUNCTION("""COMPUTED_VALUE"""),"No")</f>
        <v>No</v>
      </c>
      <c r="N353" s="1" t="str">
        <f>IFERROR(__xludf.DUMMYFUNCTION("""COMPUTED_VALUE"""),"No")</f>
        <v>No</v>
      </c>
      <c r="O353" s="1" t="str">
        <f>IFERROR(__xludf.DUMMYFUNCTION("""COMPUTED_VALUE"""),"WA ONLY, CALL")</f>
        <v>WA ONLY, CALL</v>
      </c>
      <c r="P353" s="1" t="str">
        <f>IFERROR(__xludf.DUMMYFUNCTION("""COMPUTED_VALUE"""),"Madam")</f>
        <v>Madam</v>
      </c>
      <c r="Q353" s="1"/>
      <c r="R353" s="1" t="str">
        <f>IFERROR(__xludf.DUMMYFUNCTION("""COMPUTED_VALUE"""),"NEW WALK IN")</f>
        <v>NEW WALK IN</v>
      </c>
      <c r="S353" s="1"/>
    </row>
    <row r="354">
      <c r="A354" s="2">
        <f>IFERROR(__xludf.DUMMYFUNCTION("""COMPUTED_VALUE"""),45431.72020787037)</f>
        <v>45431.72021</v>
      </c>
      <c r="B354" s="1" t="str">
        <f>IFERROR(__xludf.DUMMYFUNCTION("""COMPUTED_VALUE"""),"Sherya sharma")</f>
        <v>Sherya sharma</v>
      </c>
      <c r="C354" s="1">
        <f>IFERROR(__xludf.DUMMYFUNCTION("""COMPUTED_VALUE"""),8.851312233E9)</f>
        <v>8851312233</v>
      </c>
      <c r="D354" s="1">
        <f>IFERROR(__xludf.DUMMYFUNCTION("""COMPUTED_VALUE"""),2.0)</f>
        <v>2</v>
      </c>
      <c r="E354" s="3">
        <f>IFERROR(__xludf.DUMMYFUNCTION("""COMPUTED_VALUE"""),0.625)</f>
        <v>0.625</v>
      </c>
      <c r="F354" s="1" t="str">
        <f>IFERROR(__xludf.DUMMYFUNCTION("""COMPUTED_VALUE"""),"Antique Gold")</f>
        <v>Antique Gold</v>
      </c>
      <c r="G354" s="1" t="str">
        <f>IFERROR(__xludf.DUMMYFUNCTION("""COMPUTED_VALUE"""),"Pooja")</f>
        <v>Pooja</v>
      </c>
      <c r="H354" s="1"/>
      <c r="I354" s="1" t="str">
        <f>IFERROR(__xludf.DUMMYFUNCTION("""COMPUTED_VALUE"""),"Pick up Order")</f>
        <v>Pick up Order</v>
      </c>
      <c r="J354" s="1"/>
      <c r="K354" s="3">
        <f>IFERROR(__xludf.DUMMYFUNCTION("""COMPUTED_VALUE"""),0.65625)</f>
        <v>0.65625</v>
      </c>
      <c r="L354" s="1" t="str">
        <f>IFERROR(__xludf.DUMMYFUNCTION("""COMPUTED_VALUE"""),"Yes")</f>
        <v>Yes</v>
      </c>
      <c r="M354" s="1" t="str">
        <f>IFERROR(__xludf.DUMMYFUNCTION("""COMPUTED_VALUE"""),"Already done ")</f>
        <v>Already done </v>
      </c>
      <c r="N354" s="1" t="str">
        <f>IFERROR(__xludf.DUMMYFUNCTION("""COMPUTED_VALUE"""),"Already done ")</f>
        <v>Already done </v>
      </c>
      <c r="O354" s="1" t="str">
        <f>IFERROR(__xludf.DUMMYFUNCTION("""COMPUTED_VALUE"""),"WA ONLY, CALL")</f>
        <v>WA ONLY, CALL</v>
      </c>
      <c r="P354" s="1" t="str">
        <f>IFERROR(__xludf.DUMMYFUNCTION("""COMPUTED_VALUE"""),"Madam")</f>
        <v>Madam</v>
      </c>
      <c r="Q354" s="1" t="str">
        <f>IFERROR(__xludf.DUMMYFUNCTION("""COMPUTED_VALUE"""),"No")</f>
        <v>No</v>
      </c>
      <c r="R354" s="1" t="str">
        <f>IFERROR(__xludf.DUMMYFUNCTION("""COMPUTED_VALUE"""),"OLD")</f>
        <v>OLD</v>
      </c>
      <c r="S354" s="1"/>
    </row>
    <row r="355">
      <c r="A355" s="2">
        <f>IFERROR(__xludf.DUMMYFUNCTION("""COMPUTED_VALUE"""),45431.72146291667)</f>
        <v>45431.72146</v>
      </c>
      <c r="B355" s="1" t="str">
        <f>IFERROR(__xludf.DUMMYFUNCTION("""COMPUTED_VALUE"""),"Meera")</f>
        <v>Meera</v>
      </c>
      <c r="C355" s="1">
        <f>IFERROR(__xludf.DUMMYFUNCTION("""COMPUTED_VALUE"""),9.91080292E9)</f>
        <v>9910802920</v>
      </c>
      <c r="D355" s="1">
        <f>IFERROR(__xludf.DUMMYFUNCTION("""COMPUTED_VALUE"""),1.0)</f>
        <v>1</v>
      </c>
      <c r="E355" s="3">
        <f>IFERROR(__xludf.DUMMYFUNCTION("""COMPUTED_VALUE"""),0.5208333333357587)</f>
        <v>0.5208333333</v>
      </c>
      <c r="F355" s="1" t="str">
        <f>IFERROR(__xludf.DUMMYFUNCTION("""COMPUTED_VALUE"""),"Plain Gold")</f>
        <v>Plain Gold</v>
      </c>
      <c r="G355" s="1" t="str">
        <f>IFERROR(__xludf.DUMMYFUNCTION("""COMPUTED_VALUE"""),"Pooja")</f>
        <v>Pooja</v>
      </c>
      <c r="H355" s="1"/>
      <c r="I355" s="1" t="str">
        <f>IFERROR(__xludf.DUMMYFUNCTION("""COMPUTED_VALUE"""),"Repairing bangles fill the lakh")</f>
        <v>Repairing bangles fill the lakh</v>
      </c>
      <c r="J355" s="1"/>
      <c r="K355" s="3">
        <f>IFERROR(__xludf.DUMMYFUNCTION("""COMPUTED_VALUE"""),0.6041666666642413)</f>
        <v>0.6041666667</v>
      </c>
      <c r="L355" s="1" t="str">
        <f>IFERROR(__xludf.DUMMYFUNCTION("""COMPUTED_VALUE"""),"Yes")</f>
        <v>Yes</v>
      </c>
      <c r="M355" s="1" t="str">
        <f>IFERROR(__xludf.DUMMYFUNCTION("""COMPUTED_VALUE"""),"Yes")</f>
        <v>Yes</v>
      </c>
      <c r="N355" s="1" t="str">
        <f>IFERROR(__xludf.DUMMYFUNCTION("""COMPUTED_VALUE"""),"Yes")</f>
        <v>Yes</v>
      </c>
      <c r="O355" s="1" t="str">
        <f>IFERROR(__xludf.DUMMYFUNCTION("""COMPUTED_VALUE"""),"WA ONLY, CALL")</f>
        <v>WA ONLY, CALL</v>
      </c>
      <c r="P355" s="1" t="str">
        <f>IFERROR(__xludf.DUMMYFUNCTION("""COMPUTED_VALUE"""),"Madam")</f>
        <v>Madam</v>
      </c>
      <c r="Q355" s="1" t="str">
        <f>IFERROR(__xludf.DUMMYFUNCTION("""COMPUTED_VALUE"""),"No")</f>
        <v>No</v>
      </c>
      <c r="R355" s="1" t="str">
        <f>IFERROR(__xludf.DUMMYFUNCTION("""COMPUTED_VALUE"""),"NEW WALK IN")</f>
        <v>NEW WALK IN</v>
      </c>
      <c r="S355" s="1"/>
    </row>
    <row r="356">
      <c r="A356" s="2">
        <f>IFERROR(__xludf.DUMMYFUNCTION("""COMPUTED_VALUE"""),45433.71626339121)</f>
        <v>45433.71626</v>
      </c>
      <c r="B356" s="1" t="str">
        <f>IFERROR(__xludf.DUMMYFUNCTION("""COMPUTED_VALUE"""),"Pramod kumar")</f>
        <v>Pramod kumar</v>
      </c>
      <c r="C356" s="1">
        <f>IFERROR(__xludf.DUMMYFUNCTION("""COMPUTED_VALUE"""),9.92099516E9)</f>
        <v>9920995160</v>
      </c>
      <c r="D356" s="1">
        <f>IFERROR(__xludf.DUMMYFUNCTION("""COMPUTED_VALUE"""),1.0)</f>
        <v>1</v>
      </c>
      <c r="E356" s="3">
        <f>IFERROR(__xludf.DUMMYFUNCTION("""COMPUTED_VALUE"""),0.7013888888905058)</f>
        <v>0.7013888889</v>
      </c>
      <c r="F356" s="1" t="str">
        <f>IFERROR(__xludf.DUMMYFUNCTION("""COMPUTED_VALUE"""),"Antique Gold")</f>
        <v>Antique Gold</v>
      </c>
      <c r="G356" s="1" t="str">
        <f>IFERROR(__xludf.DUMMYFUNCTION("""COMPUTED_VALUE"""),"Pooja")</f>
        <v>Pooja</v>
      </c>
      <c r="H356" s="1"/>
      <c r="I356" s="1" t="str">
        <f>IFERROR(__xludf.DUMMYFUNCTION("""COMPUTED_VALUE"""),"Customer wants more silver gifts ")</f>
        <v>Customer wants more silver gifts </v>
      </c>
      <c r="J356" s="1"/>
      <c r="K356" s="3">
        <f>IFERROR(__xludf.DUMMYFUNCTION("""COMPUTED_VALUE"""),0.7125000000014552)</f>
        <v>0.7125</v>
      </c>
      <c r="L356" s="1" t="str">
        <f>IFERROR(__xludf.DUMMYFUNCTION("""COMPUTED_VALUE"""),"Yes")</f>
        <v>Yes</v>
      </c>
      <c r="M356" s="1" t="str">
        <f>IFERROR(__xludf.DUMMYFUNCTION("""COMPUTED_VALUE"""),"No")</f>
        <v>No</v>
      </c>
      <c r="N356" s="1" t="str">
        <f>IFERROR(__xludf.DUMMYFUNCTION("""COMPUTED_VALUE"""),"No")</f>
        <v>No</v>
      </c>
      <c r="O356" s="1" t="str">
        <f>IFERROR(__xludf.DUMMYFUNCTION("""COMPUTED_VALUE"""),"WA ONLY, CALL")</f>
        <v>WA ONLY, CALL</v>
      </c>
      <c r="P356" s="1" t="str">
        <f>IFERROR(__xludf.DUMMYFUNCTION("""COMPUTED_VALUE"""),"Sir")</f>
        <v>Sir</v>
      </c>
      <c r="Q356" s="1" t="str">
        <f>IFERROR(__xludf.DUMMYFUNCTION("""COMPUTED_VALUE"""),"No")</f>
        <v>No</v>
      </c>
      <c r="R356" s="1" t="str">
        <f>IFERROR(__xludf.DUMMYFUNCTION("""COMPUTED_VALUE"""),"NEW WALK IN")</f>
        <v>NEW WALK IN</v>
      </c>
      <c r="S356" s="1"/>
    </row>
    <row r="357">
      <c r="A357" s="2">
        <f>IFERROR(__xludf.DUMMYFUNCTION("""COMPUTED_VALUE"""),45434.78014916666)</f>
        <v>45434.78015</v>
      </c>
      <c r="B357" s="1" t="str">
        <f>IFERROR(__xludf.DUMMYFUNCTION("""COMPUTED_VALUE"""),"Usha bhatiya")</f>
        <v>Usha bhatiya</v>
      </c>
      <c r="C357" s="1">
        <f>IFERROR(__xludf.DUMMYFUNCTION("""COMPUTED_VALUE"""),9.313251554E9)</f>
        <v>9313251554</v>
      </c>
      <c r="D357" s="1">
        <f>IFERROR(__xludf.DUMMYFUNCTION("""COMPUTED_VALUE"""),2.0)</f>
        <v>2</v>
      </c>
      <c r="E357" s="3">
        <f>IFERROR(__xludf.DUMMYFUNCTION("""COMPUTED_VALUE"""),0.6979166666642413)</f>
        <v>0.6979166667</v>
      </c>
      <c r="F357" s="1" t="str">
        <f>IFERROR(__xludf.DUMMYFUNCTION("""COMPUTED_VALUE"""),"Antique Gold")</f>
        <v>Antique Gold</v>
      </c>
      <c r="G357" s="1" t="str">
        <f>IFERROR(__xludf.DUMMYFUNCTION("""COMPUTED_VALUE"""),"Chhaya")</f>
        <v>Chhaya</v>
      </c>
      <c r="H357" s="1"/>
      <c r="I357" s="1" t="str">
        <f>IFERROR(__xludf.DUMMYFUNCTION("""COMPUTED_VALUE"""),"Pick up Order")</f>
        <v>Pick up Order</v>
      </c>
      <c r="J357" s="1"/>
      <c r="K357" s="3">
        <f>IFERROR(__xludf.DUMMYFUNCTION("""COMPUTED_VALUE"""),0.7173611111065838)</f>
        <v>0.7173611111</v>
      </c>
      <c r="L357" s="1" t="str">
        <f>IFERROR(__xludf.DUMMYFUNCTION("""COMPUTED_VALUE"""),"Yes")</f>
        <v>Yes</v>
      </c>
      <c r="M357" s="1" t="str">
        <f>IFERROR(__xludf.DUMMYFUNCTION("""COMPUTED_VALUE"""),"Already done ")</f>
        <v>Already done </v>
      </c>
      <c r="N357" s="1" t="str">
        <f>IFERROR(__xludf.DUMMYFUNCTION("""COMPUTED_VALUE"""),"Already done ")</f>
        <v>Already done </v>
      </c>
      <c r="O357" s="1" t="str">
        <f>IFERROR(__xludf.DUMMYFUNCTION("""COMPUTED_VALUE"""),"WA ONLY, OWNER CONTACT ONLY, CALL")</f>
        <v>WA ONLY, OWNER CONTACT ONLY, CALL</v>
      </c>
      <c r="P357" s="1" t="str">
        <f>IFERROR(__xludf.DUMMYFUNCTION("""COMPUTED_VALUE"""),"Madam")</f>
        <v>Madam</v>
      </c>
      <c r="Q357" s="1" t="str">
        <f>IFERROR(__xludf.DUMMYFUNCTION("""COMPUTED_VALUE"""),"No")</f>
        <v>No</v>
      </c>
      <c r="R357" s="1" t="str">
        <f>IFERROR(__xludf.DUMMYFUNCTION("""COMPUTED_VALUE"""),"OLD")</f>
        <v>OLD</v>
      </c>
      <c r="S357" s="1"/>
    </row>
    <row r="358">
      <c r="A358" s="2">
        <f>IFERROR(__xludf.DUMMYFUNCTION("""COMPUTED_VALUE"""),45435.738471122684)</f>
        <v>45435.73847</v>
      </c>
      <c r="B358" s="1" t="str">
        <f>IFERROR(__xludf.DUMMYFUNCTION("""COMPUTED_VALUE"""),"Ritu gupta")</f>
        <v>Ritu gupta</v>
      </c>
      <c r="C358" s="1">
        <f>IFERROR(__xludf.DUMMYFUNCTION("""COMPUTED_VALUE"""),9.891000073E9)</f>
        <v>9891000073</v>
      </c>
      <c r="D358" s="1">
        <f>IFERROR(__xludf.DUMMYFUNCTION("""COMPUTED_VALUE"""),2.0)</f>
        <v>2</v>
      </c>
      <c r="E358" s="3">
        <f>IFERROR(__xludf.DUMMYFUNCTION("""COMPUTED_VALUE"""),0.6041666666642413)</f>
        <v>0.6041666667</v>
      </c>
      <c r="F358" s="1" t="str">
        <f>IFERROR(__xludf.DUMMYFUNCTION("""COMPUTED_VALUE"""),"Diamond")</f>
        <v>Diamond</v>
      </c>
      <c r="G358" s="1" t="str">
        <f>IFERROR(__xludf.DUMMYFUNCTION("""COMPUTED_VALUE"""),"Pooja")</f>
        <v>Pooja</v>
      </c>
      <c r="H358" s="1" t="str">
        <f>IFERROR(__xludf.DUMMYFUNCTION("""COMPUTED_VALUE"""),"Diamond pendent set")</f>
        <v>Diamond pendent set</v>
      </c>
      <c r="I358" s="1"/>
      <c r="J358" s="1"/>
      <c r="K358" s="3">
        <f>IFERROR(__xludf.DUMMYFUNCTION("""COMPUTED_VALUE"""),0.6965277777781012)</f>
        <v>0.6965277778</v>
      </c>
      <c r="L358" s="1" t="str">
        <f>IFERROR(__xludf.DUMMYFUNCTION("""COMPUTED_VALUE"""),"Yes")</f>
        <v>Yes</v>
      </c>
      <c r="M358" s="1" t="str">
        <f>IFERROR(__xludf.DUMMYFUNCTION("""COMPUTED_VALUE"""),"Already done ")</f>
        <v>Already done </v>
      </c>
      <c r="N358" s="1" t="str">
        <f>IFERROR(__xludf.DUMMYFUNCTION("""COMPUTED_VALUE"""),"Already done ")</f>
        <v>Already done </v>
      </c>
      <c r="O358" s="1" t="str">
        <f>IFERROR(__xludf.DUMMYFUNCTION("""COMPUTED_VALUE"""),"WA ONLY, OWNER CONTACT ONLY, CALL")</f>
        <v>WA ONLY, OWNER CONTACT ONLY, CALL</v>
      </c>
      <c r="P358" s="1" t="str">
        <f>IFERROR(__xludf.DUMMYFUNCTION("""COMPUTED_VALUE"""),"Madam")</f>
        <v>Madam</v>
      </c>
      <c r="Q358" s="1" t="str">
        <f>IFERROR(__xludf.DUMMYFUNCTION("""COMPUTED_VALUE"""),"No")</f>
        <v>No</v>
      </c>
      <c r="R358" s="1" t="str">
        <f>IFERROR(__xludf.DUMMYFUNCTION("""COMPUTED_VALUE"""),"OLD")</f>
        <v>OLD</v>
      </c>
      <c r="S358" s="1"/>
    </row>
    <row r="359">
      <c r="A359" s="2">
        <f>IFERROR(__xludf.DUMMYFUNCTION("""COMPUTED_VALUE"""),45435.81883533565)</f>
        <v>45435.81884</v>
      </c>
      <c r="B359" s="1" t="str">
        <f>IFERROR(__xludf.DUMMYFUNCTION("""COMPUTED_VALUE"""),"Roshendra")</f>
        <v>Roshendra</v>
      </c>
      <c r="C359" s="1">
        <f>IFERROR(__xludf.DUMMYFUNCTION("""COMPUTED_VALUE"""),9.873282859E9)</f>
        <v>9873282859</v>
      </c>
      <c r="D359" s="1">
        <f>IFERROR(__xludf.DUMMYFUNCTION("""COMPUTED_VALUE"""),1.0)</f>
        <v>1</v>
      </c>
      <c r="E359" s="3">
        <f>IFERROR(__xludf.DUMMYFUNCTION("""COMPUTED_VALUE"""),0.8062500000014552)</f>
        <v>0.80625</v>
      </c>
      <c r="F359" s="1" t="str">
        <f>IFERROR(__xludf.DUMMYFUNCTION("""COMPUTED_VALUE"""),"Antique Gold")</f>
        <v>Antique Gold</v>
      </c>
      <c r="G359" s="1" t="str">
        <f>IFERROR(__xludf.DUMMYFUNCTION("""COMPUTED_VALUE"""),"Chhaya")</f>
        <v>Chhaya</v>
      </c>
      <c r="H359" s="1"/>
      <c r="I359" s="1" t="str">
        <f>IFERROR(__xludf.DUMMYFUNCTION("""COMPUTED_VALUE"""),"Visit sunday")</f>
        <v>Visit sunday</v>
      </c>
      <c r="J359" s="1"/>
      <c r="K359" s="3">
        <f>IFERROR(__xludf.DUMMYFUNCTION("""COMPUTED_VALUE"""),0.8138888888934162)</f>
        <v>0.8138888889</v>
      </c>
      <c r="L359" s="1" t="str">
        <f>IFERROR(__xludf.DUMMYFUNCTION("""COMPUTED_VALUE"""),"Yes")</f>
        <v>Yes</v>
      </c>
      <c r="M359" s="1" t="str">
        <f>IFERROR(__xludf.DUMMYFUNCTION("""COMPUTED_VALUE"""),"No")</f>
        <v>No</v>
      </c>
      <c r="N359" s="1" t="str">
        <f>IFERROR(__xludf.DUMMYFUNCTION("""COMPUTED_VALUE"""),"No")</f>
        <v>No</v>
      </c>
      <c r="O359" s="1" t="str">
        <f>IFERROR(__xludf.DUMMYFUNCTION("""COMPUTED_VALUE"""),"WA ONLY, CALL")</f>
        <v>WA ONLY, CALL</v>
      </c>
      <c r="P359" s="1" t="str">
        <f>IFERROR(__xludf.DUMMYFUNCTION("""COMPUTED_VALUE"""),"Sir")</f>
        <v>Sir</v>
      </c>
      <c r="Q359" s="1" t="str">
        <f>IFERROR(__xludf.DUMMYFUNCTION("""COMPUTED_VALUE"""),"No")</f>
        <v>No</v>
      </c>
      <c r="R359" s="1" t="str">
        <f>IFERROR(__xludf.DUMMYFUNCTION("""COMPUTED_VALUE"""),"NEW WALK IN")</f>
        <v>NEW WALK IN</v>
      </c>
      <c r="S359" s="1"/>
    </row>
    <row r="360">
      <c r="A360" s="2">
        <f>IFERROR(__xludf.DUMMYFUNCTION("""COMPUTED_VALUE"""),45438.58842965278)</f>
        <v>45438.58843</v>
      </c>
      <c r="B360" s="1" t="str">
        <f>IFERROR(__xludf.DUMMYFUNCTION("""COMPUTED_VALUE"""),"Rahul")</f>
        <v>Rahul</v>
      </c>
      <c r="C360" s="1">
        <f>IFERROR(__xludf.DUMMYFUNCTION("""COMPUTED_VALUE"""),8.278678863E9)</f>
        <v>8278678863</v>
      </c>
      <c r="D360" s="1">
        <f>IFERROR(__xludf.DUMMYFUNCTION("""COMPUTED_VALUE"""),1.0)</f>
        <v>1</v>
      </c>
      <c r="E360" s="3">
        <f>IFERROR(__xludf.DUMMYFUNCTION("""COMPUTED_VALUE"""),0.48263888889050577)</f>
        <v>0.4826388889</v>
      </c>
      <c r="F360" s="1" t="str">
        <f>IFERROR(__xludf.DUMMYFUNCTION("""COMPUTED_VALUE"""),"Diamond")</f>
        <v>Diamond</v>
      </c>
      <c r="G360" s="1" t="str">
        <f>IFERROR(__xludf.DUMMYFUNCTION("""COMPUTED_VALUE"""),"Pooja")</f>
        <v>Pooja</v>
      </c>
      <c r="H360" s="1" t="str">
        <f>IFERROR(__xludf.DUMMYFUNCTION("""COMPUTED_VALUE"""),"5gm gold coin ")</f>
        <v>5gm gold coin </v>
      </c>
      <c r="I360" s="1"/>
      <c r="J360" s="1"/>
      <c r="K360" s="3">
        <f>IFERROR(__xludf.DUMMYFUNCTION("""COMPUTED_VALUE"""),0.5104166666642413)</f>
        <v>0.5104166667</v>
      </c>
      <c r="L360" s="1" t="str">
        <f>IFERROR(__xludf.DUMMYFUNCTION("""COMPUTED_VALUE"""),"Yes")</f>
        <v>Yes</v>
      </c>
      <c r="M360" s="1" t="str">
        <f>IFERROR(__xludf.DUMMYFUNCTION("""COMPUTED_VALUE"""),"Yes")</f>
        <v>Yes</v>
      </c>
      <c r="N360" s="1" t="str">
        <f>IFERROR(__xludf.DUMMYFUNCTION("""COMPUTED_VALUE"""),"Yes")</f>
        <v>Yes</v>
      </c>
      <c r="O360" s="1" t="str">
        <f>IFERROR(__xludf.DUMMYFUNCTION("""COMPUTED_VALUE"""),"WA ONLY, CALL")</f>
        <v>WA ONLY, CALL</v>
      </c>
      <c r="P360" s="1" t="str">
        <f>IFERROR(__xludf.DUMMYFUNCTION("""COMPUTED_VALUE"""),"Sir")</f>
        <v>Sir</v>
      </c>
      <c r="Q360" s="1" t="str">
        <f>IFERROR(__xludf.DUMMYFUNCTION("""COMPUTED_VALUE"""),"No")</f>
        <v>No</v>
      </c>
      <c r="R360" s="1" t="str">
        <f>IFERROR(__xludf.DUMMYFUNCTION("""COMPUTED_VALUE"""),"NEW WALK IN")</f>
        <v>NEW WALK IN</v>
      </c>
      <c r="S360" s="1"/>
    </row>
    <row r="361">
      <c r="A361" s="2">
        <f>IFERROR(__xludf.DUMMYFUNCTION("""COMPUTED_VALUE"""),45438.787131006946)</f>
        <v>45438.78713</v>
      </c>
      <c r="B361" s="1" t="str">
        <f>IFERROR(__xludf.DUMMYFUNCTION("""COMPUTED_VALUE"""),"Afsana begam")</f>
        <v>Afsana begam</v>
      </c>
      <c r="C361" s="1">
        <f>IFERROR(__xludf.DUMMYFUNCTION("""COMPUTED_VALUE"""),9.311691012E9)</f>
        <v>9311691012</v>
      </c>
      <c r="D361" s="1">
        <f>IFERROR(__xludf.DUMMYFUNCTION("""COMPUTED_VALUE"""),1.0)</f>
        <v>1</v>
      </c>
      <c r="E361" s="3">
        <f>IFERROR(__xludf.DUMMYFUNCTION("""COMPUTED_VALUE"""),0.625)</f>
        <v>0.625</v>
      </c>
      <c r="F361" s="1" t="str">
        <f>IFERROR(__xludf.DUMMYFUNCTION("""COMPUTED_VALUE"""),"Plain Gold")</f>
        <v>Plain Gold</v>
      </c>
      <c r="G361" s="1" t="str">
        <f>IFERROR(__xludf.DUMMYFUNCTION("""COMPUTED_VALUE"""),"Pooja")</f>
        <v>Pooja</v>
      </c>
      <c r="H361" s="1" t="str">
        <f>IFERROR(__xludf.DUMMYFUNCTION("""COMPUTED_VALUE"""),"Gold bali")</f>
        <v>Gold bali</v>
      </c>
      <c r="I361" s="1"/>
      <c r="J361" s="1"/>
      <c r="K361" s="3">
        <f>IFERROR(__xludf.DUMMYFUNCTION("""COMPUTED_VALUE"""),0.6826388888875954)</f>
        <v>0.6826388889</v>
      </c>
      <c r="L361" s="1" t="str">
        <f>IFERROR(__xludf.DUMMYFUNCTION("""COMPUTED_VALUE"""),"Yes")</f>
        <v>Yes</v>
      </c>
      <c r="M361" s="1" t="str">
        <f>IFERROR(__xludf.DUMMYFUNCTION("""COMPUTED_VALUE"""),"Already done")</f>
        <v>Already done</v>
      </c>
      <c r="N361" s="1" t="str">
        <f>IFERROR(__xludf.DUMMYFUNCTION("""COMPUTED_VALUE"""),"Already done")</f>
        <v>Already done</v>
      </c>
      <c r="O361" s="1" t="str">
        <f>IFERROR(__xludf.DUMMYFUNCTION("""COMPUTED_VALUE"""),"WA ONLY, CALL")</f>
        <v>WA ONLY, CALL</v>
      </c>
      <c r="P361" s="1" t="str">
        <f>IFERROR(__xludf.DUMMYFUNCTION("""COMPUTED_VALUE"""),"Madam")</f>
        <v>Madam</v>
      </c>
      <c r="Q361" s="1" t="str">
        <f>IFERROR(__xludf.DUMMYFUNCTION("""COMPUTED_VALUE"""),"No")</f>
        <v>No</v>
      </c>
      <c r="R361" s="1" t="str">
        <f>IFERROR(__xludf.DUMMYFUNCTION("""COMPUTED_VALUE"""),"OLD")</f>
        <v>OLD</v>
      </c>
      <c r="S361" s="1"/>
    </row>
    <row r="362">
      <c r="A362" s="2">
        <f>IFERROR(__xludf.DUMMYFUNCTION("""COMPUTED_VALUE"""),45438.78786971065)</f>
        <v>45438.78787</v>
      </c>
      <c r="B362" s="1" t="str">
        <f>IFERROR(__xludf.DUMMYFUNCTION("""COMPUTED_VALUE"""),"Komal")</f>
        <v>Komal</v>
      </c>
      <c r="C362" s="1">
        <f>IFERROR(__xludf.DUMMYFUNCTION("""COMPUTED_VALUE"""),8.800646334E9)</f>
        <v>8800646334</v>
      </c>
      <c r="D362" s="1">
        <f>IFERROR(__xludf.DUMMYFUNCTION("""COMPUTED_VALUE"""),1.0)</f>
        <v>1</v>
      </c>
      <c r="E362" s="3">
        <f>IFERROR(__xludf.DUMMYFUNCTION("""COMPUTED_VALUE"""),0.6534722222204437)</f>
        <v>0.6534722222</v>
      </c>
      <c r="F362" s="1" t="str">
        <f>IFERROR(__xludf.DUMMYFUNCTION("""COMPUTED_VALUE"""),"Antique Gold")</f>
        <v>Antique Gold</v>
      </c>
      <c r="G362" s="1" t="str">
        <f>IFERROR(__xludf.DUMMYFUNCTION("""COMPUTED_VALUE"""),"Chhaya")</f>
        <v>Chhaya</v>
      </c>
      <c r="H362" s="1"/>
      <c r="I362" s="1" t="str">
        <f>IFERROR(__xludf.DUMMYFUNCTION("""COMPUTED_VALUE"""),"Designs Not Liked")</f>
        <v>Designs Not Liked</v>
      </c>
      <c r="J362" s="1"/>
      <c r="K362" s="3">
        <f>IFERROR(__xludf.DUMMYFUNCTION("""COMPUTED_VALUE"""),0.6597222222189885)</f>
        <v>0.6597222222</v>
      </c>
      <c r="L362" s="1" t="str">
        <f>IFERROR(__xludf.DUMMYFUNCTION("""COMPUTED_VALUE"""),"Yes")</f>
        <v>Yes</v>
      </c>
      <c r="M362" s="1" t="str">
        <f>IFERROR(__xludf.DUMMYFUNCTION("""COMPUTED_VALUE"""),"No")</f>
        <v>No</v>
      </c>
      <c r="N362" s="1" t="str">
        <f>IFERROR(__xludf.DUMMYFUNCTION("""COMPUTED_VALUE"""),"No")</f>
        <v>No</v>
      </c>
      <c r="O362" s="1" t="str">
        <f>IFERROR(__xludf.DUMMYFUNCTION("""COMPUTED_VALUE"""),"WA ONLY, CALL")</f>
        <v>WA ONLY, CALL</v>
      </c>
      <c r="P362" s="1" t="str">
        <f>IFERROR(__xludf.DUMMYFUNCTION("""COMPUTED_VALUE"""),"Madam")</f>
        <v>Madam</v>
      </c>
      <c r="Q362" s="1" t="str">
        <f>IFERROR(__xludf.DUMMYFUNCTION("""COMPUTED_VALUE"""),"No")</f>
        <v>No</v>
      </c>
      <c r="R362" s="1" t="str">
        <f>IFERROR(__xludf.DUMMYFUNCTION("""COMPUTED_VALUE"""),"NEW WALK IN")</f>
        <v>NEW WALK IN</v>
      </c>
      <c r="S362" s="1"/>
    </row>
    <row r="363">
      <c r="A363" s="2">
        <f>IFERROR(__xludf.DUMMYFUNCTION("""COMPUTED_VALUE"""),45438.78861472222)</f>
        <v>45438.78861</v>
      </c>
      <c r="B363" s="1" t="str">
        <f>IFERROR(__xludf.DUMMYFUNCTION("""COMPUTED_VALUE"""),"Ishrat")</f>
        <v>Ishrat</v>
      </c>
      <c r="C363" s="1">
        <f>IFERROR(__xludf.DUMMYFUNCTION("""COMPUTED_VALUE"""),8.448226086E9)</f>
        <v>8448226086</v>
      </c>
      <c r="D363" s="1">
        <f>IFERROR(__xludf.DUMMYFUNCTION("""COMPUTED_VALUE"""),2.0)</f>
        <v>2</v>
      </c>
      <c r="E363" s="3">
        <f>IFERROR(__xludf.DUMMYFUNCTION("""COMPUTED_VALUE"""),0.6673611111109494)</f>
        <v>0.6673611111</v>
      </c>
      <c r="F363" s="1" t="str">
        <f>IFERROR(__xludf.DUMMYFUNCTION("""COMPUTED_VALUE"""),"Plain Gold")</f>
        <v>Plain Gold</v>
      </c>
      <c r="G363" s="1" t="str">
        <f>IFERROR(__xludf.DUMMYFUNCTION("""COMPUTED_VALUE"""),"Pooja")</f>
        <v>Pooja</v>
      </c>
      <c r="H363" s="1" t="str">
        <f>IFERROR(__xludf.DUMMYFUNCTION("""COMPUTED_VALUE"""),"Gold bali")</f>
        <v>Gold bali</v>
      </c>
      <c r="I363" s="1"/>
      <c r="J363" s="1"/>
      <c r="K363" s="3">
        <f>IFERROR(__xludf.DUMMYFUNCTION("""COMPUTED_VALUE"""),0.7430555555547471)</f>
        <v>0.7430555556</v>
      </c>
      <c r="L363" s="1" t="str">
        <f>IFERROR(__xludf.DUMMYFUNCTION("""COMPUTED_VALUE"""),"Yes")</f>
        <v>Yes</v>
      </c>
      <c r="M363" s="1" t="str">
        <f>IFERROR(__xludf.DUMMYFUNCTION("""COMPUTED_VALUE"""),"Yes")</f>
        <v>Yes</v>
      </c>
      <c r="N363" s="1" t="str">
        <f>IFERROR(__xludf.DUMMYFUNCTION("""COMPUTED_VALUE"""),"Yes")</f>
        <v>Yes</v>
      </c>
      <c r="O363" s="1" t="str">
        <f>IFERROR(__xludf.DUMMYFUNCTION("""COMPUTED_VALUE"""),"WA ONLY, OWNER CONTACT ONLY, CALL")</f>
        <v>WA ONLY, OWNER CONTACT ONLY, CALL</v>
      </c>
      <c r="P363" s="1" t="str">
        <f>IFERROR(__xludf.DUMMYFUNCTION("""COMPUTED_VALUE"""),"Madam")</f>
        <v>Madam</v>
      </c>
      <c r="Q363" s="1" t="str">
        <f>IFERROR(__xludf.DUMMYFUNCTION("""COMPUTED_VALUE"""),"No")</f>
        <v>No</v>
      </c>
      <c r="R363" s="1" t="str">
        <f>IFERROR(__xludf.DUMMYFUNCTION("""COMPUTED_VALUE"""),"NEW WALK IN")</f>
        <v>NEW WALK IN</v>
      </c>
      <c r="S363" s="1"/>
    </row>
    <row r="364">
      <c r="A364" s="2">
        <f>IFERROR(__xludf.DUMMYFUNCTION("""COMPUTED_VALUE"""),45438.79575908565)</f>
        <v>45438.79576</v>
      </c>
      <c r="B364" s="1" t="str">
        <f>IFERROR(__xludf.DUMMYFUNCTION("""COMPUTED_VALUE"""),"Veena rawal")</f>
        <v>Veena rawal</v>
      </c>
      <c r="C364" s="1">
        <f>IFERROR(__xludf.DUMMYFUNCTION("""COMPUTED_VALUE"""),9.650020688E9)</f>
        <v>9650020688</v>
      </c>
      <c r="D364" s="1">
        <f>IFERROR(__xludf.DUMMYFUNCTION("""COMPUTED_VALUE"""),2.0)</f>
        <v>2</v>
      </c>
      <c r="E364" s="3">
        <f>IFERROR(__xludf.DUMMYFUNCTION("""COMPUTED_VALUE"""),0.7138888888875954)</f>
        <v>0.7138888889</v>
      </c>
      <c r="F364" s="1" t="str">
        <f>IFERROR(__xludf.DUMMYFUNCTION("""COMPUTED_VALUE"""),"Diamond")</f>
        <v>Diamond</v>
      </c>
      <c r="G364" s="1" t="str">
        <f>IFERROR(__xludf.DUMMYFUNCTION("""COMPUTED_VALUE"""),"Chhaya")</f>
        <v>Chhaya</v>
      </c>
      <c r="H364" s="1"/>
      <c r="I364" s="1"/>
      <c r="J364" s="1"/>
      <c r="K364" s="3">
        <f>IFERROR(__xludf.DUMMYFUNCTION("""COMPUTED_VALUE"""),0.7958333333372138)</f>
        <v>0.7958333333</v>
      </c>
      <c r="L364" s="1" t="str">
        <f>IFERROR(__xludf.DUMMYFUNCTION("""COMPUTED_VALUE"""),"Yes")</f>
        <v>Yes</v>
      </c>
      <c r="M364" s="1" t="str">
        <f>IFERROR(__xludf.DUMMYFUNCTION("""COMPUTED_VALUE"""),"Already done ")</f>
        <v>Already done </v>
      </c>
      <c r="N364" s="1" t="str">
        <f>IFERROR(__xludf.DUMMYFUNCTION("""COMPUTED_VALUE"""),"Already done ")</f>
        <v>Already done </v>
      </c>
      <c r="O364" s="1" t="str">
        <f>IFERROR(__xludf.DUMMYFUNCTION("""COMPUTED_VALUE"""),"WA ONLY, OWNER CONTACT ONLY, CALL")</f>
        <v>WA ONLY, OWNER CONTACT ONLY, CALL</v>
      </c>
      <c r="P364" s="1" t="str">
        <f>IFERROR(__xludf.DUMMYFUNCTION("""COMPUTED_VALUE"""),"Madam")</f>
        <v>Madam</v>
      </c>
      <c r="Q364" s="1" t="str">
        <f>IFERROR(__xludf.DUMMYFUNCTION("""COMPUTED_VALUE"""),"Yes")</f>
        <v>Yes</v>
      </c>
      <c r="R364" s="1" t="str">
        <f>IFERROR(__xludf.DUMMYFUNCTION("""COMPUTED_VALUE"""),"OLD")</f>
        <v>OLD</v>
      </c>
      <c r="S364" s="1"/>
    </row>
    <row r="365">
      <c r="A365" s="2">
        <f>IFERROR(__xludf.DUMMYFUNCTION("""COMPUTED_VALUE"""),45438.827655)</f>
        <v>45438.82766</v>
      </c>
      <c r="B365" s="1" t="str">
        <f>IFERROR(__xludf.DUMMYFUNCTION("""COMPUTED_VALUE"""),"Kusum")</f>
        <v>Kusum</v>
      </c>
      <c r="C365" s="1">
        <f>IFERROR(__xludf.DUMMYFUNCTION("""COMPUTED_VALUE"""),9.599954388E9)</f>
        <v>9599954388</v>
      </c>
      <c r="D365" s="1">
        <f>IFERROR(__xludf.DUMMYFUNCTION("""COMPUTED_VALUE"""),1.0)</f>
        <v>1</v>
      </c>
      <c r="E365" s="3">
        <f>IFERROR(__xludf.DUMMYFUNCTION("""COMPUTED_VALUE"""),0.8145833333328483)</f>
        <v>0.8145833333</v>
      </c>
      <c r="F365" s="1" t="str">
        <f>IFERROR(__xludf.DUMMYFUNCTION("""COMPUTED_VALUE"""),"Diamond")</f>
        <v>Diamond</v>
      </c>
      <c r="G365" s="1" t="str">
        <f>IFERROR(__xludf.DUMMYFUNCTION("""COMPUTED_VALUE"""),"Pooja Mishra")</f>
        <v>Pooja Mishra</v>
      </c>
      <c r="H365" s="1"/>
      <c r="I365" s="1" t="str">
        <f>IFERROR(__xludf.DUMMYFUNCTION("""COMPUTED_VALUE"""),"Customer not like design ")</f>
        <v>Customer not like design </v>
      </c>
      <c r="J365" s="1"/>
      <c r="K365" s="3">
        <f>IFERROR(__xludf.DUMMYFUNCTION("""COMPUTED_VALUE"""),0.8270833333372138)</f>
        <v>0.8270833333</v>
      </c>
      <c r="L365" s="1" t="str">
        <f>IFERROR(__xludf.DUMMYFUNCTION("""COMPUTED_VALUE"""),"Yes")</f>
        <v>Yes</v>
      </c>
      <c r="M365" s="1" t="str">
        <f>IFERROR(__xludf.DUMMYFUNCTION("""COMPUTED_VALUE"""),"No")</f>
        <v>No</v>
      </c>
      <c r="N365" s="1" t="str">
        <f>IFERROR(__xludf.DUMMYFUNCTION("""COMPUTED_VALUE"""),"No")</f>
        <v>No</v>
      </c>
      <c r="O365" s="1" t="str">
        <f>IFERROR(__xludf.DUMMYFUNCTION("""COMPUTED_VALUE"""),"WA ONLY, CALL")</f>
        <v>WA ONLY, CALL</v>
      </c>
      <c r="P365" s="1" t="str">
        <f>IFERROR(__xludf.DUMMYFUNCTION("""COMPUTED_VALUE"""),"Madam")</f>
        <v>Madam</v>
      </c>
      <c r="Q365" s="1" t="str">
        <f>IFERROR(__xludf.DUMMYFUNCTION("""COMPUTED_VALUE"""),"No")</f>
        <v>No</v>
      </c>
      <c r="R365" s="1" t="str">
        <f>IFERROR(__xludf.DUMMYFUNCTION("""COMPUTED_VALUE"""),"NEW WALK IN")</f>
        <v>NEW WALK IN</v>
      </c>
      <c r="S365" s="1"/>
    </row>
    <row r="366">
      <c r="A366" s="2">
        <f>IFERROR(__xludf.DUMMYFUNCTION("""COMPUTED_VALUE"""),45440.751739618056)</f>
        <v>45440.75174</v>
      </c>
      <c r="B366" s="1" t="str">
        <f>IFERROR(__xludf.DUMMYFUNCTION("""COMPUTED_VALUE"""),"Shammy")</f>
        <v>Shammy</v>
      </c>
      <c r="C366" s="1">
        <f>IFERROR(__xludf.DUMMYFUNCTION("""COMPUTED_VALUE"""),9.664591719E9)</f>
        <v>9664591719</v>
      </c>
      <c r="D366" s="1">
        <f>IFERROR(__xludf.DUMMYFUNCTION("""COMPUTED_VALUE"""),2.0)</f>
        <v>2</v>
      </c>
      <c r="E366" s="3">
        <f>IFERROR(__xludf.DUMMYFUNCTION("""COMPUTED_VALUE"""),0.5451388888905058)</f>
        <v>0.5451388889</v>
      </c>
      <c r="F366" s="1" t="str">
        <f>IFERROR(__xludf.DUMMYFUNCTION("""COMPUTED_VALUE"""),"Antique Gold")</f>
        <v>Antique Gold</v>
      </c>
      <c r="G366" s="1" t="str">
        <f>IFERROR(__xludf.DUMMYFUNCTION("""COMPUTED_VALUE"""),"Chhaya")</f>
        <v>Chhaya</v>
      </c>
      <c r="H366" s="1" t="str">
        <f>IFERROR(__xludf.DUMMYFUNCTION("""COMPUTED_VALUE"""),"Gold 4 pendent, 3 chain")</f>
        <v>Gold 4 pendent, 3 chain</v>
      </c>
      <c r="I366" s="1"/>
      <c r="J366" s="1"/>
      <c r="K366" s="3">
        <f>IFERROR(__xludf.DUMMYFUNCTION("""COMPUTED_VALUE"""),0.6979166666642413)</f>
        <v>0.6979166667</v>
      </c>
      <c r="L366" s="1" t="str">
        <f>IFERROR(__xludf.DUMMYFUNCTION("""COMPUTED_VALUE"""),"Yes")</f>
        <v>Yes</v>
      </c>
      <c r="M366" s="1" t="str">
        <f>IFERROR(__xludf.DUMMYFUNCTION("""COMPUTED_VALUE"""),"Already done ")</f>
        <v>Already done </v>
      </c>
      <c r="N366" s="1" t="str">
        <f>IFERROR(__xludf.DUMMYFUNCTION("""COMPUTED_VALUE"""),"Already done ")</f>
        <v>Already done </v>
      </c>
      <c r="O366" s="1" t="str">
        <f>IFERROR(__xludf.DUMMYFUNCTION("""COMPUTED_VALUE"""),"WA ONLY, CALL")</f>
        <v>WA ONLY, CALL</v>
      </c>
      <c r="P366" s="1" t="str">
        <f>IFERROR(__xludf.DUMMYFUNCTION("""COMPUTED_VALUE"""),"Sir")</f>
        <v>Sir</v>
      </c>
      <c r="Q366" s="1" t="str">
        <f>IFERROR(__xludf.DUMMYFUNCTION("""COMPUTED_VALUE"""),"No")</f>
        <v>No</v>
      </c>
      <c r="R366" s="1" t="str">
        <f>IFERROR(__xludf.DUMMYFUNCTION("""COMPUTED_VALUE"""),"OLD")</f>
        <v>OLD</v>
      </c>
      <c r="S366" s="1"/>
    </row>
    <row r="367">
      <c r="A367" s="2">
        <f>IFERROR(__xludf.DUMMYFUNCTION("""COMPUTED_VALUE"""),45440.814834895835)</f>
        <v>45440.81483</v>
      </c>
      <c r="B367" s="1" t="str">
        <f>IFERROR(__xludf.DUMMYFUNCTION("""COMPUTED_VALUE"""),"Kamlesh")</f>
        <v>Kamlesh</v>
      </c>
      <c r="C367" s="1">
        <f>IFERROR(__xludf.DUMMYFUNCTION("""COMPUTED_VALUE"""),9.891102336E9)</f>
        <v>9891102336</v>
      </c>
      <c r="D367" s="1">
        <f>IFERROR(__xludf.DUMMYFUNCTION("""COMPUTED_VALUE"""),2.0)</f>
        <v>2</v>
      </c>
      <c r="E367" s="3">
        <f>IFERROR(__xludf.DUMMYFUNCTION("""COMPUTED_VALUE"""),0.7486111111065838)</f>
        <v>0.7486111111</v>
      </c>
      <c r="F367" s="1" t="str">
        <f>IFERROR(__xludf.DUMMYFUNCTION("""COMPUTED_VALUE"""),"Antique Gold")</f>
        <v>Antique Gold</v>
      </c>
      <c r="G367" s="1" t="str">
        <f>IFERROR(__xludf.DUMMYFUNCTION("""COMPUTED_VALUE"""),"Pooja")</f>
        <v>Pooja</v>
      </c>
      <c r="H367" s="1"/>
      <c r="I367" s="1" t="str">
        <f>IFERROR(__xludf.DUMMYFUNCTION("""COMPUTED_VALUE"""),"Give Payment")</f>
        <v>Give Payment</v>
      </c>
      <c r="J367" s="1" t="str">
        <f>IFERROR(__xludf.DUMMYFUNCTION("""COMPUTED_VALUE"""),"2000*11 MONTHS MULTIPLES LAST INSTALLMENT FREE")</f>
        <v>2000*11 MONTHS MULTIPLES LAST INSTALLMENT FREE</v>
      </c>
      <c r="K367" s="3">
        <f>IFERROR(__xludf.DUMMYFUNCTION("""COMPUTED_VALUE"""),0.8020833333357587)</f>
        <v>0.8020833333</v>
      </c>
      <c r="L367" s="1" t="str">
        <f>IFERROR(__xludf.DUMMYFUNCTION("""COMPUTED_VALUE"""),"Yes")</f>
        <v>Yes</v>
      </c>
      <c r="M367" s="1" t="str">
        <f>IFERROR(__xludf.DUMMYFUNCTION("""COMPUTED_VALUE"""),"Already done ")</f>
        <v>Already done </v>
      </c>
      <c r="N367" s="1" t="str">
        <f>IFERROR(__xludf.DUMMYFUNCTION("""COMPUTED_VALUE"""),"Already done ")</f>
        <v>Already done </v>
      </c>
      <c r="O367" s="1" t="str">
        <f>IFERROR(__xludf.DUMMYFUNCTION("""COMPUTED_VALUE"""),"WA ONLY, CALL")</f>
        <v>WA ONLY, CALL</v>
      </c>
      <c r="P367" s="1" t="str">
        <f>IFERROR(__xludf.DUMMYFUNCTION("""COMPUTED_VALUE"""),"Sir")</f>
        <v>Sir</v>
      </c>
      <c r="Q367" s="1" t="str">
        <f>IFERROR(__xludf.DUMMYFUNCTION("""COMPUTED_VALUE"""),"Yes")</f>
        <v>Yes</v>
      </c>
      <c r="R367" s="1" t="str">
        <f>IFERROR(__xludf.DUMMYFUNCTION("""COMPUTED_VALUE"""),"OLD")</f>
        <v>OLD</v>
      </c>
      <c r="S367" s="1"/>
    </row>
    <row r="368">
      <c r="A368" s="2">
        <f>IFERROR(__xludf.DUMMYFUNCTION("""COMPUTED_VALUE"""),45440.83435763889)</f>
        <v>45440.83436</v>
      </c>
      <c r="B368" s="1" t="str">
        <f>IFERROR(__xludf.DUMMYFUNCTION("""COMPUTED_VALUE"""),"Poonam")</f>
        <v>Poonam</v>
      </c>
      <c r="C368" s="1">
        <f>IFERROR(__xludf.DUMMYFUNCTION("""COMPUTED_VALUE"""),6.261748022E9)</f>
        <v>6261748022</v>
      </c>
      <c r="D368" s="1">
        <f>IFERROR(__xludf.DUMMYFUNCTION("""COMPUTED_VALUE"""),1.0)</f>
        <v>1</v>
      </c>
      <c r="E368" s="3">
        <f>IFERROR(__xludf.DUMMYFUNCTION("""COMPUTED_VALUE"""),0.8125)</f>
        <v>0.8125</v>
      </c>
      <c r="F368" s="1" t="str">
        <f>IFERROR(__xludf.DUMMYFUNCTION("""COMPUTED_VALUE"""),"Diamond")</f>
        <v>Diamond</v>
      </c>
      <c r="G368" s="1" t="str">
        <f>IFERROR(__xludf.DUMMYFUNCTION("""COMPUTED_VALUE"""),"Pooja")</f>
        <v>Pooja</v>
      </c>
      <c r="H368" s="1" t="str">
        <f>IFERROR(__xludf.DUMMYFUNCTION("""COMPUTED_VALUE"""),"Silver payal")</f>
        <v>Silver payal</v>
      </c>
      <c r="I368" s="1"/>
      <c r="J368" s="1"/>
      <c r="K368" s="3">
        <f>IFERROR(__xludf.DUMMYFUNCTION("""COMPUTED_VALUE"""),0.8340277777751908)</f>
        <v>0.8340277778</v>
      </c>
      <c r="L368" s="1" t="str">
        <f>IFERROR(__xludf.DUMMYFUNCTION("""COMPUTED_VALUE"""),"Yes")</f>
        <v>Yes</v>
      </c>
      <c r="M368" s="1" t="str">
        <f>IFERROR(__xludf.DUMMYFUNCTION("""COMPUTED_VALUE"""),"Yes")</f>
        <v>Yes</v>
      </c>
      <c r="N368" s="1" t="str">
        <f>IFERROR(__xludf.DUMMYFUNCTION("""COMPUTED_VALUE"""),"No")</f>
        <v>No</v>
      </c>
      <c r="O368" s="1" t="str">
        <f>IFERROR(__xludf.DUMMYFUNCTION("""COMPUTED_VALUE"""),"WA ONLY, CALL")</f>
        <v>WA ONLY, CALL</v>
      </c>
      <c r="P368" s="1" t="str">
        <f>IFERROR(__xludf.DUMMYFUNCTION("""COMPUTED_VALUE"""),"Madam")</f>
        <v>Madam</v>
      </c>
      <c r="Q368" s="1" t="str">
        <f>IFERROR(__xludf.DUMMYFUNCTION("""COMPUTED_VALUE"""),"No")</f>
        <v>No</v>
      </c>
      <c r="R368" s="1" t="str">
        <f>IFERROR(__xludf.DUMMYFUNCTION("""COMPUTED_VALUE"""),"NEW WALK IN")</f>
        <v>NEW WALK IN</v>
      </c>
      <c r="S368" s="1"/>
    </row>
    <row r="369">
      <c r="A369" s="2">
        <f>IFERROR(__xludf.DUMMYFUNCTION("""COMPUTED_VALUE"""),45441.67377180555)</f>
        <v>45441.67377</v>
      </c>
      <c r="B369" s="1" t="str">
        <f>IFERROR(__xludf.DUMMYFUNCTION("""COMPUTED_VALUE"""),"Riyaz")</f>
        <v>Riyaz</v>
      </c>
      <c r="C369" s="1">
        <f>IFERROR(__xludf.DUMMYFUNCTION("""COMPUTED_VALUE"""),7.845086976E9)</f>
        <v>7845086976</v>
      </c>
      <c r="D369" s="1">
        <f>IFERROR(__xludf.DUMMYFUNCTION("""COMPUTED_VALUE"""),2.0)</f>
        <v>2</v>
      </c>
      <c r="E369" s="3">
        <f>IFERROR(__xludf.DUMMYFUNCTION("""COMPUTED_VALUE"""),0.5749999999970896)</f>
        <v>0.575</v>
      </c>
      <c r="F369" s="1" t="str">
        <f>IFERROR(__xludf.DUMMYFUNCTION("""COMPUTED_VALUE"""),"Plain Gold")</f>
        <v>Plain Gold</v>
      </c>
      <c r="G369" s="1" t="str">
        <f>IFERROR(__xludf.DUMMYFUNCTION("""COMPUTED_VALUE"""),"Pooja")</f>
        <v>Pooja</v>
      </c>
      <c r="H369" s="1"/>
      <c r="I369" s="1" t="str">
        <f>IFERROR(__xludf.DUMMYFUNCTION("""COMPUTED_VALUE"""),"Customer wants gold harte shape ring but not available in stok")</f>
        <v>Customer wants gold harte shape ring but not available in stok</v>
      </c>
      <c r="J369" s="1"/>
      <c r="K369" s="3">
        <f>IFERROR(__xludf.DUMMYFUNCTION("""COMPUTED_VALUE"""),0.5881944444408873)</f>
        <v>0.5881944444</v>
      </c>
      <c r="L369" s="1" t="str">
        <f>IFERROR(__xludf.DUMMYFUNCTION("""COMPUTED_VALUE"""),"Yes")</f>
        <v>Yes</v>
      </c>
      <c r="M369" s="1" t="str">
        <f>IFERROR(__xludf.DUMMYFUNCTION("""COMPUTED_VALUE"""),"No")</f>
        <v>No</v>
      </c>
      <c r="N369" s="1" t="str">
        <f>IFERROR(__xludf.DUMMYFUNCTION("""COMPUTED_VALUE"""),"No")</f>
        <v>No</v>
      </c>
      <c r="O369" s="1" t="str">
        <f>IFERROR(__xludf.DUMMYFUNCTION("""COMPUTED_VALUE"""),"WA ONLY, CALL")</f>
        <v>WA ONLY, CALL</v>
      </c>
      <c r="P369" s="1" t="str">
        <f>IFERROR(__xludf.DUMMYFUNCTION("""COMPUTED_VALUE"""),"Sir")</f>
        <v>Sir</v>
      </c>
      <c r="Q369" s="1" t="str">
        <f>IFERROR(__xludf.DUMMYFUNCTION("""COMPUTED_VALUE"""),"No")</f>
        <v>No</v>
      </c>
      <c r="R369" s="1" t="str">
        <f>IFERROR(__xludf.DUMMYFUNCTION("""COMPUTED_VALUE"""),"NEW WALK IN")</f>
        <v>NEW WALK IN</v>
      </c>
      <c r="S369" s="1"/>
    </row>
    <row r="370">
      <c r="A370" s="2">
        <f>IFERROR(__xludf.DUMMYFUNCTION("""COMPUTED_VALUE"""),45443.79277685186)</f>
        <v>45443.79278</v>
      </c>
      <c r="B370" s="1" t="str">
        <f>IFERROR(__xludf.DUMMYFUNCTION("""COMPUTED_VALUE"""),"Akshay arora")</f>
        <v>Akshay arora</v>
      </c>
      <c r="C370" s="1">
        <f>IFERROR(__xludf.DUMMYFUNCTION("""COMPUTED_VALUE"""),9.811675741E9)</f>
        <v>9811675741</v>
      </c>
      <c r="D370" s="1">
        <f>IFERROR(__xludf.DUMMYFUNCTION("""COMPUTED_VALUE"""),3.0)</f>
        <v>3</v>
      </c>
      <c r="E370" s="3">
        <f>IFERROR(__xludf.DUMMYFUNCTION("""COMPUTED_VALUE"""),0.7013888888905058)</f>
        <v>0.7013888889</v>
      </c>
      <c r="F370" s="1" t="str">
        <f>IFERROR(__xludf.DUMMYFUNCTION("""COMPUTED_VALUE"""),"Diamond")</f>
        <v>Diamond</v>
      </c>
      <c r="G370" s="1" t="str">
        <f>IFERROR(__xludf.DUMMYFUNCTION("""COMPUTED_VALUE"""),"Chhaya")</f>
        <v>Chhaya</v>
      </c>
      <c r="H370" s="1" t="str">
        <f>IFERROR(__xludf.DUMMYFUNCTION("""COMPUTED_VALUE"""),"Gold coin")</f>
        <v>Gold coin</v>
      </c>
      <c r="I370" s="1"/>
      <c r="J370" s="1"/>
      <c r="K370" s="3">
        <f>IFERROR(__xludf.DUMMYFUNCTION("""COMPUTED_VALUE"""),0.7708333333357587)</f>
        <v>0.7708333333</v>
      </c>
      <c r="L370" s="1" t="str">
        <f>IFERROR(__xludf.DUMMYFUNCTION("""COMPUTED_VALUE"""),"Yes")</f>
        <v>Yes</v>
      </c>
      <c r="M370" s="1" t="str">
        <f>IFERROR(__xludf.DUMMYFUNCTION("""COMPUTED_VALUE"""),"Yes")</f>
        <v>Yes</v>
      </c>
      <c r="N370" s="1" t="str">
        <f>IFERROR(__xludf.DUMMYFUNCTION("""COMPUTED_VALUE"""),"Yes")</f>
        <v>Yes</v>
      </c>
      <c r="O370" s="1" t="str">
        <f>IFERROR(__xludf.DUMMYFUNCTION("""COMPUTED_VALUE"""),"WA ONLY, OWNER CONTACT ONLY, CALL")</f>
        <v>WA ONLY, OWNER CONTACT ONLY, CALL</v>
      </c>
      <c r="P370" s="1" t="str">
        <f>IFERROR(__xludf.DUMMYFUNCTION("""COMPUTED_VALUE"""),"Sir")</f>
        <v>Sir</v>
      </c>
      <c r="Q370" s="1" t="str">
        <f>IFERROR(__xludf.DUMMYFUNCTION("""COMPUTED_VALUE"""),"No")</f>
        <v>No</v>
      </c>
      <c r="R370" s="1" t="str">
        <f>IFERROR(__xludf.DUMMYFUNCTION("""COMPUTED_VALUE"""),"NEW WALK IN")</f>
        <v>NEW WALK IN</v>
      </c>
      <c r="S370" s="1"/>
    </row>
    <row r="371">
      <c r="A371" s="2">
        <f>IFERROR(__xludf.DUMMYFUNCTION("""COMPUTED_VALUE"""),45443.79535056713)</f>
        <v>45443.79535</v>
      </c>
      <c r="B371" s="1" t="str">
        <f>IFERROR(__xludf.DUMMYFUNCTION("""COMPUTED_VALUE"""),"M.d ansar")</f>
        <v>M.d ansar</v>
      </c>
      <c r="C371" s="1">
        <f>IFERROR(__xludf.DUMMYFUNCTION("""COMPUTED_VALUE"""),8.084229236E9)</f>
        <v>8084229236</v>
      </c>
      <c r="D371" s="1">
        <f>IFERROR(__xludf.DUMMYFUNCTION("""COMPUTED_VALUE"""),3.0)</f>
        <v>3</v>
      </c>
      <c r="E371" s="3">
        <f>IFERROR(__xludf.DUMMYFUNCTION("""COMPUTED_VALUE"""),0.7416666666686069)</f>
        <v>0.7416666667</v>
      </c>
      <c r="F371" s="1" t="str">
        <f>IFERROR(__xludf.DUMMYFUNCTION("""COMPUTED_VALUE"""),"Plain Gold")</f>
        <v>Plain Gold</v>
      </c>
      <c r="G371" s="1" t="str">
        <f>IFERROR(__xludf.DUMMYFUNCTION("""COMPUTED_VALUE"""),"Pooja")</f>
        <v>Pooja</v>
      </c>
      <c r="H371" s="1" t="str">
        <f>IFERROR(__xludf.DUMMYFUNCTION("""COMPUTED_VALUE"""),"Gold nath, mangtika")</f>
        <v>Gold nath, mangtika</v>
      </c>
      <c r="I371" s="1"/>
      <c r="J371" s="1"/>
      <c r="K371" s="3">
        <f>IFERROR(__xludf.DUMMYFUNCTION("""COMPUTED_VALUE"""),0.7833333333328483)</f>
        <v>0.7833333333</v>
      </c>
      <c r="L371" s="1" t="str">
        <f>IFERROR(__xludf.DUMMYFUNCTION("""COMPUTED_VALUE"""),"Yes")</f>
        <v>Yes</v>
      </c>
      <c r="M371" s="1" t="str">
        <f>IFERROR(__xludf.DUMMYFUNCTION("""COMPUTED_VALUE"""),"Yes")</f>
        <v>Yes</v>
      </c>
      <c r="N371" s="1" t="str">
        <f>IFERROR(__xludf.DUMMYFUNCTION("""COMPUTED_VALUE"""),"Yes")</f>
        <v>Yes</v>
      </c>
      <c r="O371" s="1" t="str">
        <f>IFERROR(__xludf.DUMMYFUNCTION("""COMPUTED_VALUE"""),"WA ONLY, CALL")</f>
        <v>WA ONLY, CALL</v>
      </c>
      <c r="P371" s="1" t="str">
        <f>IFERROR(__xludf.DUMMYFUNCTION("""COMPUTED_VALUE"""),"Sir")</f>
        <v>Sir</v>
      </c>
      <c r="Q371" s="1" t="str">
        <f>IFERROR(__xludf.DUMMYFUNCTION("""COMPUTED_VALUE"""),"No")</f>
        <v>No</v>
      </c>
      <c r="R371" s="1" t="str">
        <f>IFERROR(__xludf.DUMMYFUNCTION("""COMPUTED_VALUE"""),"NEW WALK IN")</f>
        <v>NEW WALK IN</v>
      </c>
      <c r="S371" s="1"/>
    </row>
    <row r="372">
      <c r="A372" s="2">
        <f>IFERROR(__xludf.DUMMYFUNCTION("""COMPUTED_VALUE"""),45443.79609614583)</f>
        <v>45443.7961</v>
      </c>
      <c r="B372" s="1" t="str">
        <f>IFERROR(__xludf.DUMMYFUNCTION("""COMPUTED_VALUE"""),"Shuruti")</f>
        <v>Shuruti</v>
      </c>
      <c r="C372" s="1">
        <f>IFERROR(__xludf.DUMMYFUNCTION("""COMPUTED_VALUE"""),9.082673384E9)</f>
        <v>9082673384</v>
      </c>
      <c r="D372" s="1">
        <f>IFERROR(__xludf.DUMMYFUNCTION("""COMPUTED_VALUE"""),1.0)</f>
        <v>1</v>
      </c>
      <c r="E372" s="3">
        <f>IFERROR(__xludf.DUMMYFUNCTION("""COMPUTED_VALUE"""),0.7874999999985448)</f>
        <v>0.7875</v>
      </c>
      <c r="F372" s="1" t="str">
        <f>IFERROR(__xludf.DUMMYFUNCTION("""COMPUTED_VALUE"""),"Plain Gold")</f>
        <v>Plain Gold</v>
      </c>
      <c r="G372" s="1" t="str">
        <f>IFERROR(__xludf.DUMMYFUNCTION("""COMPUTED_VALUE"""),"Pooja")</f>
        <v>Pooja</v>
      </c>
      <c r="H372" s="1"/>
      <c r="I372" s="1" t="str">
        <f>IFERROR(__xludf.DUMMYFUNCTION("""COMPUTED_VALUE"""),"Not available silver jewellery ")</f>
        <v>Not available silver jewellery </v>
      </c>
      <c r="J372" s="1"/>
      <c r="K372" s="3">
        <f>IFERROR(__xludf.DUMMYFUNCTION("""COMPUTED_VALUE"""),0.7930555555576575)</f>
        <v>0.7930555556</v>
      </c>
      <c r="L372" s="1" t="str">
        <f>IFERROR(__xludf.DUMMYFUNCTION("""COMPUTED_VALUE"""),"No")</f>
        <v>No</v>
      </c>
      <c r="M372" s="1" t="str">
        <f>IFERROR(__xludf.DUMMYFUNCTION("""COMPUTED_VALUE"""),"No")</f>
        <v>No</v>
      </c>
      <c r="N372" s="1" t="str">
        <f>IFERROR(__xludf.DUMMYFUNCTION("""COMPUTED_VALUE"""),"No")</f>
        <v>No</v>
      </c>
      <c r="O372" s="1" t="str">
        <f>IFERROR(__xludf.DUMMYFUNCTION("""COMPUTED_VALUE"""),"WA ONLY, CALL")</f>
        <v>WA ONLY, CALL</v>
      </c>
      <c r="P372" s="1" t="str">
        <f>IFERROR(__xludf.DUMMYFUNCTION("""COMPUTED_VALUE"""),"Madam")</f>
        <v>Madam</v>
      </c>
      <c r="Q372" s="1" t="str">
        <f>IFERROR(__xludf.DUMMYFUNCTION("""COMPUTED_VALUE"""),"No")</f>
        <v>No</v>
      </c>
      <c r="R372" s="1" t="str">
        <f>IFERROR(__xludf.DUMMYFUNCTION("""COMPUTED_VALUE"""),"NEW WALK IN")</f>
        <v>NEW WALK IN</v>
      </c>
      <c r="S372" s="1"/>
    </row>
    <row r="373">
      <c r="A373" s="2">
        <f>IFERROR(__xludf.DUMMYFUNCTION("""COMPUTED_VALUE"""),45444.69226700232)</f>
        <v>45444.69227</v>
      </c>
      <c r="B373" s="1" t="str">
        <f>IFERROR(__xludf.DUMMYFUNCTION("""COMPUTED_VALUE"""),"Bishal")</f>
        <v>Bishal</v>
      </c>
      <c r="C373" s="1">
        <f>IFERROR(__xludf.DUMMYFUNCTION("""COMPUTED_VALUE"""),7.504978422E9)</f>
        <v>7504978422</v>
      </c>
      <c r="D373" s="1">
        <f>IFERROR(__xludf.DUMMYFUNCTION("""COMPUTED_VALUE"""),1.0)</f>
        <v>1</v>
      </c>
      <c r="E373" s="3">
        <f>IFERROR(__xludf.DUMMYFUNCTION("""COMPUTED_VALUE"""),0.49027777777519077)</f>
        <v>0.4902777778</v>
      </c>
      <c r="F373" s="1" t="str">
        <f>IFERROR(__xludf.DUMMYFUNCTION("""COMPUTED_VALUE"""),"Diamond")</f>
        <v>Diamond</v>
      </c>
      <c r="G373" s="1" t="str">
        <f>IFERROR(__xludf.DUMMYFUNCTION("""COMPUTED_VALUE"""),"Pooja")</f>
        <v>Pooja</v>
      </c>
      <c r="H373" s="1" t="str">
        <f>IFERROR(__xludf.DUMMYFUNCTION("""COMPUTED_VALUE"""),"Gold tops")</f>
        <v>Gold tops</v>
      </c>
      <c r="I373" s="1"/>
      <c r="J373" s="1"/>
      <c r="K373" s="3">
        <f>IFERROR(__xludf.DUMMYFUNCTION("""COMPUTED_VALUE"""),0.5270833333343035)</f>
        <v>0.5270833333</v>
      </c>
      <c r="L373" s="1" t="str">
        <f>IFERROR(__xludf.DUMMYFUNCTION("""COMPUTED_VALUE"""),"Yes")</f>
        <v>Yes</v>
      </c>
      <c r="M373" s="1" t="str">
        <f>IFERROR(__xludf.DUMMYFUNCTION("""COMPUTED_VALUE"""),"Already done ")</f>
        <v>Already done </v>
      </c>
      <c r="N373" s="1" t="str">
        <f>IFERROR(__xludf.DUMMYFUNCTION("""COMPUTED_VALUE"""),"Already done ")</f>
        <v>Already done </v>
      </c>
      <c r="O373" s="1" t="str">
        <f>IFERROR(__xludf.DUMMYFUNCTION("""COMPUTED_VALUE"""),"WA ONLY, CALL")</f>
        <v>WA ONLY, CALL</v>
      </c>
      <c r="P373" s="1" t="str">
        <f>IFERROR(__xludf.DUMMYFUNCTION("""COMPUTED_VALUE"""),"Sir")</f>
        <v>Sir</v>
      </c>
      <c r="Q373" s="1" t="str">
        <f>IFERROR(__xludf.DUMMYFUNCTION("""COMPUTED_VALUE"""),"No")</f>
        <v>No</v>
      </c>
      <c r="R373" s="1" t="str">
        <f>IFERROR(__xludf.DUMMYFUNCTION("""COMPUTED_VALUE"""),"OLD")</f>
        <v>OLD</v>
      </c>
      <c r="S373" s="1"/>
    </row>
    <row r="374">
      <c r="A374" s="2">
        <f>IFERROR(__xludf.DUMMYFUNCTION("""COMPUTED_VALUE"""),45444.693339687496)</f>
        <v>45444.69334</v>
      </c>
      <c r="B374" s="1" t="str">
        <f>IFERROR(__xludf.DUMMYFUNCTION("""COMPUTED_VALUE"""),"Hina gupta")</f>
        <v>Hina gupta</v>
      </c>
      <c r="C374" s="1">
        <f>IFERROR(__xludf.DUMMYFUNCTION("""COMPUTED_VALUE"""),9.818838872E9)</f>
        <v>9818838872</v>
      </c>
      <c r="D374" s="1">
        <f>IFERROR(__xludf.DUMMYFUNCTION("""COMPUTED_VALUE"""),1.0)</f>
        <v>1</v>
      </c>
      <c r="E374" s="3">
        <f>IFERROR(__xludf.DUMMYFUNCTION("""COMPUTED_VALUE"""),0.5618055555532919)</f>
        <v>0.5618055556</v>
      </c>
      <c r="F374" s="1" t="str">
        <f>IFERROR(__xludf.DUMMYFUNCTION("""COMPUTED_VALUE"""),"Antique Gold")</f>
        <v>Antique Gold</v>
      </c>
      <c r="G374" s="1" t="str">
        <f>IFERROR(__xludf.DUMMYFUNCTION("""COMPUTED_VALUE"""),"Pooja")</f>
        <v>Pooja</v>
      </c>
      <c r="H374" s="1"/>
      <c r="I374" s="1" t="str">
        <f>IFERROR(__xludf.DUMMYFUNCTION("""COMPUTED_VALUE"""),"Making High or Wants Discount")</f>
        <v>Making High or Wants Discount</v>
      </c>
      <c r="J374" s="1"/>
      <c r="K374" s="3">
        <f>IFERROR(__xludf.DUMMYFUNCTION("""COMPUTED_VALUE"""),0.6520833333343035)</f>
        <v>0.6520833333</v>
      </c>
      <c r="L374" s="1" t="str">
        <f>IFERROR(__xludf.DUMMYFUNCTION("""COMPUTED_VALUE"""),"Yes")</f>
        <v>Yes</v>
      </c>
      <c r="M374" s="1" t="str">
        <f>IFERROR(__xludf.DUMMYFUNCTION("""COMPUTED_VALUE"""),"No")</f>
        <v>No</v>
      </c>
      <c r="N374" s="1" t="str">
        <f>IFERROR(__xludf.DUMMYFUNCTION("""COMPUTED_VALUE"""),"No")</f>
        <v>No</v>
      </c>
      <c r="O374" s="1" t="str">
        <f>IFERROR(__xludf.DUMMYFUNCTION("""COMPUTED_VALUE"""),"WA ONLY, CALL")</f>
        <v>WA ONLY, CALL</v>
      </c>
      <c r="P374" s="1" t="str">
        <f>IFERROR(__xludf.DUMMYFUNCTION("""COMPUTED_VALUE"""),"Madam")</f>
        <v>Madam</v>
      </c>
      <c r="Q374" s="1" t="str">
        <f>IFERROR(__xludf.DUMMYFUNCTION("""COMPUTED_VALUE"""),"No")</f>
        <v>No</v>
      </c>
      <c r="R374" s="1" t="str">
        <f>IFERROR(__xludf.DUMMYFUNCTION("""COMPUTED_VALUE"""),"NEW WALK IN")</f>
        <v>NEW WALK IN</v>
      </c>
      <c r="S374" s="1"/>
    </row>
    <row r="375">
      <c r="A375" s="2">
        <f>IFERROR(__xludf.DUMMYFUNCTION("""COMPUTED_VALUE"""),45444.79395027777)</f>
        <v>45444.79395</v>
      </c>
      <c r="B375" s="1" t="str">
        <f>IFERROR(__xludf.DUMMYFUNCTION("""COMPUTED_VALUE"""),"Ankit obroy")</f>
        <v>Ankit obroy</v>
      </c>
      <c r="C375" s="1">
        <f>IFERROR(__xludf.DUMMYFUNCTION("""COMPUTED_VALUE"""),9.811016739E9)</f>
        <v>9811016739</v>
      </c>
      <c r="D375" s="1">
        <f>IFERROR(__xludf.DUMMYFUNCTION("""COMPUTED_VALUE"""),3.0)</f>
        <v>3</v>
      </c>
      <c r="E375" s="3">
        <f>IFERROR(__xludf.DUMMYFUNCTION("""COMPUTED_VALUE"""),0.6861111111065838)</f>
        <v>0.6861111111</v>
      </c>
      <c r="F375" s="1" t="str">
        <f>IFERROR(__xludf.DUMMYFUNCTION("""COMPUTED_VALUE"""),"Diamond")</f>
        <v>Diamond</v>
      </c>
      <c r="G375" s="1" t="str">
        <f>IFERROR(__xludf.DUMMYFUNCTION("""COMPUTED_VALUE"""),"Pooja Mishra")</f>
        <v>Pooja Mishra</v>
      </c>
      <c r="H375" s="1"/>
      <c r="I375" s="1" t="str">
        <f>IFERROR(__xludf.DUMMYFUNCTION("""COMPUTED_VALUE"""),"Visit Again in 1 Month")</f>
        <v>Visit Again in 1 Month</v>
      </c>
      <c r="J375" s="1"/>
      <c r="K375" s="3">
        <f>IFERROR(__xludf.DUMMYFUNCTION("""COMPUTED_VALUE"""),0.7673611111094942)</f>
        <v>0.7673611111</v>
      </c>
      <c r="L375" s="1" t="str">
        <f>IFERROR(__xludf.DUMMYFUNCTION("""COMPUTED_VALUE"""),"Yes")</f>
        <v>Yes</v>
      </c>
      <c r="M375" s="1" t="str">
        <f>IFERROR(__xludf.DUMMYFUNCTION("""COMPUTED_VALUE"""),"No")</f>
        <v>No</v>
      </c>
      <c r="N375" s="1" t="str">
        <f>IFERROR(__xludf.DUMMYFUNCTION("""COMPUTED_VALUE"""),"No")</f>
        <v>No</v>
      </c>
      <c r="O375" s="1" t="str">
        <f>IFERROR(__xludf.DUMMYFUNCTION("""COMPUTED_VALUE"""),"WA ONLY, CALL")</f>
        <v>WA ONLY, CALL</v>
      </c>
      <c r="P375" s="1" t="str">
        <f>IFERROR(__xludf.DUMMYFUNCTION("""COMPUTED_VALUE"""),"Sir")</f>
        <v>Sir</v>
      </c>
      <c r="Q375" s="1" t="str">
        <f>IFERROR(__xludf.DUMMYFUNCTION("""COMPUTED_VALUE"""),"No")</f>
        <v>No</v>
      </c>
      <c r="R375" s="1" t="str">
        <f>IFERROR(__xludf.DUMMYFUNCTION("""COMPUTED_VALUE"""),"NEW WALK IN")</f>
        <v>NEW WALK IN</v>
      </c>
      <c r="S375" s="1"/>
    </row>
    <row r="376">
      <c r="A376" s="2">
        <f>IFERROR(__xludf.DUMMYFUNCTION("""COMPUTED_VALUE"""),45444.79475325231)</f>
        <v>45444.79475</v>
      </c>
      <c r="B376" s="1" t="str">
        <f>IFERROR(__xludf.DUMMYFUNCTION("""COMPUTED_VALUE"""),"Archana")</f>
        <v>Archana</v>
      </c>
      <c r="C376" s="1">
        <f>IFERROR(__xludf.DUMMYFUNCTION("""COMPUTED_VALUE"""),9.8186882922E10)</f>
        <v>98186882922</v>
      </c>
      <c r="D376" s="1">
        <f>IFERROR(__xludf.DUMMYFUNCTION("""COMPUTED_VALUE"""),4.0)</f>
        <v>4</v>
      </c>
      <c r="E376" s="3">
        <f>IFERROR(__xludf.DUMMYFUNCTION("""COMPUTED_VALUE"""),0.6840277777810115)</f>
        <v>0.6840277778</v>
      </c>
      <c r="F376" s="1" t="str">
        <f>IFERROR(__xludf.DUMMYFUNCTION("""COMPUTED_VALUE"""),"Antique Gold")</f>
        <v>Antique Gold</v>
      </c>
      <c r="G376" s="1" t="str">
        <f>IFERROR(__xludf.DUMMYFUNCTION("""COMPUTED_VALUE"""),"Pooja")</f>
        <v>Pooja</v>
      </c>
      <c r="H376" s="1"/>
      <c r="I376" s="1" t="str">
        <f>IFERROR(__xludf.DUMMYFUNCTION("""COMPUTED_VALUE"""),"Visit Again in 1 Month")</f>
        <v>Visit Again in 1 Month</v>
      </c>
      <c r="J376" s="1"/>
      <c r="K376" s="3">
        <f>IFERROR(__xludf.DUMMYFUNCTION("""COMPUTED_VALUE"""),0.7895833333313931)</f>
        <v>0.7895833333</v>
      </c>
      <c r="L376" s="1" t="str">
        <f>IFERROR(__xludf.DUMMYFUNCTION("""COMPUTED_VALUE"""),"No")</f>
        <v>No</v>
      </c>
      <c r="M376" s="1" t="str">
        <f>IFERROR(__xludf.DUMMYFUNCTION("""COMPUTED_VALUE"""),"No")</f>
        <v>No</v>
      </c>
      <c r="N376" s="1" t="str">
        <f>IFERROR(__xludf.DUMMYFUNCTION("""COMPUTED_VALUE"""),"No")</f>
        <v>No</v>
      </c>
      <c r="O376" s="1" t="str">
        <f>IFERROR(__xludf.DUMMYFUNCTION("""COMPUTED_VALUE"""),"WA ONLY, CALL")</f>
        <v>WA ONLY, CALL</v>
      </c>
      <c r="P376" s="1" t="str">
        <f>IFERROR(__xludf.DUMMYFUNCTION("""COMPUTED_VALUE"""),"Madam")</f>
        <v>Madam</v>
      </c>
      <c r="Q376" s="1" t="str">
        <f>IFERROR(__xludf.DUMMYFUNCTION("""COMPUTED_VALUE"""),"No")</f>
        <v>No</v>
      </c>
      <c r="R376" s="1" t="str">
        <f>IFERROR(__xludf.DUMMYFUNCTION("""COMPUTED_VALUE"""),"NEW WALK IN")</f>
        <v>NEW WALK IN</v>
      </c>
      <c r="S376" s="1"/>
    </row>
    <row r="377">
      <c r="A377" s="2">
        <f>IFERROR(__xludf.DUMMYFUNCTION("""COMPUTED_VALUE"""),45445.75327715278)</f>
        <v>45445.75328</v>
      </c>
      <c r="B377" s="1" t="str">
        <f>IFERROR(__xludf.DUMMYFUNCTION("""COMPUTED_VALUE"""),"Dalmeet singh")</f>
        <v>Dalmeet singh</v>
      </c>
      <c r="C377" s="1">
        <f>IFERROR(__xludf.DUMMYFUNCTION("""COMPUTED_VALUE"""),9.643776719E9)</f>
        <v>9643776719</v>
      </c>
      <c r="D377" s="1">
        <f>IFERROR(__xludf.DUMMYFUNCTION("""COMPUTED_VALUE"""),1.0)</f>
        <v>1</v>
      </c>
      <c r="E377" s="3">
        <f>IFERROR(__xludf.DUMMYFUNCTION("""COMPUTED_VALUE"""),0.6458333333357587)</f>
        <v>0.6458333333</v>
      </c>
      <c r="F377" s="1" t="str">
        <f>IFERROR(__xludf.DUMMYFUNCTION("""COMPUTED_VALUE"""),"Diamond")</f>
        <v>Diamond</v>
      </c>
      <c r="G377" s="1" t="str">
        <f>IFERROR(__xludf.DUMMYFUNCTION("""COMPUTED_VALUE"""),"Pooja Mishra")</f>
        <v>Pooja Mishra</v>
      </c>
      <c r="H377" s="1" t="str">
        <f>IFERROR(__xludf.DUMMYFUNCTION("""COMPUTED_VALUE"""),"Gold bali")</f>
        <v>Gold bali</v>
      </c>
      <c r="I377" s="1"/>
      <c r="J377" s="1"/>
      <c r="K377" s="3">
        <f>IFERROR(__xludf.DUMMYFUNCTION("""COMPUTED_VALUE"""),0.7006944444437977)</f>
        <v>0.7006944444</v>
      </c>
      <c r="L377" s="1" t="str">
        <f>IFERROR(__xludf.DUMMYFUNCTION("""COMPUTED_VALUE"""),"Yes")</f>
        <v>Yes</v>
      </c>
      <c r="M377" s="1" t="str">
        <f>IFERROR(__xludf.DUMMYFUNCTION("""COMPUTED_VALUE"""),"Yes")</f>
        <v>Yes</v>
      </c>
      <c r="N377" s="1" t="str">
        <f>IFERROR(__xludf.DUMMYFUNCTION("""COMPUTED_VALUE"""),"Yes ")</f>
        <v>Yes </v>
      </c>
      <c r="O377" s="1" t="str">
        <f>IFERROR(__xludf.DUMMYFUNCTION("""COMPUTED_VALUE"""),"WA ONLY, CALL")</f>
        <v>WA ONLY, CALL</v>
      </c>
      <c r="P377" s="1" t="str">
        <f>IFERROR(__xludf.DUMMYFUNCTION("""COMPUTED_VALUE"""),"Sir")</f>
        <v>Sir</v>
      </c>
      <c r="Q377" s="1" t="str">
        <f>IFERROR(__xludf.DUMMYFUNCTION("""COMPUTED_VALUE"""),"No")</f>
        <v>No</v>
      </c>
      <c r="R377" s="1" t="str">
        <f>IFERROR(__xludf.DUMMYFUNCTION("""COMPUTED_VALUE"""),"NEW WALK IN")</f>
        <v>NEW WALK IN</v>
      </c>
      <c r="S377" s="1"/>
    </row>
    <row r="378">
      <c r="A378" s="2">
        <f>IFERROR(__xludf.DUMMYFUNCTION("""COMPUTED_VALUE"""),45445.75780836806)</f>
        <v>45445.75781</v>
      </c>
      <c r="B378" s="1" t="str">
        <f>IFERROR(__xludf.DUMMYFUNCTION("""COMPUTED_VALUE"""),"Nisha agarwal")</f>
        <v>Nisha agarwal</v>
      </c>
      <c r="C378" s="1">
        <f>IFERROR(__xludf.DUMMYFUNCTION("""COMPUTED_VALUE"""),9.873771263E9)</f>
        <v>9873771263</v>
      </c>
      <c r="D378" s="1">
        <f>IFERROR(__xludf.DUMMYFUNCTION("""COMPUTED_VALUE"""),2.0)</f>
        <v>2</v>
      </c>
      <c r="E378" s="3">
        <f>IFERROR(__xludf.DUMMYFUNCTION("""COMPUTED_VALUE"""),0.7375000000029104)</f>
        <v>0.7375</v>
      </c>
      <c r="F378" s="1" t="str">
        <f>IFERROR(__xludf.DUMMYFUNCTION("""COMPUTED_VALUE"""),"Plain Gold")</f>
        <v>Plain Gold</v>
      </c>
      <c r="G378" s="1" t="str">
        <f>IFERROR(__xludf.DUMMYFUNCTION("""COMPUTED_VALUE"""),"Pooja Mishra")</f>
        <v>Pooja Mishra</v>
      </c>
      <c r="H378" s="1"/>
      <c r="I378" s="1" t="str">
        <f>IFERROR(__xludf.DUMMYFUNCTION("""COMPUTED_VALUE"""),"Visit again after few days")</f>
        <v>Visit again after few days</v>
      </c>
      <c r="J378" s="1"/>
      <c r="K378" s="3">
        <f>IFERROR(__xludf.DUMMYFUNCTION("""COMPUTED_VALUE"""),0.7444444444408873)</f>
        <v>0.7444444444</v>
      </c>
      <c r="L378" s="1" t="str">
        <f>IFERROR(__xludf.DUMMYFUNCTION("""COMPUTED_VALUE"""),"No")</f>
        <v>No</v>
      </c>
      <c r="M378" s="1" t="str">
        <f>IFERROR(__xludf.DUMMYFUNCTION("""COMPUTED_VALUE"""),"No")</f>
        <v>No</v>
      </c>
      <c r="N378" s="1" t="str">
        <f>IFERROR(__xludf.DUMMYFUNCTION("""COMPUTED_VALUE"""),"No")</f>
        <v>No</v>
      </c>
      <c r="O378" s="1" t="str">
        <f>IFERROR(__xludf.DUMMYFUNCTION("""COMPUTED_VALUE"""),"WA ONLY, CALL")</f>
        <v>WA ONLY, CALL</v>
      </c>
      <c r="P378" s="1" t="str">
        <f>IFERROR(__xludf.DUMMYFUNCTION("""COMPUTED_VALUE"""),"Madam")</f>
        <v>Madam</v>
      </c>
      <c r="Q378" s="1" t="str">
        <f>IFERROR(__xludf.DUMMYFUNCTION("""COMPUTED_VALUE"""),"No")</f>
        <v>No</v>
      </c>
      <c r="R378" s="1" t="str">
        <f>IFERROR(__xludf.DUMMYFUNCTION("""COMPUTED_VALUE"""),"NEW WALK IN")</f>
        <v>NEW WALK IN</v>
      </c>
      <c r="S378" s="1"/>
    </row>
    <row r="379">
      <c r="A379" s="2">
        <f>IFERROR(__xludf.DUMMYFUNCTION("""COMPUTED_VALUE"""),45448.63729028935)</f>
        <v>45448.63729</v>
      </c>
      <c r="B379" s="1" t="str">
        <f>IFERROR(__xludf.DUMMYFUNCTION("""COMPUTED_VALUE"""),"Sandeep kumar")</f>
        <v>Sandeep kumar</v>
      </c>
      <c r="C379" s="1">
        <f>IFERROR(__xludf.DUMMYFUNCTION("""COMPUTED_VALUE"""),9.253006422E9)</f>
        <v>9253006422</v>
      </c>
      <c r="D379" s="1">
        <f>IFERROR(__xludf.DUMMYFUNCTION("""COMPUTED_VALUE"""),2.0)</f>
        <v>2</v>
      </c>
      <c r="E379" s="3">
        <f>IFERROR(__xludf.DUMMYFUNCTION("""COMPUTED_VALUE"""),0.47916666666424135)</f>
        <v>0.4791666667</v>
      </c>
      <c r="F379" s="1" t="str">
        <f>IFERROR(__xludf.DUMMYFUNCTION("""COMPUTED_VALUE"""),"Diamond")</f>
        <v>Diamond</v>
      </c>
      <c r="G379" s="1" t="str">
        <f>IFERROR(__xludf.DUMMYFUNCTION("""COMPUTED_VALUE"""),"Chhaya")</f>
        <v>Chhaya</v>
      </c>
      <c r="H379" s="1" t="str">
        <f>IFERROR(__xludf.DUMMYFUNCTION("""COMPUTED_VALUE"""),"Gold pendent,gents ring")</f>
        <v>Gold pendent,gents ring</v>
      </c>
      <c r="I379" s="1"/>
      <c r="J379" s="1"/>
      <c r="K379" s="3">
        <f>IFERROR(__xludf.DUMMYFUNCTION("""COMPUTED_VALUE"""),0.5208333333357587)</f>
        <v>0.5208333333</v>
      </c>
      <c r="L379" s="1" t="str">
        <f>IFERROR(__xludf.DUMMYFUNCTION("""COMPUTED_VALUE"""),"Yes")</f>
        <v>Yes</v>
      </c>
      <c r="M379" s="1" t="str">
        <f>IFERROR(__xludf.DUMMYFUNCTION("""COMPUTED_VALUE"""),"No")</f>
        <v>No</v>
      </c>
      <c r="N379" s="1" t="str">
        <f>IFERROR(__xludf.DUMMYFUNCTION("""COMPUTED_VALUE"""),"Yes")</f>
        <v>Yes</v>
      </c>
      <c r="O379" s="1" t="str">
        <f>IFERROR(__xludf.DUMMYFUNCTION("""COMPUTED_VALUE"""),"WA ONLY, CALL")</f>
        <v>WA ONLY, CALL</v>
      </c>
      <c r="P379" s="1" t="str">
        <f>IFERROR(__xludf.DUMMYFUNCTION("""COMPUTED_VALUE"""),"Sir")</f>
        <v>Sir</v>
      </c>
      <c r="Q379" s="1" t="str">
        <f>IFERROR(__xludf.DUMMYFUNCTION("""COMPUTED_VALUE"""),"No")</f>
        <v>No</v>
      </c>
      <c r="R379" s="1" t="str">
        <f>IFERROR(__xludf.DUMMYFUNCTION("""COMPUTED_VALUE"""),"NEW WALK IN")</f>
        <v>NEW WALK IN</v>
      </c>
      <c r="S379" s="1"/>
    </row>
    <row r="380">
      <c r="A380" s="2">
        <f>IFERROR(__xludf.DUMMYFUNCTION("""COMPUTED_VALUE"""),45448.76537194445)</f>
        <v>45448.76537</v>
      </c>
      <c r="B380" s="1" t="str">
        <f>IFERROR(__xludf.DUMMYFUNCTION("""COMPUTED_VALUE"""),"Karamvir singh")</f>
        <v>Karamvir singh</v>
      </c>
      <c r="C380" s="1">
        <f>IFERROR(__xludf.DUMMYFUNCTION("""COMPUTED_VALUE"""),9.431125063E9)</f>
        <v>9431125063</v>
      </c>
      <c r="D380" s="1">
        <f>IFERROR(__xludf.DUMMYFUNCTION("""COMPUTED_VALUE"""),3.0)</f>
        <v>3</v>
      </c>
      <c r="E380" s="3">
        <f>IFERROR(__xludf.DUMMYFUNCTION("""COMPUTED_VALUE"""),0.6847222222204437)</f>
        <v>0.6847222222</v>
      </c>
      <c r="F380" s="1" t="str">
        <f>IFERROR(__xludf.DUMMYFUNCTION("""COMPUTED_VALUE"""),"Plain Gold")</f>
        <v>Plain Gold</v>
      </c>
      <c r="G380" s="1" t="str">
        <f>IFERROR(__xludf.DUMMYFUNCTION("""COMPUTED_VALUE"""),"Pooja")</f>
        <v>Pooja</v>
      </c>
      <c r="H380" s="1"/>
      <c r="I380" s="1" t="str">
        <f>IFERROR(__xludf.DUMMYFUNCTION("""COMPUTED_VALUE"""),"Want to see More Variety")</f>
        <v>Want to see More Variety</v>
      </c>
      <c r="J380" s="1"/>
      <c r="K380" s="3">
        <f>IFERROR(__xludf.DUMMYFUNCTION("""COMPUTED_VALUE"""),0.7118055555547471)</f>
        <v>0.7118055556</v>
      </c>
      <c r="L380" s="1" t="str">
        <f>IFERROR(__xludf.DUMMYFUNCTION("""COMPUTED_VALUE"""),"Yes")</f>
        <v>Yes</v>
      </c>
      <c r="M380" s="1" t="str">
        <f>IFERROR(__xludf.DUMMYFUNCTION("""COMPUTED_VALUE"""),"No")</f>
        <v>No</v>
      </c>
      <c r="N380" s="1" t="str">
        <f>IFERROR(__xludf.DUMMYFUNCTION("""COMPUTED_VALUE"""),"No")</f>
        <v>No</v>
      </c>
      <c r="O380" s="1" t="str">
        <f>IFERROR(__xludf.DUMMYFUNCTION("""COMPUTED_VALUE"""),"WA ONLY, CALL")</f>
        <v>WA ONLY, CALL</v>
      </c>
      <c r="P380" s="1" t="str">
        <f>IFERROR(__xludf.DUMMYFUNCTION("""COMPUTED_VALUE"""),"Sir")</f>
        <v>Sir</v>
      </c>
      <c r="Q380" s="1" t="str">
        <f>IFERROR(__xludf.DUMMYFUNCTION("""COMPUTED_VALUE"""),"No")</f>
        <v>No</v>
      </c>
      <c r="R380" s="1" t="str">
        <f>IFERROR(__xludf.DUMMYFUNCTION("""COMPUTED_VALUE"""),"NEW WALK IN")</f>
        <v>NEW WALK IN</v>
      </c>
      <c r="S380" s="1" t="str">
        <f>IFERROR(__xludf.DUMMYFUNCTION("""COMPUTED_VALUE"""),"Walking ")</f>
        <v>Walking </v>
      </c>
    </row>
    <row r="381">
      <c r="A381" s="2">
        <f>IFERROR(__xludf.DUMMYFUNCTION("""COMPUTED_VALUE"""),45448.80588704861)</f>
        <v>45448.80589</v>
      </c>
      <c r="B381" s="1" t="str">
        <f>IFERROR(__xludf.DUMMYFUNCTION("""COMPUTED_VALUE"""),"Indu")</f>
        <v>Indu</v>
      </c>
      <c r="C381" s="1">
        <f>IFERROR(__xludf.DUMMYFUNCTION("""COMPUTED_VALUE"""),9.818110346E9)</f>
        <v>9818110346</v>
      </c>
      <c r="D381" s="1">
        <f>IFERROR(__xludf.DUMMYFUNCTION("""COMPUTED_VALUE"""),2.0)</f>
        <v>2</v>
      </c>
      <c r="E381" s="3">
        <f>IFERROR(__xludf.DUMMYFUNCTION("""COMPUTED_VALUE"""),0.7743055555547471)</f>
        <v>0.7743055556</v>
      </c>
      <c r="F381" s="1" t="str">
        <f>IFERROR(__xludf.DUMMYFUNCTION("""COMPUTED_VALUE"""),"Antique Gold")</f>
        <v>Antique Gold</v>
      </c>
      <c r="G381" s="1" t="str">
        <f>IFERROR(__xludf.DUMMYFUNCTION("""COMPUTED_VALUE"""),"Pooja")</f>
        <v>Pooja</v>
      </c>
      <c r="H381" s="1"/>
      <c r="I381" s="1" t="str">
        <f>IFERROR(__xludf.DUMMYFUNCTION("""COMPUTED_VALUE"""),"Pick up Order")</f>
        <v>Pick up Order</v>
      </c>
      <c r="J381" s="1"/>
      <c r="K381" s="3">
        <f>IFERROR(__xludf.DUMMYFUNCTION("""COMPUTED_VALUE"""),0.8055555555547471)</f>
        <v>0.8055555556</v>
      </c>
      <c r="L381" s="1" t="str">
        <f>IFERROR(__xludf.DUMMYFUNCTION("""COMPUTED_VALUE"""),"Yes")</f>
        <v>Yes</v>
      </c>
      <c r="M381" s="1" t="str">
        <f>IFERROR(__xludf.DUMMYFUNCTION("""COMPUTED_VALUE"""),"Already done ")</f>
        <v>Already done </v>
      </c>
      <c r="N381" s="1" t="str">
        <f>IFERROR(__xludf.DUMMYFUNCTION("""COMPUTED_VALUE"""),"Already done ")</f>
        <v>Already done </v>
      </c>
      <c r="O381" s="1" t="str">
        <f>IFERROR(__xludf.DUMMYFUNCTION("""COMPUTED_VALUE"""),"WA ONLY, CALL")</f>
        <v>WA ONLY, CALL</v>
      </c>
      <c r="P381" s="1" t="str">
        <f>IFERROR(__xludf.DUMMYFUNCTION("""COMPUTED_VALUE"""),"Madam")</f>
        <v>Madam</v>
      </c>
      <c r="Q381" s="1" t="str">
        <f>IFERROR(__xludf.DUMMYFUNCTION("""COMPUTED_VALUE"""),"No")</f>
        <v>No</v>
      </c>
      <c r="R381" s="1" t="str">
        <f>IFERROR(__xludf.DUMMYFUNCTION("""COMPUTED_VALUE"""),"OLD")</f>
        <v>OLD</v>
      </c>
      <c r="S381" s="1" t="str">
        <f>IFERROR(__xludf.DUMMYFUNCTION("""COMPUTED_VALUE"""),"Walking ")</f>
        <v>Walking </v>
      </c>
    </row>
    <row r="382">
      <c r="A382" s="2">
        <f>IFERROR(__xludf.DUMMYFUNCTION("""COMPUTED_VALUE"""),45449.77746150463)</f>
        <v>45449.77746</v>
      </c>
      <c r="B382" s="1" t="str">
        <f>IFERROR(__xludf.DUMMYFUNCTION("""COMPUTED_VALUE"""),"Samira")</f>
        <v>Samira</v>
      </c>
      <c r="C382" s="1">
        <f>IFERROR(__xludf.DUMMYFUNCTION("""COMPUTED_VALUE"""),9.711634416E9)</f>
        <v>9711634416</v>
      </c>
      <c r="D382" s="1">
        <f>IFERROR(__xludf.DUMMYFUNCTION("""COMPUTED_VALUE"""),1.0)</f>
        <v>1</v>
      </c>
      <c r="E382" s="3">
        <f>IFERROR(__xludf.DUMMYFUNCTION("""COMPUTED_VALUE"""),0.6479166666686069)</f>
        <v>0.6479166667</v>
      </c>
      <c r="F382" s="1" t="str">
        <f>IFERROR(__xludf.DUMMYFUNCTION("""COMPUTED_VALUE"""),"Plain Gold")</f>
        <v>Plain Gold</v>
      </c>
      <c r="G382" s="1" t="str">
        <f>IFERROR(__xludf.DUMMYFUNCTION("""COMPUTED_VALUE"""),"Pooja Mishra")</f>
        <v>Pooja Mishra</v>
      </c>
      <c r="H382" s="1"/>
      <c r="I382" s="1" t="str">
        <f>IFERROR(__xludf.DUMMYFUNCTION("""COMPUTED_VALUE"""),"Customer wants silver radha Krishan murti but available in the store")</f>
        <v>Customer wants silver radha Krishan murti but available in the store</v>
      </c>
      <c r="J382" s="1"/>
      <c r="K382" s="3">
        <f>IFERROR(__xludf.DUMMYFUNCTION("""COMPUTED_VALUE"""),0.6631944444452529)</f>
        <v>0.6631944444</v>
      </c>
      <c r="L382" s="1" t="str">
        <f>IFERROR(__xludf.DUMMYFUNCTION("""COMPUTED_VALUE"""),"Yes")</f>
        <v>Yes</v>
      </c>
      <c r="M382" s="1" t="str">
        <f>IFERROR(__xludf.DUMMYFUNCTION("""COMPUTED_VALUE"""),"No")</f>
        <v>No</v>
      </c>
      <c r="N382" s="1" t="str">
        <f>IFERROR(__xludf.DUMMYFUNCTION("""COMPUTED_VALUE"""),"No")</f>
        <v>No</v>
      </c>
      <c r="O382" s="1" t="str">
        <f>IFERROR(__xludf.DUMMYFUNCTION("""COMPUTED_VALUE"""),"WA ONLY, CALL")</f>
        <v>WA ONLY, CALL</v>
      </c>
      <c r="P382" s="1" t="str">
        <f>IFERROR(__xludf.DUMMYFUNCTION("""COMPUTED_VALUE"""),"Madam")</f>
        <v>Madam</v>
      </c>
      <c r="Q382" s="1" t="str">
        <f>IFERROR(__xludf.DUMMYFUNCTION("""COMPUTED_VALUE"""),"No")</f>
        <v>No</v>
      </c>
      <c r="R382" s="1" t="str">
        <f>IFERROR(__xludf.DUMMYFUNCTION("""COMPUTED_VALUE"""),"NEW WALK IN")</f>
        <v>NEW WALK IN</v>
      </c>
      <c r="S382" s="1" t="str">
        <f>IFERROR(__xludf.DUMMYFUNCTION("""COMPUTED_VALUE"""),"Walking ")</f>
        <v>Walking </v>
      </c>
    </row>
    <row r="383">
      <c r="A383" s="2">
        <f>IFERROR(__xludf.DUMMYFUNCTION("""COMPUTED_VALUE"""),45449.778427418976)</f>
        <v>45449.77843</v>
      </c>
      <c r="B383" s="1" t="str">
        <f>IFERROR(__xludf.DUMMYFUNCTION("""COMPUTED_VALUE"""),"Kasim")</f>
        <v>Kasim</v>
      </c>
      <c r="C383" s="1">
        <f>IFERROR(__xludf.DUMMYFUNCTION("""COMPUTED_VALUE"""),8.010211636E9)</f>
        <v>8010211636</v>
      </c>
      <c r="D383" s="1">
        <f>IFERROR(__xludf.DUMMYFUNCTION("""COMPUTED_VALUE"""),1.0)</f>
        <v>1</v>
      </c>
      <c r="E383" s="3">
        <f>IFERROR(__xludf.DUMMYFUNCTION("""COMPUTED_VALUE"""),0.7451388888875954)</f>
        <v>0.7451388889</v>
      </c>
      <c r="F383" s="1" t="str">
        <f>IFERROR(__xludf.DUMMYFUNCTION("""COMPUTED_VALUE"""),"Plain Gold")</f>
        <v>Plain Gold</v>
      </c>
      <c r="G383" s="1" t="str">
        <f>IFERROR(__xludf.DUMMYFUNCTION("""COMPUTED_VALUE"""),"Deepali")</f>
        <v>Deepali</v>
      </c>
      <c r="H383" s="1"/>
      <c r="I383" s="1" t="str">
        <f>IFERROR(__xludf.DUMMYFUNCTION("""COMPUTED_VALUE"""),"Visit Again in 1 Month")</f>
        <v>Visit Again in 1 Month</v>
      </c>
      <c r="J383" s="1"/>
      <c r="K383" s="3">
        <f>IFERROR(__xludf.DUMMYFUNCTION("""COMPUTED_VALUE"""),0.7611111111109494)</f>
        <v>0.7611111111</v>
      </c>
      <c r="L383" s="1" t="str">
        <f>IFERROR(__xludf.DUMMYFUNCTION("""COMPUTED_VALUE"""),"No")</f>
        <v>No</v>
      </c>
      <c r="M383" s="1" t="str">
        <f>IFERROR(__xludf.DUMMYFUNCTION("""COMPUTED_VALUE"""),"No")</f>
        <v>No</v>
      </c>
      <c r="N383" s="1" t="str">
        <f>IFERROR(__xludf.DUMMYFUNCTION("""COMPUTED_VALUE"""),"No")</f>
        <v>No</v>
      </c>
      <c r="O383" s="1" t="str">
        <f>IFERROR(__xludf.DUMMYFUNCTION("""COMPUTED_VALUE"""),"WA ONLY, CALL")</f>
        <v>WA ONLY, CALL</v>
      </c>
      <c r="P383" s="1" t="str">
        <f>IFERROR(__xludf.DUMMYFUNCTION("""COMPUTED_VALUE"""),"Sir")</f>
        <v>Sir</v>
      </c>
      <c r="Q383" s="1" t="str">
        <f>IFERROR(__xludf.DUMMYFUNCTION("""COMPUTED_VALUE"""),"No")</f>
        <v>No</v>
      </c>
      <c r="R383" s="1" t="str">
        <f>IFERROR(__xludf.DUMMYFUNCTION("""COMPUTED_VALUE"""),"NEW WALK IN")</f>
        <v>NEW WALK IN</v>
      </c>
      <c r="S383" s="1" t="str">
        <f>IFERROR(__xludf.DUMMYFUNCTION("""COMPUTED_VALUE"""),"Walk in")</f>
        <v>Walk in</v>
      </c>
    </row>
    <row r="384">
      <c r="A384" s="2">
        <f>IFERROR(__xludf.DUMMYFUNCTION("""COMPUTED_VALUE"""),45449.78002421296)</f>
        <v>45449.78002</v>
      </c>
      <c r="B384" s="1" t="str">
        <f>IFERROR(__xludf.DUMMYFUNCTION("""COMPUTED_VALUE"""),"Akshay")</f>
        <v>Akshay</v>
      </c>
      <c r="C384" s="1">
        <f>IFERROR(__xludf.DUMMYFUNCTION("""COMPUTED_VALUE"""),9.811675741E9)</f>
        <v>9811675741</v>
      </c>
      <c r="D384" s="1">
        <f>IFERROR(__xludf.DUMMYFUNCTION("""COMPUTED_VALUE"""),2.0)</f>
        <v>2</v>
      </c>
      <c r="E384" s="3">
        <f>IFERROR(__xludf.DUMMYFUNCTION("""COMPUTED_VALUE"""),0.7083333333357587)</f>
        <v>0.7083333333</v>
      </c>
      <c r="F384" s="1" t="str">
        <f>IFERROR(__xludf.DUMMYFUNCTION("""COMPUTED_VALUE"""),"Diamond")</f>
        <v>Diamond</v>
      </c>
      <c r="G384" s="1" t="str">
        <f>IFERROR(__xludf.DUMMYFUNCTION("""COMPUTED_VALUE"""),"Chhaya")</f>
        <v>Chhaya</v>
      </c>
      <c r="H384" s="1"/>
      <c r="I384" s="1" t="str">
        <f>IFERROR(__xludf.DUMMYFUNCTION("""COMPUTED_VALUE"""),"Customer visit again today 7:00pm")</f>
        <v>Customer visit again today 7:00pm</v>
      </c>
      <c r="J384" s="1"/>
      <c r="K384" s="3">
        <f>IFERROR(__xludf.DUMMYFUNCTION("""COMPUTED_VALUE"""),0.75)</f>
        <v>0.75</v>
      </c>
      <c r="L384" s="1" t="str">
        <f>IFERROR(__xludf.DUMMYFUNCTION("""COMPUTED_VALUE"""),"Yes")</f>
        <v>Yes</v>
      </c>
      <c r="M384" s="1" t="str">
        <f>IFERROR(__xludf.DUMMYFUNCTION("""COMPUTED_VALUE"""),"Already done ")</f>
        <v>Already done </v>
      </c>
      <c r="N384" s="1" t="str">
        <f>IFERROR(__xludf.DUMMYFUNCTION("""COMPUTED_VALUE"""),"Already done ")</f>
        <v>Already done </v>
      </c>
      <c r="O384" s="1" t="str">
        <f>IFERROR(__xludf.DUMMYFUNCTION("""COMPUTED_VALUE"""),"WA ONLY, CALL")</f>
        <v>WA ONLY, CALL</v>
      </c>
      <c r="P384" s="1" t="str">
        <f>IFERROR(__xludf.DUMMYFUNCTION("""COMPUTED_VALUE"""),"Sir")</f>
        <v>Sir</v>
      </c>
      <c r="Q384" s="1" t="str">
        <f>IFERROR(__xludf.DUMMYFUNCTION("""COMPUTED_VALUE"""),"No")</f>
        <v>No</v>
      </c>
      <c r="R384" s="1" t="str">
        <f>IFERROR(__xludf.DUMMYFUNCTION("""COMPUTED_VALUE"""),"OLD")</f>
        <v>OLD</v>
      </c>
      <c r="S384" s="1" t="str">
        <f>IFERROR(__xludf.DUMMYFUNCTION("""COMPUTED_VALUE"""),"Walk in")</f>
        <v>Walk in</v>
      </c>
    </row>
    <row r="385">
      <c r="A385" s="2">
        <f>IFERROR(__xludf.DUMMYFUNCTION("""COMPUTED_VALUE"""),45450.75144537037)</f>
        <v>45450.75145</v>
      </c>
      <c r="B385" s="1" t="str">
        <f>IFERROR(__xludf.DUMMYFUNCTION("""COMPUTED_VALUE"""),"Harish tondon")</f>
        <v>Harish tondon</v>
      </c>
      <c r="C385" s="1">
        <f>IFERROR(__xludf.DUMMYFUNCTION("""COMPUTED_VALUE"""),9.818995584E9)</f>
        <v>9818995584</v>
      </c>
      <c r="D385" s="1">
        <f>IFERROR(__xludf.DUMMYFUNCTION("""COMPUTED_VALUE"""),2.0)</f>
        <v>2</v>
      </c>
      <c r="E385" s="3">
        <f>IFERROR(__xludf.DUMMYFUNCTION("""COMPUTED_VALUE"""),0.6979166666642413)</f>
        <v>0.6979166667</v>
      </c>
      <c r="F385" s="1" t="str">
        <f>IFERROR(__xludf.DUMMYFUNCTION("""COMPUTED_VALUE"""),"Diamond")</f>
        <v>Diamond</v>
      </c>
      <c r="G385" s="1" t="str">
        <f>IFERROR(__xludf.DUMMYFUNCTION("""COMPUTED_VALUE"""),"Pooja Mishra")</f>
        <v>Pooja Mishra</v>
      </c>
      <c r="H385" s="1" t="str">
        <f>IFERROR(__xludf.DUMMYFUNCTION("""COMPUTED_VALUE"""),"Stone ring order gold,silver pendent with pearl")</f>
        <v>Stone ring order gold,silver pendent with pearl</v>
      </c>
      <c r="I385" s="1"/>
      <c r="J385" s="1"/>
      <c r="K385" s="3">
        <f>IFERROR(__xludf.DUMMYFUNCTION("""COMPUTED_VALUE"""),0.7291666666642413)</f>
        <v>0.7291666667</v>
      </c>
      <c r="L385" s="1" t="str">
        <f>IFERROR(__xludf.DUMMYFUNCTION("""COMPUTED_VALUE"""),"Yes")</f>
        <v>Yes</v>
      </c>
      <c r="M385" s="1" t="str">
        <f>IFERROR(__xludf.DUMMYFUNCTION("""COMPUTED_VALUE"""),"Yes")</f>
        <v>Yes</v>
      </c>
      <c r="N385" s="1" t="str">
        <f>IFERROR(__xludf.DUMMYFUNCTION("""COMPUTED_VALUE"""),"Not use")</f>
        <v>Not use</v>
      </c>
      <c r="O385" s="1" t="str">
        <f>IFERROR(__xludf.DUMMYFUNCTION("""COMPUTED_VALUE"""),"WA ONLY, OWNER CONTACT ONLY, CALL")</f>
        <v>WA ONLY, OWNER CONTACT ONLY, CALL</v>
      </c>
      <c r="P385" s="1" t="str">
        <f>IFERROR(__xludf.DUMMYFUNCTION("""COMPUTED_VALUE"""),"Sir")</f>
        <v>Sir</v>
      </c>
      <c r="Q385" s="1" t="str">
        <f>IFERROR(__xludf.DUMMYFUNCTION("""COMPUTED_VALUE"""),"No")</f>
        <v>No</v>
      </c>
      <c r="R385" s="1" t="str">
        <f>IFERROR(__xludf.DUMMYFUNCTION("""COMPUTED_VALUE"""),"NEW WALK IN")</f>
        <v>NEW WALK IN</v>
      </c>
      <c r="S385" s="1" t="str">
        <f>IFERROR(__xludf.DUMMYFUNCTION("""COMPUTED_VALUE"""),"Walk in")</f>
        <v>Walk in</v>
      </c>
    </row>
    <row r="386">
      <c r="A386" s="2">
        <f>IFERROR(__xludf.DUMMYFUNCTION("""COMPUTED_VALUE"""),45450.81111039352)</f>
        <v>45450.81111</v>
      </c>
      <c r="B386" s="1" t="str">
        <f>IFERROR(__xludf.DUMMYFUNCTION("""COMPUTED_VALUE"""),"Anil kumar")</f>
        <v>Anil kumar</v>
      </c>
      <c r="C386" s="1">
        <f>IFERROR(__xludf.DUMMYFUNCTION("""COMPUTED_VALUE"""),9.914703643E9)</f>
        <v>9914703643</v>
      </c>
      <c r="D386" s="1">
        <f>IFERROR(__xludf.DUMMYFUNCTION("""COMPUTED_VALUE"""),2.0)</f>
        <v>2</v>
      </c>
      <c r="E386" s="3">
        <f>IFERROR(__xludf.DUMMYFUNCTION("""COMPUTED_VALUE"""),0.7777777777810115)</f>
        <v>0.7777777778</v>
      </c>
      <c r="F386" s="1" t="str">
        <f>IFERROR(__xludf.DUMMYFUNCTION("""COMPUTED_VALUE"""),"Plain Gold")</f>
        <v>Plain Gold</v>
      </c>
      <c r="G386" s="1" t="str">
        <f>IFERROR(__xludf.DUMMYFUNCTION("""COMPUTED_VALUE"""),"Pooja")</f>
        <v>Pooja</v>
      </c>
      <c r="H386" s="1" t="str">
        <f>IFERROR(__xludf.DUMMYFUNCTION("""COMPUTED_VALUE"""),"Diamond ledis ring")</f>
        <v>Diamond ledis ring</v>
      </c>
      <c r="I386" s="1"/>
      <c r="J386" s="1"/>
      <c r="K386" s="3">
        <f>IFERROR(__xludf.DUMMYFUNCTION("""COMPUTED_VALUE"""),0.8055555555547471)</f>
        <v>0.8055555556</v>
      </c>
      <c r="L386" s="1" t="str">
        <f>IFERROR(__xludf.DUMMYFUNCTION("""COMPUTED_VALUE"""),"Yes")</f>
        <v>Yes</v>
      </c>
      <c r="M386" s="1" t="str">
        <f>IFERROR(__xludf.DUMMYFUNCTION("""COMPUTED_VALUE"""),"Already done ")</f>
        <v>Already done </v>
      </c>
      <c r="N386" s="1" t="str">
        <f>IFERROR(__xludf.DUMMYFUNCTION("""COMPUTED_VALUE"""),"Already done ")</f>
        <v>Already done </v>
      </c>
      <c r="O386" s="1" t="str">
        <f>IFERROR(__xludf.DUMMYFUNCTION("""COMPUTED_VALUE"""),"WA ONLY, CALL")</f>
        <v>WA ONLY, CALL</v>
      </c>
      <c r="P386" s="1" t="str">
        <f>IFERROR(__xludf.DUMMYFUNCTION("""COMPUTED_VALUE"""),"Sir")</f>
        <v>Sir</v>
      </c>
      <c r="Q386" s="1" t="str">
        <f>IFERROR(__xludf.DUMMYFUNCTION("""COMPUTED_VALUE"""),"No")</f>
        <v>No</v>
      </c>
      <c r="R386" s="1" t="str">
        <f>IFERROR(__xludf.DUMMYFUNCTION("""COMPUTED_VALUE"""),"OLD")</f>
        <v>OLD</v>
      </c>
      <c r="S386" s="1" t="str">
        <f>IFERROR(__xludf.DUMMYFUNCTION("""COMPUTED_VALUE"""),"Old")</f>
        <v>Old</v>
      </c>
    </row>
    <row r="387">
      <c r="A387" s="2">
        <f>IFERROR(__xludf.DUMMYFUNCTION("""COMPUTED_VALUE"""),45450.81249642361)</f>
        <v>45450.8125</v>
      </c>
      <c r="B387" s="1" t="str">
        <f>IFERROR(__xludf.DUMMYFUNCTION("""COMPUTED_VALUE"""),"Akshay arora")</f>
        <v>Akshay arora</v>
      </c>
      <c r="C387" s="1">
        <f>IFERROR(__xludf.DUMMYFUNCTION("""COMPUTED_VALUE"""),9.811675741E9)</f>
        <v>9811675741</v>
      </c>
      <c r="D387" s="1">
        <f>IFERROR(__xludf.DUMMYFUNCTION("""COMPUTED_VALUE"""),3.0)</f>
        <v>3</v>
      </c>
      <c r="E387" s="3">
        <f>IFERROR(__xludf.DUMMYFUNCTION("""COMPUTED_VALUE"""),0.7743055555547471)</f>
        <v>0.7743055556</v>
      </c>
      <c r="F387" s="1" t="str">
        <f>IFERROR(__xludf.DUMMYFUNCTION("""COMPUTED_VALUE"""),"Diamond")</f>
        <v>Diamond</v>
      </c>
      <c r="G387" s="1" t="str">
        <f>IFERROR(__xludf.DUMMYFUNCTION("""COMPUTED_VALUE"""),"Chhaya")</f>
        <v>Chhaya</v>
      </c>
      <c r="H387" s="1" t="str">
        <f>IFERROR(__xludf.DUMMYFUNCTION("""COMPUTED_VALUE"""),"Gpld bangles ")</f>
        <v>Gpld bangles </v>
      </c>
      <c r="I387" s="1"/>
      <c r="J387" s="1"/>
      <c r="K387" s="3">
        <f>IFERROR(__xludf.DUMMYFUNCTION("""COMPUTED_VALUE"""),0.8125)</f>
        <v>0.8125</v>
      </c>
      <c r="L387" s="1" t="str">
        <f>IFERROR(__xludf.DUMMYFUNCTION("""COMPUTED_VALUE"""),"Yes")</f>
        <v>Yes</v>
      </c>
      <c r="M387" s="1" t="str">
        <f>IFERROR(__xludf.DUMMYFUNCTION("""COMPUTED_VALUE"""),"Already done ")</f>
        <v>Already done </v>
      </c>
      <c r="N387" s="1" t="str">
        <f>IFERROR(__xludf.DUMMYFUNCTION("""COMPUTED_VALUE"""),"Already done ")</f>
        <v>Already done </v>
      </c>
      <c r="O387" s="1" t="str">
        <f>IFERROR(__xludf.DUMMYFUNCTION("""COMPUTED_VALUE"""),"WA ONLY, OWNER CONTACT ONLY, CALL")</f>
        <v>WA ONLY, OWNER CONTACT ONLY, CALL</v>
      </c>
      <c r="P387" s="1" t="str">
        <f>IFERROR(__xludf.DUMMYFUNCTION("""COMPUTED_VALUE"""),"Sir")</f>
        <v>Sir</v>
      </c>
      <c r="Q387" s="1" t="str">
        <f>IFERROR(__xludf.DUMMYFUNCTION("""COMPUTED_VALUE"""),"No")</f>
        <v>No</v>
      </c>
      <c r="R387" s="1" t="str">
        <f>IFERROR(__xludf.DUMMYFUNCTION("""COMPUTED_VALUE"""),"NEW WALK IN")</f>
        <v>NEW WALK IN</v>
      </c>
      <c r="S387" s="1" t="str">
        <f>IFERROR(__xludf.DUMMYFUNCTION("""COMPUTED_VALUE"""),"Walk in")</f>
        <v>Walk in</v>
      </c>
    </row>
    <row r="388">
      <c r="A388" s="2">
        <f>IFERROR(__xludf.DUMMYFUNCTION("""COMPUTED_VALUE"""),45451.70669565973)</f>
        <v>45451.7067</v>
      </c>
      <c r="B388" s="1" t="str">
        <f>IFERROR(__xludf.DUMMYFUNCTION("""COMPUTED_VALUE"""),"Rama rai")</f>
        <v>Rama rai</v>
      </c>
      <c r="C388" s="1">
        <f>IFERROR(__xludf.DUMMYFUNCTION("""COMPUTED_VALUE"""),9.81040575E9)</f>
        <v>9810405750</v>
      </c>
      <c r="D388" s="1">
        <f>IFERROR(__xludf.DUMMYFUNCTION("""COMPUTED_VALUE"""),1.0)</f>
        <v>1</v>
      </c>
      <c r="E388" s="3">
        <f>IFERROR(__xludf.DUMMYFUNCTION("""COMPUTED_VALUE"""),0.5625)</f>
        <v>0.5625</v>
      </c>
      <c r="F388" s="1" t="str">
        <f>IFERROR(__xludf.DUMMYFUNCTION("""COMPUTED_VALUE"""),"Diamond")</f>
        <v>Diamond</v>
      </c>
      <c r="G388" s="1" t="str">
        <f>IFERROR(__xludf.DUMMYFUNCTION("""COMPUTED_VALUE"""),"Pooja Mishra")</f>
        <v>Pooja Mishra</v>
      </c>
      <c r="H388" s="1" t="str">
        <f>IFERROR(__xludf.DUMMYFUNCTION("""COMPUTED_VALUE"""),"1 kids breslet sale and 4 br order ")</f>
        <v>1 kids breslet sale and 4 br order </v>
      </c>
      <c r="I388" s="1"/>
      <c r="J388" s="1"/>
      <c r="K388" s="3">
        <f>IFERROR(__xludf.DUMMYFUNCTION("""COMPUTED_VALUE"""),0.6666666666642413)</f>
        <v>0.6666666667</v>
      </c>
      <c r="L388" s="1" t="str">
        <f>IFERROR(__xludf.DUMMYFUNCTION("""COMPUTED_VALUE"""),"Yes")</f>
        <v>Yes</v>
      </c>
      <c r="M388" s="1" t="str">
        <f>IFERROR(__xludf.DUMMYFUNCTION("""COMPUTED_VALUE"""),"Already done ")</f>
        <v>Already done </v>
      </c>
      <c r="N388" s="1" t="str">
        <f>IFERROR(__xludf.DUMMYFUNCTION("""COMPUTED_VALUE"""),"Already done ")</f>
        <v>Already done </v>
      </c>
      <c r="O388" s="1" t="str">
        <f>IFERROR(__xludf.DUMMYFUNCTION("""COMPUTED_VALUE"""),"WA ONLY, OWNER CONTACT ONLY, CALL")</f>
        <v>WA ONLY, OWNER CONTACT ONLY, CALL</v>
      </c>
      <c r="P388" s="1" t="str">
        <f>IFERROR(__xludf.DUMMYFUNCTION("""COMPUTED_VALUE"""),"Madam")</f>
        <v>Madam</v>
      </c>
      <c r="Q388" s="1" t="str">
        <f>IFERROR(__xludf.DUMMYFUNCTION("""COMPUTED_VALUE"""),"No")</f>
        <v>No</v>
      </c>
      <c r="R388" s="1" t="str">
        <f>IFERROR(__xludf.DUMMYFUNCTION("""COMPUTED_VALUE"""),"OLD")</f>
        <v>OLD</v>
      </c>
      <c r="S388" s="1" t="str">
        <f>IFERROR(__xludf.DUMMYFUNCTION("""COMPUTED_VALUE"""),"Radhu mam")</f>
        <v>Radhu mam</v>
      </c>
    </row>
    <row r="389">
      <c r="A389" s="2">
        <f>IFERROR(__xludf.DUMMYFUNCTION("""COMPUTED_VALUE"""),45451.70749292824)</f>
        <v>45451.70749</v>
      </c>
      <c r="B389" s="1" t="str">
        <f>IFERROR(__xludf.DUMMYFUNCTION("""COMPUTED_VALUE"""),"Vartika")</f>
        <v>Vartika</v>
      </c>
      <c r="C389" s="1">
        <f>IFERROR(__xludf.DUMMYFUNCTION("""COMPUTED_VALUE"""),7.67822726E9)</f>
        <v>7678227260</v>
      </c>
      <c r="D389" s="1">
        <f>IFERROR(__xludf.DUMMYFUNCTION("""COMPUTED_VALUE"""),2.0)</f>
        <v>2</v>
      </c>
      <c r="E389" s="3">
        <f>IFERROR(__xludf.DUMMYFUNCTION("""COMPUTED_VALUE"""),0.6041666666642413)</f>
        <v>0.6041666667</v>
      </c>
      <c r="F389" s="1" t="str">
        <f>IFERROR(__xludf.DUMMYFUNCTION("""COMPUTED_VALUE"""),"Plain Gold")</f>
        <v>Plain Gold</v>
      </c>
      <c r="G389" s="1" t="str">
        <f>IFERROR(__xludf.DUMMYFUNCTION("""COMPUTED_VALUE"""),"Pooja")</f>
        <v>Pooja</v>
      </c>
      <c r="H389" s="1"/>
      <c r="I389" s="1" t="str">
        <f>IFERROR(__xludf.DUMMYFUNCTION("""COMPUTED_VALUE"""),"Making High or Wants Discount")</f>
        <v>Making High or Wants Discount</v>
      </c>
      <c r="J389" s="1"/>
      <c r="K389" s="3">
        <f>IFERROR(__xludf.DUMMYFUNCTION("""COMPUTED_VALUE"""),0.6527777777810115)</f>
        <v>0.6527777778</v>
      </c>
      <c r="L389" s="1" t="str">
        <f>IFERROR(__xludf.DUMMYFUNCTION("""COMPUTED_VALUE"""),"Yes")</f>
        <v>Yes</v>
      </c>
      <c r="M389" s="1" t="str">
        <f>IFERROR(__xludf.DUMMYFUNCTION("""COMPUTED_VALUE"""),"Already done ")</f>
        <v>Already done </v>
      </c>
      <c r="N389" s="1" t="str">
        <f>IFERROR(__xludf.DUMMYFUNCTION("""COMPUTED_VALUE"""),"Already done ")</f>
        <v>Already done </v>
      </c>
      <c r="O389" s="1" t="str">
        <f>IFERROR(__xludf.DUMMYFUNCTION("""COMPUTED_VALUE"""),"WA ONLY, CALL")</f>
        <v>WA ONLY, CALL</v>
      </c>
      <c r="P389" s="1" t="str">
        <f>IFERROR(__xludf.DUMMYFUNCTION("""COMPUTED_VALUE"""),"Madam")</f>
        <v>Madam</v>
      </c>
      <c r="Q389" s="1" t="str">
        <f>IFERROR(__xludf.DUMMYFUNCTION("""COMPUTED_VALUE"""),"Yes")</f>
        <v>Yes</v>
      </c>
      <c r="R389" s="1" t="str">
        <f>IFERROR(__xludf.DUMMYFUNCTION("""COMPUTED_VALUE"""),"OLD")</f>
        <v>OLD</v>
      </c>
      <c r="S389" s="1" t="str">
        <f>IFERROR(__xludf.DUMMYFUNCTION("""COMPUTED_VALUE"""),"Walk in ")</f>
        <v>Walk in </v>
      </c>
    </row>
    <row r="390">
      <c r="A390" s="2">
        <f>IFERROR(__xludf.DUMMYFUNCTION("""COMPUTED_VALUE"""),45451.83526765046)</f>
        <v>45451.83527</v>
      </c>
      <c r="B390" s="1" t="str">
        <f>IFERROR(__xludf.DUMMYFUNCTION("""COMPUTED_VALUE"""),"Jyoti")</f>
        <v>Jyoti</v>
      </c>
      <c r="C390" s="1">
        <f>IFERROR(__xludf.DUMMYFUNCTION("""COMPUTED_VALUE"""),9.999365851E9)</f>
        <v>9999365851</v>
      </c>
      <c r="D390" s="1">
        <f>IFERROR(__xludf.DUMMYFUNCTION("""COMPUTED_VALUE"""),3.0)</f>
        <v>3</v>
      </c>
      <c r="E390" s="3">
        <f>IFERROR(__xludf.DUMMYFUNCTION("""COMPUTED_VALUE"""),0.7291666666642413)</f>
        <v>0.7291666667</v>
      </c>
      <c r="F390" s="1" t="str">
        <f>IFERROR(__xludf.DUMMYFUNCTION("""COMPUTED_VALUE"""),"Plain Gold")</f>
        <v>Plain Gold</v>
      </c>
      <c r="G390" s="1" t="str">
        <f>IFERROR(__xludf.DUMMYFUNCTION("""COMPUTED_VALUE"""),"Pooja Mishra")</f>
        <v>Pooja Mishra</v>
      </c>
      <c r="H390" s="1" t="str">
        <f>IFERROR(__xludf.DUMMYFUNCTION("""COMPUTED_VALUE"""),"Gold ring,silver payal,bichhue")</f>
        <v>Gold ring,silver payal,bichhue</v>
      </c>
      <c r="I390" s="1"/>
      <c r="J390" s="1"/>
      <c r="K390" s="3">
        <f>IFERROR(__xludf.DUMMYFUNCTION("""COMPUTED_VALUE"""),0.8458333333328483)</f>
        <v>0.8458333333</v>
      </c>
      <c r="L390" s="1" t="str">
        <f>IFERROR(__xludf.DUMMYFUNCTION("""COMPUTED_VALUE"""),"Yes")</f>
        <v>Yes</v>
      </c>
      <c r="M390" s="1" t="str">
        <f>IFERROR(__xludf.DUMMYFUNCTION("""COMPUTED_VALUE"""),"Yes")</f>
        <v>Yes</v>
      </c>
      <c r="N390" s="1" t="str">
        <f>IFERROR(__xludf.DUMMYFUNCTION("""COMPUTED_VALUE"""),"Yes")</f>
        <v>Yes</v>
      </c>
      <c r="O390" s="1" t="str">
        <f>IFERROR(__xludf.DUMMYFUNCTION("""COMPUTED_VALUE"""),"WA ONLY, CALL")</f>
        <v>WA ONLY, CALL</v>
      </c>
      <c r="P390" s="1" t="str">
        <f>IFERROR(__xludf.DUMMYFUNCTION("""COMPUTED_VALUE"""),"Madam")</f>
        <v>Madam</v>
      </c>
      <c r="Q390" s="1" t="str">
        <f>IFERROR(__xludf.DUMMYFUNCTION("""COMPUTED_VALUE"""),"No")</f>
        <v>No</v>
      </c>
      <c r="R390" s="1" t="str">
        <f>IFERROR(__xludf.DUMMYFUNCTION("""COMPUTED_VALUE"""),"NEW WALK IN")</f>
        <v>NEW WALK IN</v>
      </c>
      <c r="S390" s="1" t="str">
        <f>IFERROR(__xludf.DUMMYFUNCTION("""COMPUTED_VALUE"""),"Walk in")</f>
        <v>Walk in</v>
      </c>
    </row>
    <row r="391">
      <c r="A391" s="2">
        <f>IFERROR(__xludf.DUMMYFUNCTION("""COMPUTED_VALUE"""),45452.755092997686)</f>
        <v>45452.75509</v>
      </c>
      <c r="B391" s="1" t="str">
        <f>IFERROR(__xludf.DUMMYFUNCTION("""COMPUTED_VALUE"""),"Shikha")</f>
        <v>Shikha</v>
      </c>
      <c r="C391" s="1">
        <f>IFERROR(__xludf.DUMMYFUNCTION("""COMPUTED_VALUE"""),8.1781488E9)</f>
        <v>8178148800</v>
      </c>
      <c r="D391" s="1">
        <f>IFERROR(__xludf.DUMMYFUNCTION("""COMPUTED_VALUE"""),2.0)</f>
        <v>2</v>
      </c>
      <c r="E391" s="3">
        <f>IFERROR(__xludf.DUMMYFUNCTION("""COMPUTED_VALUE"""),0.5208333333357587)</f>
        <v>0.5208333333</v>
      </c>
      <c r="F391" s="1" t="str">
        <f>IFERROR(__xludf.DUMMYFUNCTION("""COMPUTED_VALUE"""),"Plain Gold")</f>
        <v>Plain Gold</v>
      </c>
      <c r="G391" s="1" t="str">
        <f>IFERROR(__xludf.DUMMYFUNCTION("""COMPUTED_VALUE"""),"Chhaya")</f>
        <v>Chhaya</v>
      </c>
      <c r="H391" s="1" t="str">
        <f>IFERROR(__xludf.DUMMYFUNCTION("""COMPUTED_VALUE"""),"Gold set")</f>
        <v>Gold set</v>
      </c>
      <c r="I391" s="1"/>
      <c r="J391" s="1"/>
      <c r="K391" s="3">
        <f>IFERROR(__xludf.DUMMYFUNCTION("""COMPUTED_VALUE"""),0.6041666666642413)</f>
        <v>0.6041666667</v>
      </c>
      <c r="L391" s="1" t="str">
        <f>IFERROR(__xludf.DUMMYFUNCTION("""COMPUTED_VALUE"""),"Yes")</f>
        <v>Yes</v>
      </c>
      <c r="M391" s="1" t="str">
        <f>IFERROR(__xludf.DUMMYFUNCTION("""COMPUTED_VALUE"""),"Already done ")</f>
        <v>Already done </v>
      </c>
      <c r="N391" s="1" t="str">
        <f>IFERROR(__xludf.DUMMYFUNCTION("""COMPUTED_VALUE"""),"Already done ")</f>
        <v>Already done </v>
      </c>
      <c r="O391" s="1" t="str">
        <f>IFERROR(__xludf.DUMMYFUNCTION("""COMPUTED_VALUE"""),"WA ONLY, CALL")</f>
        <v>WA ONLY, CALL</v>
      </c>
      <c r="P391" s="1" t="str">
        <f>IFERROR(__xludf.DUMMYFUNCTION("""COMPUTED_VALUE"""),"Madam")</f>
        <v>Madam</v>
      </c>
      <c r="Q391" s="1" t="str">
        <f>IFERROR(__xludf.DUMMYFUNCTION("""COMPUTED_VALUE"""),"No")</f>
        <v>No</v>
      </c>
      <c r="R391" s="1" t="str">
        <f>IFERROR(__xludf.DUMMYFUNCTION("""COMPUTED_VALUE"""),"OLD")</f>
        <v>OLD</v>
      </c>
      <c r="S391" s="1" t="str">
        <f>IFERROR(__xludf.DUMMYFUNCTION("""COMPUTED_VALUE"""),"No walk in")</f>
        <v>No walk in</v>
      </c>
    </row>
    <row r="392">
      <c r="A392" s="2">
        <f>IFERROR(__xludf.DUMMYFUNCTION("""COMPUTED_VALUE"""),45452.80080715277)</f>
        <v>45452.80081</v>
      </c>
      <c r="B392" s="1" t="str">
        <f>IFERROR(__xludf.DUMMYFUNCTION("""COMPUTED_VALUE"""),"Rajni sinha")</f>
        <v>Rajni sinha</v>
      </c>
      <c r="C392" s="1">
        <f>IFERROR(__xludf.DUMMYFUNCTION("""COMPUTED_VALUE"""),9.871153696E9)</f>
        <v>9871153696</v>
      </c>
      <c r="D392" s="1">
        <f>IFERROR(__xludf.DUMMYFUNCTION("""COMPUTED_VALUE"""),2.0)</f>
        <v>2</v>
      </c>
      <c r="E392" s="3">
        <f>IFERROR(__xludf.DUMMYFUNCTION("""COMPUTED_VALUE"""),0.7083333333357587)</f>
        <v>0.7083333333</v>
      </c>
      <c r="F392" s="1" t="str">
        <f>IFERROR(__xludf.DUMMYFUNCTION("""COMPUTED_VALUE"""),"Plain Gold")</f>
        <v>Plain Gold</v>
      </c>
      <c r="G392" s="1" t="str">
        <f>IFERROR(__xludf.DUMMYFUNCTION("""COMPUTED_VALUE"""),"Chhaya")</f>
        <v>Chhaya</v>
      </c>
      <c r="H392" s="1" t="str">
        <f>IFERROR(__xludf.DUMMYFUNCTION("""COMPUTED_VALUE"""),"Ms.chain,Ms pendent,nath")</f>
        <v>Ms.chain,Ms pendent,nath</v>
      </c>
      <c r="I392" s="1"/>
      <c r="J392" s="1"/>
      <c r="K392" s="3">
        <f>IFERROR(__xludf.DUMMYFUNCTION("""COMPUTED_VALUE"""),0.797222222223354)</f>
        <v>0.7972222222</v>
      </c>
      <c r="L392" s="1" t="str">
        <f>IFERROR(__xludf.DUMMYFUNCTION("""COMPUTED_VALUE"""),"Yes")</f>
        <v>Yes</v>
      </c>
      <c r="M392" s="1" t="str">
        <f>IFERROR(__xludf.DUMMYFUNCTION("""COMPUTED_VALUE"""),"Yes")</f>
        <v>Yes</v>
      </c>
      <c r="N392" s="1" t="str">
        <f>IFERROR(__xludf.DUMMYFUNCTION("""COMPUTED_VALUE"""),"Yes")</f>
        <v>Yes</v>
      </c>
      <c r="O392" s="1" t="str">
        <f>IFERROR(__xludf.DUMMYFUNCTION("""COMPUTED_VALUE"""),"WA ONLY, CALL")</f>
        <v>WA ONLY, CALL</v>
      </c>
      <c r="P392" s="1" t="str">
        <f>IFERROR(__xludf.DUMMYFUNCTION("""COMPUTED_VALUE"""),"Madam")</f>
        <v>Madam</v>
      </c>
      <c r="Q392" s="1" t="str">
        <f>IFERROR(__xludf.DUMMYFUNCTION("""COMPUTED_VALUE"""),"No")</f>
        <v>No</v>
      </c>
      <c r="R392" s="1" t="str">
        <f>IFERROR(__xludf.DUMMYFUNCTION("""COMPUTED_VALUE"""),"NEW WALK IN")</f>
        <v>NEW WALK IN</v>
      </c>
      <c r="S392" s="1" t="str">
        <f>IFERROR(__xludf.DUMMYFUNCTION("""COMPUTED_VALUE"""),"Walk in")</f>
        <v>Walk in</v>
      </c>
    </row>
    <row r="393">
      <c r="A393" s="2">
        <f>IFERROR(__xludf.DUMMYFUNCTION("""COMPUTED_VALUE"""),45452.8019528588)</f>
        <v>45452.80195</v>
      </c>
      <c r="B393" s="1" t="str">
        <f>IFERROR(__xludf.DUMMYFUNCTION("""COMPUTED_VALUE"""),"Shaihina")</f>
        <v>Shaihina</v>
      </c>
      <c r="C393" s="1">
        <f>IFERROR(__xludf.DUMMYFUNCTION("""COMPUTED_VALUE"""),8.920453034E9)</f>
        <v>8920453034</v>
      </c>
      <c r="D393" s="1">
        <f>IFERROR(__xludf.DUMMYFUNCTION("""COMPUTED_VALUE"""),2.0)</f>
        <v>2</v>
      </c>
      <c r="E393" s="3">
        <f>IFERROR(__xludf.DUMMYFUNCTION("""COMPUTED_VALUE"""),0.5833333333357587)</f>
        <v>0.5833333333</v>
      </c>
      <c r="F393" s="1" t="str">
        <f>IFERROR(__xludf.DUMMYFUNCTION("""COMPUTED_VALUE"""),"Plain Gold")</f>
        <v>Plain Gold</v>
      </c>
      <c r="G393" s="1" t="str">
        <f>IFERROR(__xludf.DUMMYFUNCTION("""COMPUTED_VALUE"""),"Chhaya")</f>
        <v>Chhaya</v>
      </c>
      <c r="H393" s="1" t="str">
        <f>IFERROR(__xludf.DUMMYFUNCTION("""COMPUTED_VALUE"""),"Gold chain")</f>
        <v>Gold chain</v>
      </c>
      <c r="I393" s="1"/>
      <c r="J393" s="1"/>
      <c r="K393" s="3">
        <f>IFERROR(__xludf.DUMMYFUNCTION("""COMPUTED_VALUE"""),0.65625)</f>
        <v>0.65625</v>
      </c>
      <c r="L393" s="1" t="str">
        <f>IFERROR(__xludf.DUMMYFUNCTION("""COMPUTED_VALUE"""),"Yes")</f>
        <v>Yes</v>
      </c>
      <c r="M393" s="1" t="str">
        <f>IFERROR(__xludf.DUMMYFUNCTION("""COMPUTED_VALUE"""),"Already done ")</f>
        <v>Already done </v>
      </c>
      <c r="N393" s="1" t="str">
        <f>IFERROR(__xludf.DUMMYFUNCTION("""COMPUTED_VALUE"""),"Already done ")</f>
        <v>Already done </v>
      </c>
      <c r="O393" s="1" t="str">
        <f>IFERROR(__xludf.DUMMYFUNCTION("""COMPUTED_VALUE"""),"WA ONLY, CALL")</f>
        <v>WA ONLY, CALL</v>
      </c>
      <c r="P393" s="1" t="str">
        <f>IFERROR(__xludf.DUMMYFUNCTION("""COMPUTED_VALUE"""),"Madam")</f>
        <v>Madam</v>
      </c>
      <c r="Q393" s="1" t="str">
        <f>IFERROR(__xludf.DUMMYFUNCTION("""COMPUTED_VALUE"""),"No")</f>
        <v>No</v>
      </c>
      <c r="R393" s="1" t="str">
        <f>IFERROR(__xludf.DUMMYFUNCTION("""COMPUTED_VALUE"""),"OLD")</f>
        <v>OLD</v>
      </c>
      <c r="S393" s="1" t="str">
        <f>IFERROR(__xludf.DUMMYFUNCTION("""COMPUTED_VALUE"""),"No")</f>
        <v>No</v>
      </c>
    </row>
    <row r="394">
      <c r="A394" s="2">
        <f>IFERROR(__xludf.DUMMYFUNCTION("""COMPUTED_VALUE"""),45452.803803125)</f>
        <v>45452.8038</v>
      </c>
      <c r="B394" s="1" t="str">
        <f>IFERROR(__xludf.DUMMYFUNCTION("""COMPUTED_VALUE"""),"Deepmala")</f>
        <v>Deepmala</v>
      </c>
      <c r="C394" s="1">
        <f>IFERROR(__xludf.DUMMYFUNCTION("""COMPUTED_VALUE"""),8.920724452E9)</f>
        <v>8920724452</v>
      </c>
      <c r="D394" s="1">
        <f>IFERROR(__xludf.DUMMYFUNCTION("""COMPUTED_VALUE"""),3.0)</f>
        <v>3</v>
      </c>
      <c r="E394" s="3">
        <f>IFERROR(__xludf.DUMMYFUNCTION("""COMPUTED_VALUE"""),0.7638888888905058)</f>
        <v>0.7638888889</v>
      </c>
      <c r="F394" s="1" t="str">
        <f>IFERROR(__xludf.DUMMYFUNCTION("""COMPUTED_VALUE"""),"Diamond")</f>
        <v>Diamond</v>
      </c>
      <c r="G394" s="1" t="str">
        <f>IFERROR(__xludf.DUMMYFUNCTION("""COMPUTED_VALUE"""),"Pooja Mishra")</f>
        <v>Pooja Mishra</v>
      </c>
      <c r="H394" s="1" t="str">
        <f>IFERROR(__xludf.DUMMYFUNCTION("""COMPUTED_VALUE"""),"Ms gold pendent ")</f>
        <v>Ms gold pendent </v>
      </c>
      <c r="I394" s="1"/>
      <c r="J394" s="1"/>
      <c r="K394" s="3">
        <f>IFERROR(__xludf.DUMMYFUNCTION("""COMPUTED_VALUE"""),0.8125)</f>
        <v>0.8125</v>
      </c>
      <c r="L394" s="1" t="str">
        <f>IFERROR(__xludf.DUMMYFUNCTION("""COMPUTED_VALUE"""),"Yes")</f>
        <v>Yes</v>
      </c>
      <c r="M394" s="1" t="str">
        <f>IFERROR(__xludf.DUMMYFUNCTION("""COMPUTED_VALUE"""),"Yes")</f>
        <v>Yes</v>
      </c>
      <c r="N394" s="1" t="str">
        <f>IFERROR(__xludf.DUMMYFUNCTION("""COMPUTED_VALUE"""),"Yes")</f>
        <v>Yes</v>
      </c>
      <c r="O394" s="1" t="str">
        <f>IFERROR(__xludf.DUMMYFUNCTION("""COMPUTED_VALUE"""),"WA ONLY, CALL")</f>
        <v>WA ONLY, CALL</v>
      </c>
      <c r="P394" s="1" t="str">
        <f>IFERROR(__xludf.DUMMYFUNCTION("""COMPUTED_VALUE"""),"Madam")</f>
        <v>Madam</v>
      </c>
      <c r="Q394" s="1" t="str">
        <f>IFERROR(__xludf.DUMMYFUNCTION("""COMPUTED_VALUE"""),"No")</f>
        <v>No</v>
      </c>
      <c r="R394" s="1" t="str">
        <f>IFERROR(__xludf.DUMMYFUNCTION("""COMPUTED_VALUE"""),"NEW WALK IN")</f>
        <v>NEW WALK IN</v>
      </c>
      <c r="S394" s="1" t="str">
        <f>IFERROR(__xludf.DUMMYFUNCTION("""COMPUTED_VALUE"""),"Shaihina")</f>
        <v>Shaihina</v>
      </c>
    </row>
    <row r="395">
      <c r="A395" s="2">
        <f>IFERROR(__xludf.DUMMYFUNCTION("""COMPUTED_VALUE"""),45454.78153881944)</f>
        <v>45454.78154</v>
      </c>
      <c r="B395" s="1" t="str">
        <f>IFERROR(__xludf.DUMMYFUNCTION("""COMPUTED_VALUE"""),"Rupanshi")</f>
        <v>Rupanshi</v>
      </c>
      <c r="C395" s="1">
        <f>IFERROR(__xludf.DUMMYFUNCTION("""COMPUTED_VALUE"""),9.871767175E9)</f>
        <v>9871767175</v>
      </c>
      <c r="D395" s="1">
        <f>IFERROR(__xludf.DUMMYFUNCTION("""COMPUTED_VALUE"""),2.0)</f>
        <v>2</v>
      </c>
      <c r="E395" s="3">
        <f>IFERROR(__xludf.DUMMYFUNCTION("""COMPUTED_VALUE"""),0.515972222223354)</f>
        <v>0.5159722222</v>
      </c>
      <c r="F395" s="1" t="str">
        <f>IFERROR(__xludf.DUMMYFUNCTION("""COMPUTED_VALUE"""),"Diamond")</f>
        <v>Diamond</v>
      </c>
      <c r="G395" s="1" t="str">
        <f>IFERROR(__xludf.DUMMYFUNCTION("""COMPUTED_VALUE"""),"Chhaya")</f>
        <v>Chhaya</v>
      </c>
      <c r="H395" s="1" t="str">
        <f>IFERROR(__xludf.DUMMYFUNCTION("""COMPUTED_VALUE"""),"2 diamond  breslet, 1 diamond pendent ")</f>
        <v>2 diamond  breslet, 1 diamond pendent </v>
      </c>
      <c r="I395" s="1"/>
      <c r="J395" s="1"/>
      <c r="K395" s="3">
        <f>IFERROR(__xludf.DUMMYFUNCTION("""COMPUTED_VALUE"""),0.6819444444408873)</f>
        <v>0.6819444444</v>
      </c>
      <c r="L395" s="1" t="str">
        <f>IFERROR(__xludf.DUMMYFUNCTION("""COMPUTED_VALUE"""),"Yes")</f>
        <v>Yes</v>
      </c>
      <c r="M395" s="1" t="str">
        <f>IFERROR(__xludf.DUMMYFUNCTION("""COMPUTED_VALUE"""),"Yes")</f>
        <v>Yes</v>
      </c>
      <c r="N395" s="1" t="str">
        <f>IFERROR(__xludf.DUMMYFUNCTION("""COMPUTED_VALUE"""),"Yes")</f>
        <v>Yes</v>
      </c>
      <c r="O395" s="1" t="str">
        <f>IFERROR(__xludf.DUMMYFUNCTION("""COMPUTED_VALUE"""),"WA ONLY, CALL")</f>
        <v>WA ONLY, CALL</v>
      </c>
      <c r="P395" s="1" t="str">
        <f>IFERROR(__xludf.DUMMYFUNCTION("""COMPUTED_VALUE"""),"Madam")</f>
        <v>Madam</v>
      </c>
      <c r="Q395" s="1" t="str">
        <f>IFERROR(__xludf.DUMMYFUNCTION("""COMPUTED_VALUE"""),"No")</f>
        <v>No</v>
      </c>
      <c r="R395" s="1" t="str">
        <f>IFERROR(__xludf.DUMMYFUNCTION("""COMPUTED_VALUE"""),"NEW WALK IN")</f>
        <v>NEW WALK IN</v>
      </c>
      <c r="S395" s="1" t="str">
        <f>IFERROR(__xludf.DUMMYFUNCTION("""COMPUTED_VALUE"""),"Sanjay sir")</f>
        <v>Sanjay sir</v>
      </c>
    </row>
    <row r="396">
      <c r="A396" s="2">
        <f>IFERROR(__xludf.DUMMYFUNCTION("""COMPUTED_VALUE"""),45455.738500983796)</f>
        <v>45455.7385</v>
      </c>
      <c r="B396" s="1" t="str">
        <f>IFERROR(__xludf.DUMMYFUNCTION("""COMPUTED_VALUE"""),"Nikunj")</f>
        <v>Nikunj</v>
      </c>
      <c r="C396" s="1">
        <f>IFERROR(__xludf.DUMMYFUNCTION("""COMPUTED_VALUE"""),7.777082177E9)</f>
        <v>7777082177</v>
      </c>
      <c r="D396" s="1">
        <f>IFERROR(__xludf.DUMMYFUNCTION("""COMPUTED_VALUE"""),3.0)</f>
        <v>3</v>
      </c>
      <c r="E396" s="3">
        <f>IFERROR(__xludf.DUMMYFUNCTION("""COMPUTED_VALUE"""),0.5361111111124046)</f>
        <v>0.5361111111</v>
      </c>
      <c r="F396" s="1" t="str">
        <f>IFERROR(__xludf.DUMMYFUNCTION("""COMPUTED_VALUE"""),"Plain Gold")</f>
        <v>Plain Gold</v>
      </c>
      <c r="G396" s="1" t="str">
        <f>IFERROR(__xludf.DUMMYFUNCTION("""COMPUTED_VALUE"""),"Chhaya")</f>
        <v>Chhaya</v>
      </c>
      <c r="H396" s="1" t="str">
        <f>IFERROR(__xludf.DUMMYFUNCTION("""COMPUTED_VALUE"""),"Gold bangles ")</f>
        <v>Gold bangles </v>
      </c>
      <c r="I396" s="1"/>
      <c r="J396" s="1"/>
      <c r="K396" s="3">
        <f>IFERROR(__xludf.DUMMYFUNCTION("""COMPUTED_VALUE"""),0.6041666666642413)</f>
        <v>0.6041666667</v>
      </c>
      <c r="L396" s="1" t="str">
        <f>IFERROR(__xludf.DUMMYFUNCTION("""COMPUTED_VALUE"""),"Yes")</f>
        <v>Yes</v>
      </c>
      <c r="M396" s="1" t="str">
        <f>IFERROR(__xludf.DUMMYFUNCTION("""COMPUTED_VALUE"""),"Yes")</f>
        <v>Yes</v>
      </c>
      <c r="N396" s="1" t="str">
        <f>IFERROR(__xludf.DUMMYFUNCTION("""COMPUTED_VALUE"""),"Yes")</f>
        <v>Yes</v>
      </c>
      <c r="O396" s="1" t="str">
        <f>IFERROR(__xludf.DUMMYFUNCTION("""COMPUTED_VALUE"""),"WA ONLY, CALL")</f>
        <v>WA ONLY, CALL</v>
      </c>
      <c r="P396" s="1" t="str">
        <f>IFERROR(__xludf.DUMMYFUNCTION("""COMPUTED_VALUE"""),"Sir")</f>
        <v>Sir</v>
      </c>
      <c r="Q396" s="1" t="str">
        <f>IFERROR(__xludf.DUMMYFUNCTION("""COMPUTED_VALUE"""),"No")</f>
        <v>No</v>
      </c>
      <c r="R396" s="1" t="str">
        <f>IFERROR(__xludf.DUMMYFUNCTION("""COMPUTED_VALUE"""),"NEW WALK IN")</f>
        <v>NEW WALK IN</v>
      </c>
      <c r="S396" s="1" t="str">
        <f>IFERROR(__xludf.DUMMYFUNCTION("""COMPUTED_VALUE"""),"Walk in ")</f>
        <v>Walk in </v>
      </c>
    </row>
    <row r="397">
      <c r="A397" s="2">
        <f>IFERROR(__xludf.DUMMYFUNCTION("""COMPUTED_VALUE"""),45456.75486973379)</f>
        <v>45456.75487</v>
      </c>
      <c r="B397" s="1" t="str">
        <f>IFERROR(__xludf.DUMMYFUNCTION("""COMPUTED_VALUE"""),"Kapila")</f>
        <v>Kapila</v>
      </c>
      <c r="C397" s="1">
        <f>IFERROR(__xludf.DUMMYFUNCTION("""COMPUTED_VALUE"""),9.015802726E9)</f>
        <v>9015802726</v>
      </c>
      <c r="D397" s="1">
        <f>IFERROR(__xludf.DUMMYFUNCTION("""COMPUTED_VALUE"""),1.0)</f>
        <v>1</v>
      </c>
      <c r="E397" s="3">
        <f>IFERROR(__xludf.DUMMYFUNCTION("""COMPUTED_VALUE"""),0.6041666666642413)</f>
        <v>0.6041666667</v>
      </c>
      <c r="F397" s="1" t="str">
        <f>IFERROR(__xludf.DUMMYFUNCTION("""COMPUTED_VALUE"""),"Antique Gold")</f>
        <v>Antique Gold</v>
      </c>
      <c r="G397" s="1" t="str">
        <f>IFERROR(__xludf.DUMMYFUNCTION("""COMPUTED_VALUE"""),"Pooja")</f>
        <v>Pooja</v>
      </c>
      <c r="H397" s="1"/>
      <c r="I397" s="1" t="str">
        <f>IFERROR(__xludf.DUMMYFUNCTION("""COMPUTED_VALUE"""),"Receiving own repairing jewellery ")</f>
        <v>Receiving own repairing jewellery </v>
      </c>
      <c r="J397" s="1"/>
      <c r="K397" s="3">
        <f>IFERROR(__xludf.DUMMYFUNCTION("""COMPUTED_VALUE"""),0.6444444444423425)</f>
        <v>0.6444444444</v>
      </c>
      <c r="L397" s="1" t="str">
        <f>IFERROR(__xludf.DUMMYFUNCTION("""COMPUTED_VALUE"""),"Yes")</f>
        <v>Yes</v>
      </c>
      <c r="M397" s="1" t="str">
        <f>IFERROR(__xludf.DUMMYFUNCTION("""COMPUTED_VALUE"""),"Already done ")</f>
        <v>Already done </v>
      </c>
      <c r="N397" s="1" t="str">
        <f>IFERROR(__xludf.DUMMYFUNCTION("""COMPUTED_VALUE"""),"Already done ")</f>
        <v>Already done </v>
      </c>
      <c r="O397" s="1" t="str">
        <f>IFERROR(__xludf.DUMMYFUNCTION("""COMPUTED_VALUE"""),"WA ONLY, OWNER CONTACT ONLY, CALL")</f>
        <v>WA ONLY, OWNER CONTACT ONLY, CALL</v>
      </c>
      <c r="P397" s="1" t="str">
        <f>IFERROR(__xludf.DUMMYFUNCTION("""COMPUTED_VALUE"""),"Madam")</f>
        <v>Madam</v>
      </c>
      <c r="Q397" s="1" t="str">
        <f>IFERROR(__xludf.DUMMYFUNCTION("""COMPUTED_VALUE"""),"No")</f>
        <v>No</v>
      </c>
      <c r="R397" s="1" t="str">
        <f>IFERROR(__xludf.DUMMYFUNCTION("""COMPUTED_VALUE"""),"OLD")</f>
        <v>OLD</v>
      </c>
      <c r="S397" s="1" t="str">
        <f>IFERROR(__xludf.DUMMYFUNCTION("""COMPUTED_VALUE"""),"Old")</f>
        <v>Old</v>
      </c>
    </row>
    <row r="398">
      <c r="A398" s="2">
        <f>IFERROR(__xludf.DUMMYFUNCTION("""COMPUTED_VALUE"""),45456.75676157407)</f>
        <v>45456.75676</v>
      </c>
      <c r="B398" s="1" t="str">
        <f>IFERROR(__xludf.DUMMYFUNCTION("""COMPUTED_VALUE"""),"Monika")</f>
        <v>Monika</v>
      </c>
      <c r="C398" s="1">
        <f>IFERROR(__xludf.DUMMYFUNCTION("""COMPUTED_VALUE"""),9.873833656E9)</f>
        <v>9873833656</v>
      </c>
      <c r="D398" s="1">
        <f>IFERROR(__xludf.DUMMYFUNCTION("""COMPUTED_VALUE"""),2.0)</f>
        <v>2</v>
      </c>
      <c r="E398" s="3">
        <f>IFERROR(__xludf.DUMMYFUNCTION("""COMPUTED_VALUE"""),0.5944444444467081)</f>
        <v>0.5944444444</v>
      </c>
      <c r="F398" s="1" t="str">
        <f>IFERROR(__xludf.DUMMYFUNCTION("""COMPUTED_VALUE"""),"Antique Gold")</f>
        <v>Antique Gold</v>
      </c>
      <c r="G398" s="1" t="str">
        <f>IFERROR(__xludf.DUMMYFUNCTION("""COMPUTED_VALUE"""),"Chhaya")</f>
        <v>Chhaya</v>
      </c>
      <c r="H398" s="1" t="str">
        <f>IFERROR(__xludf.DUMMYFUNCTION("""COMPUTED_VALUE"""),"Row gold")</f>
        <v>Row gold</v>
      </c>
      <c r="I398" s="1"/>
      <c r="J398" s="1"/>
      <c r="K398" s="3">
        <f>IFERROR(__xludf.DUMMYFUNCTION("""COMPUTED_VALUE"""),0.6805555555547471)</f>
        <v>0.6805555556</v>
      </c>
      <c r="L398" s="1" t="str">
        <f>IFERROR(__xludf.DUMMYFUNCTION("""COMPUTED_VALUE"""),"Yes")</f>
        <v>Yes</v>
      </c>
      <c r="M398" s="1" t="str">
        <f>IFERROR(__xludf.DUMMYFUNCTION("""COMPUTED_VALUE"""),"Already done ")</f>
        <v>Already done </v>
      </c>
      <c r="N398" s="1" t="str">
        <f>IFERROR(__xludf.DUMMYFUNCTION("""COMPUTED_VALUE"""),"Already done ")</f>
        <v>Already done </v>
      </c>
      <c r="O398" s="1" t="str">
        <f>IFERROR(__xludf.DUMMYFUNCTION("""COMPUTED_VALUE"""),"WA ONLY, OWNER CONTACT ONLY, CALL")</f>
        <v>WA ONLY, OWNER CONTACT ONLY, CALL</v>
      </c>
      <c r="P398" s="1" t="str">
        <f>IFERROR(__xludf.DUMMYFUNCTION("""COMPUTED_VALUE"""),"Madam")</f>
        <v>Madam</v>
      </c>
      <c r="Q398" s="1" t="str">
        <f>IFERROR(__xludf.DUMMYFUNCTION("""COMPUTED_VALUE"""),"Yes")</f>
        <v>Yes</v>
      </c>
      <c r="R398" s="1" t="str">
        <f>IFERROR(__xludf.DUMMYFUNCTION("""COMPUTED_VALUE"""),"OLD")</f>
        <v>OLD</v>
      </c>
      <c r="S398" s="1"/>
    </row>
    <row r="399">
      <c r="A399" s="2">
        <f>IFERROR(__xludf.DUMMYFUNCTION("""COMPUTED_VALUE"""),45457.80265280092)</f>
        <v>45457.80265</v>
      </c>
      <c r="B399" s="1" t="str">
        <f>IFERROR(__xludf.DUMMYFUNCTION("""COMPUTED_VALUE"""),"Anuradha")</f>
        <v>Anuradha</v>
      </c>
      <c r="C399" s="1">
        <f>IFERROR(__xludf.DUMMYFUNCTION("""COMPUTED_VALUE"""),8.178264753E9)</f>
        <v>8178264753</v>
      </c>
      <c r="D399" s="1">
        <f>IFERROR(__xludf.DUMMYFUNCTION("""COMPUTED_VALUE"""),1.0)</f>
        <v>1</v>
      </c>
      <c r="E399" s="3">
        <f>IFERROR(__xludf.DUMMYFUNCTION("""COMPUTED_VALUE"""),0.6805555555547471)</f>
        <v>0.6805555556</v>
      </c>
      <c r="F399" s="1" t="str">
        <f>IFERROR(__xludf.DUMMYFUNCTION("""COMPUTED_VALUE"""),"Antique Gold")</f>
        <v>Antique Gold</v>
      </c>
      <c r="G399" s="1" t="str">
        <f>IFERROR(__xludf.DUMMYFUNCTION("""COMPUTED_VALUE"""),"Pooja")</f>
        <v>Pooja</v>
      </c>
      <c r="H399" s="1"/>
      <c r="I399" s="1" t="str">
        <f>IFERROR(__xludf.DUMMYFUNCTION("""COMPUTED_VALUE"""),"Cancel order ")</f>
        <v>Cancel order </v>
      </c>
      <c r="J399" s="1"/>
      <c r="K399" s="3">
        <f>IFERROR(__xludf.DUMMYFUNCTION("""COMPUTED_VALUE"""),0.6916666666656965)</f>
        <v>0.6916666667</v>
      </c>
      <c r="L399" s="1" t="str">
        <f>IFERROR(__xludf.DUMMYFUNCTION("""COMPUTED_VALUE"""),"Yes")</f>
        <v>Yes</v>
      </c>
      <c r="M399" s="1" t="str">
        <f>IFERROR(__xludf.DUMMYFUNCTION("""COMPUTED_VALUE"""),"Already done ")</f>
        <v>Already done </v>
      </c>
      <c r="N399" s="1" t="str">
        <f>IFERROR(__xludf.DUMMYFUNCTION("""COMPUTED_VALUE"""),"Already done ")</f>
        <v>Already done </v>
      </c>
      <c r="O399" s="1" t="str">
        <f>IFERROR(__xludf.DUMMYFUNCTION("""COMPUTED_VALUE"""),"WA ONLY, CALL")</f>
        <v>WA ONLY, CALL</v>
      </c>
      <c r="P399" s="1" t="str">
        <f>IFERROR(__xludf.DUMMYFUNCTION("""COMPUTED_VALUE"""),"Madam")</f>
        <v>Madam</v>
      </c>
      <c r="Q399" s="1" t="str">
        <f>IFERROR(__xludf.DUMMYFUNCTION("""COMPUTED_VALUE"""),"No")</f>
        <v>No</v>
      </c>
      <c r="R399" s="1" t="str">
        <f>IFERROR(__xludf.DUMMYFUNCTION("""COMPUTED_VALUE"""),"OLD")</f>
        <v>OLD</v>
      </c>
      <c r="S399" s="1" t="str">
        <f>IFERROR(__xludf.DUMMYFUNCTION("""COMPUTED_VALUE"""),"Old")</f>
        <v>Old</v>
      </c>
    </row>
    <row r="400">
      <c r="A400" s="2">
        <f>IFERROR(__xludf.DUMMYFUNCTION("""COMPUTED_VALUE"""),45457.80471537037)</f>
        <v>45457.80472</v>
      </c>
      <c r="B400" s="1" t="str">
        <f>IFERROR(__xludf.DUMMYFUNCTION("""COMPUTED_VALUE"""),"Shaihina")</f>
        <v>Shaihina</v>
      </c>
      <c r="C400" s="1">
        <f>IFERROR(__xludf.DUMMYFUNCTION("""COMPUTED_VALUE"""),8.920453034E9)</f>
        <v>8920453034</v>
      </c>
      <c r="D400" s="1">
        <f>IFERROR(__xludf.DUMMYFUNCTION("""COMPUTED_VALUE"""),1.0)</f>
        <v>1</v>
      </c>
      <c r="E400" s="3">
        <f>IFERROR(__xludf.DUMMYFUNCTION("""COMPUTED_VALUE"""),0.7638888888905058)</f>
        <v>0.7638888889</v>
      </c>
      <c r="F400" s="1" t="str">
        <f>IFERROR(__xludf.DUMMYFUNCTION("""COMPUTED_VALUE"""),"Plain Gold")</f>
        <v>Plain Gold</v>
      </c>
      <c r="G400" s="1" t="str">
        <f>IFERROR(__xludf.DUMMYFUNCTION("""COMPUTED_VALUE"""),"Pooja")</f>
        <v>Pooja</v>
      </c>
      <c r="H400" s="1"/>
      <c r="I400" s="1" t="str">
        <f>IFERROR(__xludf.DUMMYFUNCTION("""COMPUTED_VALUE"""),"Pick up Order")</f>
        <v>Pick up Order</v>
      </c>
      <c r="J400" s="1"/>
      <c r="K400" s="3">
        <f>IFERROR(__xludf.DUMMYFUNCTION("""COMPUTED_VALUE"""),0.8006944444423425)</f>
        <v>0.8006944444</v>
      </c>
      <c r="L400" s="1" t="str">
        <f>IFERROR(__xludf.DUMMYFUNCTION("""COMPUTED_VALUE"""),"Yes")</f>
        <v>Yes</v>
      </c>
      <c r="M400" s="1" t="str">
        <f>IFERROR(__xludf.DUMMYFUNCTION("""COMPUTED_VALUE"""),"Already done ")</f>
        <v>Already done </v>
      </c>
      <c r="N400" s="1" t="str">
        <f>IFERROR(__xludf.DUMMYFUNCTION("""COMPUTED_VALUE"""),"Already done ")</f>
        <v>Already done </v>
      </c>
      <c r="O400" s="1" t="str">
        <f>IFERROR(__xludf.DUMMYFUNCTION("""COMPUTED_VALUE"""),"WA ONLY, CALL")</f>
        <v>WA ONLY, CALL</v>
      </c>
      <c r="P400" s="1" t="str">
        <f>IFERROR(__xludf.DUMMYFUNCTION("""COMPUTED_VALUE"""),"Madam")</f>
        <v>Madam</v>
      </c>
      <c r="Q400" s="1" t="str">
        <f>IFERROR(__xludf.DUMMYFUNCTION("""COMPUTED_VALUE"""),"Yes")</f>
        <v>Yes</v>
      </c>
      <c r="R400" s="1" t="str">
        <f>IFERROR(__xludf.DUMMYFUNCTION("""COMPUTED_VALUE"""),"OLD")</f>
        <v>OLD</v>
      </c>
      <c r="S400" s="1" t="str">
        <f>IFERROR(__xludf.DUMMYFUNCTION("""COMPUTED_VALUE"""),"Walk in ")</f>
        <v>Walk in </v>
      </c>
    </row>
    <row r="401">
      <c r="A401" s="2">
        <f>IFERROR(__xludf.DUMMYFUNCTION("""COMPUTED_VALUE"""),45457.813219351854)</f>
        <v>45457.81322</v>
      </c>
      <c r="B401" s="1" t="str">
        <f>IFERROR(__xludf.DUMMYFUNCTION("""COMPUTED_VALUE"""),"Chhavi")</f>
        <v>Chhavi</v>
      </c>
      <c r="C401" s="1">
        <f>IFERROR(__xludf.DUMMYFUNCTION("""COMPUTED_VALUE"""),7.840001934E9)</f>
        <v>7840001934</v>
      </c>
      <c r="D401" s="1">
        <f>IFERROR(__xludf.DUMMYFUNCTION("""COMPUTED_VALUE"""),5.0)</f>
        <v>5</v>
      </c>
      <c r="E401" s="3">
        <f>IFERROR(__xludf.DUMMYFUNCTION("""COMPUTED_VALUE"""),0.7083333333357587)</f>
        <v>0.7083333333</v>
      </c>
      <c r="F401" s="1" t="str">
        <f>IFERROR(__xludf.DUMMYFUNCTION("""COMPUTED_VALUE"""),"Antique Gold")</f>
        <v>Antique Gold</v>
      </c>
      <c r="G401" s="1" t="str">
        <f>IFERROR(__xludf.DUMMYFUNCTION("""COMPUTED_VALUE"""),"Chhaya")</f>
        <v>Chhaya</v>
      </c>
      <c r="H401" s="1" t="str">
        <f>IFERROR(__xludf.DUMMYFUNCTION("""COMPUTED_VALUE"""),"Gold ring,gold chain,gold tops order ")</f>
        <v>Gold ring,gold chain,gold tops order </v>
      </c>
      <c r="I401" s="1"/>
      <c r="J401" s="1"/>
      <c r="K401" s="3">
        <f>IFERROR(__xludf.DUMMYFUNCTION("""COMPUTED_VALUE"""),0.8125)</f>
        <v>0.8125</v>
      </c>
      <c r="L401" s="1" t="str">
        <f>IFERROR(__xludf.DUMMYFUNCTION("""COMPUTED_VALUE"""),"No")</f>
        <v>No</v>
      </c>
      <c r="M401" s="1" t="str">
        <f>IFERROR(__xludf.DUMMYFUNCTION("""COMPUTED_VALUE"""),"Yes")</f>
        <v>Yes</v>
      </c>
      <c r="N401" s="1" t="str">
        <f>IFERROR(__xludf.DUMMYFUNCTION("""COMPUTED_VALUE"""),"Yes")</f>
        <v>Yes</v>
      </c>
      <c r="O401" s="1" t="str">
        <f>IFERROR(__xludf.DUMMYFUNCTION("""COMPUTED_VALUE"""),"WA ONLY, OWNER CONTACT ONLY, CALL")</f>
        <v>WA ONLY, OWNER CONTACT ONLY, CALL</v>
      </c>
      <c r="P401" s="1" t="str">
        <f>IFERROR(__xludf.DUMMYFUNCTION("""COMPUTED_VALUE"""),"Madam")</f>
        <v>Madam</v>
      </c>
      <c r="Q401" s="1" t="str">
        <f>IFERROR(__xludf.DUMMYFUNCTION("""COMPUTED_VALUE"""),"No")</f>
        <v>No</v>
      </c>
      <c r="R401" s="1" t="str">
        <f>IFERROR(__xludf.DUMMYFUNCTION("""COMPUTED_VALUE"""),"NEW WALK IN")</f>
        <v>NEW WALK IN</v>
      </c>
      <c r="S401" s="1" t="str">
        <f>IFERROR(__xludf.DUMMYFUNCTION("""COMPUTED_VALUE"""),"Walk in")</f>
        <v>Walk in</v>
      </c>
    </row>
    <row r="402">
      <c r="A402" s="2">
        <f>IFERROR(__xludf.DUMMYFUNCTION("""COMPUTED_VALUE"""),45457.82588841435)</f>
        <v>45457.82589</v>
      </c>
      <c r="B402" s="1" t="str">
        <f>IFERROR(__xludf.DUMMYFUNCTION("""COMPUTED_VALUE"""),"Sandeep")</f>
        <v>Sandeep</v>
      </c>
      <c r="C402" s="1">
        <f>IFERROR(__xludf.DUMMYFUNCTION("""COMPUTED_VALUE"""),8.010566521E9)</f>
        <v>8010566521</v>
      </c>
      <c r="D402" s="1">
        <f>IFERROR(__xludf.DUMMYFUNCTION("""COMPUTED_VALUE"""),1.0)</f>
        <v>1</v>
      </c>
      <c r="E402" s="3">
        <f>IFERROR(__xludf.DUMMYFUNCTION("""COMPUTED_VALUE"""),0.8138888888934162)</f>
        <v>0.8138888889</v>
      </c>
      <c r="F402" s="1" t="str">
        <f>IFERROR(__xludf.DUMMYFUNCTION("""COMPUTED_VALUE"""),"Plain Gold")</f>
        <v>Plain Gold</v>
      </c>
      <c r="G402" s="1" t="str">
        <f>IFERROR(__xludf.DUMMYFUNCTION("""COMPUTED_VALUE"""),"Pooja")</f>
        <v>Pooja</v>
      </c>
      <c r="H402" s="1" t="str">
        <f>IFERROR(__xludf.DUMMYFUNCTION("""COMPUTED_VALUE"""),"Gold bali")</f>
        <v>Gold bali</v>
      </c>
      <c r="I402" s="1"/>
      <c r="J402" s="1"/>
      <c r="K402" s="3">
        <f>IFERROR(__xludf.DUMMYFUNCTION("""COMPUTED_VALUE"""),0.8256944444437977)</f>
        <v>0.8256944444</v>
      </c>
      <c r="L402" s="1" t="str">
        <f>IFERROR(__xludf.DUMMYFUNCTION("""COMPUTED_VALUE"""),"No")</f>
        <v>No</v>
      </c>
      <c r="M402" s="1" t="str">
        <f>IFERROR(__xludf.DUMMYFUNCTION("""COMPUTED_VALUE"""),"Yes")</f>
        <v>Yes</v>
      </c>
      <c r="N402" s="1" t="str">
        <f>IFERROR(__xludf.DUMMYFUNCTION("""COMPUTED_VALUE"""),"Yes")</f>
        <v>Yes</v>
      </c>
      <c r="O402" s="1" t="str">
        <f>IFERROR(__xludf.DUMMYFUNCTION("""COMPUTED_VALUE"""),"WA ONLY, CALL")</f>
        <v>WA ONLY, CALL</v>
      </c>
      <c r="P402" s="1" t="str">
        <f>IFERROR(__xludf.DUMMYFUNCTION("""COMPUTED_VALUE"""),"Sir")</f>
        <v>Sir</v>
      </c>
      <c r="Q402" s="1" t="str">
        <f>IFERROR(__xludf.DUMMYFUNCTION("""COMPUTED_VALUE"""),"No")</f>
        <v>No</v>
      </c>
      <c r="R402" s="1" t="str">
        <f>IFERROR(__xludf.DUMMYFUNCTION("""COMPUTED_VALUE"""),"NEW WALK IN")</f>
        <v>NEW WALK IN</v>
      </c>
      <c r="S402" s="1" t="str">
        <f>IFERROR(__xludf.DUMMYFUNCTION("""COMPUTED_VALUE"""),"Walknin")</f>
        <v>Walknin</v>
      </c>
    </row>
    <row r="403">
      <c r="A403" s="2">
        <f>IFERROR(__xludf.DUMMYFUNCTION("""COMPUTED_VALUE"""),45458.7167825463)</f>
        <v>45458.71678</v>
      </c>
      <c r="B403" s="1" t="str">
        <f>IFERROR(__xludf.DUMMYFUNCTION("""COMPUTED_VALUE"""),"Poonam ")</f>
        <v>Poonam </v>
      </c>
      <c r="C403" s="1">
        <f>IFERROR(__xludf.DUMMYFUNCTION("""COMPUTED_VALUE"""),9.999488996E9)</f>
        <v>9999488996</v>
      </c>
      <c r="D403" s="1">
        <f>IFERROR(__xludf.DUMMYFUNCTION("""COMPUTED_VALUE"""),2.0)</f>
        <v>2</v>
      </c>
      <c r="E403" s="3">
        <f>IFERROR(__xludf.DUMMYFUNCTION("""COMPUTED_VALUE"""),0.5902777777810115)</f>
        <v>0.5902777778</v>
      </c>
      <c r="F403" s="1" t="str">
        <f>IFERROR(__xludf.DUMMYFUNCTION("""COMPUTED_VALUE"""),"Antique Gold")</f>
        <v>Antique Gold</v>
      </c>
      <c r="G403" s="1" t="str">
        <f>IFERROR(__xludf.DUMMYFUNCTION("""COMPUTED_VALUE"""),"Pooja")</f>
        <v>Pooja</v>
      </c>
      <c r="H403" s="1" t="str">
        <f>IFERROR(__xludf.DUMMYFUNCTION("""COMPUTED_VALUE"""),"Antique gold set")</f>
        <v>Antique gold set</v>
      </c>
      <c r="I403" s="1"/>
      <c r="J403" s="1"/>
      <c r="K403" s="3">
        <f>IFERROR(__xludf.DUMMYFUNCTION("""COMPUTED_VALUE"""),0.6680555555576575)</f>
        <v>0.6680555556</v>
      </c>
      <c r="L403" s="1" t="str">
        <f>IFERROR(__xludf.DUMMYFUNCTION("""COMPUTED_VALUE"""),"No")</f>
        <v>No</v>
      </c>
      <c r="M403" s="1" t="str">
        <f>IFERROR(__xludf.DUMMYFUNCTION("""COMPUTED_VALUE"""),"Yes")</f>
        <v>Yes</v>
      </c>
      <c r="N403" s="1" t="str">
        <f>IFERROR(__xludf.DUMMYFUNCTION("""COMPUTED_VALUE"""),"Yes")</f>
        <v>Yes</v>
      </c>
      <c r="O403" s="1" t="str">
        <f>IFERROR(__xludf.DUMMYFUNCTION("""COMPUTED_VALUE"""),"WA ONLY, CALL")</f>
        <v>WA ONLY, CALL</v>
      </c>
      <c r="P403" s="1" t="str">
        <f>IFERROR(__xludf.DUMMYFUNCTION("""COMPUTED_VALUE"""),"Madam")</f>
        <v>Madam</v>
      </c>
      <c r="Q403" s="1" t="str">
        <f>IFERROR(__xludf.DUMMYFUNCTION("""COMPUTED_VALUE"""),"No")</f>
        <v>No</v>
      </c>
      <c r="R403" s="1" t="str">
        <f>IFERROR(__xludf.DUMMYFUNCTION("""COMPUTED_VALUE"""),"NEW WALK IN")</f>
        <v>NEW WALK IN</v>
      </c>
      <c r="S403" s="1" t="str">
        <f>IFERROR(__xludf.DUMMYFUNCTION("""COMPUTED_VALUE"""),"Walk in")</f>
        <v>Walk in</v>
      </c>
    </row>
    <row r="404">
      <c r="A404" s="2">
        <f>IFERROR(__xludf.DUMMYFUNCTION("""COMPUTED_VALUE"""),45458.718473518515)</f>
        <v>45458.71847</v>
      </c>
      <c r="B404" s="1" t="str">
        <f>IFERROR(__xludf.DUMMYFUNCTION("""COMPUTED_VALUE"""),"S.p singh")</f>
        <v>S.p singh</v>
      </c>
      <c r="C404" s="1">
        <f>IFERROR(__xludf.DUMMYFUNCTION("""COMPUTED_VALUE"""),7.982221351E9)</f>
        <v>7982221351</v>
      </c>
      <c r="D404" s="1">
        <f>IFERROR(__xludf.DUMMYFUNCTION("""COMPUTED_VALUE"""),2.0)</f>
        <v>2</v>
      </c>
      <c r="E404" s="3">
        <f>IFERROR(__xludf.DUMMYFUNCTION("""COMPUTED_VALUE"""),0.6687499999970896)</f>
        <v>0.66875</v>
      </c>
      <c r="F404" s="1" t="str">
        <f>IFERROR(__xludf.DUMMYFUNCTION("""COMPUTED_VALUE"""),"Antique Gold")</f>
        <v>Antique Gold</v>
      </c>
      <c r="G404" s="1" t="str">
        <f>IFERROR(__xludf.DUMMYFUNCTION("""COMPUTED_VALUE"""),"Pooja")</f>
        <v>Pooja</v>
      </c>
      <c r="H404" s="1"/>
      <c r="I404" s="1" t="str">
        <f>IFERROR(__xludf.DUMMYFUNCTION("""COMPUTED_VALUE"""),"Making High or Wants Discount")</f>
        <v>Making High or Wants Discount</v>
      </c>
      <c r="J404" s="1"/>
      <c r="K404" s="3">
        <f>IFERROR(__xludf.DUMMYFUNCTION("""COMPUTED_VALUE"""),0.6770833333357587)</f>
        <v>0.6770833333</v>
      </c>
      <c r="L404" s="1" t="str">
        <f>IFERROR(__xludf.DUMMYFUNCTION("""COMPUTED_VALUE"""),"No")</f>
        <v>No</v>
      </c>
      <c r="M404" s="1" t="str">
        <f>IFERROR(__xludf.DUMMYFUNCTION("""COMPUTED_VALUE"""),"No")</f>
        <v>No</v>
      </c>
      <c r="N404" s="1" t="str">
        <f>IFERROR(__xludf.DUMMYFUNCTION("""COMPUTED_VALUE"""),"No")</f>
        <v>No</v>
      </c>
      <c r="O404" s="1" t="str">
        <f>IFERROR(__xludf.DUMMYFUNCTION("""COMPUTED_VALUE"""),"WA ONLY, CALL")</f>
        <v>WA ONLY, CALL</v>
      </c>
      <c r="P404" s="1" t="str">
        <f>IFERROR(__xludf.DUMMYFUNCTION("""COMPUTED_VALUE"""),"Sir")</f>
        <v>Sir</v>
      </c>
      <c r="Q404" s="1" t="str">
        <f>IFERROR(__xludf.DUMMYFUNCTION("""COMPUTED_VALUE"""),"No")</f>
        <v>No</v>
      </c>
      <c r="R404" s="1" t="str">
        <f>IFERROR(__xludf.DUMMYFUNCTION("""COMPUTED_VALUE"""),"NEW WALK IN")</f>
        <v>NEW WALK IN</v>
      </c>
      <c r="S404" s="1" t="str">
        <f>IFERROR(__xludf.DUMMYFUNCTION("""COMPUTED_VALUE"""),"Walk in")</f>
        <v>Walk in</v>
      </c>
    </row>
    <row r="405">
      <c r="A405" s="2">
        <f>IFERROR(__xludf.DUMMYFUNCTION("""COMPUTED_VALUE"""),45459.730897245376)</f>
        <v>45459.7309</v>
      </c>
      <c r="B405" s="1" t="str">
        <f>IFERROR(__xludf.DUMMYFUNCTION("""COMPUTED_VALUE"""),"Shika ")</f>
        <v>Shika </v>
      </c>
      <c r="C405" s="1">
        <f>IFERROR(__xludf.DUMMYFUNCTION("""COMPUTED_VALUE"""),8.1781488E9)</f>
        <v>8178148800</v>
      </c>
      <c r="D405" s="1">
        <f>IFERROR(__xludf.DUMMYFUNCTION("""COMPUTED_VALUE"""),3.0)</f>
        <v>3</v>
      </c>
      <c r="E405" s="3">
        <f>IFERROR(__xludf.DUMMYFUNCTION("""COMPUTED_VALUE"""),0.6020833333313931)</f>
        <v>0.6020833333</v>
      </c>
      <c r="F405" s="1" t="str">
        <f>IFERROR(__xludf.DUMMYFUNCTION("""COMPUTED_VALUE"""),"Plain Gold")</f>
        <v>Plain Gold</v>
      </c>
      <c r="G405" s="1" t="str">
        <f>IFERROR(__xludf.DUMMYFUNCTION("""COMPUTED_VALUE"""),"Chhaya")</f>
        <v>Chhaya</v>
      </c>
      <c r="H405" s="1" t="str">
        <f>IFERROR(__xludf.DUMMYFUNCTION("""COMPUTED_VALUE"""),"Gold set")</f>
        <v>Gold set</v>
      </c>
      <c r="I405" s="1"/>
      <c r="J405" s="1"/>
      <c r="K405" s="3">
        <f>IFERROR(__xludf.DUMMYFUNCTION("""COMPUTED_VALUE"""),0.6854166666671517)</f>
        <v>0.6854166667</v>
      </c>
      <c r="L405" s="1" t="str">
        <f>IFERROR(__xludf.DUMMYFUNCTION("""COMPUTED_VALUE"""),"Yes")</f>
        <v>Yes</v>
      </c>
      <c r="M405" s="1" t="str">
        <f>IFERROR(__xludf.DUMMYFUNCTION("""COMPUTED_VALUE"""),"Already done ")</f>
        <v>Already done </v>
      </c>
      <c r="N405" s="1" t="str">
        <f>IFERROR(__xludf.DUMMYFUNCTION("""COMPUTED_VALUE"""),"Already done ")</f>
        <v>Already done </v>
      </c>
      <c r="O405" s="1" t="str">
        <f>IFERROR(__xludf.DUMMYFUNCTION("""COMPUTED_VALUE"""),"WA ONLY, CALL")</f>
        <v>WA ONLY, CALL</v>
      </c>
      <c r="P405" s="1" t="str">
        <f>IFERROR(__xludf.DUMMYFUNCTION("""COMPUTED_VALUE"""),"Madam")</f>
        <v>Madam</v>
      </c>
      <c r="Q405" s="1" t="str">
        <f>IFERROR(__xludf.DUMMYFUNCTION("""COMPUTED_VALUE"""),"No")</f>
        <v>No</v>
      </c>
      <c r="R405" s="1" t="str">
        <f>IFERROR(__xludf.DUMMYFUNCTION("""COMPUTED_VALUE"""),"OLD")</f>
        <v>OLD</v>
      </c>
      <c r="S405" s="1" t="str">
        <f>IFERROR(__xludf.DUMMYFUNCTION("""COMPUTED_VALUE"""),"Walk in")</f>
        <v>Walk in</v>
      </c>
    </row>
    <row r="406">
      <c r="A406" s="2">
        <f>IFERROR(__xludf.DUMMYFUNCTION("""COMPUTED_VALUE"""),45459.73254541667)</f>
        <v>45459.73255</v>
      </c>
      <c r="B406" s="1" t="str">
        <f>IFERROR(__xludf.DUMMYFUNCTION("""COMPUTED_VALUE"""),"Jaswinder")</f>
        <v>Jaswinder</v>
      </c>
      <c r="C406" s="1">
        <f>IFERROR(__xludf.DUMMYFUNCTION("""COMPUTED_VALUE"""),9.818709009E9)</f>
        <v>9818709009</v>
      </c>
      <c r="D406" s="1">
        <f>IFERROR(__xludf.DUMMYFUNCTION("""COMPUTED_VALUE"""),1.0)</f>
        <v>1</v>
      </c>
      <c r="E406" s="3">
        <f>IFERROR(__xludf.DUMMYFUNCTION("""COMPUTED_VALUE"""),0.6354166666642413)</f>
        <v>0.6354166667</v>
      </c>
      <c r="F406" s="1" t="str">
        <f>IFERROR(__xludf.DUMMYFUNCTION("""COMPUTED_VALUE"""),"Antique Gold")</f>
        <v>Antique Gold</v>
      </c>
      <c r="G406" s="1" t="str">
        <f>IFERROR(__xludf.DUMMYFUNCTION("""COMPUTED_VALUE"""),"Pooja")</f>
        <v>Pooja</v>
      </c>
      <c r="H406" s="1" t="str">
        <f>IFERROR(__xludf.DUMMYFUNCTION("""COMPUTED_VALUE"""),"Gold bar")</f>
        <v>Gold bar</v>
      </c>
      <c r="I406" s="1"/>
      <c r="J406" s="1"/>
      <c r="K406" s="3">
        <f>IFERROR(__xludf.DUMMYFUNCTION("""COMPUTED_VALUE"""),0.7097222222218988)</f>
        <v>0.7097222222</v>
      </c>
      <c r="L406" s="1" t="str">
        <f>IFERROR(__xludf.DUMMYFUNCTION("""COMPUTED_VALUE"""),"Yes")</f>
        <v>Yes</v>
      </c>
      <c r="M406" s="1" t="str">
        <f>IFERROR(__xludf.DUMMYFUNCTION("""COMPUTED_VALUE"""),"Yes")</f>
        <v>Yes</v>
      </c>
      <c r="N406" s="1" t="str">
        <f>IFERROR(__xludf.DUMMYFUNCTION("""COMPUTED_VALUE"""),"Yes")</f>
        <v>Yes</v>
      </c>
      <c r="O406" s="1" t="str">
        <f>IFERROR(__xludf.DUMMYFUNCTION("""COMPUTED_VALUE"""),"WA ONLY, OWNER CONTACT ONLY, CALL")</f>
        <v>WA ONLY, OWNER CONTACT ONLY, CALL</v>
      </c>
      <c r="P406" s="1" t="str">
        <f>IFERROR(__xludf.DUMMYFUNCTION("""COMPUTED_VALUE"""),"Sir")</f>
        <v>Sir</v>
      </c>
      <c r="Q406" s="1" t="str">
        <f>IFERROR(__xludf.DUMMYFUNCTION("""COMPUTED_VALUE"""),"No")</f>
        <v>No</v>
      </c>
      <c r="R406" s="1" t="str">
        <f>IFERROR(__xludf.DUMMYFUNCTION("""COMPUTED_VALUE"""),"OLD")</f>
        <v>OLD</v>
      </c>
      <c r="S406" s="1" t="str">
        <f>IFERROR(__xludf.DUMMYFUNCTION("""COMPUTED_VALUE"""),"Walk in ")</f>
        <v>Walk in </v>
      </c>
    </row>
    <row r="407">
      <c r="A407" s="2">
        <f>IFERROR(__xludf.DUMMYFUNCTION("""COMPUTED_VALUE"""),45459.80689692129)</f>
        <v>45459.8069</v>
      </c>
      <c r="B407" s="1" t="str">
        <f>IFERROR(__xludf.DUMMYFUNCTION("""COMPUTED_VALUE"""),"Ankita")</f>
        <v>Ankita</v>
      </c>
      <c r="C407" s="1">
        <f>IFERROR(__xludf.DUMMYFUNCTION("""COMPUTED_VALUE"""),8.527714373E9)</f>
        <v>8527714373</v>
      </c>
      <c r="D407" s="1">
        <f>IFERROR(__xludf.DUMMYFUNCTION("""COMPUTED_VALUE"""),3.0)</f>
        <v>3</v>
      </c>
      <c r="E407" s="3">
        <f>IFERROR(__xludf.DUMMYFUNCTION("""COMPUTED_VALUE"""),0.8013888888890506)</f>
        <v>0.8013888889</v>
      </c>
      <c r="F407" s="1" t="str">
        <f>IFERROR(__xludf.DUMMYFUNCTION("""COMPUTED_VALUE"""),"Plain Gold")</f>
        <v>Plain Gold</v>
      </c>
      <c r="G407" s="1" t="str">
        <f>IFERROR(__xludf.DUMMYFUNCTION("""COMPUTED_VALUE"""),"Payal")</f>
        <v>Payal</v>
      </c>
      <c r="H407" s="1"/>
      <c r="I407" s="1" t="str">
        <f>IFERROR(__xludf.DUMMYFUNCTION("""COMPUTED_VALUE"""),"Want to see More Variety")</f>
        <v>Want to see More Variety</v>
      </c>
      <c r="J407" s="1"/>
      <c r="K407" s="3">
        <f>IFERROR(__xludf.DUMMYFUNCTION("""COMPUTED_VALUE"""),0.804861111115315)</f>
        <v>0.8048611111</v>
      </c>
      <c r="L407" s="1" t="str">
        <f>IFERROR(__xludf.DUMMYFUNCTION("""COMPUTED_VALUE"""),"No")</f>
        <v>No</v>
      </c>
      <c r="M407" s="1" t="str">
        <f>IFERROR(__xludf.DUMMYFUNCTION("""COMPUTED_VALUE"""),"No")</f>
        <v>No</v>
      </c>
      <c r="N407" s="1" t="str">
        <f>IFERROR(__xludf.DUMMYFUNCTION("""COMPUTED_VALUE"""),"No")</f>
        <v>No</v>
      </c>
      <c r="O407" s="1" t="str">
        <f>IFERROR(__xludf.DUMMYFUNCTION("""COMPUTED_VALUE"""),"WA ONLY, CALL")</f>
        <v>WA ONLY, CALL</v>
      </c>
      <c r="P407" s="1" t="str">
        <f>IFERROR(__xludf.DUMMYFUNCTION("""COMPUTED_VALUE"""),"Madam")</f>
        <v>Madam</v>
      </c>
      <c r="Q407" s="1" t="str">
        <f>IFERROR(__xludf.DUMMYFUNCTION("""COMPUTED_VALUE"""),"No")</f>
        <v>No</v>
      </c>
      <c r="R407" s="1" t="str">
        <f>IFERROR(__xludf.DUMMYFUNCTION("""COMPUTED_VALUE"""),"NEW WALK IN")</f>
        <v>NEW WALK IN</v>
      </c>
      <c r="S407" s="1" t="str">
        <f>IFERROR(__xludf.DUMMYFUNCTION("""COMPUTED_VALUE"""),"Walk in")</f>
        <v>Walk in</v>
      </c>
    </row>
    <row r="408">
      <c r="A408" s="2">
        <f>IFERROR(__xludf.DUMMYFUNCTION("""COMPUTED_VALUE"""),45461.7128941088)</f>
        <v>45461.71289</v>
      </c>
      <c r="B408" s="1" t="str">
        <f>IFERROR(__xludf.DUMMYFUNCTION("""COMPUTED_VALUE"""),"Himadri aarti gor")</f>
        <v>Himadri aarti gor</v>
      </c>
      <c r="C408" s="1">
        <f>IFERROR(__xludf.DUMMYFUNCTION("""COMPUTED_VALUE"""),9.868203875E9)</f>
        <v>9868203875</v>
      </c>
      <c r="D408" s="1">
        <f>IFERROR(__xludf.DUMMYFUNCTION("""COMPUTED_VALUE"""),2.0)</f>
        <v>2</v>
      </c>
      <c r="E408" s="3">
        <f>IFERROR(__xludf.DUMMYFUNCTION("""COMPUTED_VALUE"""),0.5868055555547471)</f>
        <v>0.5868055556</v>
      </c>
      <c r="F408" s="1" t="str">
        <f>IFERROR(__xludf.DUMMYFUNCTION("""COMPUTED_VALUE"""),"Antique Gold")</f>
        <v>Antique Gold</v>
      </c>
      <c r="G408" s="1" t="str">
        <f>IFERROR(__xludf.DUMMYFUNCTION("""COMPUTED_VALUE"""),"Chhaya")</f>
        <v>Chhaya</v>
      </c>
      <c r="H408" s="1" t="str">
        <f>IFERROR(__xludf.DUMMYFUNCTION("""COMPUTED_VALUE"""),"Pancheli bangle,rudraksh mala,diamond pendent ")</f>
        <v>Pancheli bangle,rudraksh mala,diamond pendent </v>
      </c>
      <c r="I408" s="1"/>
      <c r="J408" s="1"/>
      <c r="K408" s="3">
        <f>IFERROR(__xludf.DUMMYFUNCTION("""COMPUTED_VALUE"""),0.6819444444408873)</f>
        <v>0.6819444444</v>
      </c>
      <c r="L408" s="1" t="str">
        <f>IFERROR(__xludf.DUMMYFUNCTION("""COMPUTED_VALUE"""),"Yes")</f>
        <v>Yes</v>
      </c>
      <c r="M408" s="1" t="str">
        <f>IFERROR(__xludf.DUMMYFUNCTION("""COMPUTED_VALUE"""),"Already done ")</f>
        <v>Already done </v>
      </c>
      <c r="N408" s="1" t="str">
        <f>IFERROR(__xludf.DUMMYFUNCTION("""COMPUTED_VALUE"""),"Already done ")</f>
        <v>Already done </v>
      </c>
      <c r="O408" s="1" t="str">
        <f>IFERROR(__xludf.DUMMYFUNCTION("""COMPUTED_VALUE"""),"WA ONLY, OWNER CONTACT ONLY, CALL")</f>
        <v>WA ONLY, OWNER CONTACT ONLY, CALL</v>
      </c>
      <c r="P408" s="1" t="str">
        <f>IFERROR(__xludf.DUMMYFUNCTION("""COMPUTED_VALUE"""),"Madam")</f>
        <v>Madam</v>
      </c>
      <c r="Q408" s="1" t="str">
        <f>IFERROR(__xludf.DUMMYFUNCTION("""COMPUTED_VALUE"""),"No")</f>
        <v>No</v>
      </c>
      <c r="R408" s="1" t="str">
        <f>IFERROR(__xludf.DUMMYFUNCTION("""COMPUTED_VALUE"""),"OLD")</f>
        <v>OLD</v>
      </c>
      <c r="S408" s="1"/>
    </row>
    <row r="409">
      <c r="A409" s="2">
        <f>IFERROR(__xludf.DUMMYFUNCTION("""COMPUTED_VALUE"""),45462.7567508912)</f>
        <v>45462.75675</v>
      </c>
      <c r="B409" s="1" t="str">
        <f>IFERROR(__xludf.DUMMYFUNCTION("""COMPUTED_VALUE"""),"Swati maheshwari")</f>
        <v>Swati maheshwari</v>
      </c>
      <c r="C409" s="1">
        <f>IFERROR(__xludf.DUMMYFUNCTION("""COMPUTED_VALUE"""),9.818317374E9)</f>
        <v>9818317374</v>
      </c>
      <c r="D409" s="1">
        <f>IFERROR(__xludf.DUMMYFUNCTION("""COMPUTED_VALUE"""),3.0)</f>
        <v>3</v>
      </c>
      <c r="E409" s="3">
        <f>IFERROR(__xludf.DUMMYFUNCTION("""COMPUTED_VALUE"""),0.6298611111124046)</f>
        <v>0.6298611111</v>
      </c>
      <c r="F409" s="1" t="str">
        <f>IFERROR(__xludf.DUMMYFUNCTION("""COMPUTED_VALUE"""),"Plain Gold")</f>
        <v>Plain Gold</v>
      </c>
      <c r="G409" s="1" t="str">
        <f>IFERROR(__xludf.DUMMYFUNCTION("""COMPUTED_VALUE"""),"Chhaya")</f>
        <v>Chhaya</v>
      </c>
      <c r="H409" s="1" t="str">
        <f>IFERROR(__xludf.DUMMYFUNCTION("""COMPUTED_VALUE"""),"2 diamond ring,matar mala,gold bali,diamond pendent order ")</f>
        <v>2 diamond ring,matar mala,gold bali,diamond pendent order </v>
      </c>
      <c r="I409" s="1"/>
      <c r="J409" s="1"/>
      <c r="K409" s="3">
        <f>IFERROR(__xludf.DUMMYFUNCTION("""COMPUTED_VALUE"""),0.7291666666642413)</f>
        <v>0.7291666667</v>
      </c>
      <c r="L409" s="1" t="str">
        <f>IFERROR(__xludf.DUMMYFUNCTION("""COMPUTED_VALUE"""),"Yes")</f>
        <v>Yes</v>
      </c>
      <c r="M409" s="1" t="str">
        <f>IFERROR(__xludf.DUMMYFUNCTION("""COMPUTED_VALUE"""),"Already done ")</f>
        <v>Already done </v>
      </c>
      <c r="N409" s="1" t="str">
        <f>IFERROR(__xludf.DUMMYFUNCTION("""COMPUTED_VALUE"""),"Already done ")</f>
        <v>Already done </v>
      </c>
      <c r="O409" s="1" t="str">
        <f>IFERROR(__xludf.DUMMYFUNCTION("""COMPUTED_VALUE"""),"WA ONLY, CALL")</f>
        <v>WA ONLY, CALL</v>
      </c>
      <c r="P409" s="1" t="str">
        <f>IFERROR(__xludf.DUMMYFUNCTION("""COMPUTED_VALUE"""),"Madam")</f>
        <v>Madam</v>
      </c>
      <c r="Q409" s="1" t="str">
        <f>IFERROR(__xludf.DUMMYFUNCTION("""COMPUTED_VALUE"""),"Yes")</f>
        <v>Yes</v>
      </c>
      <c r="R409" s="1" t="str">
        <f>IFERROR(__xludf.DUMMYFUNCTION("""COMPUTED_VALUE"""),"OLD")</f>
        <v>OLD</v>
      </c>
      <c r="S409" s="1" t="str">
        <f>IFERROR(__xludf.DUMMYFUNCTION("""COMPUTED_VALUE"""),"Ritu ")</f>
        <v>Ritu </v>
      </c>
    </row>
    <row r="410">
      <c r="A410" s="2">
        <f>IFERROR(__xludf.DUMMYFUNCTION("""COMPUTED_VALUE"""),45462.79629663195)</f>
        <v>45462.7963</v>
      </c>
      <c r="B410" s="1" t="str">
        <f>IFERROR(__xludf.DUMMYFUNCTION("""COMPUTED_VALUE"""),"Bina rawal")</f>
        <v>Bina rawal</v>
      </c>
      <c r="C410" s="1">
        <f>IFERROR(__xludf.DUMMYFUNCTION("""COMPUTED_VALUE"""),8.800939462E9)</f>
        <v>8800939462</v>
      </c>
      <c r="D410" s="1">
        <f>IFERROR(__xludf.DUMMYFUNCTION("""COMPUTED_VALUE"""),2.0)</f>
        <v>2</v>
      </c>
      <c r="E410" s="3">
        <f>IFERROR(__xludf.DUMMYFUNCTION("""COMPUTED_VALUE"""),0.6736111111094942)</f>
        <v>0.6736111111</v>
      </c>
      <c r="F410" s="1" t="str">
        <f>IFERROR(__xludf.DUMMYFUNCTION("""COMPUTED_VALUE"""),"Antique Gold")</f>
        <v>Antique Gold</v>
      </c>
      <c r="G410" s="1" t="str">
        <f>IFERROR(__xludf.DUMMYFUNCTION("""COMPUTED_VALUE"""),"Pooja")</f>
        <v>Pooja</v>
      </c>
      <c r="H410" s="1" t="str">
        <f>IFERROR(__xludf.DUMMYFUNCTION("""COMPUTED_VALUE"""),"Repair items,order gold chain,bangles ")</f>
        <v>Repair items,order gold chain,bangles </v>
      </c>
      <c r="I410" s="1"/>
      <c r="J410" s="1"/>
      <c r="K410" s="3">
        <f>IFERROR(__xludf.DUMMYFUNCTION("""COMPUTED_VALUE"""),0.7930555555576575)</f>
        <v>0.7930555556</v>
      </c>
      <c r="L410" s="1" t="str">
        <f>IFERROR(__xludf.DUMMYFUNCTION("""COMPUTED_VALUE"""),"Yes")</f>
        <v>Yes</v>
      </c>
      <c r="M410" s="1" t="str">
        <f>IFERROR(__xludf.DUMMYFUNCTION("""COMPUTED_VALUE"""),"Already done ")</f>
        <v>Already done </v>
      </c>
      <c r="N410" s="1" t="str">
        <f>IFERROR(__xludf.DUMMYFUNCTION("""COMPUTED_VALUE"""),"Already done ")</f>
        <v>Already done </v>
      </c>
      <c r="O410" s="1" t="str">
        <f>IFERROR(__xludf.DUMMYFUNCTION("""COMPUTED_VALUE"""),"WA ONLY, OWNER CONTACT ONLY, CALL")</f>
        <v>WA ONLY, OWNER CONTACT ONLY, CALL</v>
      </c>
      <c r="P410" s="1" t="str">
        <f>IFERROR(__xludf.DUMMYFUNCTION("""COMPUTED_VALUE"""),"Madam")</f>
        <v>Madam</v>
      </c>
      <c r="Q410" s="1" t="str">
        <f>IFERROR(__xludf.DUMMYFUNCTION("""COMPUTED_VALUE"""),"Yes")</f>
        <v>Yes</v>
      </c>
      <c r="R410" s="1" t="str">
        <f>IFERROR(__xludf.DUMMYFUNCTION("""COMPUTED_VALUE"""),"OLD")</f>
        <v>OLD</v>
      </c>
      <c r="S410" s="1"/>
    </row>
    <row r="411">
      <c r="A411" s="2">
        <f>IFERROR(__xludf.DUMMYFUNCTION("""COMPUTED_VALUE"""),45464.77364429398)</f>
        <v>45464.77364</v>
      </c>
      <c r="B411" s="1" t="str">
        <f>IFERROR(__xludf.DUMMYFUNCTION("""COMPUTED_VALUE"""),"Aseema")</f>
        <v>Aseema</v>
      </c>
      <c r="C411" s="1">
        <f>IFERROR(__xludf.DUMMYFUNCTION("""COMPUTED_VALUE"""),8.860001189E9)</f>
        <v>8860001189</v>
      </c>
      <c r="D411" s="1">
        <f>IFERROR(__xludf.DUMMYFUNCTION("""COMPUTED_VALUE"""),2.0)</f>
        <v>2</v>
      </c>
      <c r="E411" s="3">
        <f>IFERROR(__xludf.DUMMYFUNCTION("""COMPUTED_VALUE"""),0.6930555555591127)</f>
        <v>0.6930555556</v>
      </c>
      <c r="F411" s="1" t="str">
        <f>IFERROR(__xludf.DUMMYFUNCTION("""COMPUTED_VALUE"""),"Antique Gold")</f>
        <v>Antique Gold</v>
      </c>
      <c r="G411" s="1" t="str">
        <f>IFERROR(__xludf.DUMMYFUNCTION("""COMPUTED_VALUE"""),"Chhaya")</f>
        <v>Chhaya</v>
      </c>
      <c r="H411" s="1"/>
      <c r="I411" s="1" t="str">
        <f>IFERROR(__xludf.DUMMYFUNCTION("""COMPUTED_VALUE"""),"Will ask family and come with them")</f>
        <v>Will ask family and come with them</v>
      </c>
      <c r="J411" s="1"/>
      <c r="K411" s="3">
        <f>IFERROR(__xludf.DUMMYFUNCTION("""COMPUTED_VALUE"""),0.7708333333357587)</f>
        <v>0.7708333333</v>
      </c>
      <c r="L411" s="1" t="str">
        <f>IFERROR(__xludf.DUMMYFUNCTION("""COMPUTED_VALUE"""),"No")</f>
        <v>No</v>
      </c>
      <c r="M411" s="1" t="str">
        <f>IFERROR(__xludf.DUMMYFUNCTION("""COMPUTED_VALUE"""),"No")</f>
        <v>No</v>
      </c>
      <c r="N411" s="1" t="str">
        <f>IFERROR(__xludf.DUMMYFUNCTION("""COMPUTED_VALUE"""),"No")</f>
        <v>No</v>
      </c>
      <c r="O411" s="1" t="str">
        <f>IFERROR(__xludf.DUMMYFUNCTION("""COMPUTED_VALUE"""),"WA ONLY, CALL")</f>
        <v>WA ONLY, CALL</v>
      </c>
      <c r="P411" s="1" t="str">
        <f>IFERROR(__xludf.DUMMYFUNCTION("""COMPUTED_VALUE"""),"Madam")</f>
        <v>Madam</v>
      </c>
      <c r="Q411" s="1" t="str">
        <f>IFERROR(__xludf.DUMMYFUNCTION("""COMPUTED_VALUE"""),"No")</f>
        <v>No</v>
      </c>
      <c r="R411" s="1" t="str">
        <f>IFERROR(__xludf.DUMMYFUNCTION("""COMPUTED_VALUE"""),"NEW WALK IN")</f>
        <v>NEW WALK IN</v>
      </c>
      <c r="S411" s="1" t="str">
        <f>IFERROR(__xludf.DUMMYFUNCTION("""COMPUTED_VALUE"""),"Arvind ji")</f>
        <v>Arvind ji</v>
      </c>
    </row>
    <row r="412">
      <c r="A412" s="2">
        <f>IFERROR(__xludf.DUMMYFUNCTION("""COMPUTED_VALUE"""),45464.82329097222)</f>
        <v>45464.82329</v>
      </c>
      <c r="B412" s="1" t="str">
        <f>IFERROR(__xludf.DUMMYFUNCTION("""COMPUTED_VALUE"""),"Johan khuroo")</f>
        <v>Johan khuroo</v>
      </c>
      <c r="C412" s="1">
        <f>IFERROR(__xludf.DUMMYFUNCTION("""COMPUTED_VALUE"""),8.447760018E9)</f>
        <v>8447760018</v>
      </c>
      <c r="D412" s="1">
        <f>IFERROR(__xludf.DUMMYFUNCTION("""COMPUTED_VALUE"""),1.0)</f>
        <v>1</v>
      </c>
      <c r="E412" s="3">
        <f>IFERROR(__xludf.DUMMYFUNCTION("""COMPUTED_VALUE"""),0.8125)</f>
        <v>0.8125</v>
      </c>
      <c r="F412" s="1" t="str">
        <f>IFERROR(__xludf.DUMMYFUNCTION("""COMPUTED_VALUE"""),"Diamond")</f>
        <v>Diamond</v>
      </c>
      <c r="G412" s="1" t="str">
        <f>IFERROR(__xludf.DUMMYFUNCTION("""COMPUTED_VALUE"""),"Chhaya")</f>
        <v>Chhaya</v>
      </c>
      <c r="H412" s="1"/>
      <c r="I412" s="1" t="str">
        <f>IFERROR(__xludf.DUMMYFUNCTION("""COMPUTED_VALUE"""),"Only Ask for Gold Rate")</f>
        <v>Only Ask for Gold Rate</v>
      </c>
      <c r="J412" s="1"/>
      <c r="K412" s="3">
        <f>IFERROR(__xludf.DUMMYFUNCTION("""COMPUTED_VALUE"""),0.8222222222248092)</f>
        <v>0.8222222222</v>
      </c>
      <c r="L412" s="1" t="str">
        <f>IFERROR(__xludf.DUMMYFUNCTION("""COMPUTED_VALUE"""),"No")</f>
        <v>No</v>
      </c>
      <c r="M412" s="1" t="str">
        <f>IFERROR(__xludf.DUMMYFUNCTION("""COMPUTED_VALUE"""),"No")</f>
        <v>No</v>
      </c>
      <c r="N412" s="1" t="str">
        <f>IFERROR(__xludf.DUMMYFUNCTION("""COMPUTED_VALUE"""),"No")</f>
        <v>No</v>
      </c>
      <c r="O412" s="1" t="str">
        <f>IFERROR(__xludf.DUMMYFUNCTION("""COMPUTED_VALUE"""),"WA ONLY, CALL")</f>
        <v>WA ONLY, CALL</v>
      </c>
      <c r="P412" s="1" t="str">
        <f>IFERROR(__xludf.DUMMYFUNCTION("""COMPUTED_VALUE"""),"Sir")</f>
        <v>Sir</v>
      </c>
      <c r="Q412" s="1" t="str">
        <f>IFERROR(__xludf.DUMMYFUNCTION("""COMPUTED_VALUE"""),"No")</f>
        <v>No</v>
      </c>
      <c r="R412" s="1" t="str">
        <f>IFERROR(__xludf.DUMMYFUNCTION("""COMPUTED_VALUE"""),"NEW WALK IN")</f>
        <v>NEW WALK IN</v>
      </c>
      <c r="S412" s="1" t="str">
        <f>IFERROR(__xludf.DUMMYFUNCTION("""COMPUTED_VALUE"""),"Walk in")</f>
        <v>Walk in</v>
      </c>
    </row>
    <row r="413">
      <c r="A413" s="2">
        <f>IFERROR(__xludf.DUMMYFUNCTION("""COMPUTED_VALUE"""),45465.81825694445)</f>
        <v>45465.81826</v>
      </c>
      <c r="B413" s="1" t="str">
        <f>IFERROR(__xludf.DUMMYFUNCTION("""COMPUTED_VALUE"""),"Kajal")</f>
        <v>Kajal</v>
      </c>
      <c r="C413" s="1">
        <f>IFERROR(__xludf.DUMMYFUNCTION("""COMPUTED_VALUE"""),8.527162516E9)</f>
        <v>8527162516</v>
      </c>
      <c r="D413" s="1">
        <f>IFERROR(__xludf.DUMMYFUNCTION("""COMPUTED_VALUE"""),3.0)</f>
        <v>3</v>
      </c>
      <c r="E413" s="3">
        <f>IFERROR(__xludf.DUMMYFUNCTION("""COMPUTED_VALUE"""),0.6111111111094942)</f>
        <v>0.6111111111</v>
      </c>
      <c r="F413" s="1" t="str">
        <f>IFERROR(__xludf.DUMMYFUNCTION("""COMPUTED_VALUE"""),"Plain Gold")</f>
        <v>Plain Gold</v>
      </c>
      <c r="G413" s="1" t="str">
        <f>IFERROR(__xludf.DUMMYFUNCTION("""COMPUTED_VALUE"""),"Pooja")</f>
        <v>Pooja</v>
      </c>
      <c r="H413" s="1"/>
      <c r="I413" s="1" t="str">
        <f>IFERROR(__xludf.DUMMYFUNCTION("""COMPUTED_VALUE"""),"Visit Again in 1 Month")</f>
        <v>Visit Again in 1 Month</v>
      </c>
      <c r="J413" s="1"/>
      <c r="K413" s="3">
        <f>IFERROR(__xludf.DUMMYFUNCTION("""COMPUTED_VALUE"""),0.6354166666642413)</f>
        <v>0.6354166667</v>
      </c>
      <c r="L413" s="1" t="str">
        <f>IFERROR(__xludf.DUMMYFUNCTION("""COMPUTED_VALUE"""),"No")</f>
        <v>No</v>
      </c>
      <c r="M413" s="1" t="str">
        <f>IFERROR(__xludf.DUMMYFUNCTION("""COMPUTED_VALUE"""),"No")</f>
        <v>No</v>
      </c>
      <c r="N413" s="1" t="str">
        <f>IFERROR(__xludf.DUMMYFUNCTION("""COMPUTED_VALUE"""),"No")</f>
        <v>No</v>
      </c>
      <c r="O413" s="1" t="str">
        <f>IFERROR(__xludf.DUMMYFUNCTION("""COMPUTED_VALUE"""),"WA ONLY, CALL")</f>
        <v>WA ONLY, CALL</v>
      </c>
      <c r="P413" s="1" t="str">
        <f>IFERROR(__xludf.DUMMYFUNCTION("""COMPUTED_VALUE"""),"Sir")</f>
        <v>Sir</v>
      </c>
      <c r="Q413" s="1" t="str">
        <f>IFERROR(__xludf.DUMMYFUNCTION("""COMPUTED_VALUE"""),"No")</f>
        <v>No</v>
      </c>
      <c r="R413" s="1" t="str">
        <f>IFERROR(__xludf.DUMMYFUNCTION("""COMPUTED_VALUE"""),"NEW WALK IN")</f>
        <v>NEW WALK IN</v>
      </c>
      <c r="S413" s="1" t="str">
        <f>IFERROR(__xludf.DUMMYFUNCTION("""COMPUTED_VALUE"""),"Walk in")</f>
        <v>Walk in</v>
      </c>
    </row>
    <row r="414">
      <c r="A414" s="2">
        <f>IFERROR(__xludf.DUMMYFUNCTION("""COMPUTED_VALUE"""),45465.82064517361)</f>
        <v>45465.82065</v>
      </c>
      <c r="B414" s="1" t="str">
        <f>IFERROR(__xludf.DUMMYFUNCTION("""COMPUTED_VALUE"""),"Shivani")</f>
        <v>Shivani</v>
      </c>
      <c r="C414" s="1">
        <f>IFERROR(__xludf.DUMMYFUNCTION("""COMPUTED_VALUE"""),9.582463698E9)</f>
        <v>9582463698</v>
      </c>
      <c r="D414" s="1">
        <f>IFERROR(__xludf.DUMMYFUNCTION("""COMPUTED_VALUE"""),2.0)</f>
        <v>2</v>
      </c>
      <c r="E414" s="3">
        <f>IFERROR(__xludf.DUMMYFUNCTION("""COMPUTED_VALUE"""),0.8013888888890506)</f>
        <v>0.8013888889</v>
      </c>
      <c r="F414" s="1" t="str">
        <f>IFERROR(__xludf.DUMMYFUNCTION("""COMPUTED_VALUE"""),"Plain Gold")</f>
        <v>Plain Gold</v>
      </c>
      <c r="G414" s="1" t="str">
        <f>IFERROR(__xludf.DUMMYFUNCTION("""COMPUTED_VALUE"""),"Payal")</f>
        <v>Payal</v>
      </c>
      <c r="H414" s="1"/>
      <c r="I414" s="1" t="str">
        <f>IFERROR(__xludf.DUMMYFUNCTION("""COMPUTED_VALUE"""),"Visit Again in 1 Month")</f>
        <v>Visit Again in 1 Month</v>
      </c>
      <c r="J414" s="1"/>
      <c r="K414" s="3">
        <f>IFERROR(__xludf.DUMMYFUNCTION("""COMPUTED_VALUE"""),0.8083333333343035)</f>
        <v>0.8083333333</v>
      </c>
      <c r="L414" s="1" t="str">
        <f>IFERROR(__xludf.DUMMYFUNCTION("""COMPUTED_VALUE"""),"No")</f>
        <v>No</v>
      </c>
      <c r="M414" s="1" t="str">
        <f>IFERROR(__xludf.DUMMYFUNCTION("""COMPUTED_VALUE"""),"No")</f>
        <v>No</v>
      </c>
      <c r="N414" s="1" t="str">
        <f>IFERROR(__xludf.DUMMYFUNCTION("""COMPUTED_VALUE"""),"No")</f>
        <v>No</v>
      </c>
      <c r="O414" s="1" t="str">
        <f>IFERROR(__xludf.DUMMYFUNCTION("""COMPUTED_VALUE"""),"WA ONLY, CALL")</f>
        <v>WA ONLY, CALL</v>
      </c>
      <c r="P414" s="1" t="str">
        <f>IFERROR(__xludf.DUMMYFUNCTION("""COMPUTED_VALUE"""),"Madam")</f>
        <v>Madam</v>
      </c>
      <c r="Q414" s="1" t="str">
        <f>IFERROR(__xludf.DUMMYFUNCTION("""COMPUTED_VALUE"""),"No")</f>
        <v>No</v>
      </c>
      <c r="R414" s="1" t="str">
        <f>IFERROR(__xludf.DUMMYFUNCTION("""COMPUTED_VALUE"""),"NEW WALK IN")</f>
        <v>NEW WALK IN</v>
      </c>
      <c r="S414" s="1" t="str">
        <f>IFERROR(__xludf.DUMMYFUNCTION("""COMPUTED_VALUE"""),"Walk in")</f>
        <v>Walk in</v>
      </c>
    </row>
    <row r="415">
      <c r="A415" s="2">
        <f>IFERROR(__xludf.DUMMYFUNCTION("""COMPUTED_VALUE"""),45465.841075625)</f>
        <v>45465.84108</v>
      </c>
      <c r="B415" s="1" t="str">
        <f>IFERROR(__xludf.DUMMYFUNCTION("""COMPUTED_VALUE"""),"Monika")</f>
        <v>Monika</v>
      </c>
      <c r="C415" s="1">
        <f>IFERROR(__xludf.DUMMYFUNCTION("""COMPUTED_VALUE"""),9.95383246E9)</f>
        <v>9953832460</v>
      </c>
      <c r="D415" s="1">
        <f>IFERROR(__xludf.DUMMYFUNCTION("""COMPUTED_VALUE"""),2.0)</f>
        <v>2</v>
      </c>
      <c r="E415" s="3">
        <f>IFERROR(__xludf.DUMMYFUNCTION("""COMPUTED_VALUE"""),0.71875)</f>
        <v>0.71875</v>
      </c>
      <c r="F415" s="1" t="str">
        <f>IFERROR(__xludf.DUMMYFUNCTION("""COMPUTED_VALUE"""),"Diamond")</f>
        <v>Diamond</v>
      </c>
      <c r="G415" s="1" t="str">
        <f>IFERROR(__xludf.DUMMYFUNCTION("""COMPUTED_VALUE"""),"Pooja")</f>
        <v>Pooja</v>
      </c>
      <c r="H415" s="1"/>
      <c r="I415" s="1" t="str">
        <f>IFERROR(__xludf.DUMMYFUNCTION("""COMPUTED_VALUE"""),"Adjust payment, itmes repair ")</f>
        <v>Adjust payment, itmes repair </v>
      </c>
      <c r="J415" s="1"/>
      <c r="K415" s="3">
        <f>IFERROR(__xludf.DUMMYFUNCTION("""COMPUTED_VALUE"""),0.8388888888875954)</f>
        <v>0.8388888889</v>
      </c>
      <c r="L415" s="1" t="str">
        <f>IFERROR(__xludf.DUMMYFUNCTION("""COMPUTED_VALUE"""),"Yes")</f>
        <v>Yes</v>
      </c>
      <c r="M415" s="1" t="str">
        <f>IFERROR(__xludf.DUMMYFUNCTION("""COMPUTED_VALUE"""),"Already done ")</f>
        <v>Already done </v>
      </c>
      <c r="N415" s="1" t="str">
        <f>IFERROR(__xludf.DUMMYFUNCTION("""COMPUTED_VALUE"""),"Already done ")</f>
        <v>Already done </v>
      </c>
      <c r="O415" s="1" t="str">
        <f>IFERROR(__xludf.DUMMYFUNCTION("""COMPUTED_VALUE"""),"WA ONLY, CALL")</f>
        <v>WA ONLY, CALL</v>
      </c>
      <c r="P415" s="1" t="str">
        <f>IFERROR(__xludf.DUMMYFUNCTION("""COMPUTED_VALUE"""),"Madam")</f>
        <v>Madam</v>
      </c>
      <c r="Q415" s="1" t="str">
        <f>IFERROR(__xludf.DUMMYFUNCTION("""COMPUTED_VALUE"""),"No")</f>
        <v>No</v>
      </c>
      <c r="R415" s="1" t="str">
        <f>IFERROR(__xludf.DUMMYFUNCTION("""COMPUTED_VALUE"""),"OLD")</f>
        <v>OLD</v>
      </c>
      <c r="S415" s="1" t="str">
        <f>IFERROR(__xludf.DUMMYFUNCTION("""COMPUTED_VALUE"""),"Old")</f>
        <v>Old</v>
      </c>
    </row>
    <row r="416">
      <c r="A416" s="2">
        <f>IFERROR(__xludf.DUMMYFUNCTION("""COMPUTED_VALUE"""),45466.70216829861)</f>
        <v>45466.70217</v>
      </c>
      <c r="B416" s="1" t="str">
        <f>IFERROR(__xludf.DUMMYFUNCTION("""COMPUTED_VALUE"""),"Jyoti")</f>
        <v>Jyoti</v>
      </c>
      <c r="C416" s="1">
        <f>IFERROR(__xludf.DUMMYFUNCTION("""COMPUTED_VALUE"""),9.99365851E8)</f>
        <v>999365851</v>
      </c>
      <c r="D416" s="1">
        <f>IFERROR(__xludf.DUMMYFUNCTION("""COMPUTED_VALUE"""),2.0)</f>
        <v>2</v>
      </c>
      <c r="E416" s="3">
        <f>IFERROR(__xludf.DUMMYFUNCTION("""COMPUTED_VALUE"""),0.8090277777810115)</f>
        <v>0.8090277778</v>
      </c>
      <c r="F416" s="1" t="str">
        <f>IFERROR(__xludf.DUMMYFUNCTION("""COMPUTED_VALUE"""),"Antique Gold")</f>
        <v>Antique Gold</v>
      </c>
      <c r="G416" s="1" t="str">
        <f>IFERROR(__xludf.DUMMYFUNCTION("""COMPUTED_VALUE"""),"Pooja")</f>
        <v>Pooja</v>
      </c>
      <c r="H416" s="1" t="str">
        <f>IFERROR(__xludf.DUMMYFUNCTION("""COMPUTED_VALUE"""),"Gold set,nose pin ")</f>
        <v>Gold set,nose pin </v>
      </c>
      <c r="I416" s="1"/>
      <c r="J416" s="1"/>
      <c r="K416" s="3">
        <f>IFERROR(__xludf.DUMMYFUNCTION("""COMPUTED_VALUE"""),0.875)</f>
        <v>0.875</v>
      </c>
      <c r="L416" s="1" t="str">
        <f>IFERROR(__xludf.DUMMYFUNCTION("""COMPUTED_VALUE"""),"Yes")</f>
        <v>Yes</v>
      </c>
      <c r="M416" s="1" t="str">
        <f>IFERROR(__xludf.DUMMYFUNCTION("""COMPUTED_VALUE"""),"Already done ")</f>
        <v>Already done </v>
      </c>
      <c r="N416" s="1" t="str">
        <f>IFERROR(__xludf.DUMMYFUNCTION("""COMPUTED_VALUE"""),"Already")</f>
        <v>Already</v>
      </c>
      <c r="O416" s="1" t="str">
        <f>IFERROR(__xludf.DUMMYFUNCTION("""COMPUTED_VALUE"""),"WA ONLY, CALL")</f>
        <v>WA ONLY, CALL</v>
      </c>
      <c r="P416" s="1" t="str">
        <f>IFERROR(__xludf.DUMMYFUNCTION("""COMPUTED_VALUE"""),"Madam")</f>
        <v>Madam</v>
      </c>
      <c r="Q416" s="1" t="str">
        <f>IFERROR(__xludf.DUMMYFUNCTION("""COMPUTED_VALUE"""),"No")</f>
        <v>No</v>
      </c>
      <c r="R416" s="1" t="str">
        <f>IFERROR(__xludf.DUMMYFUNCTION("""COMPUTED_VALUE"""),"OLD")</f>
        <v>OLD</v>
      </c>
      <c r="S416" s="1" t="str">
        <f>IFERROR(__xludf.DUMMYFUNCTION("""COMPUTED_VALUE"""),"Walk in")</f>
        <v>Walk in</v>
      </c>
    </row>
    <row r="417">
      <c r="A417" s="2">
        <f>IFERROR(__xludf.DUMMYFUNCTION("""COMPUTED_VALUE"""),45466.7075197338)</f>
        <v>45466.70752</v>
      </c>
      <c r="B417" s="1" t="str">
        <f>IFERROR(__xludf.DUMMYFUNCTION("""COMPUTED_VALUE"""),"Poonam")</f>
        <v>Poonam</v>
      </c>
      <c r="C417" s="1">
        <f>IFERROR(__xludf.DUMMYFUNCTION("""COMPUTED_VALUE"""),9.999488996E9)</f>
        <v>9999488996</v>
      </c>
      <c r="D417" s="1">
        <f>IFERROR(__xludf.DUMMYFUNCTION("""COMPUTED_VALUE"""),2.0)</f>
        <v>2</v>
      </c>
      <c r="E417" s="3">
        <f>IFERROR(__xludf.DUMMYFUNCTION("""COMPUTED_VALUE"""),0.5208333333357587)</f>
        <v>0.5208333333</v>
      </c>
      <c r="F417" s="1" t="str">
        <f>IFERROR(__xludf.DUMMYFUNCTION("""COMPUTED_VALUE"""),"Antique Gold")</f>
        <v>Antique Gold</v>
      </c>
      <c r="G417" s="1" t="str">
        <f>IFERROR(__xludf.DUMMYFUNCTION("""COMPUTED_VALUE"""),"Pooja")</f>
        <v>Pooja</v>
      </c>
      <c r="H417" s="1" t="str">
        <f>IFERROR(__xludf.DUMMYFUNCTION("""COMPUTED_VALUE"""),"Gold antique set")</f>
        <v>Gold antique set</v>
      </c>
      <c r="I417" s="1"/>
      <c r="J417" s="1"/>
      <c r="K417" s="3">
        <f>IFERROR(__xludf.DUMMYFUNCTION("""COMPUTED_VALUE"""),0.6458333333357587)</f>
        <v>0.6458333333</v>
      </c>
      <c r="L417" s="1" t="str">
        <f>IFERROR(__xludf.DUMMYFUNCTION("""COMPUTED_VALUE"""),"Yes")</f>
        <v>Yes</v>
      </c>
      <c r="M417" s="1" t="str">
        <f>IFERROR(__xludf.DUMMYFUNCTION("""COMPUTED_VALUE"""),"Already done ")</f>
        <v>Already done </v>
      </c>
      <c r="N417" s="1" t="str">
        <f>IFERROR(__xludf.DUMMYFUNCTION("""COMPUTED_VALUE"""),"Already done ")</f>
        <v>Already done </v>
      </c>
      <c r="O417" s="1" t="str">
        <f>IFERROR(__xludf.DUMMYFUNCTION("""COMPUTED_VALUE"""),"WA ONLY, CALL")</f>
        <v>WA ONLY, CALL</v>
      </c>
      <c r="P417" s="1"/>
      <c r="Q417" s="1"/>
      <c r="R417" s="1" t="str">
        <f>IFERROR(__xludf.DUMMYFUNCTION("""COMPUTED_VALUE"""),"OLD")</f>
        <v>OLD</v>
      </c>
      <c r="S417" s="1" t="str">
        <f>IFERROR(__xludf.DUMMYFUNCTION("""COMPUTED_VALUE"""),"Walk in")</f>
        <v>Walk in</v>
      </c>
    </row>
    <row r="418">
      <c r="A418" s="2">
        <f>IFERROR(__xludf.DUMMYFUNCTION("""COMPUTED_VALUE"""),45466.709026666664)</f>
        <v>45466.70903</v>
      </c>
      <c r="B418" s="1" t="str">
        <f>IFERROR(__xludf.DUMMYFUNCTION("""COMPUTED_VALUE"""),"Rema ps")</f>
        <v>Rema ps</v>
      </c>
      <c r="C418" s="1">
        <f>IFERROR(__xludf.DUMMYFUNCTION("""COMPUTED_VALUE"""),9.71702601E9)</f>
        <v>9717026010</v>
      </c>
      <c r="D418" s="1">
        <f>IFERROR(__xludf.DUMMYFUNCTION("""COMPUTED_VALUE"""),1.0)</f>
        <v>1</v>
      </c>
      <c r="E418" s="3">
        <f>IFERROR(__xludf.DUMMYFUNCTION("""COMPUTED_VALUE"""),0.6354166666642413)</f>
        <v>0.6354166667</v>
      </c>
      <c r="F418" s="1" t="str">
        <f>IFERROR(__xludf.DUMMYFUNCTION("""COMPUTED_VALUE"""),"Plain Gold")</f>
        <v>Plain Gold</v>
      </c>
      <c r="G418" s="1" t="str">
        <f>IFERROR(__xludf.DUMMYFUNCTION("""COMPUTED_VALUE"""),"Pooja")</f>
        <v>Pooja</v>
      </c>
      <c r="H418" s="1"/>
      <c r="I418" s="1" t="str">
        <f>IFERROR(__xludf.DUMMYFUNCTION("""COMPUTED_VALUE"""),"Give Payment")</f>
        <v>Give Payment</v>
      </c>
      <c r="J418" s="1"/>
      <c r="K418" s="3">
        <f>IFERROR(__xludf.DUMMYFUNCTION("""COMPUTED_VALUE"""),0.6666666666642413)</f>
        <v>0.6666666667</v>
      </c>
      <c r="L418" s="1" t="str">
        <f>IFERROR(__xludf.DUMMYFUNCTION("""COMPUTED_VALUE"""),"Yes")</f>
        <v>Yes</v>
      </c>
      <c r="M418" s="1" t="str">
        <f>IFERROR(__xludf.DUMMYFUNCTION("""COMPUTED_VALUE"""),"Already done ")</f>
        <v>Already done </v>
      </c>
      <c r="N418" s="1" t="str">
        <f>IFERROR(__xludf.DUMMYFUNCTION("""COMPUTED_VALUE"""),"Already done ")</f>
        <v>Already done </v>
      </c>
      <c r="O418" s="1" t="str">
        <f>IFERROR(__xludf.DUMMYFUNCTION("""COMPUTED_VALUE"""),"WA ONLY, CALL")</f>
        <v>WA ONLY, CALL</v>
      </c>
      <c r="P418" s="1" t="str">
        <f>IFERROR(__xludf.DUMMYFUNCTION("""COMPUTED_VALUE"""),"Sir")</f>
        <v>Sir</v>
      </c>
      <c r="Q418" s="1" t="str">
        <f>IFERROR(__xludf.DUMMYFUNCTION("""COMPUTED_VALUE"""),"No")</f>
        <v>No</v>
      </c>
      <c r="R418" s="1" t="str">
        <f>IFERROR(__xludf.DUMMYFUNCTION("""COMPUTED_VALUE"""),"OLD")</f>
        <v>OLD</v>
      </c>
      <c r="S418" s="1" t="str">
        <f>IFERROR(__xludf.DUMMYFUNCTION("""COMPUTED_VALUE"""),"Walk in")</f>
        <v>Walk in</v>
      </c>
    </row>
    <row r="419">
      <c r="A419" s="2">
        <f>IFERROR(__xludf.DUMMYFUNCTION("""COMPUTED_VALUE"""),45466.710079826385)</f>
        <v>45466.71008</v>
      </c>
      <c r="B419" s="1" t="str">
        <f>IFERROR(__xludf.DUMMYFUNCTION("""COMPUTED_VALUE"""),"Sujata")</f>
        <v>Sujata</v>
      </c>
      <c r="C419" s="1">
        <f>IFERROR(__xludf.DUMMYFUNCTION("""COMPUTED_VALUE"""),9.999625586E9)</f>
        <v>9999625586</v>
      </c>
      <c r="D419" s="1">
        <f>IFERROR(__xludf.DUMMYFUNCTION("""COMPUTED_VALUE"""),5.0)</f>
        <v>5</v>
      </c>
      <c r="E419" s="3">
        <f>IFERROR(__xludf.DUMMYFUNCTION("""COMPUTED_VALUE"""),0.6666666666642413)</f>
        <v>0.6666666667</v>
      </c>
      <c r="F419" s="1" t="str">
        <f>IFERROR(__xludf.DUMMYFUNCTION("""COMPUTED_VALUE"""),"Diamond")</f>
        <v>Diamond</v>
      </c>
      <c r="G419" s="1" t="str">
        <f>IFERROR(__xludf.DUMMYFUNCTION("""COMPUTED_VALUE"""),"Chhaya")</f>
        <v>Chhaya</v>
      </c>
      <c r="H419" s="1"/>
      <c r="I419" s="1"/>
      <c r="J419" s="1"/>
      <c r="K419" s="3">
        <f>IFERROR(__xludf.DUMMYFUNCTION("""COMPUTED_VALUE"""),0.6916666666656965)</f>
        <v>0.6916666667</v>
      </c>
      <c r="L419" s="1" t="str">
        <f>IFERROR(__xludf.DUMMYFUNCTION("""COMPUTED_VALUE"""),"Yes")</f>
        <v>Yes</v>
      </c>
      <c r="M419" s="1" t="str">
        <f>IFERROR(__xludf.DUMMYFUNCTION("""COMPUTED_VALUE"""),"Already done ")</f>
        <v>Already done </v>
      </c>
      <c r="N419" s="1" t="str">
        <f>IFERROR(__xludf.DUMMYFUNCTION("""COMPUTED_VALUE"""),"Already done ")</f>
        <v>Already done </v>
      </c>
      <c r="O419" s="1" t="str">
        <f>IFERROR(__xludf.DUMMYFUNCTION("""COMPUTED_VALUE"""),"WA ONLY, CALL")</f>
        <v>WA ONLY, CALL</v>
      </c>
      <c r="P419" s="1" t="str">
        <f>IFERROR(__xludf.DUMMYFUNCTION("""COMPUTED_VALUE"""),"Madam")</f>
        <v>Madam</v>
      </c>
      <c r="Q419" s="1" t="str">
        <f>IFERROR(__xludf.DUMMYFUNCTION("""COMPUTED_VALUE"""),"No")</f>
        <v>No</v>
      </c>
      <c r="R419" s="1" t="str">
        <f>IFERROR(__xludf.DUMMYFUNCTION("""COMPUTED_VALUE"""),"OLD")</f>
        <v>OLD</v>
      </c>
      <c r="S419" s="1"/>
    </row>
    <row r="420">
      <c r="A420" s="2">
        <f>IFERROR(__xludf.DUMMYFUNCTION("""COMPUTED_VALUE"""),45466.776345185186)</f>
        <v>45466.77635</v>
      </c>
      <c r="B420" s="1" t="str">
        <f>IFERROR(__xludf.DUMMYFUNCTION("""COMPUTED_VALUE"""),"Ram kumar")</f>
        <v>Ram kumar</v>
      </c>
      <c r="C420" s="1">
        <f>IFERROR(__xludf.DUMMYFUNCTION("""COMPUTED_VALUE"""),8.860681868E9)</f>
        <v>8860681868</v>
      </c>
      <c r="D420" s="1">
        <f>IFERROR(__xludf.DUMMYFUNCTION("""COMPUTED_VALUE"""),2.0)</f>
        <v>2</v>
      </c>
      <c r="E420" s="3">
        <f>IFERROR(__xludf.DUMMYFUNCTION("""COMPUTED_VALUE"""),0.6041666666642413)</f>
        <v>0.6041666667</v>
      </c>
      <c r="F420" s="1" t="str">
        <f>IFERROR(__xludf.DUMMYFUNCTION("""COMPUTED_VALUE"""),"Antique Gold")</f>
        <v>Antique Gold</v>
      </c>
      <c r="G420" s="1" t="str">
        <f>IFERROR(__xludf.DUMMYFUNCTION("""COMPUTED_VALUE"""),"Chhaya")</f>
        <v>Chhaya</v>
      </c>
      <c r="H420" s="1" t="str">
        <f>IFERROR(__xludf.DUMMYFUNCTION("""COMPUTED_VALUE"""),"Gold msngl sutr")</f>
        <v>Gold msngl sutr</v>
      </c>
      <c r="I420" s="1"/>
      <c r="J420" s="1"/>
      <c r="K420" s="3">
        <f>IFERROR(__xludf.DUMMYFUNCTION("""COMPUTED_VALUE"""),0.765972222223354)</f>
        <v>0.7659722222</v>
      </c>
      <c r="L420" s="1" t="str">
        <f>IFERROR(__xludf.DUMMYFUNCTION("""COMPUTED_VALUE"""),"No")</f>
        <v>No</v>
      </c>
      <c r="M420" s="1" t="str">
        <f>IFERROR(__xludf.DUMMYFUNCTION("""COMPUTED_VALUE"""),"No")</f>
        <v>No</v>
      </c>
      <c r="N420" s="1" t="str">
        <f>IFERROR(__xludf.DUMMYFUNCTION("""COMPUTED_VALUE"""),"No")</f>
        <v>No</v>
      </c>
      <c r="O420" s="1" t="str">
        <f>IFERROR(__xludf.DUMMYFUNCTION("""COMPUTED_VALUE"""),"WA ONLY, CALL")</f>
        <v>WA ONLY, CALL</v>
      </c>
      <c r="P420" s="1" t="str">
        <f>IFERROR(__xludf.DUMMYFUNCTION("""COMPUTED_VALUE"""),"Madam")</f>
        <v>Madam</v>
      </c>
      <c r="Q420" s="1" t="str">
        <f>IFERROR(__xludf.DUMMYFUNCTION("""COMPUTED_VALUE"""),"No")</f>
        <v>No</v>
      </c>
      <c r="R420" s="1" t="str">
        <f>IFERROR(__xludf.DUMMYFUNCTION("""COMPUTED_VALUE"""),"OLD")</f>
        <v>OLD</v>
      </c>
      <c r="S420" s="1" t="str">
        <f>IFERROR(__xludf.DUMMYFUNCTION("""COMPUTED_VALUE"""),"Walk in")</f>
        <v>Walk in</v>
      </c>
    </row>
    <row r="421">
      <c r="A421" s="2">
        <f>IFERROR(__xludf.DUMMYFUNCTION("""COMPUTED_VALUE"""),45466.78641030093)</f>
        <v>45466.78641</v>
      </c>
      <c r="B421" s="1" t="str">
        <f>IFERROR(__xludf.DUMMYFUNCTION("""COMPUTED_VALUE"""),"Kesho devi")</f>
        <v>Kesho devi</v>
      </c>
      <c r="C421" s="1">
        <f>IFERROR(__xludf.DUMMYFUNCTION("""COMPUTED_VALUE"""),9.872446601E9)</f>
        <v>9872446601</v>
      </c>
      <c r="D421" s="1">
        <f>IFERROR(__xludf.DUMMYFUNCTION("""COMPUTED_VALUE"""),1.0)</f>
        <v>1</v>
      </c>
      <c r="E421" s="3">
        <f>IFERROR(__xludf.DUMMYFUNCTION("""COMPUTED_VALUE"""),0.7395833333357587)</f>
        <v>0.7395833333</v>
      </c>
      <c r="F421" s="1" t="str">
        <f>IFERROR(__xludf.DUMMYFUNCTION("""COMPUTED_VALUE"""),"Plain Gold")</f>
        <v>Plain Gold</v>
      </c>
      <c r="G421" s="1" t="str">
        <f>IFERROR(__xludf.DUMMYFUNCTION("""COMPUTED_VALUE"""),"Pooja")</f>
        <v>Pooja</v>
      </c>
      <c r="H421" s="1" t="str">
        <f>IFERROR(__xludf.DUMMYFUNCTION("""COMPUTED_VALUE"""),"Gold chan, suraj,hay ")</f>
        <v>Gold chan, suraj,hay </v>
      </c>
      <c r="I421" s="1"/>
      <c r="J421" s="1"/>
      <c r="K421" s="3">
        <f>IFERROR(__xludf.DUMMYFUNCTION("""COMPUTED_VALUE"""),0.7868055555591127)</f>
        <v>0.7868055556</v>
      </c>
      <c r="L421" s="1" t="str">
        <f>IFERROR(__xludf.DUMMYFUNCTION("""COMPUTED_VALUE"""),"No")</f>
        <v>No</v>
      </c>
      <c r="M421" s="1" t="str">
        <f>IFERROR(__xludf.DUMMYFUNCTION("""COMPUTED_VALUE"""),"No")</f>
        <v>No</v>
      </c>
      <c r="N421" s="1" t="str">
        <f>IFERROR(__xludf.DUMMYFUNCTION("""COMPUTED_VALUE"""),"No")</f>
        <v>No</v>
      </c>
      <c r="O421" s="1" t="str">
        <f>IFERROR(__xludf.DUMMYFUNCTION("""COMPUTED_VALUE"""),"WA ONLY, CALL")</f>
        <v>WA ONLY, CALL</v>
      </c>
      <c r="P421" s="1" t="str">
        <f>IFERROR(__xludf.DUMMYFUNCTION("""COMPUTED_VALUE"""),"Madam")</f>
        <v>Madam</v>
      </c>
      <c r="Q421" s="1" t="str">
        <f>IFERROR(__xludf.DUMMYFUNCTION("""COMPUTED_VALUE"""),"No")</f>
        <v>No</v>
      </c>
      <c r="R421" s="1" t="str">
        <f>IFERROR(__xludf.DUMMYFUNCTION("""COMPUTED_VALUE"""),"NEW WALK IN")</f>
        <v>NEW WALK IN</v>
      </c>
      <c r="S421" s="1" t="str">
        <f>IFERROR(__xludf.DUMMYFUNCTION("""COMPUTED_VALUE"""),"Walk in")</f>
        <v>Walk in</v>
      </c>
    </row>
    <row r="422">
      <c r="A422" s="2">
        <f>IFERROR(__xludf.DUMMYFUNCTION("""COMPUTED_VALUE"""),45468.758507025464)</f>
        <v>45468.75851</v>
      </c>
      <c r="B422" s="1" t="str">
        <f>IFERROR(__xludf.DUMMYFUNCTION("""COMPUTED_VALUE"""),"Dr. Vijay")</f>
        <v>Dr. Vijay</v>
      </c>
      <c r="C422" s="1">
        <f>IFERROR(__xludf.DUMMYFUNCTION("""COMPUTED_VALUE"""),9.899322201E9)</f>
        <v>9899322201</v>
      </c>
      <c r="D422" s="1">
        <f>IFERROR(__xludf.DUMMYFUNCTION("""COMPUTED_VALUE"""),2.0)</f>
        <v>2</v>
      </c>
      <c r="E422" s="3">
        <f>IFERROR(__xludf.DUMMYFUNCTION("""COMPUTED_VALUE"""),0.6041666666642413)</f>
        <v>0.6041666667</v>
      </c>
      <c r="F422" s="1" t="str">
        <f>IFERROR(__xludf.DUMMYFUNCTION("""COMPUTED_VALUE"""),"Plain Gold")</f>
        <v>Plain Gold</v>
      </c>
      <c r="G422" s="1" t="str">
        <f>IFERROR(__xludf.DUMMYFUNCTION("""COMPUTED_VALUE"""),"Pooja")</f>
        <v>Pooja</v>
      </c>
      <c r="H422" s="1"/>
      <c r="I422" s="1" t="str">
        <f>IFERROR(__xludf.DUMMYFUNCTION("""COMPUTED_VALUE"""),"Repair items ")</f>
        <v>Repair items </v>
      </c>
      <c r="J422" s="1"/>
      <c r="K422" s="3">
        <f>IFERROR(__xludf.DUMMYFUNCTION("""COMPUTED_VALUE"""),0.6472222222218988)</f>
        <v>0.6472222222</v>
      </c>
      <c r="L422" s="1" t="str">
        <f>IFERROR(__xludf.DUMMYFUNCTION("""COMPUTED_VALUE"""),"Yes")</f>
        <v>Yes</v>
      </c>
      <c r="M422" s="1" t="str">
        <f>IFERROR(__xludf.DUMMYFUNCTION("""COMPUTED_VALUE"""),"Already done ")</f>
        <v>Already done </v>
      </c>
      <c r="N422" s="1" t="str">
        <f>IFERROR(__xludf.DUMMYFUNCTION("""COMPUTED_VALUE"""),"Already done ")</f>
        <v>Already done </v>
      </c>
      <c r="O422" s="1" t="str">
        <f>IFERROR(__xludf.DUMMYFUNCTION("""COMPUTED_VALUE"""),"WA ONLY, CALL")</f>
        <v>WA ONLY, CALL</v>
      </c>
      <c r="P422" s="1" t="str">
        <f>IFERROR(__xludf.DUMMYFUNCTION("""COMPUTED_VALUE"""),"Sir")</f>
        <v>Sir</v>
      </c>
      <c r="Q422" s="1" t="str">
        <f>IFERROR(__xludf.DUMMYFUNCTION("""COMPUTED_VALUE"""),"No")</f>
        <v>No</v>
      </c>
      <c r="R422" s="1" t="str">
        <f>IFERROR(__xludf.DUMMYFUNCTION("""COMPUTED_VALUE"""),"OLD")</f>
        <v>OLD</v>
      </c>
      <c r="S422" s="1"/>
    </row>
    <row r="423">
      <c r="A423" s="2">
        <f>IFERROR(__xludf.DUMMYFUNCTION("""COMPUTED_VALUE"""),45468.76101564815)</f>
        <v>45468.76102</v>
      </c>
      <c r="B423" s="1" t="str">
        <f>IFERROR(__xludf.DUMMYFUNCTION("""COMPUTED_VALUE"""),"Bittu")</f>
        <v>Bittu</v>
      </c>
      <c r="C423" s="1">
        <f>IFERROR(__xludf.DUMMYFUNCTION("""COMPUTED_VALUE"""),9.81016199E9)</f>
        <v>9810161990</v>
      </c>
      <c r="D423" s="1">
        <f>IFERROR(__xludf.DUMMYFUNCTION("""COMPUTED_VALUE"""),2.0)</f>
        <v>2</v>
      </c>
      <c r="E423" s="3">
        <f>IFERROR(__xludf.DUMMYFUNCTION("""COMPUTED_VALUE"""),0.6201388888875954)</f>
        <v>0.6201388889</v>
      </c>
      <c r="F423" s="1" t="str">
        <f>IFERROR(__xludf.DUMMYFUNCTION("""COMPUTED_VALUE"""),"Antique Gold")</f>
        <v>Antique Gold</v>
      </c>
      <c r="G423" s="1" t="str">
        <f>IFERROR(__xludf.DUMMYFUNCTION("""COMPUTED_VALUE"""),"Chhaya")</f>
        <v>Chhaya</v>
      </c>
      <c r="H423" s="1"/>
      <c r="I423" s="1" t="str">
        <f>IFERROR(__xludf.DUMMYFUNCTION("""COMPUTED_VALUE"""),"Designs Not Liked")</f>
        <v>Designs Not Liked</v>
      </c>
      <c r="J423" s="1"/>
      <c r="K423" s="3">
        <f>IFERROR(__xludf.DUMMYFUNCTION("""COMPUTED_VALUE"""),0.6444444444423425)</f>
        <v>0.6444444444</v>
      </c>
      <c r="L423" s="1" t="str">
        <f>IFERROR(__xludf.DUMMYFUNCTION("""COMPUTED_VALUE"""),"No")</f>
        <v>No</v>
      </c>
      <c r="M423" s="1" t="str">
        <f>IFERROR(__xludf.DUMMYFUNCTION("""COMPUTED_VALUE"""),"No")</f>
        <v>No</v>
      </c>
      <c r="N423" s="1" t="str">
        <f>IFERROR(__xludf.DUMMYFUNCTION("""COMPUTED_VALUE"""),"No")</f>
        <v>No</v>
      </c>
      <c r="O423" s="1" t="str">
        <f>IFERROR(__xludf.DUMMYFUNCTION("""COMPUTED_VALUE"""),"WA ONLY, CALL")</f>
        <v>WA ONLY, CALL</v>
      </c>
      <c r="P423" s="1" t="str">
        <f>IFERROR(__xludf.DUMMYFUNCTION("""COMPUTED_VALUE"""),"Sir")</f>
        <v>Sir</v>
      </c>
      <c r="Q423" s="1" t="str">
        <f>IFERROR(__xludf.DUMMYFUNCTION("""COMPUTED_VALUE"""),"No")</f>
        <v>No</v>
      </c>
      <c r="R423" s="1" t="str">
        <f>IFERROR(__xludf.DUMMYFUNCTION("""COMPUTED_VALUE"""),"NEW WALK IN")</f>
        <v>NEW WALK IN</v>
      </c>
      <c r="S423" s="1" t="str">
        <f>IFERROR(__xludf.DUMMYFUNCTION("""COMPUTED_VALUE"""),"Walk in")</f>
        <v>Walk in</v>
      </c>
    </row>
    <row r="424">
      <c r="A424" s="2">
        <f>IFERROR(__xludf.DUMMYFUNCTION("""COMPUTED_VALUE"""),45468.76177961806)</f>
        <v>45468.76178</v>
      </c>
      <c r="B424" s="1" t="str">
        <f>IFERROR(__xludf.DUMMYFUNCTION("""COMPUTED_VALUE"""),"Poonam")</f>
        <v>Poonam</v>
      </c>
      <c r="C424" s="1">
        <f>IFERROR(__xludf.DUMMYFUNCTION("""COMPUTED_VALUE"""),9.999488996E9)</f>
        <v>9999488996</v>
      </c>
      <c r="D424" s="1">
        <f>IFERROR(__xludf.DUMMYFUNCTION("""COMPUTED_VALUE"""),1.0)</f>
        <v>1</v>
      </c>
      <c r="E424" s="3">
        <f>IFERROR(__xludf.DUMMYFUNCTION("""COMPUTED_VALUE"""),0.6736111111094942)</f>
        <v>0.6736111111</v>
      </c>
      <c r="F424" s="1" t="str">
        <f>IFERROR(__xludf.DUMMYFUNCTION("""COMPUTED_VALUE"""),"Antique Gold")</f>
        <v>Antique Gold</v>
      </c>
      <c r="G424" s="1" t="str">
        <f>IFERROR(__xludf.DUMMYFUNCTION("""COMPUTED_VALUE"""),"Pooja")</f>
        <v>Pooja</v>
      </c>
      <c r="H424" s="1"/>
      <c r="I424" s="1" t="str">
        <f>IFERROR(__xludf.DUMMYFUNCTION("""COMPUTED_VALUE"""),"Give Payment")</f>
        <v>Give Payment</v>
      </c>
      <c r="J424" s="1"/>
      <c r="K424" s="3">
        <f>IFERROR(__xludf.DUMMYFUNCTION("""COMPUTED_VALUE"""),0.6937499999985448)</f>
        <v>0.69375</v>
      </c>
      <c r="L424" s="1" t="str">
        <f>IFERROR(__xludf.DUMMYFUNCTION("""COMPUTED_VALUE"""),"Yes")</f>
        <v>Yes</v>
      </c>
      <c r="M424" s="1" t="str">
        <f>IFERROR(__xludf.DUMMYFUNCTION("""COMPUTED_VALUE"""),"Already done ")</f>
        <v>Already done </v>
      </c>
      <c r="N424" s="1" t="str">
        <f>IFERROR(__xludf.DUMMYFUNCTION("""COMPUTED_VALUE"""),"Already done ")</f>
        <v>Already done </v>
      </c>
      <c r="O424" s="1" t="str">
        <f>IFERROR(__xludf.DUMMYFUNCTION("""COMPUTED_VALUE"""),"WA ONLY, CALL")</f>
        <v>WA ONLY, CALL</v>
      </c>
      <c r="P424" s="1" t="str">
        <f>IFERROR(__xludf.DUMMYFUNCTION("""COMPUTED_VALUE"""),"Madam")</f>
        <v>Madam</v>
      </c>
      <c r="Q424" s="1" t="str">
        <f>IFERROR(__xludf.DUMMYFUNCTION("""COMPUTED_VALUE"""),"No")</f>
        <v>No</v>
      </c>
      <c r="R424" s="1" t="str">
        <f>IFERROR(__xludf.DUMMYFUNCTION("""COMPUTED_VALUE"""),"OLD")</f>
        <v>OLD</v>
      </c>
      <c r="S424" s="1" t="str">
        <f>IFERROR(__xludf.DUMMYFUNCTION("""COMPUTED_VALUE"""),"Walk in")</f>
        <v>Walk in</v>
      </c>
    </row>
    <row r="425">
      <c r="A425" s="2">
        <f>IFERROR(__xludf.DUMMYFUNCTION("""COMPUTED_VALUE"""),45468.762765127314)</f>
        <v>45468.76277</v>
      </c>
      <c r="B425" s="1" t="str">
        <f>IFERROR(__xludf.DUMMYFUNCTION("""COMPUTED_VALUE"""),"Danish sharma")</f>
        <v>Danish sharma</v>
      </c>
      <c r="C425" s="1">
        <f>IFERROR(__xludf.DUMMYFUNCTION("""COMPUTED_VALUE"""),9.899990844E9)</f>
        <v>9899990844</v>
      </c>
      <c r="D425" s="1">
        <f>IFERROR(__xludf.DUMMYFUNCTION("""COMPUTED_VALUE"""),2.0)</f>
        <v>2</v>
      </c>
      <c r="E425" s="3">
        <f>IFERROR(__xludf.DUMMYFUNCTION("""COMPUTED_VALUE"""),0.6965277777781012)</f>
        <v>0.6965277778</v>
      </c>
      <c r="F425" s="1" t="str">
        <f>IFERROR(__xludf.DUMMYFUNCTION("""COMPUTED_VALUE"""),"Antique Gold")</f>
        <v>Antique Gold</v>
      </c>
      <c r="G425" s="1" t="str">
        <f>IFERROR(__xludf.DUMMYFUNCTION("""COMPUTED_VALUE"""),"Chhaya")</f>
        <v>Chhaya</v>
      </c>
      <c r="H425" s="1"/>
      <c r="I425" s="1" t="str">
        <f>IFERROR(__xludf.DUMMYFUNCTION("""COMPUTED_VALUE"""),"Will ask family and come with them")</f>
        <v>Will ask family and come with them</v>
      </c>
      <c r="J425" s="1"/>
      <c r="K425" s="3">
        <f>IFERROR(__xludf.DUMMYFUNCTION("""COMPUTED_VALUE"""),0.7083333333357587)</f>
        <v>0.7083333333</v>
      </c>
      <c r="L425" s="1" t="str">
        <f>IFERROR(__xludf.DUMMYFUNCTION("""COMPUTED_VALUE"""),"No")</f>
        <v>No</v>
      </c>
      <c r="M425" s="1" t="str">
        <f>IFERROR(__xludf.DUMMYFUNCTION("""COMPUTED_VALUE"""),"No")</f>
        <v>No</v>
      </c>
      <c r="N425" s="1" t="str">
        <f>IFERROR(__xludf.DUMMYFUNCTION("""COMPUTED_VALUE"""),"No")</f>
        <v>No</v>
      </c>
      <c r="O425" s="1" t="str">
        <f>IFERROR(__xludf.DUMMYFUNCTION("""COMPUTED_VALUE"""),"WA ONLY, CALL")</f>
        <v>WA ONLY, CALL</v>
      </c>
      <c r="P425" s="1" t="str">
        <f>IFERROR(__xludf.DUMMYFUNCTION("""COMPUTED_VALUE"""),"Sir")</f>
        <v>Sir</v>
      </c>
      <c r="Q425" s="1" t="str">
        <f>IFERROR(__xludf.DUMMYFUNCTION("""COMPUTED_VALUE"""),"No")</f>
        <v>No</v>
      </c>
      <c r="R425" s="1" t="str">
        <f>IFERROR(__xludf.DUMMYFUNCTION("""COMPUTED_VALUE"""),"NEW WALK IN")</f>
        <v>NEW WALK IN</v>
      </c>
      <c r="S425" s="1" t="str">
        <f>IFERROR(__xludf.DUMMYFUNCTION("""COMPUTED_VALUE"""),"Walk in")</f>
        <v>Walk in</v>
      </c>
    </row>
    <row r="426">
      <c r="A426" s="2">
        <f>IFERROR(__xludf.DUMMYFUNCTION("""COMPUTED_VALUE"""),45471.64744318287)</f>
        <v>45471.64744</v>
      </c>
      <c r="B426" s="1" t="str">
        <f>IFERROR(__xludf.DUMMYFUNCTION("""COMPUTED_VALUE"""),"Deepika")</f>
        <v>Deepika</v>
      </c>
      <c r="C426" s="1">
        <f>IFERROR(__xludf.DUMMYFUNCTION("""COMPUTED_VALUE"""),9.821720049E9)</f>
        <v>9821720049</v>
      </c>
      <c r="D426" s="1">
        <f>IFERROR(__xludf.DUMMYFUNCTION("""COMPUTED_VALUE"""),2.0)</f>
        <v>2</v>
      </c>
      <c r="E426" s="3">
        <f>IFERROR(__xludf.DUMMYFUNCTION("""COMPUTED_VALUE"""),0.5)</f>
        <v>0.5</v>
      </c>
      <c r="F426" s="1" t="str">
        <f>IFERROR(__xludf.DUMMYFUNCTION("""COMPUTED_VALUE"""),"Plain Gold")</f>
        <v>Plain Gold</v>
      </c>
      <c r="G426" s="1" t="str">
        <f>IFERROR(__xludf.DUMMYFUNCTION("""COMPUTED_VALUE"""),"Pooja")</f>
        <v>Pooja</v>
      </c>
      <c r="H426" s="1"/>
      <c r="I426" s="1" t="str">
        <f>IFERROR(__xludf.DUMMYFUNCTION("""COMPUTED_VALUE"""),"Will ask family and come with them")</f>
        <v>Will ask family and come with them</v>
      </c>
      <c r="J426" s="1"/>
      <c r="K426" s="3">
        <f>IFERROR(__xludf.DUMMYFUNCTION("""COMPUTED_VALUE"""),0.5208333333357587)</f>
        <v>0.5208333333</v>
      </c>
      <c r="L426" s="1" t="str">
        <f>IFERROR(__xludf.DUMMYFUNCTION("""COMPUTED_VALUE"""),"No")</f>
        <v>No</v>
      </c>
      <c r="M426" s="1" t="str">
        <f>IFERROR(__xludf.DUMMYFUNCTION("""COMPUTED_VALUE"""),"No")</f>
        <v>No</v>
      </c>
      <c r="N426" s="1" t="str">
        <f>IFERROR(__xludf.DUMMYFUNCTION("""COMPUTED_VALUE"""),"No")</f>
        <v>No</v>
      </c>
      <c r="O426" s="1" t="str">
        <f>IFERROR(__xludf.DUMMYFUNCTION("""COMPUTED_VALUE"""),"WA ONLY, CALL")</f>
        <v>WA ONLY, CALL</v>
      </c>
      <c r="P426" s="1" t="str">
        <f>IFERROR(__xludf.DUMMYFUNCTION("""COMPUTED_VALUE"""),"Madam")</f>
        <v>Madam</v>
      </c>
      <c r="Q426" s="1" t="str">
        <f>IFERROR(__xludf.DUMMYFUNCTION("""COMPUTED_VALUE"""),"No")</f>
        <v>No</v>
      </c>
      <c r="R426" s="1" t="str">
        <f>IFERROR(__xludf.DUMMYFUNCTION("""COMPUTED_VALUE"""),"NEW WALK IN")</f>
        <v>NEW WALK IN</v>
      </c>
      <c r="S426" s="1" t="str">
        <f>IFERROR(__xludf.DUMMYFUNCTION("""COMPUTED_VALUE"""),"Walk in")</f>
        <v>Walk in</v>
      </c>
    </row>
    <row r="427">
      <c r="A427" s="2">
        <f>IFERROR(__xludf.DUMMYFUNCTION("""COMPUTED_VALUE"""),45471.64866511574)</f>
        <v>45471.64867</v>
      </c>
      <c r="B427" s="1" t="str">
        <f>IFERROR(__xludf.DUMMYFUNCTION("""COMPUTED_VALUE"""),"Mahima")</f>
        <v>Mahima</v>
      </c>
      <c r="C427" s="1">
        <f>IFERROR(__xludf.DUMMYFUNCTION("""COMPUTED_VALUE"""),9.717426492E9)</f>
        <v>9717426492</v>
      </c>
      <c r="D427" s="1">
        <f>IFERROR(__xludf.DUMMYFUNCTION("""COMPUTED_VALUE"""),3.0)</f>
        <v>3</v>
      </c>
      <c r="E427" s="3">
        <f>IFERROR(__xludf.DUMMYFUNCTION("""COMPUTED_VALUE"""),0.7291666666642413)</f>
        <v>0.7291666667</v>
      </c>
      <c r="F427" s="1" t="str">
        <f>IFERROR(__xludf.DUMMYFUNCTION("""COMPUTED_VALUE"""),"Plain Gold")</f>
        <v>Plain Gold</v>
      </c>
      <c r="G427" s="1" t="str">
        <f>IFERROR(__xludf.DUMMYFUNCTION("""COMPUTED_VALUE"""),"Deepali")</f>
        <v>Deepali</v>
      </c>
      <c r="H427" s="1"/>
      <c r="I427" s="1"/>
      <c r="J427" s="1"/>
      <c r="K427" s="3">
        <f>IFERROR(__xludf.DUMMYFUNCTION("""COMPUTED_VALUE"""),0.8854166666642413)</f>
        <v>0.8854166667</v>
      </c>
      <c r="L427" s="1" t="str">
        <f>IFERROR(__xludf.DUMMYFUNCTION("""COMPUTED_VALUE"""),"Yes")</f>
        <v>Yes</v>
      </c>
      <c r="M427" s="1" t="str">
        <f>IFERROR(__xludf.DUMMYFUNCTION("""COMPUTED_VALUE"""),"Yes")</f>
        <v>Yes</v>
      </c>
      <c r="N427" s="1" t="str">
        <f>IFERROR(__xludf.DUMMYFUNCTION("""COMPUTED_VALUE"""),"Yes")</f>
        <v>Yes</v>
      </c>
      <c r="O427" s="1" t="str">
        <f>IFERROR(__xludf.DUMMYFUNCTION("""COMPUTED_VALUE"""),"WA ONLY, CALL")</f>
        <v>WA ONLY, CALL</v>
      </c>
      <c r="P427" s="1" t="str">
        <f>IFERROR(__xludf.DUMMYFUNCTION("""COMPUTED_VALUE"""),"Madam")</f>
        <v>Madam</v>
      </c>
      <c r="Q427" s="1" t="str">
        <f>IFERROR(__xludf.DUMMYFUNCTION("""COMPUTED_VALUE"""),"No")</f>
        <v>No</v>
      </c>
      <c r="R427" s="1" t="str">
        <f>IFERROR(__xludf.DUMMYFUNCTION("""COMPUTED_VALUE"""),"NEW WALK IN")</f>
        <v>NEW WALK IN</v>
      </c>
      <c r="S427" s="1" t="str">
        <f>IFERROR(__xludf.DUMMYFUNCTION("""COMPUTED_VALUE"""),"Walk in")</f>
        <v>Walk in</v>
      </c>
    </row>
    <row r="428">
      <c r="A428" s="2">
        <f>IFERROR(__xludf.DUMMYFUNCTION("""COMPUTED_VALUE"""),45472.757724780095)</f>
        <v>45472.75772</v>
      </c>
      <c r="B428" s="1" t="str">
        <f>IFERROR(__xludf.DUMMYFUNCTION("""COMPUTED_VALUE"""),"Gareema")</f>
        <v>Gareema</v>
      </c>
      <c r="C428" s="1">
        <f>IFERROR(__xludf.DUMMYFUNCTION("""COMPUTED_VALUE"""),9.81812662E9)</f>
        <v>9818126620</v>
      </c>
      <c r="D428" s="1">
        <f>IFERROR(__xludf.DUMMYFUNCTION("""COMPUTED_VALUE"""),2.0)</f>
        <v>2</v>
      </c>
      <c r="E428" s="3">
        <f>IFERROR(__xludf.DUMMYFUNCTION("""COMPUTED_VALUE"""),0.6680555555576575)</f>
        <v>0.6680555556</v>
      </c>
      <c r="F428" s="1" t="str">
        <f>IFERROR(__xludf.DUMMYFUNCTION("""COMPUTED_VALUE"""),"Diamond")</f>
        <v>Diamond</v>
      </c>
      <c r="G428" s="1" t="str">
        <f>IFERROR(__xludf.DUMMYFUNCTION("""COMPUTED_VALUE"""),"Chhaya")</f>
        <v>Chhaya</v>
      </c>
      <c r="H428" s="1" t="str">
        <f>IFERROR(__xludf.DUMMYFUNCTION("""COMPUTED_VALUE"""),"Gold gents bali")</f>
        <v>Gold gents bali</v>
      </c>
      <c r="I428" s="1"/>
      <c r="J428" s="1"/>
      <c r="K428" s="3">
        <f>IFERROR(__xludf.DUMMYFUNCTION("""COMPUTED_VALUE"""),0.7305555555576575)</f>
        <v>0.7305555556</v>
      </c>
      <c r="L428" s="1" t="str">
        <f>IFERROR(__xludf.DUMMYFUNCTION("""COMPUTED_VALUE"""),"Yes")</f>
        <v>Yes</v>
      </c>
      <c r="M428" s="1" t="str">
        <f>IFERROR(__xludf.DUMMYFUNCTION("""COMPUTED_VALUE"""),"Yes")</f>
        <v>Yes</v>
      </c>
      <c r="N428" s="1" t="str">
        <f>IFERROR(__xludf.DUMMYFUNCTION("""COMPUTED_VALUE"""),"Yes")</f>
        <v>Yes</v>
      </c>
      <c r="O428" s="1" t="str">
        <f>IFERROR(__xludf.DUMMYFUNCTION("""COMPUTED_VALUE"""),"WA ONLY, CALL")</f>
        <v>WA ONLY, CALL</v>
      </c>
      <c r="P428" s="1" t="str">
        <f>IFERROR(__xludf.DUMMYFUNCTION("""COMPUTED_VALUE"""),"Madam")</f>
        <v>Madam</v>
      </c>
      <c r="Q428" s="1" t="str">
        <f>IFERROR(__xludf.DUMMYFUNCTION("""COMPUTED_VALUE"""),"No")</f>
        <v>No</v>
      </c>
      <c r="R428" s="1" t="str">
        <f>IFERROR(__xludf.DUMMYFUNCTION("""COMPUTED_VALUE"""),"NEW WALK IN")</f>
        <v>NEW WALK IN</v>
      </c>
      <c r="S428" s="1" t="str">
        <f>IFERROR(__xludf.DUMMYFUNCTION("""COMPUTED_VALUE"""),"Walk in")</f>
        <v>Walk in</v>
      </c>
    </row>
    <row r="429">
      <c r="A429" s="2">
        <f>IFERROR(__xludf.DUMMYFUNCTION("""COMPUTED_VALUE"""),45473.760334293984)</f>
        <v>45473.76033</v>
      </c>
      <c r="B429" s="1" t="str">
        <f>IFERROR(__xludf.DUMMYFUNCTION("""COMPUTED_VALUE"""),"Deepika")</f>
        <v>Deepika</v>
      </c>
      <c r="C429" s="1">
        <f>IFERROR(__xludf.DUMMYFUNCTION("""COMPUTED_VALUE"""),8.285631226E9)</f>
        <v>8285631226</v>
      </c>
      <c r="D429" s="1">
        <f>IFERROR(__xludf.DUMMYFUNCTION("""COMPUTED_VALUE"""),2.0)</f>
        <v>2</v>
      </c>
      <c r="E429" s="3">
        <f>IFERROR(__xludf.DUMMYFUNCTION("""COMPUTED_VALUE"""),0.671527777776646)</f>
        <v>0.6715277778</v>
      </c>
      <c r="F429" s="1" t="str">
        <f>IFERROR(__xludf.DUMMYFUNCTION("""COMPUTED_VALUE"""),"Plain Gold")</f>
        <v>Plain Gold</v>
      </c>
      <c r="G429" s="1" t="str">
        <f>IFERROR(__xludf.DUMMYFUNCTION("""COMPUTED_VALUE"""),"Payal")</f>
        <v>Payal</v>
      </c>
      <c r="H429" s="1"/>
      <c r="I429" s="1" t="str">
        <f>IFERROR(__xludf.DUMMYFUNCTION("""COMPUTED_VALUE"""),"Making High or Wants Discount")</f>
        <v>Making High or Wants Discount</v>
      </c>
      <c r="J429" s="1"/>
      <c r="K429" s="3">
        <f>IFERROR(__xludf.DUMMYFUNCTION("""COMPUTED_VALUE"""),0.7104166666686069)</f>
        <v>0.7104166667</v>
      </c>
      <c r="L429" s="1" t="str">
        <f>IFERROR(__xludf.DUMMYFUNCTION("""COMPUTED_VALUE"""),"Yes")</f>
        <v>Yes</v>
      </c>
      <c r="M429" s="1" t="str">
        <f>IFERROR(__xludf.DUMMYFUNCTION("""COMPUTED_VALUE"""),"No")</f>
        <v>No</v>
      </c>
      <c r="N429" s="1" t="str">
        <f>IFERROR(__xludf.DUMMYFUNCTION("""COMPUTED_VALUE"""),"No")</f>
        <v>No</v>
      </c>
      <c r="O429" s="1" t="str">
        <f>IFERROR(__xludf.DUMMYFUNCTION("""COMPUTED_VALUE"""),"WA ONLY, CALL")</f>
        <v>WA ONLY, CALL</v>
      </c>
      <c r="P429" s="1" t="str">
        <f>IFERROR(__xludf.DUMMYFUNCTION("""COMPUTED_VALUE"""),"Madam")</f>
        <v>Madam</v>
      </c>
      <c r="Q429" s="1" t="str">
        <f>IFERROR(__xludf.DUMMYFUNCTION("""COMPUTED_VALUE"""),"No")</f>
        <v>No</v>
      </c>
      <c r="R429" s="1" t="str">
        <f>IFERROR(__xludf.DUMMYFUNCTION("""COMPUTED_VALUE"""),"NEW WALK IN")</f>
        <v>NEW WALK IN</v>
      </c>
      <c r="S429" s="1" t="str">
        <f>IFERROR(__xludf.DUMMYFUNCTION("""COMPUTED_VALUE"""),"Walk in")</f>
        <v>Walk in</v>
      </c>
    </row>
    <row r="430">
      <c r="A430" s="2">
        <f>IFERROR(__xludf.DUMMYFUNCTION("""COMPUTED_VALUE"""),45473.761313229166)</f>
        <v>45473.76131</v>
      </c>
      <c r="B430" s="1" t="str">
        <f>IFERROR(__xludf.DUMMYFUNCTION("""COMPUTED_VALUE"""),"Vipul mital")</f>
        <v>Vipul mital</v>
      </c>
      <c r="C430" s="1">
        <f>IFERROR(__xludf.DUMMYFUNCTION("""COMPUTED_VALUE"""),9.412744197E9)</f>
        <v>9412744197</v>
      </c>
      <c r="D430" s="1">
        <f>IFERROR(__xludf.DUMMYFUNCTION("""COMPUTED_VALUE"""),2.0)</f>
        <v>2</v>
      </c>
      <c r="E430" s="3">
        <f>IFERROR(__xludf.DUMMYFUNCTION("""COMPUTED_VALUE"""),0.6270833333328483)</f>
        <v>0.6270833333</v>
      </c>
      <c r="F430" s="1" t="str">
        <f>IFERROR(__xludf.DUMMYFUNCTION("""COMPUTED_VALUE"""),"Diamond")</f>
        <v>Diamond</v>
      </c>
      <c r="G430" s="1" t="str">
        <f>IFERROR(__xludf.DUMMYFUNCTION("""COMPUTED_VALUE"""),"Pooja")</f>
        <v>Pooja</v>
      </c>
      <c r="H430" s="1" t="str">
        <f>IFERROR(__xludf.DUMMYFUNCTION("""COMPUTED_VALUE"""),"Gold antique set")</f>
        <v>Gold antique set</v>
      </c>
      <c r="I430" s="1"/>
      <c r="J430" s="1"/>
      <c r="K430" s="3">
        <f>IFERROR(__xludf.DUMMYFUNCTION("""COMPUTED_VALUE"""),0.7590277777781012)</f>
        <v>0.7590277778</v>
      </c>
      <c r="L430" s="1" t="str">
        <f>IFERROR(__xludf.DUMMYFUNCTION("""COMPUTED_VALUE"""),"Yes")</f>
        <v>Yes</v>
      </c>
      <c r="M430" s="1" t="str">
        <f>IFERROR(__xludf.DUMMYFUNCTION("""COMPUTED_VALUE"""),"Yes")</f>
        <v>Yes</v>
      </c>
      <c r="N430" s="1" t="str">
        <f>IFERROR(__xludf.DUMMYFUNCTION("""COMPUTED_VALUE"""),"Yes")</f>
        <v>Yes</v>
      </c>
      <c r="O430" s="1" t="str">
        <f>IFERROR(__xludf.DUMMYFUNCTION("""COMPUTED_VALUE"""),"WA ONLY, OWNER CONTACT ONLY, CALL")</f>
        <v>WA ONLY, OWNER CONTACT ONLY, CALL</v>
      </c>
      <c r="P430" s="1" t="str">
        <f>IFERROR(__xludf.DUMMYFUNCTION("""COMPUTED_VALUE"""),"Sir")</f>
        <v>Sir</v>
      </c>
      <c r="Q430" s="1" t="str">
        <f>IFERROR(__xludf.DUMMYFUNCTION("""COMPUTED_VALUE"""),"No")</f>
        <v>No</v>
      </c>
      <c r="R430" s="1" t="str">
        <f>IFERROR(__xludf.DUMMYFUNCTION("""COMPUTED_VALUE"""),"OLD")</f>
        <v>OLD</v>
      </c>
      <c r="S430" s="1"/>
    </row>
    <row r="431">
      <c r="A431" s="2">
        <f>IFERROR(__xludf.DUMMYFUNCTION("""COMPUTED_VALUE"""),45473.829108680555)</f>
        <v>45473.82911</v>
      </c>
      <c r="B431" s="1" t="str">
        <f>IFERROR(__xludf.DUMMYFUNCTION("""COMPUTED_VALUE"""),"Amit")</f>
        <v>Amit</v>
      </c>
      <c r="C431" s="1">
        <f>IFERROR(__xludf.DUMMYFUNCTION("""COMPUTED_VALUE"""),8.595817411E9)</f>
        <v>8595817411</v>
      </c>
      <c r="D431" s="1">
        <f>IFERROR(__xludf.DUMMYFUNCTION("""COMPUTED_VALUE"""),1.0)</f>
        <v>1</v>
      </c>
      <c r="E431" s="3">
        <f>IFERROR(__xludf.DUMMYFUNCTION("""COMPUTED_VALUE"""),0.75)</f>
        <v>0.75</v>
      </c>
      <c r="F431" s="1" t="str">
        <f>IFERROR(__xludf.DUMMYFUNCTION("""COMPUTED_VALUE"""),"Plain Gold")</f>
        <v>Plain Gold</v>
      </c>
      <c r="G431" s="1" t="str">
        <f>IFERROR(__xludf.DUMMYFUNCTION("""COMPUTED_VALUE"""),"Payal")</f>
        <v>Payal</v>
      </c>
      <c r="H431" s="1"/>
      <c r="I431" s="1" t="str">
        <f>IFERROR(__xludf.DUMMYFUNCTION("""COMPUTED_VALUE"""),"Will ask family and come with them")</f>
        <v>Will ask family and come with them</v>
      </c>
      <c r="J431" s="1"/>
      <c r="K431" s="3">
        <f>IFERROR(__xludf.DUMMYFUNCTION("""COMPUTED_VALUE"""),0.7708333333357587)</f>
        <v>0.7708333333</v>
      </c>
      <c r="L431" s="1" t="str">
        <f>IFERROR(__xludf.DUMMYFUNCTION("""COMPUTED_VALUE"""),"Yes")</f>
        <v>Yes</v>
      </c>
      <c r="M431" s="1" t="str">
        <f>IFERROR(__xludf.DUMMYFUNCTION("""COMPUTED_VALUE"""),"No")</f>
        <v>No</v>
      </c>
      <c r="N431" s="1" t="str">
        <f>IFERROR(__xludf.DUMMYFUNCTION("""COMPUTED_VALUE"""),"No")</f>
        <v>No</v>
      </c>
      <c r="O431" s="1" t="str">
        <f>IFERROR(__xludf.DUMMYFUNCTION("""COMPUTED_VALUE"""),"WA ONLY, CALL")</f>
        <v>WA ONLY, CALL</v>
      </c>
      <c r="P431" s="1" t="str">
        <f>IFERROR(__xludf.DUMMYFUNCTION("""COMPUTED_VALUE"""),"Sir")</f>
        <v>Sir</v>
      </c>
      <c r="Q431" s="1" t="str">
        <f>IFERROR(__xludf.DUMMYFUNCTION("""COMPUTED_VALUE"""),"No")</f>
        <v>No</v>
      </c>
      <c r="R431" s="1" t="str">
        <f>IFERROR(__xludf.DUMMYFUNCTION("""COMPUTED_VALUE"""),"NEW WALK IN")</f>
        <v>NEW WALK IN</v>
      </c>
      <c r="S431" s="1" t="str">
        <f>IFERROR(__xludf.DUMMYFUNCTION("""COMPUTED_VALUE"""),"Walk in")</f>
        <v>Walk in</v>
      </c>
    </row>
    <row r="432">
      <c r="A432" s="2">
        <f>IFERROR(__xludf.DUMMYFUNCTION("""COMPUTED_VALUE"""),45475.72661371528)</f>
        <v>45475.72661</v>
      </c>
      <c r="B432" s="1" t="str">
        <f>IFERROR(__xludf.DUMMYFUNCTION("""COMPUTED_VALUE"""),"Deepanshu")</f>
        <v>Deepanshu</v>
      </c>
      <c r="C432" s="1">
        <f>IFERROR(__xludf.DUMMYFUNCTION("""COMPUTED_VALUE"""),7.206579048E9)</f>
        <v>7206579048</v>
      </c>
      <c r="D432" s="1">
        <f>IFERROR(__xludf.DUMMYFUNCTION("""COMPUTED_VALUE"""),4.0)</f>
        <v>4</v>
      </c>
      <c r="E432" s="3">
        <f>IFERROR(__xludf.DUMMYFUNCTION("""COMPUTED_VALUE"""),0.8263888888905058)</f>
        <v>0.8263888889</v>
      </c>
      <c r="F432" s="1" t="str">
        <f>IFERROR(__xludf.DUMMYFUNCTION("""COMPUTED_VALUE"""),"Plain Gold")</f>
        <v>Plain Gold</v>
      </c>
      <c r="G432" s="1" t="str">
        <f>IFERROR(__xludf.DUMMYFUNCTION("""COMPUTED_VALUE"""),"Pooja")</f>
        <v>Pooja</v>
      </c>
      <c r="H432" s="1" t="str">
        <f>IFERROR(__xludf.DUMMYFUNCTION("""COMPUTED_VALUE"""),"Gold ring,gold set")</f>
        <v>Gold ring,gold set</v>
      </c>
      <c r="I432" s="1"/>
      <c r="J432" s="1"/>
      <c r="K432" s="3">
        <f>IFERROR(__xludf.DUMMYFUNCTION("""COMPUTED_VALUE"""),0.875)</f>
        <v>0.875</v>
      </c>
      <c r="L432" s="1" t="str">
        <f>IFERROR(__xludf.DUMMYFUNCTION("""COMPUTED_VALUE"""),"Yes")</f>
        <v>Yes</v>
      </c>
      <c r="M432" s="1" t="str">
        <f>IFERROR(__xludf.DUMMYFUNCTION("""COMPUTED_VALUE"""),"Yes")</f>
        <v>Yes</v>
      </c>
      <c r="N432" s="1" t="str">
        <f>IFERROR(__xludf.DUMMYFUNCTION("""COMPUTED_VALUE"""),"Yes")</f>
        <v>Yes</v>
      </c>
      <c r="O432" s="1" t="str">
        <f>IFERROR(__xludf.DUMMYFUNCTION("""COMPUTED_VALUE"""),"WA ONLY, CALL")</f>
        <v>WA ONLY, CALL</v>
      </c>
      <c r="P432" s="1" t="str">
        <f>IFERROR(__xludf.DUMMYFUNCTION("""COMPUTED_VALUE"""),"Sir")</f>
        <v>Sir</v>
      </c>
      <c r="Q432" s="1" t="str">
        <f>IFERROR(__xludf.DUMMYFUNCTION("""COMPUTED_VALUE"""),"No")</f>
        <v>No</v>
      </c>
      <c r="R432" s="1" t="str">
        <f>IFERROR(__xludf.DUMMYFUNCTION("""COMPUTED_VALUE"""),"NEW WALK IN")</f>
        <v>NEW WALK IN</v>
      </c>
      <c r="S432" s="1" t="str">
        <f>IFERROR(__xludf.DUMMYFUNCTION("""COMPUTED_VALUE"""),"Walk in")</f>
        <v>Walk in</v>
      </c>
    </row>
    <row r="433">
      <c r="A433" s="2">
        <f>IFERROR(__xludf.DUMMYFUNCTION("""COMPUTED_VALUE"""),45475.727385300925)</f>
        <v>45475.72739</v>
      </c>
      <c r="B433" s="1" t="str">
        <f>IFERROR(__xludf.DUMMYFUNCTION("""COMPUTED_VALUE"""),"Mohan kumar")</f>
        <v>Mohan kumar</v>
      </c>
      <c r="C433" s="1">
        <f>IFERROR(__xludf.DUMMYFUNCTION("""COMPUTED_VALUE"""),9.811041368E9)</f>
        <v>9811041368</v>
      </c>
      <c r="D433" s="1">
        <f>IFERROR(__xludf.DUMMYFUNCTION("""COMPUTED_VALUE"""),2.0)</f>
        <v>2</v>
      </c>
      <c r="E433" s="3">
        <f>IFERROR(__xludf.DUMMYFUNCTION("""COMPUTED_VALUE"""),0.5416666666642413)</f>
        <v>0.5416666667</v>
      </c>
      <c r="F433" s="1" t="str">
        <f>IFERROR(__xludf.DUMMYFUNCTION("""COMPUTED_VALUE"""),"Plain Gold")</f>
        <v>Plain Gold</v>
      </c>
      <c r="G433" s="1" t="str">
        <f>IFERROR(__xludf.DUMMYFUNCTION("""COMPUTED_VALUE"""),"Pooja")</f>
        <v>Pooja</v>
      </c>
      <c r="H433" s="1"/>
      <c r="I433" s="1" t="str">
        <f>IFERROR(__xludf.DUMMYFUNCTION("""COMPUTED_VALUE"""),"Visit Again in 1 Month")</f>
        <v>Visit Again in 1 Month</v>
      </c>
      <c r="J433" s="1"/>
      <c r="K433" s="3">
        <f>IFERROR(__xludf.DUMMYFUNCTION("""COMPUTED_VALUE"""),0.5555555555547471)</f>
        <v>0.5555555556</v>
      </c>
      <c r="L433" s="1" t="str">
        <f>IFERROR(__xludf.DUMMYFUNCTION("""COMPUTED_VALUE"""),"No")</f>
        <v>No</v>
      </c>
      <c r="M433" s="1" t="str">
        <f>IFERROR(__xludf.DUMMYFUNCTION("""COMPUTED_VALUE"""),"No")</f>
        <v>No</v>
      </c>
      <c r="N433" s="1" t="str">
        <f>IFERROR(__xludf.DUMMYFUNCTION("""COMPUTED_VALUE"""),"No")</f>
        <v>No</v>
      </c>
      <c r="O433" s="1" t="str">
        <f>IFERROR(__xludf.DUMMYFUNCTION("""COMPUTED_VALUE"""),"WA ONLY, CALL")</f>
        <v>WA ONLY, CALL</v>
      </c>
      <c r="P433" s="1" t="str">
        <f>IFERROR(__xludf.DUMMYFUNCTION("""COMPUTED_VALUE"""),"Sir")</f>
        <v>Sir</v>
      </c>
      <c r="Q433" s="1" t="str">
        <f>IFERROR(__xludf.DUMMYFUNCTION("""COMPUTED_VALUE"""),"No")</f>
        <v>No</v>
      </c>
      <c r="R433" s="1" t="str">
        <f>IFERROR(__xludf.DUMMYFUNCTION("""COMPUTED_VALUE"""),"NEW WALK IN")</f>
        <v>NEW WALK IN</v>
      </c>
      <c r="S433" s="1" t="str">
        <f>IFERROR(__xludf.DUMMYFUNCTION("""COMPUTED_VALUE"""),"Walk in")</f>
        <v>Walk in</v>
      </c>
    </row>
    <row r="434">
      <c r="A434" s="2">
        <f>IFERROR(__xludf.DUMMYFUNCTION("""COMPUTED_VALUE"""),45476.826969131944)</f>
        <v>45476.82697</v>
      </c>
      <c r="B434" s="1" t="str">
        <f>IFERROR(__xludf.DUMMYFUNCTION("""COMPUTED_VALUE"""),"Mani kumari")</f>
        <v>Mani kumari</v>
      </c>
      <c r="C434" s="1">
        <f>IFERROR(__xludf.DUMMYFUNCTION("""COMPUTED_VALUE"""),8.083532359E9)</f>
        <v>8083532359</v>
      </c>
      <c r="D434" s="1">
        <f>IFERROR(__xludf.DUMMYFUNCTION("""COMPUTED_VALUE"""),2.0)</f>
        <v>2</v>
      </c>
      <c r="E434" s="3">
        <f>IFERROR(__xludf.DUMMYFUNCTION("""COMPUTED_VALUE"""),0.7708333333357587)</f>
        <v>0.7708333333</v>
      </c>
      <c r="F434" s="1" t="str">
        <f>IFERROR(__xludf.DUMMYFUNCTION("""COMPUTED_VALUE"""),"Plain Gold")</f>
        <v>Plain Gold</v>
      </c>
      <c r="G434" s="1" t="str">
        <f>IFERROR(__xludf.DUMMYFUNCTION("""COMPUTED_VALUE"""),"Chhaya")</f>
        <v>Chhaya</v>
      </c>
      <c r="H434" s="1" t="str">
        <f>IFERROR(__xludf.DUMMYFUNCTION("""COMPUTED_VALUE"""),"Gold nath,tika")</f>
        <v>Gold nath,tika</v>
      </c>
      <c r="I434" s="1"/>
      <c r="J434" s="1"/>
      <c r="K434" s="3">
        <f>IFERROR(__xludf.DUMMYFUNCTION("""COMPUTED_VALUE"""),0.8333333333357587)</f>
        <v>0.8333333333</v>
      </c>
      <c r="L434" s="1" t="str">
        <f>IFERROR(__xludf.DUMMYFUNCTION("""COMPUTED_VALUE"""),"Yes")</f>
        <v>Yes</v>
      </c>
      <c r="M434" s="1" t="str">
        <f>IFERROR(__xludf.DUMMYFUNCTION("""COMPUTED_VALUE"""),"Already done ")</f>
        <v>Already done </v>
      </c>
      <c r="N434" s="1" t="str">
        <f>IFERROR(__xludf.DUMMYFUNCTION("""COMPUTED_VALUE"""),"Already done ")</f>
        <v>Already done </v>
      </c>
      <c r="O434" s="1" t="str">
        <f>IFERROR(__xludf.DUMMYFUNCTION("""COMPUTED_VALUE"""),"WA ONLY, CALL")</f>
        <v>WA ONLY, CALL</v>
      </c>
      <c r="P434" s="1" t="str">
        <f>IFERROR(__xludf.DUMMYFUNCTION("""COMPUTED_VALUE"""),"Madam")</f>
        <v>Madam</v>
      </c>
      <c r="Q434" s="1" t="str">
        <f>IFERROR(__xludf.DUMMYFUNCTION("""COMPUTED_VALUE"""),"No")</f>
        <v>No</v>
      </c>
      <c r="R434" s="1" t="str">
        <f>IFERROR(__xludf.DUMMYFUNCTION("""COMPUTED_VALUE"""),"OLD")</f>
        <v>OLD</v>
      </c>
      <c r="S434" s="1" t="str">
        <f>IFERROR(__xludf.DUMMYFUNCTION("""COMPUTED_VALUE"""),"Walk in")</f>
        <v>Walk in</v>
      </c>
    </row>
    <row r="435">
      <c r="A435" s="2">
        <f>IFERROR(__xludf.DUMMYFUNCTION("""COMPUTED_VALUE"""),45477.82230381944)</f>
        <v>45477.8223</v>
      </c>
      <c r="B435" s="1" t="str">
        <f>IFERROR(__xludf.DUMMYFUNCTION("""COMPUTED_VALUE"""),"Abhay tiwari")</f>
        <v>Abhay tiwari</v>
      </c>
      <c r="C435" s="1">
        <f>IFERROR(__xludf.DUMMYFUNCTION("""COMPUTED_VALUE"""),9.746942951E9)</f>
        <v>9746942951</v>
      </c>
      <c r="D435" s="1">
        <f>IFERROR(__xludf.DUMMYFUNCTION("""COMPUTED_VALUE"""),2.0)</f>
        <v>2</v>
      </c>
      <c r="E435" s="3">
        <f>IFERROR(__xludf.DUMMYFUNCTION("""COMPUTED_VALUE"""),0.578472222223354)</f>
        <v>0.5784722222</v>
      </c>
      <c r="F435" s="1" t="str">
        <f>IFERROR(__xludf.DUMMYFUNCTION("""COMPUTED_VALUE"""),"Plain Gold")</f>
        <v>Plain Gold</v>
      </c>
      <c r="G435" s="1" t="str">
        <f>IFERROR(__xludf.DUMMYFUNCTION("""COMPUTED_VALUE"""),"Chhaya")</f>
        <v>Chhaya</v>
      </c>
      <c r="H435" s="1"/>
      <c r="I435" s="1" t="str">
        <f>IFERROR(__xludf.DUMMYFUNCTION("""COMPUTED_VALUE"""),"Will ask family and come with them")</f>
        <v>Will ask family and come with them</v>
      </c>
      <c r="J435" s="1"/>
      <c r="K435" s="3">
        <f>IFERROR(__xludf.DUMMYFUNCTION("""COMPUTED_VALUE"""),0.625)</f>
        <v>0.625</v>
      </c>
      <c r="L435" s="1" t="str">
        <f>IFERROR(__xludf.DUMMYFUNCTION("""COMPUTED_VALUE"""),"No")</f>
        <v>No</v>
      </c>
      <c r="M435" s="1" t="str">
        <f>IFERROR(__xludf.DUMMYFUNCTION("""COMPUTED_VALUE"""),"No")</f>
        <v>No</v>
      </c>
      <c r="N435" s="1" t="str">
        <f>IFERROR(__xludf.DUMMYFUNCTION("""COMPUTED_VALUE"""),"No")</f>
        <v>No</v>
      </c>
      <c r="O435" s="1" t="str">
        <f>IFERROR(__xludf.DUMMYFUNCTION("""COMPUTED_VALUE"""),"WA ONLY, CALL")</f>
        <v>WA ONLY, CALL</v>
      </c>
      <c r="P435" s="1" t="str">
        <f>IFERROR(__xludf.DUMMYFUNCTION("""COMPUTED_VALUE"""),"Sir")</f>
        <v>Sir</v>
      </c>
      <c r="Q435" s="1" t="str">
        <f>IFERROR(__xludf.DUMMYFUNCTION("""COMPUTED_VALUE"""),"No")</f>
        <v>No</v>
      </c>
      <c r="R435" s="1" t="str">
        <f>IFERROR(__xludf.DUMMYFUNCTION("""COMPUTED_VALUE"""),"NEW WALK IN")</f>
        <v>NEW WALK IN</v>
      </c>
      <c r="S435" s="1" t="str">
        <f>IFERROR(__xludf.DUMMYFUNCTION("""COMPUTED_VALUE"""),"Wslk in")</f>
        <v>Wslk in</v>
      </c>
    </row>
    <row r="436">
      <c r="A436" s="2">
        <f>IFERROR(__xludf.DUMMYFUNCTION("""COMPUTED_VALUE"""),45478.71239710649)</f>
        <v>45478.7124</v>
      </c>
      <c r="B436" s="1" t="str">
        <f>IFERROR(__xludf.DUMMYFUNCTION("""COMPUTED_VALUE"""),"Abhay tiwari")</f>
        <v>Abhay tiwari</v>
      </c>
      <c r="C436" s="1">
        <f>IFERROR(__xludf.DUMMYFUNCTION("""COMPUTED_VALUE"""),9.746942951E9)</f>
        <v>9746942951</v>
      </c>
      <c r="D436" s="1">
        <f>IFERROR(__xludf.DUMMYFUNCTION("""COMPUTED_VALUE"""),3.0)</f>
        <v>3</v>
      </c>
      <c r="E436" s="3">
        <f>IFERROR(__xludf.DUMMYFUNCTION("""COMPUTED_VALUE"""),0.6041666666642413)</f>
        <v>0.6041666667</v>
      </c>
      <c r="F436" s="1" t="str">
        <f>IFERROR(__xludf.DUMMYFUNCTION("""COMPUTED_VALUE"""),"Plain Gold")</f>
        <v>Plain Gold</v>
      </c>
      <c r="G436" s="1" t="str">
        <f>IFERROR(__xludf.DUMMYFUNCTION("""COMPUTED_VALUE"""),"Chhaya")</f>
        <v>Chhaya</v>
      </c>
      <c r="H436" s="1"/>
      <c r="I436" s="1" t="str">
        <f>IFERROR(__xludf.DUMMYFUNCTION("""COMPUTED_VALUE"""),"Customer confused gold set and trust issue ")</f>
        <v>Customer confused gold set and trust issue </v>
      </c>
      <c r="J436" s="1"/>
      <c r="K436" s="3">
        <f>IFERROR(__xludf.DUMMYFUNCTION("""COMPUTED_VALUE"""),0.6965277777781012)</f>
        <v>0.6965277778</v>
      </c>
      <c r="L436" s="1" t="str">
        <f>IFERROR(__xludf.DUMMYFUNCTION("""COMPUTED_VALUE"""),"No")</f>
        <v>No</v>
      </c>
      <c r="M436" s="1" t="str">
        <f>IFERROR(__xludf.DUMMYFUNCTION("""COMPUTED_VALUE"""),"Yes")</f>
        <v>Yes</v>
      </c>
      <c r="N436" s="1" t="str">
        <f>IFERROR(__xludf.DUMMYFUNCTION("""COMPUTED_VALUE"""),"Yes")</f>
        <v>Yes</v>
      </c>
      <c r="O436" s="1" t="str">
        <f>IFERROR(__xludf.DUMMYFUNCTION("""COMPUTED_VALUE"""),"WA ONLY, CALL")</f>
        <v>WA ONLY, CALL</v>
      </c>
      <c r="P436" s="1" t="str">
        <f>IFERROR(__xludf.DUMMYFUNCTION("""COMPUTED_VALUE"""),"Sir")</f>
        <v>Sir</v>
      </c>
      <c r="Q436" s="1" t="str">
        <f>IFERROR(__xludf.DUMMYFUNCTION("""COMPUTED_VALUE"""),"No")</f>
        <v>No</v>
      </c>
      <c r="R436" s="1" t="str">
        <f>IFERROR(__xludf.DUMMYFUNCTION("""COMPUTED_VALUE"""),"NEW WALK IN")</f>
        <v>NEW WALK IN</v>
      </c>
      <c r="S436" s="1" t="str">
        <f>IFERROR(__xludf.DUMMYFUNCTION("""COMPUTED_VALUE"""),"Walk in")</f>
        <v>Walk in</v>
      </c>
    </row>
    <row r="437">
      <c r="A437" s="2">
        <f>IFERROR(__xludf.DUMMYFUNCTION("""COMPUTED_VALUE"""),45479.78431297454)</f>
        <v>45479.78431</v>
      </c>
      <c r="B437" s="1" t="str">
        <f>IFERROR(__xludf.DUMMYFUNCTION("""COMPUTED_VALUE"""),"Manoj kumar")</f>
        <v>Manoj kumar</v>
      </c>
      <c r="C437" s="1">
        <f>IFERROR(__xludf.DUMMYFUNCTION("""COMPUTED_VALUE"""),9.871758037E9)</f>
        <v>9871758037</v>
      </c>
      <c r="D437" s="1">
        <f>IFERROR(__xludf.DUMMYFUNCTION("""COMPUTED_VALUE"""),3.0)</f>
        <v>3</v>
      </c>
      <c r="E437" s="3">
        <f>IFERROR(__xludf.DUMMYFUNCTION("""COMPUTED_VALUE"""),0.5486111111094942)</f>
        <v>0.5486111111</v>
      </c>
      <c r="F437" s="1" t="str">
        <f>IFERROR(__xludf.DUMMYFUNCTION("""COMPUTED_VALUE"""),"Plain Gold")</f>
        <v>Plain Gold</v>
      </c>
      <c r="G437" s="1" t="str">
        <f>IFERROR(__xludf.DUMMYFUNCTION("""COMPUTED_VALUE"""),"Chhaya")</f>
        <v>Chhaya</v>
      </c>
      <c r="H437" s="1" t="str">
        <f>IFERROR(__xludf.DUMMYFUNCTION("""COMPUTED_VALUE"""),"Silver payal")</f>
        <v>Silver payal</v>
      </c>
      <c r="I437" s="1"/>
      <c r="J437" s="1"/>
      <c r="K437" s="3">
        <f>IFERROR(__xludf.DUMMYFUNCTION("""COMPUTED_VALUE"""),0.59375)</f>
        <v>0.59375</v>
      </c>
      <c r="L437" s="1" t="str">
        <f>IFERROR(__xludf.DUMMYFUNCTION("""COMPUTED_VALUE"""),"Yes")</f>
        <v>Yes</v>
      </c>
      <c r="M437" s="1" t="str">
        <f>IFERROR(__xludf.DUMMYFUNCTION("""COMPUTED_VALUE"""),"Already done ")</f>
        <v>Already done </v>
      </c>
      <c r="N437" s="1" t="str">
        <f>IFERROR(__xludf.DUMMYFUNCTION("""COMPUTED_VALUE"""),"Already done ")</f>
        <v>Already done </v>
      </c>
      <c r="O437" s="1" t="str">
        <f>IFERROR(__xludf.DUMMYFUNCTION("""COMPUTED_VALUE"""),"WA ONLY, OWNER CONTACT ONLY, CALL")</f>
        <v>WA ONLY, OWNER CONTACT ONLY, CALL</v>
      </c>
      <c r="P437" s="1" t="str">
        <f>IFERROR(__xludf.DUMMYFUNCTION("""COMPUTED_VALUE"""),"Sir")</f>
        <v>Sir</v>
      </c>
      <c r="Q437" s="1" t="str">
        <f>IFERROR(__xludf.DUMMYFUNCTION("""COMPUTED_VALUE"""),"Yes")</f>
        <v>Yes</v>
      </c>
      <c r="R437" s="1" t="str">
        <f>IFERROR(__xludf.DUMMYFUNCTION("""COMPUTED_VALUE"""),"OLD")</f>
        <v>OLD</v>
      </c>
      <c r="S437" s="1" t="str">
        <f>IFERROR(__xludf.DUMMYFUNCTION("""COMPUTED_VALUE"""),"Walk in")</f>
        <v>Walk in</v>
      </c>
    </row>
    <row r="438">
      <c r="A438" s="2">
        <f>IFERROR(__xludf.DUMMYFUNCTION("""COMPUTED_VALUE"""),45479.800938796296)</f>
        <v>45479.80094</v>
      </c>
      <c r="B438" s="1" t="str">
        <f>IFERROR(__xludf.DUMMYFUNCTION("""COMPUTED_VALUE"""),"Sonam")</f>
        <v>Sonam</v>
      </c>
      <c r="C438" s="1">
        <f>IFERROR(__xludf.DUMMYFUNCTION("""COMPUTED_VALUE"""),8.800581162E9)</f>
        <v>8800581162</v>
      </c>
      <c r="D438" s="1">
        <f>IFERROR(__xludf.DUMMYFUNCTION("""COMPUTED_VALUE"""),2.0)</f>
        <v>2</v>
      </c>
      <c r="E438" s="3">
        <f>IFERROR(__xludf.DUMMYFUNCTION("""COMPUTED_VALUE"""),0.7854166666656965)</f>
        <v>0.7854166667</v>
      </c>
      <c r="F438" s="1" t="str">
        <f>IFERROR(__xludf.DUMMYFUNCTION("""COMPUTED_VALUE"""),"Plain Gold")</f>
        <v>Plain Gold</v>
      </c>
      <c r="G438" s="1" t="str">
        <f>IFERROR(__xludf.DUMMYFUNCTION("""COMPUTED_VALUE"""),"Chhaya")</f>
        <v>Chhaya</v>
      </c>
      <c r="H438" s="1" t="str">
        <f>IFERROR(__xludf.DUMMYFUNCTION("""COMPUTED_VALUE"""),"Gold nosepin")</f>
        <v>Gold nosepin</v>
      </c>
      <c r="I438" s="1"/>
      <c r="J438" s="1"/>
      <c r="K438" s="1"/>
      <c r="L438" s="1" t="str">
        <f>IFERROR(__xludf.DUMMYFUNCTION("""COMPUTED_VALUE"""),"Yes")</f>
        <v>Yes</v>
      </c>
      <c r="M438" s="1" t="str">
        <f>IFERROR(__xludf.DUMMYFUNCTION("""COMPUTED_VALUE"""),"Yes")</f>
        <v>Yes</v>
      </c>
      <c r="N438" s="1" t="str">
        <f>IFERROR(__xludf.DUMMYFUNCTION("""COMPUTED_VALUE"""),"Yes")</f>
        <v>Yes</v>
      </c>
      <c r="O438" s="1" t="str">
        <f>IFERROR(__xludf.DUMMYFUNCTION("""COMPUTED_VALUE"""),"WA ONLY, CALL")</f>
        <v>WA ONLY, CALL</v>
      </c>
      <c r="P438" s="1" t="str">
        <f>IFERROR(__xludf.DUMMYFUNCTION("""COMPUTED_VALUE"""),"Madam")</f>
        <v>Madam</v>
      </c>
      <c r="Q438" s="1" t="str">
        <f>IFERROR(__xludf.DUMMYFUNCTION("""COMPUTED_VALUE"""),"No")</f>
        <v>No</v>
      </c>
      <c r="R438" s="1" t="str">
        <f>IFERROR(__xludf.DUMMYFUNCTION("""COMPUTED_VALUE"""),"NEW WALK IN")</f>
        <v>NEW WALK IN</v>
      </c>
      <c r="S438" s="1" t="str">
        <f>IFERROR(__xludf.DUMMYFUNCTION("""COMPUTED_VALUE"""),"Walk in")</f>
        <v>Walk in</v>
      </c>
    </row>
    <row r="439">
      <c r="A439" s="2">
        <f>IFERROR(__xludf.DUMMYFUNCTION("""COMPUTED_VALUE"""),45479.825468553245)</f>
        <v>45479.82547</v>
      </c>
      <c r="B439" s="1" t="str">
        <f>IFERROR(__xludf.DUMMYFUNCTION("""COMPUTED_VALUE"""),"Parshant")</f>
        <v>Parshant</v>
      </c>
      <c r="C439" s="1">
        <f>IFERROR(__xludf.DUMMYFUNCTION("""COMPUTED_VALUE"""),9.899226225E9)</f>
        <v>9899226225</v>
      </c>
      <c r="D439" s="1">
        <f>IFERROR(__xludf.DUMMYFUNCTION("""COMPUTED_VALUE"""),4.0)</f>
        <v>4</v>
      </c>
      <c r="E439" s="3">
        <f>IFERROR(__xludf.DUMMYFUNCTION("""COMPUTED_VALUE"""),0.7902777777781012)</f>
        <v>0.7902777778</v>
      </c>
      <c r="F439" s="1" t="str">
        <f>IFERROR(__xludf.DUMMYFUNCTION("""COMPUTED_VALUE"""),"Antique Gold")</f>
        <v>Antique Gold</v>
      </c>
      <c r="G439" s="1" t="str">
        <f>IFERROR(__xludf.DUMMYFUNCTION("""COMPUTED_VALUE"""),"Pooja")</f>
        <v>Pooja</v>
      </c>
      <c r="H439" s="1"/>
      <c r="I439" s="1" t="str">
        <f>IFERROR(__xludf.DUMMYFUNCTION("""COMPUTED_VALUE"""),"Pick up Order")</f>
        <v>Pick up Order</v>
      </c>
      <c r="J439" s="1"/>
      <c r="K439" s="3">
        <f>IFERROR(__xludf.DUMMYFUNCTION("""COMPUTED_VALUE"""),0.8229166666642413)</f>
        <v>0.8229166667</v>
      </c>
      <c r="L439" s="1" t="str">
        <f>IFERROR(__xludf.DUMMYFUNCTION("""COMPUTED_VALUE"""),"Yes")</f>
        <v>Yes</v>
      </c>
      <c r="M439" s="1" t="str">
        <f>IFERROR(__xludf.DUMMYFUNCTION("""COMPUTED_VALUE"""),"Already done ")</f>
        <v>Already done </v>
      </c>
      <c r="N439" s="1" t="str">
        <f>IFERROR(__xludf.DUMMYFUNCTION("""COMPUTED_VALUE"""),"Already done ")</f>
        <v>Already done </v>
      </c>
      <c r="O439" s="1" t="str">
        <f>IFERROR(__xludf.DUMMYFUNCTION("""COMPUTED_VALUE"""),"WA ONLY, CALL")</f>
        <v>WA ONLY, CALL</v>
      </c>
      <c r="P439" s="1" t="str">
        <f>IFERROR(__xludf.DUMMYFUNCTION("""COMPUTED_VALUE"""),"Sir")</f>
        <v>Sir</v>
      </c>
      <c r="Q439" s="1" t="str">
        <f>IFERROR(__xludf.DUMMYFUNCTION("""COMPUTED_VALUE"""),"No")</f>
        <v>No</v>
      </c>
      <c r="R439" s="1" t="str">
        <f>IFERROR(__xludf.DUMMYFUNCTION("""COMPUTED_VALUE"""),"OLD")</f>
        <v>OLD</v>
      </c>
      <c r="S439" s="1" t="str">
        <f>IFERROR(__xludf.DUMMYFUNCTION("""COMPUTED_VALUE"""),"Walk in")</f>
        <v>Walk in</v>
      </c>
    </row>
    <row r="440">
      <c r="A440" s="2">
        <f>IFERROR(__xludf.DUMMYFUNCTION("""COMPUTED_VALUE"""),45480.71405159722)</f>
        <v>45480.71405</v>
      </c>
      <c r="B440" s="1" t="str">
        <f>IFERROR(__xludf.DUMMYFUNCTION("""COMPUTED_VALUE"""),"Manoj ")</f>
        <v>Manoj </v>
      </c>
      <c r="C440" s="1">
        <f>IFERROR(__xludf.DUMMYFUNCTION("""COMPUTED_VALUE"""),9.97156789E9)</f>
        <v>9971567890</v>
      </c>
      <c r="D440" s="1">
        <f>IFERROR(__xludf.DUMMYFUNCTION("""COMPUTED_VALUE"""),2.0)</f>
        <v>2</v>
      </c>
      <c r="E440" s="3">
        <f>IFERROR(__xludf.DUMMYFUNCTION("""COMPUTED_VALUE"""),0.5416666666642413)</f>
        <v>0.5416666667</v>
      </c>
      <c r="F440" s="1" t="str">
        <f>IFERROR(__xludf.DUMMYFUNCTION("""COMPUTED_VALUE"""),"Antique Gold")</f>
        <v>Antique Gold</v>
      </c>
      <c r="G440" s="1" t="str">
        <f>IFERROR(__xludf.DUMMYFUNCTION("""COMPUTED_VALUE"""),"Chhaya")</f>
        <v>Chhaya</v>
      </c>
      <c r="H440" s="1" t="str">
        <f>IFERROR(__xludf.DUMMYFUNCTION("""COMPUTED_VALUE"""),"Gold coin ")</f>
        <v>Gold coin </v>
      </c>
      <c r="I440" s="1"/>
      <c r="J440" s="1"/>
      <c r="K440" s="3">
        <f>IFERROR(__xludf.DUMMYFUNCTION("""COMPUTED_VALUE"""),0.5527777777751908)</f>
        <v>0.5527777778</v>
      </c>
      <c r="L440" s="1" t="str">
        <f>IFERROR(__xludf.DUMMYFUNCTION("""COMPUTED_VALUE"""),"Yes")</f>
        <v>Yes</v>
      </c>
      <c r="M440" s="1" t="str">
        <f>IFERROR(__xludf.DUMMYFUNCTION("""COMPUTED_VALUE"""),"No")</f>
        <v>No</v>
      </c>
      <c r="N440" s="1" t="str">
        <f>IFERROR(__xludf.DUMMYFUNCTION("""COMPUTED_VALUE"""),"No")</f>
        <v>No</v>
      </c>
      <c r="O440" s="1" t="str">
        <f>IFERROR(__xludf.DUMMYFUNCTION("""COMPUTED_VALUE"""),"WA ONLY, OWNER CONTACT ONLY, CALL")</f>
        <v>WA ONLY, OWNER CONTACT ONLY, CALL</v>
      </c>
      <c r="P440" s="1" t="str">
        <f>IFERROR(__xludf.DUMMYFUNCTION("""COMPUTED_VALUE"""),"Sir")</f>
        <v>Sir</v>
      </c>
      <c r="Q440" s="1" t="str">
        <f>IFERROR(__xludf.DUMMYFUNCTION("""COMPUTED_VALUE"""),"No")</f>
        <v>No</v>
      </c>
      <c r="R440" s="1" t="str">
        <f>IFERROR(__xludf.DUMMYFUNCTION("""COMPUTED_VALUE"""),"NEW WALK IN")</f>
        <v>NEW WALK IN</v>
      </c>
      <c r="S440" s="1" t="str">
        <f>IFERROR(__xludf.DUMMYFUNCTION("""COMPUTED_VALUE"""),"Walk in")</f>
        <v>Walk in</v>
      </c>
    </row>
    <row r="441">
      <c r="A441" s="2">
        <f>IFERROR(__xludf.DUMMYFUNCTION("""COMPUTED_VALUE"""),45480.71491623843)</f>
        <v>45480.71492</v>
      </c>
      <c r="B441" s="1" t="str">
        <f>IFERROR(__xludf.DUMMYFUNCTION("""COMPUTED_VALUE"""),"Deepak")</f>
        <v>Deepak</v>
      </c>
      <c r="C441" s="1">
        <f>IFERROR(__xludf.DUMMYFUNCTION("""COMPUTED_VALUE"""),9.560540676E9)</f>
        <v>9560540676</v>
      </c>
      <c r="D441" s="1">
        <f>IFERROR(__xludf.DUMMYFUNCTION("""COMPUTED_VALUE"""),4.0)</f>
        <v>4</v>
      </c>
      <c r="E441" s="3">
        <f>IFERROR(__xludf.DUMMYFUNCTION("""COMPUTED_VALUE"""),0.5527777777751908)</f>
        <v>0.5527777778</v>
      </c>
      <c r="F441" s="1" t="str">
        <f>IFERROR(__xludf.DUMMYFUNCTION("""COMPUTED_VALUE"""),"Plain Gold")</f>
        <v>Plain Gold</v>
      </c>
      <c r="G441" s="1" t="str">
        <f>IFERROR(__xludf.DUMMYFUNCTION("""COMPUTED_VALUE"""),"Pooja")</f>
        <v>Pooja</v>
      </c>
      <c r="H441" s="1" t="str">
        <f>IFERROR(__xludf.DUMMYFUNCTION("""COMPUTED_VALUE"""),"2 gold chain,1 gold pendent set.")</f>
        <v>2 gold chain,1 gold pendent set.</v>
      </c>
      <c r="I441" s="1"/>
      <c r="J441" s="1"/>
      <c r="K441" s="3">
        <f>IFERROR(__xludf.DUMMYFUNCTION("""COMPUTED_VALUE"""),0.6763888888890506)</f>
        <v>0.6763888889</v>
      </c>
      <c r="L441" s="1" t="str">
        <f>IFERROR(__xludf.DUMMYFUNCTION("""COMPUTED_VALUE"""),"Yes")</f>
        <v>Yes</v>
      </c>
      <c r="M441" s="1" t="str">
        <f>IFERROR(__xludf.DUMMYFUNCTION("""COMPUTED_VALUE"""),"Already done ")</f>
        <v>Already done </v>
      </c>
      <c r="N441" s="1" t="str">
        <f>IFERROR(__xludf.DUMMYFUNCTION("""COMPUTED_VALUE"""),"Already done ")</f>
        <v>Already done </v>
      </c>
      <c r="O441" s="1" t="str">
        <f>IFERROR(__xludf.DUMMYFUNCTION("""COMPUTED_VALUE"""),"WA ONLY, CALL")</f>
        <v>WA ONLY, CALL</v>
      </c>
      <c r="P441" s="1" t="str">
        <f>IFERROR(__xludf.DUMMYFUNCTION("""COMPUTED_VALUE"""),"Sir")</f>
        <v>Sir</v>
      </c>
      <c r="Q441" s="1" t="str">
        <f>IFERROR(__xludf.DUMMYFUNCTION("""COMPUTED_VALUE"""),"No")</f>
        <v>No</v>
      </c>
      <c r="R441" s="1" t="str">
        <f>IFERROR(__xludf.DUMMYFUNCTION("""COMPUTED_VALUE"""),"OLD")</f>
        <v>OLD</v>
      </c>
      <c r="S441" s="1" t="str">
        <f>IFERROR(__xludf.DUMMYFUNCTION("""COMPUTED_VALUE"""),"Walk in")</f>
        <v>Walk in</v>
      </c>
    </row>
    <row r="442">
      <c r="A442" s="2">
        <f>IFERROR(__xludf.DUMMYFUNCTION("""COMPUTED_VALUE"""),45480.71584302084)</f>
        <v>45480.71584</v>
      </c>
      <c r="B442" s="1" t="str">
        <f>IFERROR(__xludf.DUMMYFUNCTION("""COMPUTED_VALUE"""),"Sapna ")</f>
        <v>Sapna </v>
      </c>
      <c r="C442" s="1">
        <f>IFERROR(__xludf.DUMMYFUNCTION("""COMPUTED_VALUE"""),8.373954151E9)</f>
        <v>8373954151</v>
      </c>
      <c r="D442" s="1">
        <f>IFERROR(__xludf.DUMMYFUNCTION("""COMPUTED_VALUE"""),2.0)</f>
        <v>2</v>
      </c>
      <c r="E442" s="3">
        <f>IFERROR(__xludf.DUMMYFUNCTION("""COMPUTED_VALUE"""),0.6159722222218988)</f>
        <v>0.6159722222</v>
      </c>
      <c r="F442" s="1" t="str">
        <f>IFERROR(__xludf.DUMMYFUNCTION("""COMPUTED_VALUE"""),"Antique Gold")</f>
        <v>Antique Gold</v>
      </c>
      <c r="G442" s="1" t="str">
        <f>IFERROR(__xludf.DUMMYFUNCTION("""COMPUTED_VALUE"""),"Chhaya")</f>
        <v>Chhaya</v>
      </c>
      <c r="H442" s="1"/>
      <c r="I442" s="1" t="str">
        <f>IFERROR(__xludf.DUMMYFUNCTION("""COMPUTED_VALUE"""),"Making High or Wants Discount")</f>
        <v>Making High or Wants Discount</v>
      </c>
      <c r="J442" s="1"/>
      <c r="K442" s="3">
        <f>IFERROR(__xludf.DUMMYFUNCTION("""COMPUTED_VALUE"""),0.625)</f>
        <v>0.625</v>
      </c>
      <c r="L442" s="1" t="str">
        <f>IFERROR(__xludf.DUMMYFUNCTION("""COMPUTED_VALUE"""),"No")</f>
        <v>No</v>
      </c>
      <c r="M442" s="1" t="str">
        <f>IFERROR(__xludf.DUMMYFUNCTION("""COMPUTED_VALUE"""),"No")</f>
        <v>No</v>
      </c>
      <c r="N442" s="1" t="str">
        <f>IFERROR(__xludf.DUMMYFUNCTION("""COMPUTED_VALUE"""),"No")</f>
        <v>No</v>
      </c>
      <c r="O442" s="1" t="str">
        <f>IFERROR(__xludf.DUMMYFUNCTION("""COMPUTED_VALUE"""),"WA ONLY, CALL")</f>
        <v>WA ONLY, CALL</v>
      </c>
      <c r="P442" s="1" t="str">
        <f>IFERROR(__xludf.DUMMYFUNCTION("""COMPUTED_VALUE"""),"Madam")</f>
        <v>Madam</v>
      </c>
      <c r="Q442" s="1" t="str">
        <f>IFERROR(__xludf.DUMMYFUNCTION("""COMPUTED_VALUE"""),"No")</f>
        <v>No</v>
      </c>
      <c r="R442" s="1" t="str">
        <f>IFERROR(__xludf.DUMMYFUNCTION("""COMPUTED_VALUE"""),"NEW WALK IN")</f>
        <v>NEW WALK IN</v>
      </c>
      <c r="S442" s="1" t="str">
        <f>IFERROR(__xludf.DUMMYFUNCTION("""COMPUTED_VALUE"""),"Walk in")</f>
        <v>Walk in</v>
      </c>
    </row>
    <row r="443">
      <c r="A443" s="2">
        <f>IFERROR(__xludf.DUMMYFUNCTION("""COMPUTED_VALUE"""),45480.71746980324)</f>
        <v>45480.71747</v>
      </c>
      <c r="B443" s="1" t="str">
        <f>IFERROR(__xludf.DUMMYFUNCTION("""COMPUTED_VALUE"""),"Shamsher singh")</f>
        <v>Shamsher singh</v>
      </c>
      <c r="C443" s="1">
        <f>IFERROR(__xludf.DUMMYFUNCTION("""COMPUTED_VALUE"""),9.416537937E9)</f>
        <v>9416537937</v>
      </c>
      <c r="D443" s="1">
        <f>IFERROR(__xludf.DUMMYFUNCTION("""COMPUTED_VALUE"""),1.0)</f>
        <v>1</v>
      </c>
      <c r="E443" s="3">
        <f>IFERROR(__xludf.DUMMYFUNCTION("""COMPUTED_VALUE"""),0.6263888888934162)</f>
        <v>0.6263888889</v>
      </c>
      <c r="F443" s="1" t="str">
        <f>IFERROR(__xludf.DUMMYFUNCTION("""COMPUTED_VALUE"""),"Diamond")</f>
        <v>Diamond</v>
      </c>
      <c r="G443" s="1" t="str">
        <f>IFERROR(__xludf.DUMMYFUNCTION("""COMPUTED_VALUE"""),"Deepali")</f>
        <v>Deepali</v>
      </c>
      <c r="H443" s="1" t="str">
        <f>IFERROR(__xludf.DUMMYFUNCTION("""COMPUTED_VALUE"""),"Mangal sutra chain")</f>
        <v>Mangal sutra chain</v>
      </c>
      <c r="I443" s="1"/>
      <c r="J443" s="1"/>
      <c r="K443" s="3">
        <f>IFERROR(__xludf.DUMMYFUNCTION("""COMPUTED_VALUE"""),0.6458333333357587)</f>
        <v>0.6458333333</v>
      </c>
      <c r="L443" s="1" t="str">
        <f>IFERROR(__xludf.DUMMYFUNCTION("""COMPUTED_VALUE"""),"Yes")</f>
        <v>Yes</v>
      </c>
      <c r="M443" s="1" t="str">
        <f>IFERROR(__xludf.DUMMYFUNCTION("""COMPUTED_VALUE"""),"Not use")</f>
        <v>Not use</v>
      </c>
      <c r="N443" s="1" t="str">
        <f>IFERROR(__xludf.DUMMYFUNCTION("""COMPUTED_VALUE"""),"Not use")</f>
        <v>Not use</v>
      </c>
      <c r="O443" s="1" t="str">
        <f>IFERROR(__xludf.DUMMYFUNCTION("""COMPUTED_VALUE"""),"WA ONLY, CALL")</f>
        <v>WA ONLY, CALL</v>
      </c>
      <c r="P443" s="1" t="str">
        <f>IFERROR(__xludf.DUMMYFUNCTION("""COMPUTED_VALUE"""),"Sir")</f>
        <v>Sir</v>
      </c>
      <c r="Q443" s="1" t="str">
        <f>IFERROR(__xludf.DUMMYFUNCTION("""COMPUTED_VALUE"""),"No")</f>
        <v>No</v>
      </c>
      <c r="R443" s="1" t="str">
        <f>IFERROR(__xludf.DUMMYFUNCTION("""COMPUTED_VALUE"""),"NEW WALK IN")</f>
        <v>NEW WALK IN</v>
      </c>
      <c r="S443" s="1" t="str">
        <f>IFERROR(__xludf.DUMMYFUNCTION("""COMPUTED_VALUE"""),"Walk in")</f>
        <v>Walk in</v>
      </c>
    </row>
    <row r="444">
      <c r="A444" s="2">
        <f>IFERROR(__xludf.DUMMYFUNCTION("""COMPUTED_VALUE"""),45480.71852958333)</f>
        <v>45480.71853</v>
      </c>
      <c r="B444" s="1" t="str">
        <f>IFERROR(__xludf.DUMMYFUNCTION("""COMPUTED_VALUE"""),"Rahul malik")</f>
        <v>Rahul malik</v>
      </c>
      <c r="C444" s="1">
        <f>IFERROR(__xludf.DUMMYFUNCTION("""COMPUTED_VALUE"""),9.818766685E9)</f>
        <v>9818766685</v>
      </c>
      <c r="D444" s="1">
        <f>IFERROR(__xludf.DUMMYFUNCTION("""COMPUTED_VALUE"""),2.0)</f>
        <v>2</v>
      </c>
      <c r="E444" s="3">
        <f>IFERROR(__xludf.DUMMYFUNCTION("""COMPUTED_VALUE"""),0.6687499999970896)</f>
        <v>0.66875</v>
      </c>
      <c r="F444" s="1" t="str">
        <f>IFERROR(__xludf.DUMMYFUNCTION("""COMPUTED_VALUE"""),"Plain Gold")</f>
        <v>Plain Gold</v>
      </c>
      <c r="G444" s="1" t="str">
        <f>IFERROR(__xludf.DUMMYFUNCTION("""COMPUTED_VALUE"""),"Pooja")</f>
        <v>Pooja</v>
      </c>
      <c r="H444" s="1"/>
      <c r="I444" s="1" t="str">
        <f>IFERROR(__xludf.DUMMYFUNCTION("""COMPUTED_VALUE"""),"Making High or Wants Discount")</f>
        <v>Making High or Wants Discount</v>
      </c>
      <c r="J444" s="1"/>
      <c r="K444" s="3">
        <f>IFERROR(__xludf.DUMMYFUNCTION("""COMPUTED_VALUE"""),0.6875)</f>
        <v>0.6875</v>
      </c>
      <c r="L444" s="1" t="str">
        <f>IFERROR(__xludf.DUMMYFUNCTION("""COMPUTED_VALUE"""),"Yes")</f>
        <v>Yes</v>
      </c>
      <c r="M444" s="1" t="str">
        <f>IFERROR(__xludf.DUMMYFUNCTION("""COMPUTED_VALUE"""),"Already done ")</f>
        <v>Already done </v>
      </c>
      <c r="N444" s="1" t="str">
        <f>IFERROR(__xludf.DUMMYFUNCTION("""COMPUTED_VALUE"""),"Already done ")</f>
        <v>Already done </v>
      </c>
      <c r="O444" s="1" t="str">
        <f>IFERROR(__xludf.DUMMYFUNCTION("""COMPUTED_VALUE"""),"WA ONLY, CALL")</f>
        <v>WA ONLY, CALL</v>
      </c>
      <c r="P444" s="1" t="str">
        <f>IFERROR(__xludf.DUMMYFUNCTION("""COMPUTED_VALUE"""),"Sir")</f>
        <v>Sir</v>
      </c>
      <c r="Q444" s="1" t="str">
        <f>IFERROR(__xludf.DUMMYFUNCTION("""COMPUTED_VALUE"""),"No")</f>
        <v>No</v>
      </c>
      <c r="R444" s="1" t="str">
        <f>IFERROR(__xludf.DUMMYFUNCTION("""COMPUTED_VALUE"""),"NEW WALK IN")</f>
        <v>NEW WALK IN</v>
      </c>
      <c r="S444" s="1" t="str">
        <f>IFERROR(__xludf.DUMMYFUNCTION("""COMPUTED_VALUE"""),"Walk in")</f>
        <v>Walk in</v>
      </c>
    </row>
    <row r="445">
      <c r="A445" s="2">
        <f>IFERROR(__xludf.DUMMYFUNCTION("""COMPUTED_VALUE"""),45480.733442893514)</f>
        <v>45480.73344</v>
      </c>
      <c r="B445" s="1" t="str">
        <f>IFERROR(__xludf.DUMMYFUNCTION("""COMPUTED_VALUE"""),"Sapna")</f>
        <v>Sapna</v>
      </c>
      <c r="C445" s="1">
        <f>IFERROR(__xludf.DUMMYFUNCTION("""COMPUTED_VALUE"""),8.373954151E9)</f>
        <v>8373954151</v>
      </c>
      <c r="D445" s="1">
        <f>IFERROR(__xludf.DUMMYFUNCTION("""COMPUTED_VALUE"""),3.0)</f>
        <v>3</v>
      </c>
      <c r="E445" s="3">
        <f>IFERROR(__xludf.DUMMYFUNCTION("""COMPUTED_VALUE"""),0.6909722222189885)</f>
        <v>0.6909722222</v>
      </c>
      <c r="F445" s="1" t="str">
        <f>IFERROR(__xludf.DUMMYFUNCTION("""COMPUTED_VALUE"""),"Antique Gold")</f>
        <v>Antique Gold</v>
      </c>
      <c r="G445" s="1" t="str">
        <f>IFERROR(__xludf.DUMMYFUNCTION("""COMPUTED_VALUE"""),"Chhaya")</f>
        <v>Chhaya</v>
      </c>
      <c r="H445" s="1" t="str">
        <f>IFERROR(__xludf.DUMMYFUNCTION("""COMPUTED_VALUE"""),"Gold ring")</f>
        <v>Gold ring</v>
      </c>
      <c r="I445" s="1"/>
      <c r="J445" s="1"/>
      <c r="K445" s="3">
        <f>IFERROR(__xludf.DUMMYFUNCTION("""COMPUTED_VALUE"""),0.7326388888905058)</f>
        <v>0.7326388889</v>
      </c>
      <c r="L445" s="1" t="str">
        <f>IFERROR(__xludf.DUMMYFUNCTION("""COMPUTED_VALUE"""),"Yes")</f>
        <v>Yes</v>
      </c>
      <c r="M445" s="1" t="str">
        <f>IFERROR(__xludf.DUMMYFUNCTION("""COMPUTED_VALUE"""),"Yes")</f>
        <v>Yes</v>
      </c>
      <c r="N445" s="1" t="str">
        <f>IFERROR(__xludf.DUMMYFUNCTION("""COMPUTED_VALUE"""),"Not use")</f>
        <v>Not use</v>
      </c>
      <c r="O445" s="1" t="str">
        <f>IFERROR(__xludf.DUMMYFUNCTION("""COMPUTED_VALUE"""),"WA ONLY, CALL")</f>
        <v>WA ONLY, CALL</v>
      </c>
      <c r="P445" s="1" t="str">
        <f>IFERROR(__xludf.DUMMYFUNCTION("""COMPUTED_VALUE"""),"Madam")</f>
        <v>Madam</v>
      </c>
      <c r="Q445" s="1" t="str">
        <f>IFERROR(__xludf.DUMMYFUNCTION("""COMPUTED_VALUE"""),"No")</f>
        <v>No</v>
      </c>
      <c r="R445" s="1" t="str">
        <f>IFERROR(__xludf.DUMMYFUNCTION("""COMPUTED_VALUE"""),"NEW WALK IN")</f>
        <v>NEW WALK IN</v>
      </c>
      <c r="S445" s="1" t="str">
        <f>IFERROR(__xludf.DUMMYFUNCTION("""COMPUTED_VALUE"""),"Walk in")</f>
        <v>Walk in</v>
      </c>
    </row>
    <row r="446">
      <c r="A446" s="2">
        <f>IFERROR(__xludf.DUMMYFUNCTION("""COMPUTED_VALUE"""),45482.711884606484)</f>
        <v>45482.71188</v>
      </c>
      <c r="B446" s="1" t="str">
        <f>IFERROR(__xludf.DUMMYFUNCTION("""COMPUTED_VALUE"""),"Nidhi goyal")</f>
        <v>Nidhi goyal</v>
      </c>
      <c r="C446" s="1">
        <f>IFERROR(__xludf.DUMMYFUNCTION("""COMPUTED_VALUE"""),9.31105226E9)</f>
        <v>9311052260</v>
      </c>
      <c r="D446" s="1">
        <f>IFERROR(__xludf.DUMMYFUNCTION("""COMPUTED_VALUE"""),2.0)</f>
        <v>2</v>
      </c>
      <c r="E446" s="3">
        <f>IFERROR(__xludf.DUMMYFUNCTION("""COMPUTED_VALUE"""),0.5763888888905058)</f>
        <v>0.5763888889</v>
      </c>
      <c r="F446" s="1" t="str">
        <f>IFERROR(__xludf.DUMMYFUNCTION("""COMPUTED_VALUE"""),"Antique Gold")</f>
        <v>Antique Gold</v>
      </c>
      <c r="G446" s="1" t="str">
        <f>IFERROR(__xludf.DUMMYFUNCTION("""COMPUTED_VALUE"""),"Pooja")</f>
        <v>Pooja</v>
      </c>
      <c r="H446" s="1" t="str">
        <f>IFERROR(__xludf.DUMMYFUNCTION("""COMPUTED_VALUE"""),"Bangles ")</f>
        <v>Bangles </v>
      </c>
      <c r="I446" s="1"/>
      <c r="J446" s="1"/>
      <c r="K446" s="3">
        <f>IFERROR(__xludf.DUMMYFUNCTION("""COMPUTED_VALUE"""),0.65625)</f>
        <v>0.65625</v>
      </c>
      <c r="L446" s="1" t="str">
        <f>IFERROR(__xludf.DUMMYFUNCTION("""COMPUTED_VALUE"""),"Yes")</f>
        <v>Yes</v>
      </c>
      <c r="M446" s="1" t="str">
        <f>IFERROR(__xludf.DUMMYFUNCTION("""COMPUTED_VALUE"""),"Already done ")</f>
        <v>Already done </v>
      </c>
      <c r="N446" s="1" t="str">
        <f>IFERROR(__xludf.DUMMYFUNCTION("""COMPUTED_VALUE"""),"Already done ")</f>
        <v>Already done </v>
      </c>
      <c r="O446" s="1" t="str">
        <f>IFERROR(__xludf.DUMMYFUNCTION("""COMPUTED_VALUE"""),"WA ONLY, OWNER CONTACT ONLY, CALL")</f>
        <v>WA ONLY, OWNER CONTACT ONLY, CALL</v>
      </c>
      <c r="P446" s="1" t="str">
        <f>IFERROR(__xludf.DUMMYFUNCTION("""COMPUTED_VALUE"""),"Madam")</f>
        <v>Madam</v>
      </c>
      <c r="Q446" s="1" t="str">
        <f>IFERROR(__xludf.DUMMYFUNCTION("""COMPUTED_VALUE"""),"No")</f>
        <v>No</v>
      </c>
      <c r="R446" s="1" t="str">
        <f>IFERROR(__xludf.DUMMYFUNCTION("""COMPUTED_VALUE"""),"OLD")</f>
        <v>OLD</v>
      </c>
      <c r="S446" s="1" t="str">
        <f>IFERROR(__xludf.DUMMYFUNCTION("""COMPUTED_VALUE"""),"Walk in")</f>
        <v>Walk in</v>
      </c>
    </row>
    <row r="447">
      <c r="A447" s="2">
        <f>IFERROR(__xludf.DUMMYFUNCTION("""COMPUTED_VALUE"""),45482.71322068287)</f>
        <v>45482.71322</v>
      </c>
      <c r="B447" s="1" t="str">
        <f>IFERROR(__xludf.DUMMYFUNCTION("""COMPUTED_VALUE"""),"Aditi dhawan")</f>
        <v>Aditi dhawan</v>
      </c>
      <c r="C447" s="1">
        <f>IFERROR(__xludf.DUMMYFUNCTION("""COMPUTED_VALUE"""),9.910950257E9)</f>
        <v>9910950257</v>
      </c>
      <c r="D447" s="1">
        <f>IFERROR(__xludf.DUMMYFUNCTION("""COMPUTED_VALUE"""),4.0)</f>
        <v>4</v>
      </c>
      <c r="E447" s="3">
        <f>IFERROR(__xludf.DUMMYFUNCTION("""COMPUTED_VALUE"""),0.5277777777810115)</f>
        <v>0.5277777778</v>
      </c>
      <c r="F447" s="1" t="str">
        <f>IFERROR(__xludf.DUMMYFUNCTION("""COMPUTED_VALUE"""),"Antique Gold")</f>
        <v>Antique Gold</v>
      </c>
      <c r="G447" s="1" t="str">
        <f>IFERROR(__xludf.DUMMYFUNCTION("""COMPUTED_VALUE"""),"Chhaya")</f>
        <v>Chhaya</v>
      </c>
      <c r="H447" s="1" t="str">
        <f>IFERROR(__xludf.DUMMYFUNCTION("""COMPUTED_VALUE"""),"Gents kada  diamond ring,gold couple band.")</f>
        <v>Gents kada  diamond ring,gold couple band.</v>
      </c>
      <c r="I447" s="1"/>
      <c r="J447" s="1"/>
      <c r="K447" s="3">
        <f>IFERROR(__xludf.DUMMYFUNCTION("""COMPUTED_VALUE"""),0.65625)</f>
        <v>0.65625</v>
      </c>
      <c r="L447" s="1" t="str">
        <f>IFERROR(__xludf.DUMMYFUNCTION("""COMPUTED_VALUE"""),"Yes")</f>
        <v>Yes</v>
      </c>
      <c r="M447" s="1" t="str">
        <f>IFERROR(__xludf.DUMMYFUNCTION("""COMPUTED_VALUE"""),"Already done ")</f>
        <v>Already done </v>
      </c>
      <c r="N447" s="1" t="str">
        <f>IFERROR(__xludf.DUMMYFUNCTION("""COMPUTED_VALUE"""),"Already done ")</f>
        <v>Already done </v>
      </c>
      <c r="O447" s="1" t="str">
        <f>IFERROR(__xludf.DUMMYFUNCTION("""COMPUTED_VALUE"""),"WA ONLY, CALL")</f>
        <v>WA ONLY, CALL</v>
      </c>
      <c r="P447" s="1" t="str">
        <f>IFERROR(__xludf.DUMMYFUNCTION("""COMPUTED_VALUE"""),"Madam")</f>
        <v>Madam</v>
      </c>
      <c r="Q447" s="1" t="str">
        <f>IFERROR(__xludf.DUMMYFUNCTION("""COMPUTED_VALUE"""),"No")</f>
        <v>No</v>
      </c>
      <c r="R447" s="1" t="str">
        <f>IFERROR(__xludf.DUMMYFUNCTION("""COMPUTED_VALUE"""),"OLD")</f>
        <v>OLD</v>
      </c>
      <c r="S447" s="1" t="str">
        <f>IFERROR(__xludf.DUMMYFUNCTION("""COMPUTED_VALUE"""),"Walk in")</f>
        <v>Walk in</v>
      </c>
    </row>
    <row r="448">
      <c r="A448" s="2">
        <f>IFERROR(__xludf.DUMMYFUNCTION("""COMPUTED_VALUE"""),45482.786700682875)</f>
        <v>45482.7867</v>
      </c>
      <c r="B448" s="1" t="str">
        <f>IFERROR(__xludf.DUMMYFUNCTION("""COMPUTED_VALUE"""),"Sapna")</f>
        <v>Sapna</v>
      </c>
      <c r="C448" s="1">
        <f>IFERROR(__xludf.DUMMYFUNCTION("""COMPUTED_VALUE"""),8.373954151E9)</f>
        <v>8373954151</v>
      </c>
      <c r="D448" s="1">
        <f>IFERROR(__xludf.DUMMYFUNCTION("""COMPUTED_VALUE"""),2.0)</f>
        <v>2</v>
      </c>
      <c r="E448" s="3">
        <f>IFERROR(__xludf.DUMMYFUNCTION("""COMPUTED_VALUE"""),0.7291666666642413)</f>
        <v>0.7291666667</v>
      </c>
      <c r="F448" s="1" t="str">
        <f>IFERROR(__xludf.DUMMYFUNCTION("""COMPUTED_VALUE"""),"Antique Gold")</f>
        <v>Antique Gold</v>
      </c>
      <c r="G448" s="1" t="str">
        <f>IFERROR(__xludf.DUMMYFUNCTION("""COMPUTED_VALUE"""),"Preeti")</f>
        <v>Preeti</v>
      </c>
      <c r="H448" s="1" t="str">
        <f>IFERROR(__xludf.DUMMYFUNCTION("""COMPUTED_VALUE"""),"Gold bar,gold tops.")</f>
        <v>Gold bar,gold tops.</v>
      </c>
      <c r="I448" s="1"/>
      <c r="J448" s="1"/>
      <c r="K448" s="3">
        <f>IFERROR(__xludf.DUMMYFUNCTION("""COMPUTED_VALUE"""),0.7833333333328483)</f>
        <v>0.7833333333</v>
      </c>
      <c r="L448" s="1" t="str">
        <f>IFERROR(__xludf.DUMMYFUNCTION("""COMPUTED_VALUE"""),"Yes")</f>
        <v>Yes</v>
      </c>
      <c r="M448" s="1" t="str">
        <f>IFERROR(__xludf.DUMMYFUNCTION("""COMPUTED_VALUE"""),"Already done ")</f>
        <v>Already done </v>
      </c>
      <c r="N448" s="1" t="str">
        <f>IFERROR(__xludf.DUMMYFUNCTION("""COMPUTED_VALUE"""),"Already done ")</f>
        <v>Already done </v>
      </c>
      <c r="O448" s="1" t="str">
        <f>IFERROR(__xludf.DUMMYFUNCTION("""COMPUTED_VALUE"""),"WA ONLY, CALL")</f>
        <v>WA ONLY, CALL</v>
      </c>
      <c r="P448" s="1" t="str">
        <f>IFERROR(__xludf.DUMMYFUNCTION("""COMPUTED_VALUE"""),"Madam")</f>
        <v>Madam</v>
      </c>
      <c r="Q448" s="1" t="str">
        <f>IFERROR(__xludf.DUMMYFUNCTION("""COMPUTED_VALUE"""),"No")</f>
        <v>No</v>
      </c>
      <c r="R448" s="1" t="str">
        <f>IFERROR(__xludf.DUMMYFUNCTION("""COMPUTED_VALUE"""),"OLD")</f>
        <v>OLD</v>
      </c>
      <c r="S448" s="1" t="str">
        <f>IFERROR(__xludf.DUMMYFUNCTION("""COMPUTED_VALUE"""),"Walk in")</f>
        <v>Walk in</v>
      </c>
    </row>
    <row r="449">
      <c r="A449" s="2">
        <f>IFERROR(__xludf.DUMMYFUNCTION("""COMPUTED_VALUE"""),45483.73665810185)</f>
        <v>45483.73666</v>
      </c>
      <c r="B449" s="1" t="str">
        <f>IFERROR(__xludf.DUMMYFUNCTION("""COMPUTED_VALUE"""),"Manjeet ")</f>
        <v>Manjeet </v>
      </c>
      <c r="C449" s="1">
        <f>IFERROR(__xludf.DUMMYFUNCTION("""COMPUTED_VALUE"""),9.643705979E9)</f>
        <v>9643705979</v>
      </c>
      <c r="D449" s="1">
        <f>IFERROR(__xludf.DUMMYFUNCTION("""COMPUTED_VALUE"""),2.0)</f>
        <v>2</v>
      </c>
      <c r="E449" s="3">
        <f>IFERROR(__xludf.DUMMYFUNCTION("""COMPUTED_VALUE"""),0.5138888888905058)</f>
        <v>0.5138888889</v>
      </c>
      <c r="F449" s="1" t="str">
        <f>IFERROR(__xludf.DUMMYFUNCTION("""COMPUTED_VALUE"""),"Antique Gold")</f>
        <v>Antique Gold</v>
      </c>
      <c r="G449" s="1" t="str">
        <f>IFERROR(__xludf.DUMMYFUNCTION("""COMPUTED_VALUE"""),"Chhaya")</f>
        <v>Chhaya</v>
      </c>
      <c r="H449" s="1"/>
      <c r="I449" s="1" t="str">
        <f>IFERROR(__xludf.DUMMYFUNCTION("""COMPUTED_VALUE"""),"Making High or Wants Discount")</f>
        <v>Making High or Wants Discount</v>
      </c>
      <c r="J449" s="1"/>
      <c r="K449" s="3">
        <f>IFERROR(__xludf.DUMMYFUNCTION("""COMPUTED_VALUE"""),0.5243055555547471)</f>
        <v>0.5243055556</v>
      </c>
      <c r="L449" s="1" t="str">
        <f>IFERROR(__xludf.DUMMYFUNCTION("""COMPUTED_VALUE"""),"Yes")</f>
        <v>Yes</v>
      </c>
      <c r="M449" s="1" t="str">
        <f>IFERROR(__xludf.DUMMYFUNCTION("""COMPUTED_VALUE"""),"Already done ")</f>
        <v>Already done </v>
      </c>
      <c r="N449" s="1" t="str">
        <f>IFERROR(__xludf.DUMMYFUNCTION("""COMPUTED_VALUE"""),"Already done ")</f>
        <v>Already done </v>
      </c>
      <c r="O449" s="1" t="str">
        <f>IFERROR(__xludf.DUMMYFUNCTION("""COMPUTED_VALUE"""),"WA ONLY, CALL")</f>
        <v>WA ONLY, CALL</v>
      </c>
      <c r="P449" s="1" t="str">
        <f>IFERROR(__xludf.DUMMYFUNCTION("""COMPUTED_VALUE"""),"Sir")</f>
        <v>Sir</v>
      </c>
      <c r="Q449" s="1" t="str">
        <f>IFERROR(__xludf.DUMMYFUNCTION("""COMPUTED_VALUE"""),"No")</f>
        <v>No</v>
      </c>
      <c r="R449" s="1" t="str">
        <f>IFERROR(__xludf.DUMMYFUNCTION("""COMPUTED_VALUE"""),"OLD")</f>
        <v>OLD</v>
      </c>
      <c r="S449" s="1" t="str">
        <f>IFERROR(__xludf.DUMMYFUNCTION("""COMPUTED_VALUE"""),"Walk in")</f>
        <v>Walk in</v>
      </c>
    </row>
    <row r="450">
      <c r="A450" s="2">
        <f>IFERROR(__xludf.DUMMYFUNCTION("""COMPUTED_VALUE"""),45483.737564641204)</f>
        <v>45483.73756</v>
      </c>
      <c r="B450" s="1" t="str">
        <f>IFERROR(__xludf.DUMMYFUNCTION("""COMPUTED_VALUE"""),"Kajal ")</f>
        <v>Kajal </v>
      </c>
      <c r="C450" s="1">
        <f>IFERROR(__xludf.DUMMYFUNCTION("""COMPUTED_VALUE"""),9.599784588E9)</f>
        <v>9599784588</v>
      </c>
      <c r="D450" s="1">
        <f>IFERROR(__xludf.DUMMYFUNCTION("""COMPUTED_VALUE"""),5.0)</f>
        <v>5</v>
      </c>
      <c r="E450" s="3">
        <f>IFERROR(__xludf.DUMMYFUNCTION("""COMPUTED_VALUE"""),0.609722222223354)</f>
        <v>0.6097222222</v>
      </c>
      <c r="F450" s="1" t="str">
        <f>IFERROR(__xludf.DUMMYFUNCTION("""COMPUTED_VALUE"""),"Antique Gold")</f>
        <v>Antique Gold</v>
      </c>
      <c r="G450" s="1" t="str">
        <f>IFERROR(__xludf.DUMMYFUNCTION("""COMPUTED_VALUE"""),"Chhaya")</f>
        <v>Chhaya</v>
      </c>
      <c r="H450" s="1"/>
      <c r="I450" s="1" t="str">
        <f>IFERROR(__xludf.DUMMYFUNCTION("""COMPUTED_VALUE"""),"Visit again 10 mints")</f>
        <v>Visit again 10 mints</v>
      </c>
      <c r="J450" s="1"/>
      <c r="K450" s="3">
        <f>IFERROR(__xludf.DUMMYFUNCTION("""COMPUTED_VALUE"""),0.6458333333357587)</f>
        <v>0.6458333333</v>
      </c>
      <c r="L450" s="1" t="str">
        <f>IFERROR(__xludf.DUMMYFUNCTION("""COMPUTED_VALUE"""),"No")</f>
        <v>No</v>
      </c>
      <c r="M450" s="1" t="str">
        <f>IFERROR(__xludf.DUMMYFUNCTION("""COMPUTED_VALUE"""),"No")</f>
        <v>No</v>
      </c>
      <c r="N450" s="1" t="str">
        <f>IFERROR(__xludf.DUMMYFUNCTION("""COMPUTED_VALUE"""),"No")</f>
        <v>No</v>
      </c>
      <c r="O450" s="1" t="str">
        <f>IFERROR(__xludf.DUMMYFUNCTION("""COMPUTED_VALUE"""),"WA ONLY, CALL")</f>
        <v>WA ONLY, CALL</v>
      </c>
      <c r="P450" s="1" t="str">
        <f>IFERROR(__xludf.DUMMYFUNCTION("""COMPUTED_VALUE"""),"Madam")</f>
        <v>Madam</v>
      </c>
      <c r="Q450" s="1" t="str">
        <f>IFERROR(__xludf.DUMMYFUNCTION("""COMPUTED_VALUE"""),"No")</f>
        <v>No</v>
      </c>
      <c r="R450" s="1" t="str">
        <f>IFERROR(__xludf.DUMMYFUNCTION("""COMPUTED_VALUE"""),"NEW WALK IN")</f>
        <v>NEW WALK IN</v>
      </c>
      <c r="S450" s="1" t="str">
        <f>IFERROR(__xludf.DUMMYFUNCTION("""COMPUTED_VALUE"""),"Walk in")</f>
        <v>Walk in</v>
      </c>
    </row>
    <row r="451">
      <c r="A451" s="2">
        <f>IFERROR(__xludf.DUMMYFUNCTION("""COMPUTED_VALUE"""),45483.73858269676)</f>
        <v>45483.73858</v>
      </c>
      <c r="B451" s="1" t="str">
        <f>IFERROR(__xludf.DUMMYFUNCTION("""COMPUTED_VALUE"""),"Sangeeta ")</f>
        <v>Sangeeta </v>
      </c>
      <c r="C451" s="1">
        <f>IFERROR(__xludf.DUMMYFUNCTION("""COMPUTED_VALUE"""),9.818317374E9)</f>
        <v>9818317374</v>
      </c>
      <c r="D451" s="1">
        <f>IFERROR(__xludf.DUMMYFUNCTION("""COMPUTED_VALUE"""),4.0)</f>
        <v>4</v>
      </c>
      <c r="E451" s="3">
        <f>IFERROR(__xludf.DUMMYFUNCTION("""COMPUTED_VALUE"""),0.5972222222189885)</f>
        <v>0.5972222222</v>
      </c>
      <c r="F451" s="1" t="str">
        <f>IFERROR(__xludf.DUMMYFUNCTION("""COMPUTED_VALUE"""),"Antique Gold")</f>
        <v>Antique Gold</v>
      </c>
      <c r="G451" s="1" t="str">
        <f>IFERROR(__xludf.DUMMYFUNCTION("""COMPUTED_VALUE"""),"Pooja")</f>
        <v>Pooja</v>
      </c>
      <c r="H451" s="1" t="str">
        <f>IFERROR(__xludf.DUMMYFUNCTION("""COMPUTED_VALUE"""),"Matar mama chain,2 diamond ring,gold bali")</f>
        <v>Matar mama chain,2 diamond ring,gold bali</v>
      </c>
      <c r="I451" s="1"/>
      <c r="J451" s="1"/>
      <c r="K451" s="3">
        <f>IFERROR(__xludf.DUMMYFUNCTION("""COMPUTED_VALUE"""),0.703472222223354)</f>
        <v>0.7034722222</v>
      </c>
      <c r="L451" s="1" t="str">
        <f>IFERROR(__xludf.DUMMYFUNCTION("""COMPUTED_VALUE"""),"Yes")</f>
        <v>Yes</v>
      </c>
      <c r="M451" s="1" t="str">
        <f>IFERROR(__xludf.DUMMYFUNCTION("""COMPUTED_VALUE"""),"Already done ")</f>
        <v>Already done </v>
      </c>
      <c r="N451" s="1" t="str">
        <f>IFERROR(__xludf.DUMMYFUNCTION("""COMPUTED_VALUE"""),"Already done ")</f>
        <v>Already done </v>
      </c>
      <c r="O451" s="1" t="str">
        <f>IFERROR(__xludf.DUMMYFUNCTION("""COMPUTED_VALUE"""),"WA ONLY, CALL")</f>
        <v>WA ONLY, CALL</v>
      </c>
      <c r="P451" s="1" t="str">
        <f>IFERROR(__xludf.DUMMYFUNCTION("""COMPUTED_VALUE"""),"Madam")</f>
        <v>Madam</v>
      </c>
      <c r="Q451" s="1" t="str">
        <f>IFERROR(__xludf.DUMMYFUNCTION("""COMPUTED_VALUE"""),"No")</f>
        <v>No</v>
      </c>
      <c r="R451" s="1" t="str">
        <f>IFERROR(__xludf.DUMMYFUNCTION("""COMPUTED_VALUE"""),"OLD")</f>
        <v>OLD</v>
      </c>
      <c r="S451" s="1" t="str">
        <f>IFERROR(__xludf.DUMMYFUNCTION("""COMPUTED_VALUE"""),"Walk in")</f>
        <v>Walk in</v>
      </c>
    </row>
    <row r="452">
      <c r="A452" s="2">
        <f>IFERROR(__xludf.DUMMYFUNCTION("""COMPUTED_VALUE"""),45483.739296493055)</f>
        <v>45483.7393</v>
      </c>
      <c r="B452" s="1" t="str">
        <f>IFERROR(__xludf.DUMMYFUNCTION("""COMPUTED_VALUE"""),"Manjeet")</f>
        <v>Manjeet</v>
      </c>
      <c r="C452" s="1">
        <f>IFERROR(__xludf.DUMMYFUNCTION("""COMPUTED_VALUE"""),9.63705979E8)</f>
        <v>963705979</v>
      </c>
      <c r="D452" s="1">
        <f>IFERROR(__xludf.DUMMYFUNCTION("""COMPUTED_VALUE"""),2.0)</f>
        <v>2</v>
      </c>
      <c r="E452" s="3">
        <f>IFERROR(__xludf.DUMMYFUNCTION("""COMPUTED_VALUE"""),0.5881944444408873)</f>
        <v>0.5881944444</v>
      </c>
      <c r="F452" s="1" t="str">
        <f>IFERROR(__xludf.DUMMYFUNCTION("""COMPUTED_VALUE"""),"Plain Gold")</f>
        <v>Plain Gold</v>
      </c>
      <c r="G452" s="1" t="str">
        <f>IFERROR(__xludf.DUMMYFUNCTION("""COMPUTED_VALUE"""),"Preeti")</f>
        <v>Preeti</v>
      </c>
      <c r="H452" s="1" t="str">
        <f>IFERROR(__xludf.DUMMYFUNCTION("""COMPUTED_VALUE"""),"Gold tops")</f>
        <v>Gold tops</v>
      </c>
      <c r="I452" s="1"/>
      <c r="J452" s="1"/>
      <c r="K452" s="3">
        <f>IFERROR(__xludf.DUMMYFUNCTION("""COMPUTED_VALUE"""),0.6041666666642413)</f>
        <v>0.6041666667</v>
      </c>
      <c r="L452" s="1" t="str">
        <f>IFERROR(__xludf.DUMMYFUNCTION("""COMPUTED_VALUE"""),"Yes")</f>
        <v>Yes</v>
      </c>
      <c r="M452" s="1" t="str">
        <f>IFERROR(__xludf.DUMMYFUNCTION("""COMPUTED_VALUE"""),"Already done ")</f>
        <v>Already done </v>
      </c>
      <c r="N452" s="1" t="str">
        <f>IFERROR(__xludf.DUMMYFUNCTION("""COMPUTED_VALUE"""),"Already done ")</f>
        <v>Already done </v>
      </c>
      <c r="O452" s="1" t="str">
        <f>IFERROR(__xludf.DUMMYFUNCTION("""COMPUTED_VALUE"""),"WA ONLY, CALL")</f>
        <v>WA ONLY, CALL</v>
      </c>
      <c r="P452" s="1" t="str">
        <f>IFERROR(__xludf.DUMMYFUNCTION("""COMPUTED_VALUE"""),"Sir")</f>
        <v>Sir</v>
      </c>
      <c r="Q452" s="1" t="str">
        <f>IFERROR(__xludf.DUMMYFUNCTION("""COMPUTED_VALUE"""),"No")</f>
        <v>No</v>
      </c>
      <c r="R452" s="1" t="str">
        <f>IFERROR(__xludf.DUMMYFUNCTION("""COMPUTED_VALUE"""),"OLD")</f>
        <v>OLD</v>
      </c>
      <c r="S452" s="1" t="str">
        <f>IFERROR(__xludf.DUMMYFUNCTION("""COMPUTED_VALUE"""),"Walk jn")</f>
        <v>Walk jn</v>
      </c>
    </row>
    <row r="453">
      <c r="A453" s="2">
        <f>IFERROR(__xludf.DUMMYFUNCTION("""COMPUTED_VALUE"""),45483.77577378472)</f>
        <v>45483.77577</v>
      </c>
      <c r="B453" s="1" t="str">
        <f>IFERROR(__xludf.DUMMYFUNCTION("""COMPUTED_VALUE"""),"Sayma")</f>
        <v>Sayma</v>
      </c>
      <c r="C453" s="1">
        <f>IFERROR(__xludf.DUMMYFUNCTION("""COMPUTED_VALUE"""),9.717922288E9)</f>
        <v>9717922288</v>
      </c>
      <c r="D453" s="1">
        <f>IFERROR(__xludf.DUMMYFUNCTION("""COMPUTED_VALUE"""),2.0)</f>
        <v>2</v>
      </c>
      <c r="E453" s="3">
        <f>IFERROR(__xludf.DUMMYFUNCTION("""COMPUTED_VALUE"""),0.7548611111124046)</f>
        <v>0.7548611111</v>
      </c>
      <c r="F453" s="1" t="str">
        <f>IFERROR(__xludf.DUMMYFUNCTION("""COMPUTED_VALUE"""),"Antique Gold")</f>
        <v>Antique Gold</v>
      </c>
      <c r="G453" s="1" t="str">
        <f>IFERROR(__xludf.DUMMYFUNCTION("""COMPUTED_VALUE"""),"Pooja")</f>
        <v>Pooja</v>
      </c>
      <c r="H453" s="1"/>
      <c r="I453" s="1" t="str">
        <f>IFERROR(__xludf.DUMMYFUNCTION("""COMPUTED_VALUE"""),"Making High or Wants Discount")</f>
        <v>Making High or Wants Discount</v>
      </c>
      <c r="J453" s="1"/>
      <c r="K453" s="3">
        <f>IFERROR(__xludf.DUMMYFUNCTION("""COMPUTED_VALUE"""),0.7624999999970896)</f>
        <v>0.7625</v>
      </c>
      <c r="L453" s="1" t="str">
        <f>IFERROR(__xludf.DUMMYFUNCTION("""COMPUTED_VALUE"""),"No")</f>
        <v>No</v>
      </c>
      <c r="M453" s="1" t="str">
        <f>IFERROR(__xludf.DUMMYFUNCTION("""COMPUTED_VALUE"""),"No")</f>
        <v>No</v>
      </c>
      <c r="N453" s="1" t="str">
        <f>IFERROR(__xludf.DUMMYFUNCTION("""COMPUTED_VALUE"""),"No")</f>
        <v>No</v>
      </c>
      <c r="O453" s="1" t="str">
        <f>IFERROR(__xludf.DUMMYFUNCTION("""COMPUTED_VALUE"""),"WA ONLY, CALL")</f>
        <v>WA ONLY, CALL</v>
      </c>
      <c r="P453" s="1" t="str">
        <f>IFERROR(__xludf.DUMMYFUNCTION("""COMPUTED_VALUE"""),"Madam")</f>
        <v>Madam</v>
      </c>
      <c r="Q453" s="1" t="str">
        <f>IFERROR(__xludf.DUMMYFUNCTION("""COMPUTED_VALUE"""),"No")</f>
        <v>No</v>
      </c>
      <c r="R453" s="1" t="str">
        <f>IFERROR(__xludf.DUMMYFUNCTION("""COMPUTED_VALUE"""),"NEW WALK IN")</f>
        <v>NEW WALK IN</v>
      </c>
      <c r="S453" s="1" t="str">
        <f>IFERROR(__xludf.DUMMYFUNCTION("""COMPUTED_VALUE"""),"Walk in")</f>
        <v>Walk in</v>
      </c>
    </row>
    <row r="454">
      <c r="A454" s="2">
        <f>IFERROR(__xludf.DUMMYFUNCTION("""COMPUTED_VALUE"""),45485.778403599536)</f>
        <v>45485.7784</v>
      </c>
      <c r="B454" s="1" t="str">
        <f>IFERROR(__xludf.DUMMYFUNCTION("""COMPUTED_VALUE"""),"Kash mishra")</f>
        <v>Kash mishra</v>
      </c>
      <c r="C454" s="1">
        <f>IFERROR(__xludf.DUMMYFUNCTION("""COMPUTED_VALUE"""),8.375069085E9)</f>
        <v>8375069085</v>
      </c>
      <c r="D454" s="1">
        <f>IFERROR(__xludf.DUMMYFUNCTION("""COMPUTED_VALUE"""),2.0)</f>
        <v>2</v>
      </c>
      <c r="E454" s="3">
        <f>IFERROR(__xludf.DUMMYFUNCTION("""COMPUTED_VALUE"""),0.5798611111094942)</f>
        <v>0.5798611111</v>
      </c>
      <c r="F454" s="1" t="str">
        <f>IFERROR(__xludf.DUMMYFUNCTION("""COMPUTED_VALUE"""),"Diamond")</f>
        <v>Diamond</v>
      </c>
      <c r="G454" s="1" t="str">
        <f>IFERROR(__xludf.DUMMYFUNCTION("""COMPUTED_VALUE"""),"Preeti")</f>
        <v>Preeti</v>
      </c>
      <c r="H454" s="1" t="str">
        <f>IFERROR(__xludf.DUMMYFUNCTION("""COMPUTED_VALUE"""),"Diamond tops")</f>
        <v>Diamond tops</v>
      </c>
      <c r="I454" s="1"/>
      <c r="J454" s="1"/>
      <c r="K454" s="3">
        <f>IFERROR(__xludf.DUMMYFUNCTION("""COMPUTED_VALUE"""),0.6319444444452529)</f>
        <v>0.6319444444</v>
      </c>
      <c r="L454" s="1" t="str">
        <f>IFERROR(__xludf.DUMMYFUNCTION("""COMPUTED_VALUE"""),"Yes")</f>
        <v>Yes</v>
      </c>
      <c r="M454" s="1" t="str">
        <f>IFERROR(__xludf.DUMMYFUNCTION("""COMPUTED_VALUE"""),"Not use")</f>
        <v>Not use</v>
      </c>
      <c r="N454" s="1" t="str">
        <f>IFERROR(__xludf.DUMMYFUNCTION("""COMPUTED_VALUE"""),"Not use")</f>
        <v>Not use</v>
      </c>
      <c r="O454" s="1" t="str">
        <f>IFERROR(__xludf.DUMMYFUNCTION("""COMPUTED_VALUE"""),"WA ONLY, CALL")</f>
        <v>WA ONLY, CALL</v>
      </c>
      <c r="P454" s="1" t="str">
        <f>IFERROR(__xludf.DUMMYFUNCTION("""COMPUTED_VALUE"""),"Sir")</f>
        <v>Sir</v>
      </c>
      <c r="Q454" s="1" t="str">
        <f>IFERROR(__xludf.DUMMYFUNCTION("""COMPUTED_VALUE"""),"No")</f>
        <v>No</v>
      </c>
      <c r="R454" s="1" t="str">
        <f>IFERROR(__xludf.DUMMYFUNCTION("""COMPUTED_VALUE"""),"NEW WALK IN")</f>
        <v>NEW WALK IN</v>
      </c>
      <c r="S454" s="1" t="str">
        <f>IFERROR(__xludf.DUMMYFUNCTION("""COMPUTED_VALUE"""),"Walk in")</f>
        <v>Walk in</v>
      </c>
    </row>
    <row r="455">
      <c r="A455" s="2">
        <f>IFERROR(__xludf.DUMMYFUNCTION("""COMPUTED_VALUE"""),45485.779816678245)</f>
        <v>45485.77982</v>
      </c>
      <c r="B455" s="1" t="str">
        <f>IFERROR(__xludf.DUMMYFUNCTION("""COMPUTED_VALUE"""),"Muskan ")</f>
        <v>Muskan </v>
      </c>
      <c r="C455" s="1">
        <f>IFERROR(__xludf.DUMMYFUNCTION("""COMPUTED_VALUE"""),8.376859944E9)</f>
        <v>8376859944</v>
      </c>
      <c r="D455" s="1">
        <f>IFERROR(__xludf.DUMMYFUNCTION("""COMPUTED_VALUE"""),2.0)</f>
        <v>2</v>
      </c>
      <c r="E455" s="3">
        <f>IFERROR(__xludf.DUMMYFUNCTION("""COMPUTED_VALUE"""),0.577777777776646)</f>
        <v>0.5777777778</v>
      </c>
      <c r="F455" s="1" t="str">
        <f>IFERROR(__xludf.DUMMYFUNCTION("""COMPUTED_VALUE"""),"Antique Gold")</f>
        <v>Antique Gold</v>
      </c>
      <c r="G455" s="1" t="str">
        <f>IFERROR(__xludf.DUMMYFUNCTION("""COMPUTED_VALUE"""),"Chhaya")</f>
        <v>Chhaya</v>
      </c>
      <c r="H455" s="1" t="str">
        <f>IFERROR(__xludf.DUMMYFUNCTION("""COMPUTED_VALUE"""),"Gold tops gold kanchain")</f>
        <v>Gold tops gold kanchain</v>
      </c>
      <c r="I455" s="1"/>
      <c r="J455" s="1"/>
      <c r="K455" s="3">
        <f>IFERROR(__xludf.DUMMYFUNCTION("""COMPUTED_VALUE"""),0.6916666666656965)</f>
        <v>0.6916666667</v>
      </c>
      <c r="L455" s="1" t="str">
        <f>IFERROR(__xludf.DUMMYFUNCTION("""COMPUTED_VALUE"""),"Yes")</f>
        <v>Yes</v>
      </c>
      <c r="M455" s="1" t="str">
        <f>IFERROR(__xludf.DUMMYFUNCTION("""COMPUTED_VALUE"""),"Already done ")</f>
        <v>Already done </v>
      </c>
      <c r="N455" s="1" t="str">
        <f>IFERROR(__xludf.DUMMYFUNCTION("""COMPUTED_VALUE"""),"Already done ")</f>
        <v>Already done </v>
      </c>
      <c r="O455" s="1" t="str">
        <f>IFERROR(__xludf.DUMMYFUNCTION("""COMPUTED_VALUE"""),"WA ONLY, CALL")</f>
        <v>WA ONLY, CALL</v>
      </c>
      <c r="P455" s="1" t="str">
        <f>IFERROR(__xludf.DUMMYFUNCTION("""COMPUTED_VALUE"""),"Madam")</f>
        <v>Madam</v>
      </c>
      <c r="Q455" s="1" t="str">
        <f>IFERROR(__xludf.DUMMYFUNCTION("""COMPUTED_VALUE"""),"No")</f>
        <v>No</v>
      </c>
      <c r="R455" s="1" t="str">
        <f>IFERROR(__xludf.DUMMYFUNCTION("""COMPUTED_VALUE"""),"OLD")</f>
        <v>OLD</v>
      </c>
      <c r="S455" s="1" t="str">
        <f>IFERROR(__xludf.DUMMYFUNCTION("""COMPUTED_VALUE"""),"Wlak in")</f>
        <v>Wlak in</v>
      </c>
    </row>
    <row r="456">
      <c r="A456" s="2">
        <f>IFERROR(__xludf.DUMMYFUNCTION("""COMPUTED_VALUE"""),45485.78191042824)</f>
        <v>45485.78191</v>
      </c>
      <c r="B456" s="1" t="str">
        <f>IFERROR(__xludf.DUMMYFUNCTION("""COMPUTED_VALUE"""),"Sayma ")</f>
        <v>Sayma </v>
      </c>
      <c r="C456" s="1">
        <f>IFERROR(__xludf.DUMMYFUNCTION("""COMPUTED_VALUE"""),9.717922288E9)</f>
        <v>9717922288</v>
      </c>
      <c r="D456" s="1">
        <f>IFERROR(__xludf.DUMMYFUNCTION("""COMPUTED_VALUE"""),2.0)</f>
        <v>2</v>
      </c>
      <c r="E456" s="3">
        <f>IFERROR(__xludf.DUMMYFUNCTION("""COMPUTED_VALUE"""),0.7201388888934162)</f>
        <v>0.7201388889</v>
      </c>
      <c r="F456" s="1" t="str">
        <f>IFERROR(__xludf.DUMMYFUNCTION("""COMPUTED_VALUE"""),"Antique Gold")</f>
        <v>Antique Gold</v>
      </c>
      <c r="G456" s="1" t="str">
        <f>IFERROR(__xludf.DUMMYFUNCTION("""COMPUTED_VALUE"""),"Pooja")</f>
        <v>Pooja</v>
      </c>
      <c r="H456" s="1"/>
      <c r="I456" s="1" t="str">
        <f>IFERROR(__xludf.DUMMYFUNCTION("""COMPUTED_VALUE"""),"Making High or Wants Discount")</f>
        <v>Making High or Wants Discount</v>
      </c>
      <c r="J456" s="1"/>
      <c r="K456" s="3">
        <f>IFERROR(__xludf.DUMMYFUNCTION("""COMPUTED_VALUE"""),0.7395833333357587)</f>
        <v>0.7395833333</v>
      </c>
      <c r="L456" s="1" t="str">
        <f>IFERROR(__xludf.DUMMYFUNCTION("""COMPUTED_VALUE"""),"Yes")</f>
        <v>Yes</v>
      </c>
      <c r="M456" s="1" t="str">
        <f>IFERROR(__xludf.DUMMYFUNCTION("""COMPUTED_VALUE"""),"Already done ")</f>
        <v>Already done </v>
      </c>
      <c r="N456" s="1" t="str">
        <f>IFERROR(__xludf.DUMMYFUNCTION("""COMPUTED_VALUE"""),"Already done ")</f>
        <v>Already done </v>
      </c>
      <c r="O456" s="1" t="str">
        <f>IFERROR(__xludf.DUMMYFUNCTION("""COMPUTED_VALUE"""),"WA ONLY, CALL")</f>
        <v>WA ONLY, CALL</v>
      </c>
      <c r="P456" s="1" t="str">
        <f>IFERROR(__xludf.DUMMYFUNCTION("""COMPUTED_VALUE"""),"Madam")</f>
        <v>Madam</v>
      </c>
      <c r="Q456" s="1" t="str">
        <f>IFERROR(__xludf.DUMMYFUNCTION("""COMPUTED_VALUE"""),"No")</f>
        <v>No</v>
      </c>
      <c r="R456" s="1" t="str">
        <f>IFERROR(__xludf.DUMMYFUNCTION("""COMPUTED_VALUE"""),"OLD")</f>
        <v>OLD</v>
      </c>
      <c r="S456" s="1" t="str">
        <f>IFERROR(__xludf.DUMMYFUNCTION("""COMPUTED_VALUE"""),"Walk in ")</f>
        <v>Walk in </v>
      </c>
    </row>
    <row r="457">
      <c r="A457" s="2">
        <f>IFERROR(__xludf.DUMMYFUNCTION("""COMPUTED_VALUE"""),45485.788271736106)</f>
        <v>45485.78827</v>
      </c>
      <c r="B457" s="1" t="str">
        <f>IFERROR(__xludf.DUMMYFUNCTION("""COMPUTED_VALUE"""),"Sundar")</f>
        <v>Sundar</v>
      </c>
      <c r="C457" s="1">
        <f>IFERROR(__xludf.DUMMYFUNCTION("""COMPUTED_VALUE"""),9.899558626E9)</f>
        <v>9899558626</v>
      </c>
      <c r="D457" s="1"/>
      <c r="E457" s="3">
        <f>IFERROR(__xludf.DUMMYFUNCTION("""COMPUTED_VALUE"""),0.5805555555562023)</f>
        <v>0.5805555556</v>
      </c>
      <c r="F457" s="1" t="str">
        <f>IFERROR(__xludf.DUMMYFUNCTION("""COMPUTED_VALUE"""),"Antique Gold")</f>
        <v>Antique Gold</v>
      </c>
      <c r="G457" s="1" t="str">
        <f>IFERROR(__xludf.DUMMYFUNCTION("""COMPUTED_VALUE"""),"Chhaya")</f>
        <v>Chhaya</v>
      </c>
      <c r="H457" s="1" t="str">
        <f>IFERROR(__xludf.DUMMYFUNCTION("""COMPUTED_VALUE"""),"Gold tops")</f>
        <v>Gold tops</v>
      </c>
      <c r="I457" s="1"/>
      <c r="J457" s="1"/>
      <c r="K457" s="3">
        <f>IFERROR(__xludf.DUMMYFUNCTION("""COMPUTED_VALUE"""),0.6930555555591127)</f>
        <v>0.6930555556</v>
      </c>
      <c r="L457" s="1" t="str">
        <f>IFERROR(__xludf.DUMMYFUNCTION("""COMPUTED_VALUE"""),"Yes")</f>
        <v>Yes</v>
      </c>
      <c r="M457" s="1" t="str">
        <f>IFERROR(__xludf.DUMMYFUNCTION("""COMPUTED_VALUE"""),"Already done ")</f>
        <v>Already done </v>
      </c>
      <c r="N457" s="1" t="str">
        <f>IFERROR(__xludf.DUMMYFUNCTION("""COMPUTED_VALUE"""),"Already done ")</f>
        <v>Already done </v>
      </c>
      <c r="O457" s="1" t="str">
        <f>IFERROR(__xludf.DUMMYFUNCTION("""COMPUTED_VALUE"""),"WA ONLY, CALL")</f>
        <v>WA ONLY, CALL</v>
      </c>
      <c r="P457" s="1" t="str">
        <f>IFERROR(__xludf.DUMMYFUNCTION("""COMPUTED_VALUE"""),"Sir")</f>
        <v>Sir</v>
      </c>
      <c r="Q457" s="1" t="str">
        <f>IFERROR(__xludf.DUMMYFUNCTION("""COMPUTED_VALUE"""),"No")</f>
        <v>No</v>
      </c>
      <c r="R457" s="1" t="str">
        <f>IFERROR(__xludf.DUMMYFUNCTION("""COMPUTED_VALUE"""),"OLD")</f>
        <v>OLD</v>
      </c>
      <c r="S457" s="1" t="str">
        <f>IFERROR(__xludf.DUMMYFUNCTION("""COMPUTED_VALUE"""),"Walk in ")</f>
        <v>Walk in </v>
      </c>
    </row>
    <row r="458">
      <c r="A458" s="2">
        <f>IFERROR(__xludf.DUMMYFUNCTION("""COMPUTED_VALUE"""),45485.789488078706)</f>
        <v>45485.78949</v>
      </c>
      <c r="B458" s="1" t="str">
        <f>IFERROR(__xludf.DUMMYFUNCTION("""COMPUTED_VALUE"""),"Rakesh")</f>
        <v>Rakesh</v>
      </c>
      <c r="C458" s="1"/>
      <c r="D458" s="1">
        <f>IFERROR(__xludf.DUMMYFUNCTION("""COMPUTED_VALUE"""),5.0)</f>
        <v>5</v>
      </c>
      <c r="E458" s="3">
        <f>IFERROR(__xludf.DUMMYFUNCTION("""COMPUTED_VALUE"""),0.75)</f>
        <v>0.75</v>
      </c>
      <c r="F458" s="1" t="str">
        <f>IFERROR(__xludf.DUMMYFUNCTION("""COMPUTED_VALUE"""),"Antique Gold")</f>
        <v>Antique Gold</v>
      </c>
      <c r="G458" s="1" t="str">
        <f>IFERROR(__xludf.DUMMYFUNCTION("""COMPUTED_VALUE"""),"Chhaya")</f>
        <v>Chhaya</v>
      </c>
      <c r="H458" s="1" t="str">
        <f>IFERROR(__xludf.DUMMYFUNCTION("""COMPUTED_VALUE"""),"Kids bangles ")</f>
        <v>Kids bangles </v>
      </c>
      <c r="I458" s="1"/>
      <c r="J458" s="1"/>
      <c r="K458" s="3">
        <f>IFERROR(__xludf.DUMMYFUNCTION("""COMPUTED_VALUE"""),0.7729166666686069)</f>
        <v>0.7729166667</v>
      </c>
      <c r="L458" s="1" t="str">
        <f>IFERROR(__xludf.DUMMYFUNCTION("""COMPUTED_VALUE"""),"Yes")</f>
        <v>Yes</v>
      </c>
      <c r="M458" s="1" t="str">
        <f>IFERROR(__xludf.DUMMYFUNCTION("""COMPUTED_VALUE"""),"Already done ")</f>
        <v>Already done </v>
      </c>
      <c r="N458" s="1" t="str">
        <f>IFERROR(__xludf.DUMMYFUNCTION("""COMPUTED_VALUE"""),"Already done ")</f>
        <v>Already done </v>
      </c>
      <c r="O458" s="1" t="str">
        <f>IFERROR(__xludf.DUMMYFUNCTION("""COMPUTED_VALUE"""),"WA ONLY, CALL")</f>
        <v>WA ONLY, CALL</v>
      </c>
      <c r="P458" s="1" t="str">
        <f>IFERROR(__xludf.DUMMYFUNCTION("""COMPUTED_VALUE"""),"Sir")</f>
        <v>Sir</v>
      </c>
      <c r="Q458" s="1" t="str">
        <f>IFERROR(__xludf.DUMMYFUNCTION("""COMPUTED_VALUE"""),"No")</f>
        <v>No</v>
      </c>
      <c r="R458" s="1" t="str">
        <f>IFERROR(__xludf.DUMMYFUNCTION("""COMPUTED_VALUE"""),"OLD")</f>
        <v>OLD</v>
      </c>
      <c r="S458" s="1" t="str">
        <f>IFERROR(__xludf.DUMMYFUNCTION("""COMPUTED_VALUE"""),"Walk in")</f>
        <v>Walk in</v>
      </c>
    </row>
    <row r="459">
      <c r="A459" s="2">
        <f>IFERROR(__xludf.DUMMYFUNCTION("""COMPUTED_VALUE"""),45486.711130497686)</f>
        <v>45486.71113</v>
      </c>
      <c r="B459" s="1" t="str">
        <f>IFERROR(__xludf.DUMMYFUNCTION("""COMPUTED_VALUE"""),"Kush mishra")</f>
        <v>Kush mishra</v>
      </c>
      <c r="C459" s="1">
        <f>IFERROR(__xludf.DUMMYFUNCTION("""COMPUTED_VALUE"""),8.375069085E9)</f>
        <v>8375069085</v>
      </c>
      <c r="D459" s="1">
        <f>IFERROR(__xludf.DUMMYFUNCTION("""COMPUTED_VALUE"""),2.0)</f>
        <v>2</v>
      </c>
      <c r="E459" s="3">
        <f>IFERROR(__xludf.DUMMYFUNCTION("""COMPUTED_VALUE"""),0.5208333333357587)</f>
        <v>0.5208333333</v>
      </c>
      <c r="F459" s="1" t="str">
        <f>IFERROR(__xludf.DUMMYFUNCTION("""COMPUTED_VALUE"""),"Diamond")</f>
        <v>Diamond</v>
      </c>
      <c r="G459" s="1" t="str">
        <f>IFERROR(__xludf.DUMMYFUNCTION("""COMPUTED_VALUE"""),"Preeti")</f>
        <v>Preeti</v>
      </c>
      <c r="H459" s="1"/>
      <c r="I459" s="1" t="str">
        <f>IFERROR(__xludf.DUMMYFUNCTION("""COMPUTED_VALUE"""),"Pick up certificate ")</f>
        <v>Pick up certificate </v>
      </c>
      <c r="J459" s="1"/>
      <c r="K459" s="3">
        <f>IFERROR(__xludf.DUMMYFUNCTION("""COMPUTED_VALUE"""),0.5625)</f>
        <v>0.5625</v>
      </c>
      <c r="L459" s="1" t="str">
        <f>IFERROR(__xludf.DUMMYFUNCTION("""COMPUTED_VALUE"""),"Yes")</f>
        <v>Yes</v>
      </c>
      <c r="M459" s="1" t="str">
        <f>IFERROR(__xludf.DUMMYFUNCTION("""COMPUTED_VALUE"""),"No")</f>
        <v>No</v>
      </c>
      <c r="N459" s="1" t="str">
        <f>IFERROR(__xludf.DUMMYFUNCTION("""COMPUTED_VALUE"""),"Yes")</f>
        <v>Yes</v>
      </c>
      <c r="O459" s="1" t="str">
        <f>IFERROR(__xludf.DUMMYFUNCTION("""COMPUTED_VALUE"""),"WA ONLY, CALL")</f>
        <v>WA ONLY, CALL</v>
      </c>
      <c r="P459" s="1" t="str">
        <f>IFERROR(__xludf.DUMMYFUNCTION("""COMPUTED_VALUE"""),"Sir")</f>
        <v>Sir</v>
      </c>
      <c r="Q459" s="1" t="str">
        <f>IFERROR(__xludf.DUMMYFUNCTION("""COMPUTED_VALUE"""),"No")</f>
        <v>No</v>
      </c>
      <c r="R459" s="1" t="str">
        <f>IFERROR(__xludf.DUMMYFUNCTION("""COMPUTED_VALUE"""),"NEW WALK IN")</f>
        <v>NEW WALK IN</v>
      </c>
      <c r="S459" s="1" t="str">
        <f>IFERROR(__xludf.DUMMYFUNCTION("""COMPUTED_VALUE"""),"Walk in")</f>
        <v>Walk in</v>
      </c>
    </row>
    <row r="460">
      <c r="A460" s="2">
        <f>IFERROR(__xludf.DUMMYFUNCTION("""COMPUTED_VALUE"""),45486.711851203705)</f>
        <v>45486.71185</v>
      </c>
      <c r="B460" s="1" t="str">
        <f>IFERROR(__xludf.DUMMYFUNCTION("""COMPUTED_VALUE"""),"Manjuran")</f>
        <v>Manjuran</v>
      </c>
      <c r="C460" s="1">
        <f>IFERROR(__xludf.DUMMYFUNCTION("""COMPUTED_VALUE"""),7.006027017E9)</f>
        <v>7006027017</v>
      </c>
      <c r="D460" s="1">
        <f>IFERROR(__xludf.DUMMYFUNCTION("""COMPUTED_VALUE"""),1.0)</f>
        <v>1</v>
      </c>
      <c r="E460" s="3">
        <f>IFERROR(__xludf.DUMMYFUNCTION("""COMPUTED_VALUE"""),0.6458333333357587)</f>
        <v>0.6458333333</v>
      </c>
      <c r="F460" s="1" t="str">
        <f>IFERROR(__xludf.DUMMYFUNCTION("""COMPUTED_VALUE"""),"Plain Gold")</f>
        <v>Plain Gold</v>
      </c>
      <c r="G460" s="1" t="str">
        <f>IFERROR(__xludf.DUMMYFUNCTION("""COMPUTED_VALUE"""),"Deepali")</f>
        <v>Deepali</v>
      </c>
      <c r="H460" s="1"/>
      <c r="I460" s="1" t="str">
        <f>IFERROR(__xludf.DUMMYFUNCTION("""COMPUTED_VALUE"""),"Visit Again in 1 Month")</f>
        <v>Visit Again in 1 Month</v>
      </c>
      <c r="J460" s="1"/>
      <c r="K460" s="3">
        <f>IFERROR(__xludf.DUMMYFUNCTION("""COMPUTED_VALUE"""),0.6631944444452529)</f>
        <v>0.6631944444</v>
      </c>
      <c r="L460" s="1" t="str">
        <f>IFERROR(__xludf.DUMMYFUNCTION("""COMPUTED_VALUE"""),"No")</f>
        <v>No</v>
      </c>
      <c r="M460" s="1" t="str">
        <f>IFERROR(__xludf.DUMMYFUNCTION("""COMPUTED_VALUE"""),"No")</f>
        <v>No</v>
      </c>
      <c r="N460" s="1" t="str">
        <f>IFERROR(__xludf.DUMMYFUNCTION("""COMPUTED_VALUE"""),"No")</f>
        <v>No</v>
      </c>
      <c r="O460" s="1" t="str">
        <f>IFERROR(__xludf.DUMMYFUNCTION("""COMPUTED_VALUE"""),"WA ONLY, CALL")</f>
        <v>WA ONLY, CALL</v>
      </c>
      <c r="P460" s="1" t="str">
        <f>IFERROR(__xludf.DUMMYFUNCTION("""COMPUTED_VALUE"""),"Sir")</f>
        <v>Sir</v>
      </c>
      <c r="Q460" s="1" t="str">
        <f>IFERROR(__xludf.DUMMYFUNCTION("""COMPUTED_VALUE"""),"No")</f>
        <v>No</v>
      </c>
      <c r="R460" s="1" t="str">
        <f>IFERROR(__xludf.DUMMYFUNCTION("""COMPUTED_VALUE"""),"NEW WALK IN")</f>
        <v>NEW WALK IN</v>
      </c>
      <c r="S460" s="1" t="str">
        <f>IFERROR(__xludf.DUMMYFUNCTION("""COMPUTED_VALUE"""),"Walk in")</f>
        <v>Walk in</v>
      </c>
    </row>
    <row r="461">
      <c r="A461" s="2">
        <f>IFERROR(__xludf.DUMMYFUNCTION("""COMPUTED_VALUE"""),45487.79287655093)</f>
        <v>45487.79288</v>
      </c>
      <c r="B461" s="1" t="str">
        <f>IFERROR(__xludf.DUMMYFUNCTION("""COMPUTED_VALUE"""),"Riya")</f>
        <v>Riya</v>
      </c>
      <c r="C461" s="1">
        <f>IFERROR(__xludf.DUMMYFUNCTION("""COMPUTED_VALUE"""),7.739146597E9)</f>
        <v>7739146597</v>
      </c>
      <c r="D461" s="1">
        <f>IFERROR(__xludf.DUMMYFUNCTION("""COMPUTED_VALUE"""),1.0)</f>
        <v>1</v>
      </c>
      <c r="E461" s="3">
        <f>IFERROR(__xludf.DUMMYFUNCTION("""COMPUTED_VALUE"""),0.5277777777810115)</f>
        <v>0.5277777778</v>
      </c>
      <c r="F461" s="1" t="str">
        <f>IFERROR(__xludf.DUMMYFUNCTION("""COMPUTED_VALUE"""),"Plain Gold")</f>
        <v>Plain Gold</v>
      </c>
      <c r="G461" s="1" t="str">
        <f>IFERROR(__xludf.DUMMYFUNCTION("""COMPUTED_VALUE"""),"Tannu")</f>
        <v>Tannu</v>
      </c>
      <c r="H461" s="1" t="str">
        <f>IFERROR(__xludf.DUMMYFUNCTION("""COMPUTED_VALUE"""),"Gold breslet ")</f>
        <v>Gold breslet </v>
      </c>
      <c r="I461" s="1"/>
      <c r="J461" s="1"/>
      <c r="K461" s="3">
        <f>IFERROR(__xludf.DUMMYFUNCTION("""COMPUTED_VALUE"""),0.5743055555576575)</f>
        <v>0.5743055556</v>
      </c>
      <c r="L461" s="1" t="str">
        <f>IFERROR(__xludf.DUMMYFUNCTION("""COMPUTED_VALUE"""),"Yes")</f>
        <v>Yes</v>
      </c>
      <c r="M461" s="1" t="str">
        <f>IFERROR(__xludf.DUMMYFUNCTION("""COMPUTED_VALUE"""),"Yes")</f>
        <v>Yes</v>
      </c>
      <c r="N461" s="1" t="str">
        <f>IFERROR(__xludf.DUMMYFUNCTION("""COMPUTED_VALUE"""),"Yes")</f>
        <v>Yes</v>
      </c>
      <c r="O461" s="1" t="str">
        <f>IFERROR(__xludf.DUMMYFUNCTION("""COMPUTED_VALUE"""),"WA ONLY, CALL")</f>
        <v>WA ONLY, CALL</v>
      </c>
      <c r="P461" s="1" t="str">
        <f>IFERROR(__xludf.DUMMYFUNCTION("""COMPUTED_VALUE"""),"Madam")</f>
        <v>Madam</v>
      </c>
      <c r="Q461" s="1" t="str">
        <f>IFERROR(__xludf.DUMMYFUNCTION("""COMPUTED_VALUE"""),"No")</f>
        <v>No</v>
      </c>
      <c r="R461" s="1" t="str">
        <f>IFERROR(__xludf.DUMMYFUNCTION("""COMPUTED_VALUE"""),"NEW WALK IN")</f>
        <v>NEW WALK IN</v>
      </c>
      <c r="S461" s="1" t="str">
        <f>IFERROR(__xludf.DUMMYFUNCTION("""COMPUTED_VALUE"""),"Walk in")</f>
        <v>Walk in</v>
      </c>
    </row>
    <row r="462">
      <c r="A462" s="2">
        <f>IFERROR(__xludf.DUMMYFUNCTION("""COMPUTED_VALUE"""),45487.79359002315)</f>
        <v>45487.79359</v>
      </c>
      <c r="B462" s="1" t="str">
        <f>IFERROR(__xludf.DUMMYFUNCTION("""COMPUTED_VALUE"""),"Varun")</f>
        <v>Varun</v>
      </c>
      <c r="C462" s="1"/>
      <c r="D462" s="1">
        <f>IFERROR(__xludf.DUMMYFUNCTION("""COMPUTED_VALUE"""),1.0)</f>
        <v>1</v>
      </c>
      <c r="E462" s="3">
        <f>IFERROR(__xludf.DUMMYFUNCTION("""COMPUTED_VALUE"""),0.7249999999985448)</f>
        <v>0.725</v>
      </c>
      <c r="F462" s="1" t="str">
        <f>IFERROR(__xludf.DUMMYFUNCTION("""COMPUTED_VALUE"""),"Plain Gold")</f>
        <v>Plain Gold</v>
      </c>
      <c r="G462" s="1" t="str">
        <f>IFERROR(__xludf.DUMMYFUNCTION("""COMPUTED_VALUE"""),"Chhaya")</f>
        <v>Chhaya</v>
      </c>
      <c r="H462" s="1"/>
      <c r="I462" s="1" t="str">
        <f>IFERROR(__xludf.DUMMYFUNCTION("""COMPUTED_VALUE"""),"Visit Again in 1 Month")</f>
        <v>Visit Again in 1 Month</v>
      </c>
      <c r="J462" s="1"/>
      <c r="K462" s="3">
        <f>IFERROR(__xludf.DUMMYFUNCTION("""COMPUTED_VALUE"""),0.7534722222189885)</f>
        <v>0.7534722222</v>
      </c>
      <c r="L462" s="1" t="str">
        <f>IFERROR(__xludf.DUMMYFUNCTION("""COMPUTED_VALUE"""),"Yes")</f>
        <v>Yes</v>
      </c>
      <c r="M462" s="1" t="str">
        <f>IFERROR(__xludf.DUMMYFUNCTION("""COMPUTED_VALUE"""),"Already done ")</f>
        <v>Already done </v>
      </c>
      <c r="N462" s="1" t="str">
        <f>IFERROR(__xludf.DUMMYFUNCTION("""COMPUTED_VALUE"""),"Already done ")</f>
        <v>Already done </v>
      </c>
      <c r="O462" s="1" t="str">
        <f>IFERROR(__xludf.DUMMYFUNCTION("""COMPUTED_VALUE"""),"WA ONLY, CALL")</f>
        <v>WA ONLY, CALL</v>
      </c>
      <c r="P462" s="1" t="str">
        <f>IFERROR(__xludf.DUMMYFUNCTION("""COMPUTED_VALUE"""),"Sir")</f>
        <v>Sir</v>
      </c>
      <c r="Q462" s="1" t="str">
        <f>IFERROR(__xludf.DUMMYFUNCTION("""COMPUTED_VALUE"""),"No")</f>
        <v>No</v>
      </c>
      <c r="R462" s="1" t="str">
        <f>IFERROR(__xludf.DUMMYFUNCTION("""COMPUTED_VALUE"""),"OLD")</f>
        <v>OLD</v>
      </c>
      <c r="S462" s="1"/>
    </row>
    <row r="463">
      <c r="A463" s="2">
        <f>IFERROR(__xludf.DUMMYFUNCTION("""COMPUTED_VALUE"""),45487.79463694444)</f>
        <v>45487.79464</v>
      </c>
      <c r="B463" s="1" t="str">
        <f>IFERROR(__xludf.DUMMYFUNCTION("""COMPUTED_VALUE"""),"Meenakshi ")</f>
        <v>Meenakshi </v>
      </c>
      <c r="C463" s="1">
        <f>IFERROR(__xludf.DUMMYFUNCTION("""COMPUTED_VALUE"""),9.654632324E9)</f>
        <v>9654632324</v>
      </c>
      <c r="D463" s="1">
        <f>IFERROR(__xludf.DUMMYFUNCTION("""COMPUTED_VALUE"""),3.0)</f>
        <v>3</v>
      </c>
      <c r="E463" s="3">
        <f>IFERROR(__xludf.DUMMYFUNCTION("""COMPUTED_VALUE"""),0.7381944444423425)</f>
        <v>0.7381944444</v>
      </c>
      <c r="F463" s="1" t="str">
        <f>IFERROR(__xludf.DUMMYFUNCTION("""COMPUTED_VALUE"""),"Antique Gold")</f>
        <v>Antique Gold</v>
      </c>
      <c r="G463" s="1" t="str">
        <f>IFERROR(__xludf.DUMMYFUNCTION("""COMPUTED_VALUE"""),"Pooja")</f>
        <v>Pooja</v>
      </c>
      <c r="H463" s="1" t="str">
        <f>IFERROR(__xludf.DUMMYFUNCTION("""COMPUTED_VALUE"""),"Gold coin")</f>
        <v>Gold coin</v>
      </c>
      <c r="I463" s="1"/>
      <c r="J463" s="1"/>
      <c r="K463" s="3">
        <f>IFERROR(__xludf.DUMMYFUNCTION("""COMPUTED_VALUE"""),0.7604166666642413)</f>
        <v>0.7604166667</v>
      </c>
      <c r="L463" s="1" t="str">
        <f>IFERROR(__xludf.DUMMYFUNCTION("""COMPUTED_VALUE"""),"Yes")</f>
        <v>Yes</v>
      </c>
      <c r="M463" s="1" t="str">
        <f>IFERROR(__xludf.DUMMYFUNCTION("""COMPUTED_VALUE"""),"Yes")</f>
        <v>Yes</v>
      </c>
      <c r="N463" s="1" t="str">
        <f>IFERROR(__xludf.DUMMYFUNCTION("""COMPUTED_VALUE"""),"Yes")</f>
        <v>Yes</v>
      </c>
      <c r="O463" s="1" t="str">
        <f>IFERROR(__xludf.DUMMYFUNCTION("""COMPUTED_VALUE"""),"WA ONLY, CALL")</f>
        <v>WA ONLY, CALL</v>
      </c>
      <c r="P463" s="1" t="str">
        <f>IFERROR(__xludf.DUMMYFUNCTION("""COMPUTED_VALUE"""),"Madam")</f>
        <v>Madam</v>
      </c>
      <c r="Q463" s="1" t="str">
        <f>IFERROR(__xludf.DUMMYFUNCTION("""COMPUTED_VALUE"""),"No")</f>
        <v>No</v>
      </c>
      <c r="R463" s="1" t="str">
        <f>IFERROR(__xludf.DUMMYFUNCTION("""COMPUTED_VALUE"""),"NEW WALK IN")</f>
        <v>NEW WALK IN</v>
      </c>
      <c r="S463" s="1" t="str">
        <f>IFERROR(__xludf.DUMMYFUNCTION("""COMPUTED_VALUE"""),"Walk in")</f>
        <v>Walk in</v>
      </c>
    </row>
    <row r="464">
      <c r="A464" s="2">
        <f>IFERROR(__xludf.DUMMYFUNCTION("""COMPUTED_VALUE"""),45487.79617099537)</f>
        <v>45487.79617</v>
      </c>
      <c r="B464" s="1" t="str">
        <f>IFERROR(__xludf.DUMMYFUNCTION("""COMPUTED_VALUE"""),"Sunita jain")</f>
        <v>Sunita jain</v>
      </c>
      <c r="C464" s="1">
        <f>IFERROR(__xludf.DUMMYFUNCTION("""COMPUTED_VALUE"""),9.873245333E9)</f>
        <v>9873245333</v>
      </c>
      <c r="D464" s="1">
        <f>IFERROR(__xludf.DUMMYFUNCTION("""COMPUTED_VALUE"""),5.0)</f>
        <v>5</v>
      </c>
      <c r="E464" s="3">
        <f>IFERROR(__xludf.DUMMYFUNCTION("""COMPUTED_VALUE"""),0.5416666666642413)</f>
        <v>0.5416666667</v>
      </c>
      <c r="F464" s="1" t="str">
        <f>IFERROR(__xludf.DUMMYFUNCTION("""COMPUTED_VALUE"""),"Diamond")</f>
        <v>Diamond</v>
      </c>
      <c r="G464" s="1" t="str">
        <f>IFERROR(__xludf.DUMMYFUNCTION("""COMPUTED_VALUE"""),"Preeti")</f>
        <v>Preeti</v>
      </c>
      <c r="H464" s="1" t="str">
        <f>IFERROR(__xludf.DUMMYFUNCTION("""COMPUTED_VALUE"""),"Dilver bichhiya,2 pair silver payal")</f>
        <v>Dilver bichhiya,2 pair silver payal</v>
      </c>
      <c r="I464" s="1"/>
      <c r="J464" s="1"/>
      <c r="K464" s="3">
        <f>IFERROR(__xludf.DUMMYFUNCTION("""COMPUTED_VALUE"""),0.6263888888934162)</f>
        <v>0.6263888889</v>
      </c>
      <c r="L464" s="1" t="str">
        <f>IFERROR(__xludf.DUMMYFUNCTION("""COMPUTED_VALUE"""),"Yes")</f>
        <v>Yes</v>
      </c>
      <c r="M464" s="1" t="str">
        <f>IFERROR(__xludf.DUMMYFUNCTION("""COMPUTED_VALUE"""),"Already done ")</f>
        <v>Already done </v>
      </c>
      <c r="N464" s="1" t="str">
        <f>IFERROR(__xludf.DUMMYFUNCTION("""COMPUTED_VALUE"""),"Already done ")</f>
        <v>Already done </v>
      </c>
      <c r="O464" s="1" t="str">
        <f>IFERROR(__xludf.DUMMYFUNCTION("""COMPUTED_VALUE"""),"WA ONLY, CALL")</f>
        <v>WA ONLY, CALL</v>
      </c>
      <c r="P464" s="1" t="str">
        <f>IFERROR(__xludf.DUMMYFUNCTION("""COMPUTED_VALUE"""),"Madam")</f>
        <v>Madam</v>
      </c>
      <c r="Q464" s="1" t="str">
        <f>IFERROR(__xludf.DUMMYFUNCTION("""COMPUTED_VALUE"""),"No")</f>
        <v>No</v>
      </c>
      <c r="R464" s="1" t="str">
        <f>IFERROR(__xludf.DUMMYFUNCTION("""COMPUTED_VALUE"""),"OLD")</f>
        <v>OLD</v>
      </c>
      <c r="S464" s="1" t="str">
        <f>IFERROR(__xludf.DUMMYFUNCTION("""COMPUTED_VALUE"""),"Walk in")</f>
        <v>Walk in</v>
      </c>
    </row>
    <row r="465">
      <c r="A465" s="2">
        <f>IFERROR(__xludf.DUMMYFUNCTION("""COMPUTED_VALUE"""),45487.805729513886)</f>
        <v>45487.80573</v>
      </c>
      <c r="B465" s="1" t="str">
        <f>IFERROR(__xludf.DUMMYFUNCTION("""COMPUTED_VALUE"""),"Sandhaya")</f>
        <v>Sandhaya</v>
      </c>
      <c r="C465" s="1">
        <f>IFERROR(__xludf.DUMMYFUNCTION("""COMPUTED_VALUE"""),8.839886774E9)</f>
        <v>8839886774</v>
      </c>
      <c r="D465" s="1">
        <f>IFERROR(__xludf.DUMMYFUNCTION("""COMPUTED_VALUE"""),1.0)</f>
        <v>1</v>
      </c>
      <c r="E465" s="3">
        <f>IFERROR(__xludf.DUMMYFUNCTION("""COMPUTED_VALUE"""),0.7916666666642413)</f>
        <v>0.7916666667</v>
      </c>
      <c r="F465" s="1" t="str">
        <f>IFERROR(__xludf.DUMMYFUNCTION("""COMPUTED_VALUE"""),"Plain Gold")</f>
        <v>Plain Gold</v>
      </c>
      <c r="G465" s="1" t="str">
        <f>IFERROR(__xludf.DUMMYFUNCTION("""COMPUTED_VALUE"""),"Tannu")</f>
        <v>Tannu</v>
      </c>
      <c r="H465" s="1" t="str">
        <f>IFERROR(__xludf.DUMMYFUNCTION("""COMPUTED_VALUE"""),"Gold nose pin")</f>
        <v>Gold nose pin</v>
      </c>
      <c r="I465" s="1"/>
      <c r="J465" s="1"/>
      <c r="K465" s="3">
        <f>IFERROR(__xludf.DUMMYFUNCTION("""COMPUTED_VALUE"""),0.8090277777810115)</f>
        <v>0.8090277778</v>
      </c>
      <c r="L465" s="1" t="str">
        <f>IFERROR(__xludf.DUMMYFUNCTION("""COMPUTED_VALUE"""),"Yes")</f>
        <v>Yes</v>
      </c>
      <c r="M465" s="1" t="str">
        <f>IFERROR(__xludf.DUMMYFUNCTION("""COMPUTED_VALUE"""),"Yes")</f>
        <v>Yes</v>
      </c>
      <c r="N465" s="1" t="str">
        <f>IFERROR(__xludf.DUMMYFUNCTION("""COMPUTED_VALUE"""),"Yes")</f>
        <v>Yes</v>
      </c>
      <c r="O465" s="1" t="str">
        <f>IFERROR(__xludf.DUMMYFUNCTION("""COMPUTED_VALUE"""),"WA ONLY, CALL")</f>
        <v>WA ONLY, CALL</v>
      </c>
      <c r="P465" s="1" t="str">
        <f>IFERROR(__xludf.DUMMYFUNCTION("""COMPUTED_VALUE"""),"Madam")</f>
        <v>Madam</v>
      </c>
      <c r="Q465" s="1" t="str">
        <f>IFERROR(__xludf.DUMMYFUNCTION("""COMPUTED_VALUE"""),"No")</f>
        <v>No</v>
      </c>
      <c r="R465" s="1" t="str">
        <f>IFERROR(__xludf.DUMMYFUNCTION("""COMPUTED_VALUE"""),"NEW WALK IN")</f>
        <v>NEW WALK IN</v>
      </c>
      <c r="S465" s="1" t="str">
        <f>IFERROR(__xludf.DUMMYFUNCTION("""COMPUTED_VALUE"""),"Walk in")</f>
        <v>Walk in</v>
      </c>
    </row>
    <row r="466">
      <c r="A466" s="2">
        <f>IFERROR(__xludf.DUMMYFUNCTION("""COMPUTED_VALUE"""),45491.75300109954)</f>
        <v>45491.753</v>
      </c>
      <c r="B466" s="1" t="str">
        <f>IFERROR(__xludf.DUMMYFUNCTION("""COMPUTED_VALUE"""),"Snuradha")</f>
        <v>Snuradha</v>
      </c>
      <c r="C466" s="1">
        <f>IFERROR(__xludf.DUMMYFUNCTION("""COMPUTED_VALUE"""),9.797406789E9)</f>
        <v>9797406789</v>
      </c>
      <c r="D466" s="1">
        <f>IFERROR(__xludf.DUMMYFUNCTION("""COMPUTED_VALUE"""),3.0)</f>
        <v>3</v>
      </c>
      <c r="E466" s="3">
        <f>IFERROR(__xludf.DUMMYFUNCTION("""COMPUTED_VALUE"""),0.5104166666642413)</f>
        <v>0.5104166667</v>
      </c>
      <c r="F466" s="1" t="str">
        <f>IFERROR(__xludf.DUMMYFUNCTION("""COMPUTED_VALUE"""),"Antique Gold")</f>
        <v>Antique Gold</v>
      </c>
      <c r="G466" s="1" t="str">
        <f>IFERROR(__xludf.DUMMYFUNCTION("""COMPUTED_VALUE"""),"Chhaya")</f>
        <v>Chhaya</v>
      </c>
      <c r="H466" s="1" t="str">
        <f>IFERROR(__xludf.DUMMYFUNCTION("""COMPUTED_VALUE"""),"Gold choksr,silver payal,bichhiya,gold ring,chain,bangles ")</f>
        <v>Gold choksr,silver payal,bichhiya,gold ring,chain,bangles </v>
      </c>
      <c r="I466" s="1"/>
      <c r="J466" s="1"/>
      <c r="K466" s="3">
        <f>IFERROR(__xludf.DUMMYFUNCTION("""COMPUTED_VALUE"""),0.7361111111094942)</f>
        <v>0.7361111111</v>
      </c>
      <c r="L466" s="1" t="str">
        <f>IFERROR(__xludf.DUMMYFUNCTION("""COMPUTED_VALUE"""),"Yes")</f>
        <v>Yes</v>
      </c>
      <c r="M466" s="1" t="str">
        <f>IFERROR(__xludf.DUMMYFUNCTION("""COMPUTED_VALUE"""),"Already done ")</f>
        <v>Already done </v>
      </c>
      <c r="N466" s="1" t="str">
        <f>IFERROR(__xludf.DUMMYFUNCTION("""COMPUTED_VALUE"""),"Already done ")</f>
        <v>Already done </v>
      </c>
      <c r="O466" s="1" t="str">
        <f>IFERROR(__xludf.DUMMYFUNCTION("""COMPUTED_VALUE"""),"WA ONLY, OWNER CONTACT ONLY, CALL")</f>
        <v>WA ONLY, OWNER CONTACT ONLY, CALL</v>
      </c>
      <c r="P466" s="1" t="str">
        <f>IFERROR(__xludf.DUMMYFUNCTION("""COMPUTED_VALUE"""),"Madam")</f>
        <v>Madam</v>
      </c>
      <c r="Q466" s="1" t="str">
        <f>IFERROR(__xludf.DUMMYFUNCTION("""COMPUTED_VALUE"""),"No")</f>
        <v>No</v>
      </c>
      <c r="R466" s="1" t="str">
        <f>IFERROR(__xludf.DUMMYFUNCTION("""COMPUTED_VALUE"""),"OLD")</f>
        <v>OLD</v>
      </c>
      <c r="S466" s="1" t="str">
        <f>IFERROR(__xludf.DUMMYFUNCTION("""COMPUTED_VALUE"""),"Seema mam")</f>
        <v>Seema mam</v>
      </c>
    </row>
    <row r="467">
      <c r="A467" s="2">
        <f>IFERROR(__xludf.DUMMYFUNCTION("""COMPUTED_VALUE"""),45491.75551628473)</f>
        <v>45491.75552</v>
      </c>
      <c r="B467" s="1" t="str">
        <f>IFERROR(__xludf.DUMMYFUNCTION("""COMPUTED_VALUE"""),"Geeta")</f>
        <v>Geeta</v>
      </c>
      <c r="C467" s="1">
        <f>IFERROR(__xludf.DUMMYFUNCTION("""COMPUTED_VALUE"""),8.130477446E9)</f>
        <v>8130477446</v>
      </c>
      <c r="D467" s="1">
        <f>IFERROR(__xludf.DUMMYFUNCTION("""COMPUTED_VALUE"""),2.0)</f>
        <v>2</v>
      </c>
      <c r="E467" s="3">
        <f>IFERROR(__xludf.DUMMYFUNCTION("""COMPUTED_VALUE"""),0.6222222222204437)</f>
        <v>0.6222222222</v>
      </c>
      <c r="F467" s="1" t="str">
        <f>IFERROR(__xludf.DUMMYFUNCTION("""COMPUTED_VALUE"""),"Plain Gold")</f>
        <v>Plain Gold</v>
      </c>
      <c r="G467" s="1" t="str">
        <f>IFERROR(__xludf.DUMMYFUNCTION("""COMPUTED_VALUE"""),"Pooja")</f>
        <v>Pooja</v>
      </c>
      <c r="H467" s="1" t="str">
        <f>IFERROR(__xludf.DUMMYFUNCTION("""COMPUTED_VALUE"""),"Antique gold bangles order ")</f>
        <v>Antique gold bangles order </v>
      </c>
      <c r="I467" s="1"/>
      <c r="J467" s="1"/>
      <c r="K467" s="3">
        <f>IFERROR(__xludf.DUMMYFUNCTION("""COMPUTED_VALUE"""),0.7513888888934162)</f>
        <v>0.7513888889</v>
      </c>
      <c r="L467" s="1" t="str">
        <f>IFERROR(__xludf.DUMMYFUNCTION("""COMPUTED_VALUE"""),"Yes")</f>
        <v>Yes</v>
      </c>
      <c r="M467" s="1" t="str">
        <f>IFERROR(__xludf.DUMMYFUNCTION("""COMPUTED_VALUE"""),"Already done ")</f>
        <v>Already done </v>
      </c>
      <c r="N467" s="1" t="str">
        <f>IFERROR(__xludf.DUMMYFUNCTION("""COMPUTED_VALUE"""),"Already done ")</f>
        <v>Already done </v>
      </c>
      <c r="O467" s="1" t="str">
        <f>IFERROR(__xludf.DUMMYFUNCTION("""COMPUTED_VALUE"""),"WA ONLY, CALL")</f>
        <v>WA ONLY, CALL</v>
      </c>
      <c r="P467" s="1" t="str">
        <f>IFERROR(__xludf.DUMMYFUNCTION("""COMPUTED_VALUE"""),"Madam")</f>
        <v>Madam</v>
      </c>
      <c r="Q467" s="1" t="str">
        <f>IFERROR(__xludf.DUMMYFUNCTION("""COMPUTED_VALUE"""),"No")</f>
        <v>No</v>
      </c>
      <c r="R467" s="1" t="str">
        <f>IFERROR(__xludf.DUMMYFUNCTION("""COMPUTED_VALUE"""),"OLD")</f>
        <v>OLD</v>
      </c>
      <c r="S467" s="1" t="str">
        <f>IFERROR(__xludf.DUMMYFUNCTION("""COMPUTED_VALUE"""),"Walk in")</f>
        <v>Walk in</v>
      </c>
    </row>
    <row r="468">
      <c r="A468" s="2">
        <f>IFERROR(__xludf.DUMMYFUNCTION("""COMPUTED_VALUE"""),45492.76044865741)</f>
        <v>45492.76045</v>
      </c>
      <c r="B468" s="1" t="str">
        <f>IFERROR(__xludf.DUMMYFUNCTION("""COMPUTED_VALUE"""),"Sunghanda")</f>
        <v>Sunghanda</v>
      </c>
      <c r="C468" s="1">
        <f>IFERROR(__xludf.DUMMYFUNCTION("""COMPUTED_VALUE"""),9.560184299E9)</f>
        <v>9560184299</v>
      </c>
      <c r="D468" s="1">
        <f>IFERROR(__xludf.DUMMYFUNCTION("""COMPUTED_VALUE"""),1.0)</f>
        <v>1</v>
      </c>
      <c r="E468" s="3">
        <f>IFERROR(__xludf.DUMMYFUNCTION("""COMPUTED_VALUE"""),0.6506944444408873)</f>
        <v>0.6506944444</v>
      </c>
      <c r="F468" s="1" t="str">
        <f>IFERROR(__xludf.DUMMYFUNCTION("""COMPUTED_VALUE"""),"Antique Gold")</f>
        <v>Antique Gold</v>
      </c>
      <c r="G468" s="1" t="str">
        <f>IFERROR(__xludf.DUMMYFUNCTION("""COMPUTED_VALUE"""),"Chhaya")</f>
        <v>Chhaya</v>
      </c>
      <c r="H468" s="1" t="str">
        <f>IFERROR(__xludf.DUMMYFUNCTION("""COMPUTED_VALUE"""),"Gold bangle")</f>
        <v>Gold bangle</v>
      </c>
      <c r="I468" s="1"/>
      <c r="J468" s="1"/>
      <c r="K468" s="3">
        <f>IFERROR(__xludf.DUMMYFUNCTION("""COMPUTED_VALUE"""),0.671527777776646)</f>
        <v>0.6715277778</v>
      </c>
      <c r="L468" s="1" t="str">
        <f>IFERROR(__xludf.DUMMYFUNCTION("""COMPUTED_VALUE"""),"Yes")</f>
        <v>Yes</v>
      </c>
      <c r="M468" s="1" t="str">
        <f>IFERROR(__xludf.DUMMYFUNCTION("""COMPUTED_VALUE"""),"Already done ")</f>
        <v>Already done </v>
      </c>
      <c r="N468" s="1" t="str">
        <f>IFERROR(__xludf.DUMMYFUNCTION("""COMPUTED_VALUE"""),"Already done ")</f>
        <v>Already done </v>
      </c>
      <c r="O468" s="1" t="str">
        <f>IFERROR(__xludf.DUMMYFUNCTION("""COMPUTED_VALUE"""),"WA ONLY, CALL")</f>
        <v>WA ONLY, CALL</v>
      </c>
      <c r="P468" s="1" t="str">
        <f>IFERROR(__xludf.DUMMYFUNCTION("""COMPUTED_VALUE"""),"Madam")</f>
        <v>Madam</v>
      </c>
      <c r="Q468" s="1" t="str">
        <f>IFERROR(__xludf.DUMMYFUNCTION("""COMPUTED_VALUE"""),"No")</f>
        <v>No</v>
      </c>
      <c r="R468" s="1" t="str">
        <f>IFERROR(__xludf.DUMMYFUNCTION("""COMPUTED_VALUE"""),"OLD")</f>
        <v>OLD</v>
      </c>
      <c r="S468" s="1" t="str">
        <f>IFERROR(__xludf.DUMMYFUNCTION("""COMPUTED_VALUE"""),"Walk in")</f>
        <v>Walk in</v>
      </c>
    </row>
    <row r="469">
      <c r="A469" s="2">
        <f>IFERROR(__xludf.DUMMYFUNCTION("""COMPUTED_VALUE"""),45492.812761423615)</f>
        <v>45492.81276</v>
      </c>
      <c r="B469" s="1" t="str">
        <f>IFERROR(__xludf.DUMMYFUNCTION("""COMPUTED_VALUE"""),"Shivani sharma")</f>
        <v>Shivani sharma</v>
      </c>
      <c r="C469" s="1">
        <f>IFERROR(__xludf.DUMMYFUNCTION("""COMPUTED_VALUE"""),9.453263463E9)</f>
        <v>9453263463</v>
      </c>
      <c r="D469" s="1">
        <f>IFERROR(__xludf.DUMMYFUNCTION("""COMPUTED_VALUE"""),2.0)</f>
        <v>2</v>
      </c>
      <c r="E469" s="3">
        <f>IFERROR(__xludf.DUMMYFUNCTION("""COMPUTED_VALUE"""),0.7916666666642413)</f>
        <v>0.7916666667</v>
      </c>
      <c r="F469" s="1" t="str">
        <f>IFERROR(__xludf.DUMMYFUNCTION("""COMPUTED_VALUE"""),"Plain Gold")</f>
        <v>Plain Gold</v>
      </c>
      <c r="G469" s="1" t="str">
        <f>IFERROR(__xludf.DUMMYFUNCTION("""COMPUTED_VALUE"""),"Chhaya")</f>
        <v>Chhaya</v>
      </c>
      <c r="H469" s="1" t="str">
        <f>IFERROR(__xludf.DUMMYFUNCTION("""COMPUTED_VALUE"""),"Silver chain")</f>
        <v>Silver chain</v>
      </c>
      <c r="I469" s="1"/>
      <c r="J469" s="1"/>
      <c r="K469" s="3">
        <f>IFERROR(__xludf.DUMMYFUNCTION("""COMPUTED_VALUE"""),0.8090277777810115)</f>
        <v>0.8090277778</v>
      </c>
      <c r="L469" s="1" t="str">
        <f>IFERROR(__xludf.DUMMYFUNCTION("""COMPUTED_VALUE"""),"Yes")</f>
        <v>Yes</v>
      </c>
      <c r="M469" s="1" t="str">
        <f>IFERROR(__xludf.DUMMYFUNCTION("""COMPUTED_VALUE"""),"Yes")</f>
        <v>Yes</v>
      </c>
      <c r="N469" s="1" t="str">
        <f>IFERROR(__xludf.DUMMYFUNCTION("""COMPUTED_VALUE"""),"Yes")</f>
        <v>Yes</v>
      </c>
      <c r="O469" s="1" t="str">
        <f>IFERROR(__xludf.DUMMYFUNCTION("""COMPUTED_VALUE"""),"WA ONLY, CALL")</f>
        <v>WA ONLY, CALL</v>
      </c>
      <c r="P469" s="1" t="str">
        <f>IFERROR(__xludf.DUMMYFUNCTION("""COMPUTED_VALUE"""),"Madam")</f>
        <v>Madam</v>
      </c>
      <c r="Q469" s="1" t="str">
        <f>IFERROR(__xludf.DUMMYFUNCTION("""COMPUTED_VALUE"""),"No")</f>
        <v>No</v>
      </c>
      <c r="R469" s="1" t="str">
        <f>IFERROR(__xludf.DUMMYFUNCTION("""COMPUTED_VALUE"""),"NEW WALK IN")</f>
        <v>NEW WALK IN</v>
      </c>
      <c r="S469" s="1" t="str">
        <f>IFERROR(__xludf.DUMMYFUNCTION("""COMPUTED_VALUE"""),"Walk in")</f>
        <v>Walk in</v>
      </c>
    </row>
    <row r="470">
      <c r="A470" s="2">
        <f>IFERROR(__xludf.DUMMYFUNCTION("""COMPUTED_VALUE"""),45493.66129607639)</f>
        <v>45493.6613</v>
      </c>
      <c r="B470" s="1" t="str">
        <f>IFERROR(__xludf.DUMMYFUNCTION("""COMPUTED_VALUE"""),"Swati")</f>
        <v>Swati</v>
      </c>
      <c r="C470" s="1">
        <f>IFERROR(__xludf.DUMMYFUNCTION("""COMPUTED_VALUE"""),8.307241298E9)</f>
        <v>8307241298</v>
      </c>
      <c r="D470" s="1">
        <f>IFERROR(__xludf.DUMMYFUNCTION("""COMPUTED_VALUE"""),2.0)</f>
        <v>2</v>
      </c>
      <c r="E470" s="3">
        <f>IFERROR(__xludf.DUMMYFUNCTION("""COMPUTED_VALUE"""),0.49097222222189885)</f>
        <v>0.4909722222</v>
      </c>
      <c r="F470" s="1" t="str">
        <f>IFERROR(__xludf.DUMMYFUNCTION("""COMPUTED_VALUE"""),"Antique Gold")</f>
        <v>Antique Gold</v>
      </c>
      <c r="G470" s="1" t="str">
        <f>IFERROR(__xludf.DUMMYFUNCTION("""COMPUTED_VALUE"""),"Pooja")</f>
        <v>Pooja</v>
      </c>
      <c r="H470" s="1" t="str">
        <f>IFERROR(__xludf.DUMMYFUNCTION("""COMPUTED_VALUE"""),"Antique gold jhumki")</f>
        <v>Antique gold jhumki</v>
      </c>
      <c r="I470" s="1"/>
      <c r="J470" s="1"/>
      <c r="K470" s="3">
        <f>IFERROR(__xludf.DUMMYFUNCTION("""COMPUTED_VALUE"""),0.6305555555591127)</f>
        <v>0.6305555556</v>
      </c>
      <c r="L470" s="1" t="str">
        <f>IFERROR(__xludf.DUMMYFUNCTION("""COMPUTED_VALUE"""),"Yes")</f>
        <v>Yes</v>
      </c>
      <c r="M470" s="1" t="str">
        <f>IFERROR(__xludf.DUMMYFUNCTION("""COMPUTED_VALUE"""),"Already done ")</f>
        <v>Already done </v>
      </c>
      <c r="N470" s="1" t="str">
        <f>IFERROR(__xludf.DUMMYFUNCTION("""COMPUTED_VALUE"""),"Already done ")</f>
        <v>Already done </v>
      </c>
      <c r="O470" s="1" t="str">
        <f>IFERROR(__xludf.DUMMYFUNCTION("""COMPUTED_VALUE"""),"WA ONLY, CALL")</f>
        <v>WA ONLY, CALL</v>
      </c>
      <c r="P470" s="1" t="str">
        <f>IFERROR(__xludf.DUMMYFUNCTION("""COMPUTED_VALUE"""),"Madam")</f>
        <v>Madam</v>
      </c>
      <c r="Q470" s="1" t="str">
        <f>IFERROR(__xludf.DUMMYFUNCTION("""COMPUTED_VALUE"""),"No")</f>
        <v>No</v>
      </c>
      <c r="R470" s="1" t="str">
        <f>IFERROR(__xludf.DUMMYFUNCTION("""COMPUTED_VALUE"""),"OLD")</f>
        <v>OLD</v>
      </c>
      <c r="S470" s="1" t="str">
        <f>IFERROR(__xludf.DUMMYFUNCTION("""COMPUTED_VALUE"""),"Walk in")</f>
        <v>Walk in</v>
      </c>
    </row>
    <row r="471">
      <c r="A471" s="2">
        <f>IFERROR(__xludf.DUMMYFUNCTION("""COMPUTED_VALUE"""),45493.761648831016)</f>
        <v>45493.76165</v>
      </c>
      <c r="B471" s="1" t="str">
        <f>IFERROR(__xludf.DUMMYFUNCTION("""COMPUTED_VALUE"""),"Neetu mehta")</f>
        <v>Neetu mehta</v>
      </c>
      <c r="C471" s="1">
        <f>IFERROR(__xludf.DUMMYFUNCTION("""COMPUTED_VALUE"""),8.92009204E9)</f>
        <v>8920092040</v>
      </c>
      <c r="D471" s="1">
        <f>IFERROR(__xludf.DUMMYFUNCTION("""COMPUTED_VALUE"""),2.0)</f>
        <v>2</v>
      </c>
      <c r="E471" s="3">
        <f>IFERROR(__xludf.DUMMYFUNCTION("""COMPUTED_VALUE"""),0.7291666666642413)</f>
        <v>0.7291666667</v>
      </c>
      <c r="F471" s="1" t="str">
        <f>IFERROR(__xludf.DUMMYFUNCTION("""COMPUTED_VALUE"""),"Diamond")</f>
        <v>Diamond</v>
      </c>
      <c r="G471" s="1" t="str">
        <f>IFERROR(__xludf.DUMMYFUNCTION("""COMPUTED_VALUE"""),"Preeti")</f>
        <v>Preeti</v>
      </c>
      <c r="H471" s="1"/>
      <c r="I471" s="1" t="str">
        <f>IFERROR(__xludf.DUMMYFUNCTION("""COMPUTED_VALUE"""),"Want to see More Variety")</f>
        <v>Want to see More Variety</v>
      </c>
      <c r="J471" s="1"/>
      <c r="K471" s="3">
        <f>IFERROR(__xludf.DUMMYFUNCTION("""COMPUTED_VALUE"""),0.7409722222218988)</f>
        <v>0.7409722222</v>
      </c>
      <c r="L471" s="1" t="str">
        <f>IFERROR(__xludf.DUMMYFUNCTION("""COMPUTED_VALUE"""),"Yes")</f>
        <v>Yes</v>
      </c>
      <c r="M471" s="1" t="str">
        <f>IFERROR(__xludf.DUMMYFUNCTION("""COMPUTED_VALUE"""),"Already done ")</f>
        <v>Already done </v>
      </c>
      <c r="N471" s="1" t="str">
        <f>IFERROR(__xludf.DUMMYFUNCTION("""COMPUTED_VALUE"""),"Already done ")</f>
        <v>Already done </v>
      </c>
      <c r="O471" s="1" t="str">
        <f>IFERROR(__xludf.DUMMYFUNCTION("""COMPUTED_VALUE"""),"WA ONLY, CALL")</f>
        <v>WA ONLY, CALL</v>
      </c>
      <c r="P471" s="1" t="str">
        <f>IFERROR(__xludf.DUMMYFUNCTION("""COMPUTED_VALUE"""),"Madam")</f>
        <v>Madam</v>
      </c>
      <c r="Q471" s="1" t="str">
        <f>IFERROR(__xludf.DUMMYFUNCTION("""COMPUTED_VALUE"""),"No")</f>
        <v>No</v>
      </c>
      <c r="R471" s="1" t="str">
        <f>IFERROR(__xludf.DUMMYFUNCTION("""COMPUTED_VALUE"""),"OLD")</f>
        <v>OLD</v>
      </c>
      <c r="S471" s="1" t="str">
        <f>IFERROR(__xludf.DUMMYFUNCTION("""COMPUTED_VALUE"""),"Walk in")</f>
        <v>Walk in</v>
      </c>
    </row>
    <row r="472">
      <c r="A472" s="2">
        <f>IFERROR(__xludf.DUMMYFUNCTION("""COMPUTED_VALUE"""),45493.76886322917)</f>
        <v>45493.76886</v>
      </c>
      <c r="B472" s="1" t="str">
        <f>IFERROR(__xludf.DUMMYFUNCTION("""COMPUTED_VALUE"""),"Sapna varma")</f>
        <v>Sapna varma</v>
      </c>
      <c r="C472" s="1">
        <f>IFERROR(__xludf.DUMMYFUNCTION("""COMPUTED_VALUE"""),8.373954151E9)</f>
        <v>8373954151</v>
      </c>
      <c r="D472" s="1">
        <f>IFERROR(__xludf.DUMMYFUNCTION("""COMPUTED_VALUE"""),2.0)</f>
        <v>2</v>
      </c>
      <c r="E472" s="3">
        <f>IFERROR(__xludf.DUMMYFUNCTION("""COMPUTED_VALUE"""),0.6972222222248092)</f>
        <v>0.6972222222</v>
      </c>
      <c r="F472" s="1" t="str">
        <f>IFERROR(__xludf.DUMMYFUNCTION("""COMPUTED_VALUE"""),"Antique Gold")</f>
        <v>Antique Gold</v>
      </c>
      <c r="G472" s="1" t="str">
        <f>IFERROR(__xludf.DUMMYFUNCTION("""COMPUTED_VALUE"""),"Pooja")</f>
        <v>Pooja</v>
      </c>
      <c r="H472" s="1" t="str">
        <f>IFERROR(__xludf.DUMMYFUNCTION("""COMPUTED_VALUE"""),"Gents kada order ")</f>
        <v>Gents kada order </v>
      </c>
      <c r="I472" s="1"/>
      <c r="J472" s="1"/>
      <c r="K472" s="3">
        <f>IFERROR(__xludf.DUMMYFUNCTION("""COMPUTED_VALUE"""),0.7666666666627862)</f>
        <v>0.7666666667</v>
      </c>
      <c r="L472" s="1" t="str">
        <f>IFERROR(__xludf.DUMMYFUNCTION("""COMPUTED_VALUE"""),"Yes")</f>
        <v>Yes</v>
      </c>
      <c r="M472" s="1" t="str">
        <f>IFERROR(__xludf.DUMMYFUNCTION("""COMPUTED_VALUE"""),"Already done ")</f>
        <v>Already done </v>
      </c>
      <c r="N472" s="1" t="str">
        <f>IFERROR(__xludf.DUMMYFUNCTION("""COMPUTED_VALUE"""),"Already done ")</f>
        <v>Already done </v>
      </c>
      <c r="O472" s="1" t="str">
        <f>IFERROR(__xludf.DUMMYFUNCTION("""COMPUTED_VALUE"""),"WA ONLY, CALL")</f>
        <v>WA ONLY, CALL</v>
      </c>
      <c r="P472" s="1" t="str">
        <f>IFERROR(__xludf.DUMMYFUNCTION("""COMPUTED_VALUE"""),"Madam")</f>
        <v>Madam</v>
      </c>
      <c r="Q472" s="1" t="str">
        <f>IFERROR(__xludf.DUMMYFUNCTION("""COMPUTED_VALUE"""),"No")</f>
        <v>No</v>
      </c>
      <c r="R472" s="1" t="str">
        <f>IFERROR(__xludf.DUMMYFUNCTION("""COMPUTED_VALUE"""),"NEW WALK IN")</f>
        <v>NEW WALK IN</v>
      </c>
      <c r="S472" s="1" t="str">
        <f>IFERROR(__xludf.DUMMYFUNCTION("""COMPUTED_VALUE"""),"Walk in")</f>
        <v>Walk in</v>
      </c>
    </row>
    <row r="473">
      <c r="A473" s="2">
        <f>IFERROR(__xludf.DUMMYFUNCTION("""COMPUTED_VALUE"""),45494.78614924768)</f>
        <v>45494.78615</v>
      </c>
      <c r="B473" s="1" t="str">
        <f>IFERROR(__xludf.DUMMYFUNCTION("""COMPUTED_VALUE"""),"Vanshika ")</f>
        <v>Vanshika </v>
      </c>
      <c r="C473" s="1">
        <f>IFERROR(__xludf.DUMMYFUNCTION("""COMPUTED_VALUE"""),9.069461111E9)</f>
        <v>9069461111</v>
      </c>
      <c r="D473" s="1">
        <f>IFERROR(__xludf.DUMMYFUNCTION("""COMPUTED_VALUE"""),2.0)</f>
        <v>2</v>
      </c>
      <c r="E473" s="3">
        <f>IFERROR(__xludf.DUMMYFUNCTION("""COMPUTED_VALUE"""),0.6354166666642413)</f>
        <v>0.6354166667</v>
      </c>
      <c r="F473" s="1" t="str">
        <f>IFERROR(__xludf.DUMMYFUNCTION("""COMPUTED_VALUE"""),"Diamond")</f>
        <v>Diamond</v>
      </c>
      <c r="G473" s="1" t="str">
        <f>IFERROR(__xludf.DUMMYFUNCTION("""COMPUTED_VALUE"""),"Preeti")</f>
        <v>Preeti</v>
      </c>
      <c r="H473" s="1"/>
      <c r="I473" s="1" t="str">
        <f>IFERROR(__xludf.DUMMYFUNCTION("""COMPUTED_VALUE"""),"Kitty payment done ")</f>
        <v>Kitty payment done </v>
      </c>
      <c r="J473" s="1"/>
      <c r="K473" s="3">
        <f>IFERROR(__xludf.DUMMYFUNCTION("""COMPUTED_VALUE"""),0.6875)</f>
        <v>0.6875</v>
      </c>
      <c r="L473" s="1" t="str">
        <f>IFERROR(__xludf.DUMMYFUNCTION("""COMPUTED_VALUE"""),"Yes")</f>
        <v>Yes</v>
      </c>
      <c r="M473" s="1" t="str">
        <f>IFERROR(__xludf.DUMMYFUNCTION("""COMPUTED_VALUE"""),"Already done ")</f>
        <v>Already done </v>
      </c>
      <c r="N473" s="1" t="str">
        <f>IFERROR(__xludf.DUMMYFUNCTION("""COMPUTED_VALUE"""),"Already done ")</f>
        <v>Already done </v>
      </c>
      <c r="O473" s="1" t="str">
        <f>IFERROR(__xludf.DUMMYFUNCTION("""COMPUTED_VALUE"""),"WA ONLY, CALL")</f>
        <v>WA ONLY, CALL</v>
      </c>
      <c r="P473" s="1" t="str">
        <f>IFERROR(__xludf.DUMMYFUNCTION("""COMPUTED_VALUE"""),"Madam")</f>
        <v>Madam</v>
      </c>
      <c r="Q473" s="1" t="str">
        <f>IFERROR(__xludf.DUMMYFUNCTION("""COMPUTED_VALUE"""),"No")</f>
        <v>No</v>
      </c>
      <c r="R473" s="1" t="str">
        <f>IFERROR(__xludf.DUMMYFUNCTION("""COMPUTED_VALUE"""),"OLD")</f>
        <v>OLD</v>
      </c>
      <c r="S473" s="1"/>
    </row>
    <row r="474">
      <c r="A474" s="2">
        <f>IFERROR(__xludf.DUMMYFUNCTION("""COMPUTED_VALUE"""),45494.811044988426)</f>
        <v>45494.81104</v>
      </c>
      <c r="B474" s="1" t="str">
        <f>IFERROR(__xludf.DUMMYFUNCTION("""COMPUTED_VALUE"""),"Priyanka malik")</f>
        <v>Priyanka malik</v>
      </c>
      <c r="C474" s="1">
        <f>IFERROR(__xludf.DUMMYFUNCTION("""COMPUTED_VALUE"""),9.871939022E9)</f>
        <v>9871939022</v>
      </c>
      <c r="D474" s="1">
        <f>IFERROR(__xludf.DUMMYFUNCTION("""COMPUTED_VALUE"""),2.0)</f>
        <v>2</v>
      </c>
      <c r="E474" s="3">
        <f>IFERROR(__xludf.DUMMYFUNCTION("""COMPUTED_VALUE"""),0.6354166666642413)</f>
        <v>0.6354166667</v>
      </c>
      <c r="F474" s="1" t="str">
        <f>IFERROR(__xludf.DUMMYFUNCTION("""COMPUTED_VALUE"""),"Diamond")</f>
        <v>Diamond</v>
      </c>
      <c r="G474" s="1" t="str">
        <f>IFERROR(__xludf.DUMMYFUNCTION("""COMPUTED_VALUE"""),"Preeti")</f>
        <v>Preeti</v>
      </c>
      <c r="H474" s="1"/>
      <c r="I474" s="1" t="str">
        <f>IFERROR(__xludf.DUMMYFUNCTION("""COMPUTED_VALUE"""),"Repair done")</f>
        <v>Repair done</v>
      </c>
      <c r="J474" s="1"/>
      <c r="K474" s="3">
        <f>IFERROR(__xludf.DUMMYFUNCTION("""COMPUTED_VALUE"""),0.6875)</f>
        <v>0.6875</v>
      </c>
      <c r="L474" s="1" t="str">
        <f>IFERROR(__xludf.DUMMYFUNCTION("""COMPUTED_VALUE"""),"Yes")</f>
        <v>Yes</v>
      </c>
      <c r="M474" s="1" t="str">
        <f>IFERROR(__xludf.DUMMYFUNCTION("""COMPUTED_VALUE"""),"Already done ")</f>
        <v>Already done </v>
      </c>
      <c r="N474" s="1" t="str">
        <f>IFERROR(__xludf.DUMMYFUNCTION("""COMPUTED_VALUE"""),"Already done ")</f>
        <v>Already done </v>
      </c>
      <c r="O474" s="1" t="str">
        <f>IFERROR(__xludf.DUMMYFUNCTION("""COMPUTED_VALUE"""),"WA ONLY, CALL")</f>
        <v>WA ONLY, CALL</v>
      </c>
      <c r="P474" s="1" t="str">
        <f>IFERROR(__xludf.DUMMYFUNCTION("""COMPUTED_VALUE"""),"Madam")</f>
        <v>Madam</v>
      </c>
      <c r="Q474" s="1" t="str">
        <f>IFERROR(__xludf.DUMMYFUNCTION("""COMPUTED_VALUE"""),"No")</f>
        <v>No</v>
      </c>
      <c r="R474" s="1" t="str">
        <f>IFERROR(__xludf.DUMMYFUNCTION("""COMPUTED_VALUE"""),"OLD")</f>
        <v>OLD</v>
      </c>
      <c r="S474" s="1"/>
    </row>
    <row r="475">
      <c r="A475" s="2">
        <f>IFERROR(__xludf.DUMMYFUNCTION("""COMPUTED_VALUE"""),45494.812096724534)</f>
        <v>45494.8121</v>
      </c>
      <c r="B475" s="1" t="str">
        <f>IFERROR(__xludf.DUMMYFUNCTION("""COMPUTED_VALUE"""),"Anil kumar")</f>
        <v>Anil kumar</v>
      </c>
      <c r="C475" s="1">
        <f>IFERROR(__xludf.DUMMYFUNCTION("""COMPUTED_VALUE"""),9.914703643E9)</f>
        <v>9914703643</v>
      </c>
      <c r="D475" s="1">
        <f>IFERROR(__xludf.DUMMYFUNCTION("""COMPUTED_VALUE"""),3.0)</f>
        <v>3</v>
      </c>
      <c r="E475" s="3">
        <f>IFERROR(__xludf.DUMMYFUNCTION("""COMPUTED_VALUE"""),0.7083333333357587)</f>
        <v>0.7083333333</v>
      </c>
      <c r="F475" s="1" t="str">
        <f>IFERROR(__xludf.DUMMYFUNCTION("""COMPUTED_VALUE"""),"Diamond")</f>
        <v>Diamond</v>
      </c>
      <c r="G475" s="1" t="str">
        <f>IFERROR(__xludf.DUMMYFUNCTION("""COMPUTED_VALUE"""),"Preeti")</f>
        <v>Preeti</v>
      </c>
      <c r="H475" s="1" t="str">
        <f>IFERROR(__xludf.DUMMYFUNCTION("""COMPUTED_VALUE"""),"Diamond tops")</f>
        <v>Diamond tops</v>
      </c>
      <c r="I475" s="1"/>
      <c r="J475" s="1"/>
      <c r="K475" s="3">
        <f>IFERROR(__xludf.DUMMYFUNCTION("""COMPUTED_VALUE"""),0.75)</f>
        <v>0.75</v>
      </c>
      <c r="L475" s="1" t="str">
        <f>IFERROR(__xludf.DUMMYFUNCTION("""COMPUTED_VALUE"""),"Yes")</f>
        <v>Yes</v>
      </c>
      <c r="M475" s="1" t="str">
        <f>IFERROR(__xludf.DUMMYFUNCTION("""COMPUTED_VALUE"""),"Already done ")</f>
        <v>Already done </v>
      </c>
      <c r="N475" s="1" t="str">
        <f>IFERROR(__xludf.DUMMYFUNCTION("""COMPUTED_VALUE"""),"Already done ")</f>
        <v>Already done </v>
      </c>
      <c r="O475" s="1" t="str">
        <f>IFERROR(__xludf.DUMMYFUNCTION("""COMPUTED_VALUE"""),"WA ONLY, CALL")</f>
        <v>WA ONLY, CALL</v>
      </c>
      <c r="P475" s="1" t="str">
        <f>IFERROR(__xludf.DUMMYFUNCTION("""COMPUTED_VALUE"""),"Sir")</f>
        <v>Sir</v>
      </c>
      <c r="Q475" s="1" t="str">
        <f>IFERROR(__xludf.DUMMYFUNCTION("""COMPUTED_VALUE"""),"No")</f>
        <v>No</v>
      </c>
      <c r="R475" s="1" t="str">
        <f>IFERROR(__xludf.DUMMYFUNCTION("""COMPUTED_VALUE"""),"OLD")</f>
        <v>OLD</v>
      </c>
      <c r="S475" s="1"/>
    </row>
    <row r="476">
      <c r="A476" s="2">
        <f>IFERROR(__xludf.DUMMYFUNCTION("""COMPUTED_VALUE"""),45494.81430696759)</f>
        <v>45494.81431</v>
      </c>
      <c r="B476" s="1" t="str">
        <f>IFERROR(__xludf.DUMMYFUNCTION("""COMPUTED_VALUE"""),"Varun")</f>
        <v>Varun</v>
      </c>
      <c r="C476" s="1">
        <f>IFERROR(__xludf.DUMMYFUNCTION("""COMPUTED_VALUE"""),9.711538399E9)</f>
        <v>9711538399</v>
      </c>
      <c r="D476" s="1">
        <f>IFERROR(__xludf.DUMMYFUNCTION("""COMPUTED_VALUE"""),4.0)</f>
        <v>4</v>
      </c>
      <c r="E476" s="3">
        <f>IFERROR(__xludf.DUMMYFUNCTION("""COMPUTED_VALUE"""),0.7159722222204437)</f>
        <v>0.7159722222</v>
      </c>
      <c r="F476" s="1" t="str">
        <f>IFERROR(__xludf.DUMMYFUNCTION("""COMPUTED_VALUE"""),"Plain Gold")</f>
        <v>Plain Gold</v>
      </c>
      <c r="G476" s="1" t="str">
        <f>IFERROR(__xludf.DUMMYFUNCTION("""COMPUTED_VALUE"""),"Tannu")</f>
        <v>Tannu</v>
      </c>
      <c r="H476" s="1" t="str">
        <f>IFERROR(__xludf.DUMMYFUNCTION("""COMPUTED_VALUE"""),"Gold chain,gold choker ")</f>
        <v>Gold chain,gold choker </v>
      </c>
      <c r="I476" s="1"/>
      <c r="J476" s="1"/>
      <c r="K476" s="3">
        <f>IFERROR(__xludf.DUMMYFUNCTION("""COMPUTED_VALUE"""),0.8125)</f>
        <v>0.8125</v>
      </c>
      <c r="L476" s="1" t="str">
        <f>IFERROR(__xludf.DUMMYFUNCTION("""COMPUTED_VALUE"""),"Yes")</f>
        <v>Yes</v>
      </c>
      <c r="M476" s="1" t="str">
        <f>IFERROR(__xludf.DUMMYFUNCTION("""COMPUTED_VALUE"""),"Yes")</f>
        <v>Yes</v>
      </c>
      <c r="N476" s="1" t="str">
        <f>IFERROR(__xludf.DUMMYFUNCTION("""COMPUTED_VALUE"""),"Yes")</f>
        <v>Yes</v>
      </c>
      <c r="O476" s="1" t="str">
        <f>IFERROR(__xludf.DUMMYFUNCTION("""COMPUTED_VALUE"""),"WA ONLY, CALL")</f>
        <v>WA ONLY, CALL</v>
      </c>
      <c r="P476" s="1" t="str">
        <f>IFERROR(__xludf.DUMMYFUNCTION("""COMPUTED_VALUE"""),"Sir")</f>
        <v>Sir</v>
      </c>
      <c r="Q476" s="1" t="str">
        <f>IFERROR(__xludf.DUMMYFUNCTION("""COMPUTED_VALUE"""),"Yes")</f>
        <v>Yes</v>
      </c>
      <c r="R476" s="1" t="str">
        <f>IFERROR(__xludf.DUMMYFUNCTION("""COMPUTED_VALUE"""),"OLD")</f>
        <v>OLD</v>
      </c>
      <c r="S476" s="1"/>
    </row>
    <row r="477">
      <c r="A477" s="2">
        <f>IFERROR(__xludf.DUMMYFUNCTION("""COMPUTED_VALUE"""),45494.815014120366)</f>
        <v>45494.81501</v>
      </c>
      <c r="B477" s="1" t="str">
        <f>IFERROR(__xludf.DUMMYFUNCTION("""COMPUTED_VALUE"""),"Soni")</f>
        <v>Soni</v>
      </c>
      <c r="C477" s="1">
        <f>IFERROR(__xludf.DUMMYFUNCTION("""COMPUTED_VALUE"""),9.319387993E9)</f>
        <v>9319387993</v>
      </c>
      <c r="D477" s="1">
        <f>IFERROR(__xludf.DUMMYFUNCTION("""COMPUTED_VALUE"""),2.0)</f>
        <v>2</v>
      </c>
      <c r="E477" s="3">
        <f>IFERROR(__xludf.DUMMYFUNCTION("""COMPUTED_VALUE"""),0.796527777776646)</f>
        <v>0.7965277778</v>
      </c>
      <c r="F477" s="1" t="str">
        <f>IFERROR(__xludf.DUMMYFUNCTION("""COMPUTED_VALUE"""),"Diamond")</f>
        <v>Diamond</v>
      </c>
      <c r="G477" s="1" t="str">
        <f>IFERROR(__xludf.DUMMYFUNCTION("""COMPUTED_VALUE"""),"Deepali")</f>
        <v>Deepali</v>
      </c>
      <c r="H477" s="1"/>
      <c r="I477" s="1" t="str">
        <f>IFERROR(__xludf.DUMMYFUNCTION("""COMPUTED_VALUE"""),"Will ask family and come with them")</f>
        <v>Will ask family and come with them</v>
      </c>
      <c r="J477" s="1"/>
      <c r="K477" s="3">
        <f>IFERROR(__xludf.DUMMYFUNCTION("""COMPUTED_VALUE"""),0.8041666666686069)</f>
        <v>0.8041666667</v>
      </c>
      <c r="L477" s="1" t="str">
        <f>IFERROR(__xludf.DUMMYFUNCTION("""COMPUTED_VALUE"""),"No")</f>
        <v>No</v>
      </c>
      <c r="M477" s="1" t="str">
        <f>IFERROR(__xludf.DUMMYFUNCTION("""COMPUTED_VALUE"""),"No")</f>
        <v>No</v>
      </c>
      <c r="N477" s="1" t="str">
        <f>IFERROR(__xludf.DUMMYFUNCTION("""COMPUTED_VALUE"""),"No")</f>
        <v>No</v>
      </c>
      <c r="O477" s="1" t="str">
        <f>IFERROR(__xludf.DUMMYFUNCTION("""COMPUTED_VALUE"""),"WA ONLY, CALL")</f>
        <v>WA ONLY, CALL</v>
      </c>
      <c r="P477" s="1" t="str">
        <f>IFERROR(__xludf.DUMMYFUNCTION("""COMPUTED_VALUE"""),"Madam")</f>
        <v>Madam</v>
      </c>
      <c r="Q477" s="1" t="str">
        <f>IFERROR(__xludf.DUMMYFUNCTION("""COMPUTED_VALUE"""),"No")</f>
        <v>No</v>
      </c>
      <c r="R477" s="1" t="str">
        <f>IFERROR(__xludf.DUMMYFUNCTION("""COMPUTED_VALUE"""),"NEW WALK IN")</f>
        <v>NEW WALK IN</v>
      </c>
      <c r="S477" s="1"/>
    </row>
    <row r="478">
      <c r="A478" s="2">
        <f>IFERROR(__xludf.DUMMYFUNCTION("""COMPUTED_VALUE"""),45494.839155127316)</f>
        <v>45494.83916</v>
      </c>
      <c r="B478" s="1" t="str">
        <f>IFERROR(__xludf.DUMMYFUNCTION("""COMPUTED_VALUE"""),"Prerna")</f>
        <v>Prerna</v>
      </c>
      <c r="C478" s="1">
        <f>IFERROR(__xludf.DUMMYFUNCTION("""COMPUTED_VALUE"""),9.971250669E9)</f>
        <v>9971250669</v>
      </c>
      <c r="D478" s="1">
        <f>IFERROR(__xludf.DUMMYFUNCTION("""COMPUTED_VALUE"""),4.0)</f>
        <v>4</v>
      </c>
      <c r="E478" s="3">
        <f>IFERROR(__xludf.DUMMYFUNCTION("""COMPUTED_VALUE"""),0.7097222222218988)</f>
        <v>0.7097222222</v>
      </c>
      <c r="F478" s="1" t="str">
        <f>IFERROR(__xludf.DUMMYFUNCTION("""COMPUTED_VALUE"""),"Antique Gold")</f>
        <v>Antique Gold</v>
      </c>
      <c r="G478" s="1" t="str">
        <f>IFERROR(__xludf.DUMMYFUNCTION("""COMPUTED_VALUE"""),"Pooja")</f>
        <v>Pooja</v>
      </c>
      <c r="H478" s="1" t="str">
        <f>IFERROR(__xludf.DUMMYFUNCTION("""COMPUTED_VALUE"""),"Gold set,diamond ring")</f>
        <v>Gold set,diamond ring</v>
      </c>
      <c r="I478" s="1"/>
      <c r="J478" s="1"/>
      <c r="K478" s="3">
        <f>IFERROR(__xludf.DUMMYFUNCTION("""COMPUTED_VALUE"""),0.8381944444408873)</f>
        <v>0.8381944444</v>
      </c>
      <c r="L478" s="1" t="str">
        <f>IFERROR(__xludf.DUMMYFUNCTION("""COMPUTED_VALUE"""),"Yes")</f>
        <v>Yes</v>
      </c>
      <c r="M478" s="1" t="str">
        <f>IFERROR(__xludf.DUMMYFUNCTION("""COMPUTED_VALUE"""),"es")</f>
        <v>es</v>
      </c>
      <c r="N478" s="1"/>
      <c r="O478" s="1" t="str">
        <f>IFERROR(__xludf.DUMMYFUNCTION("""COMPUTED_VALUE"""),"WA ONLY, CALL")</f>
        <v>WA ONLY, CALL</v>
      </c>
      <c r="P478" s="1" t="str">
        <f>IFERROR(__xludf.DUMMYFUNCTION("""COMPUTED_VALUE"""),"Sir")</f>
        <v>Sir</v>
      </c>
      <c r="Q478" s="1" t="str">
        <f>IFERROR(__xludf.DUMMYFUNCTION("""COMPUTED_VALUE"""),"No")</f>
        <v>No</v>
      </c>
      <c r="R478" s="1" t="str">
        <f>IFERROR(__xludf.DUMMYFUNCTION("""COMPUTED_VALUE"""),"NEW WALK IN")</f>
        <v>NEW WALK IN</v>
      </c>
      <c r="S478" s="1" t="str">
        <f>IFERROR(__xludf.DUMMYFUNCTION("""COMPUTED_VALUE"""),"Walk in")</f>
        <v>Walk in</v>
      </c>
    </row>
    <row r="479">
      <c r="A479" s="2">
        <f>IFERROR(__xludf.DUMMYFUNCTION("""COMPUTED_VALUE"""),45494.847991365736)</f>
        <v>45494.84799</v>
      </c>
      <c r="B479" s="1" t="str">
        <f>IFERROR(__xludf.DUMMYFUNCTION("""COMPUTED_VALUE"""),"Jaspreet")</f>
        <v>Jaspreet</v>
      </c>
      <c r="C479" s="1">
        <f>IFERROR(__xludf.DUMMYFUNCTION("""COMPUTED_VALUE"""),9.81037529E9)</f>
        <v>9810375290</v>
      </c>
      <c r="D479" s="1">
        <f>IFERROR(__xludf.DUMMYFUNCTION("""COMPUTED_VALUE"""),4.0)</f>
        <v>4</v>
      </c>
      <c r="E479" s="3">
        <f>IFERROR(__xludf.DUMMYFUNCTION("""COMPUTED_VALUE"""),0.7791666666671517)</f>
        <v>0.7791666667</v>
      </c>
      <c r="F479" s="1" t="str">
        <f>IFERROR(__xludf.DUMMYFUNCTION("""COMPUTED_VALUE"""),"Diamond")</f>
        <v>Diamond</v>
      </c>
      <c r="G479" s="1" t="str">
        <f>IFERROR(__xludf.DUMMYFUNCTION("""COMPUTED_VALUE"""),"Preeti")</f>
        <v>Preeti</v>
      </c>
      <c r="H479" s="1" t="str">
        <f>IFERROR(__xludf.DUMMYFUNCTION("""COMPUTED_VALUE"""),"Gold bangles ")</f>
        <v>Gold bangles </v>
      </c>
      <c r="I479" s="1"/>
      <c r="J479" s="1"/>
      <c r="K479" s="3">
        <f>IFERROR(__xludf.DUMMYFUNCTION("""COMPUTED_VALUE"""),0.8541666666642413)</f>
        <v>0.8541666667</v>
      </c>
      <c r="L479" s="1" t="str">
        <f>IFERROR(__xludf.DUMMYFUNCTION("""COMPUTED_VALUE"""),"Yes")</f>
        <v>Yes</v>
      </c>
      <c r="M479" s="1" t="str">
        <f>IFERROR(__xludf.DUMMYFUNCTION("""COMPUTED_VALUE"""),"Not use")</f>
        <v>Not use</v>
      </c>
      <c r="N479" s="1" t="str">
        <f>IFERROR(__xludf.DUMMYFUNCTION("""COMPUTED_VALUE"""),"Yes")</f>
        <v>Yes</v>
      </c>
      <c r="O479" s="1" t="str">
        <f>IFERROR(__xludf.DUMMYFUNCTION("""COMPUTED_VALUE"""),"WA ONLY, CALL")</f>
        <v>WA ONLY, CALL</v>
      </c>
      <c r="P479" s="1" t="str">
        <f>IFERROR(__xludf.DUMMYFUNCTION("""COMPUTED_VALUE"""),"Madam")</f>
        <v>Madam</v>
      </c>
      <c r="Q479" s="1" t="str">
        <f>IFERROR(__xludf.DUMMYFUNCTION("""COMPUTED_VALUE"""),"No")</f>
        <v>No</v>
      </c>
      <c r="R479" s="1" t="str">
        <f>IFERROR(__xludf.DUMMYFUNCTION("""COMPUTED_VALUE"""),"NEW WALK IN")</f>
        <v>NEW WALK IN</v>
      </c>
      <c r="S479" s="1" t="str">
        <f>IFERROR(__xludf.DUMMYFUNCTION("""COMPUTED_VALUE"""),"Walk in")</f>
        <v>Walk in</v>
      </c>
    </row>
    <row r="480">
      <c r="A480" s="2">
        <f>IFERROR(__xludf.DUMMYFUNCTION("""COMPUTED_VALUE"""),45496.793381678246)</f>
        <v>45496.79338</v>
      </c>
      <c r="B480" s="1" t="str">
        <f>IFERROR(__xludf.DUMMYFUNCTION("""COMPUTED_VALUE"""),"Setu agarwal")</f>
        <v>Setu agarwal</v>
      </c>
      <c r="C480" s="1">
        <f>IFERROR(__xludf.DUMMYFUNCTION("""COMPUTED_VALUE"""),9.911958928E9)</f>
        <v>9911958928</v>
      </c>
      <c r="D480" s="1">
        <f>IFERROR(__xludf.DUMMYFUNCTION("""COMPUTED_VALUE"""),3.0)</f>
        <v>3</v>
      </c>
      <c r="E480" s="3">
        <f>IFERROR(__xludf.DUMMYFUNCTION("""COMPUTED_VALUE"""),0.5513888888890506)</f>
        <v>0.5513888889</v>
      </c>
      <c r="F480" s="1" t="str">
        <f>IFERROR(__xludf.DUMMYFUNCTION("""COMPUTED_VALUE"""),"Diamond")</f>
        <v>Diamond</v>
      </c>
      <c r="G480" s="1" t="str">
        <f>IFERROR(__xludf.DUMMYFUNCTION("""COMPUTED_VALUE"""),"Preeti")</f>
        <v>Preeti</v>
      </c>
      <c r="H480" s="1"/>
      <c r="I480" s="1" t="str">
        <f>IFERROR(__xludf.DUMMYFUNCTION("""COMPUTED_VALUE"""),"Select all wedding items ")</f>
        <v>Select all wedding items </v>
      </c>
      <c r="J480" s="1"/>
      <c r="K480" s="3">
        <f>IFERROR(__xludf.DUMMYFUNCTION("""COMPUTED_VALUE"""),0.6680555555576575)</f>
        <v>0.6680555556</v>
      </c>
      <c r="L480" s="1" t="str">
        <f>IFERROR(__xludf.DUMMYFUNCTION("""COMPUTED_VALUE"""),"Yes")</f>
        <v>Yes</v>
      </c>
      <c r="M480" s="1" t="str">
        <f>IFERROR(__xludf.DUMMYFUNCTION("""COMPUTED_VALUE"""),"Already done ")</f>
        <v>Already done </v>
      </c>
      <c r="N480" s="1" t="str">
        <f>IFERROR(__xludf.DUMMYFUNCTION("""COMPUTED_VALUE"""),"Already done ")</f>
        <v>Already done </v>
      </c>
      <c r="O480" s="1" t="str">
        <f>IFERROR(__xludf.DUMMYFUNCTION("""COMPUTED_VALUE"""),"WA ONLY, OWNER CONTACT ONLY, CALL")</f>
        <v>WA ONLY, OWNER CONTACT ONLY, CALL</v>
      </c>
      <c r="P480" s="1" t="str">
        <f>IFERROR(__xludf.DUMMYFUNCTION("""COMPUTED_VALUE"""),"Madam")</f>
        <v>Madam</v>
      </c>
      <c r="Q480" s="1" t="str">
        <f>IFERROR(__xludf.DUMMYFUNCTION("""COMPUTED_VALUE"""),"No")</f>
        <v>No</v>
      </c>
      <c r="R480" s="1" t="str">
        <f>IFERROR(__xludf.DUMMYFUNCTION("""COMPUTED_VALUE"""),"OLD")</f>
        <v>OLD</v>
      </c>
      <c r="S480" s="1" t="str">
        <f>IFERROR(__xludf.DUMMYFUNCTION("""COMPUTED_VALUE"""),"Seema mam")</f>
        <v>Seema mam</v>
      </c>
    </row>
    <row r="481">
      <c r="A481" s="2">
        <f>IFERROR(__xludf.DUMMYFUNCTION("""COMPUTED_VALUE"""),45496.79415398148)</f>
        <v>45496.79415</v>
      </c>
      <c r="B481" s="1" t="str">
        <f>IFERROR(__xludf.DUMMYFUNCTION("""COMPUTED_VALUE"""),"Ram kumar")</f>
        <v>Ram kumar</v>
      </c>
      <c r="C481" s="1">
        <f>IFERROR(__xludf.DUMMYFUNCTION("""COMPUTED_VALUE"""),8.860681868E9)</f>
        <v>8860681868</v>
      </c>
      <c r="D481" s="1">
        <f>IFERROR(__xludf.DUMMYFUNCTION("""COMPUTED_VALUE"""),2.0)</f>
        <v>2</v>
      </c>
      <c r="E481" s="3">
        <f>IFERROR(__xludf.DUMMYFUNCTION("""COMPUTED_VALUE"""),0.5416666666642413)</f>
        <v>0.5416666667</v>
      </c>
      <c r="F481" s="1" t="str">
        <f>IFERROR(__xludf.DUMMYFUNCTION("""COMPUTED_VALUE"""),"Plain Gold")</f>
        <v>Plain Gold</v>
      </c>
      <c r="G481" s="1" t="str">
        <f>IFERROR(__xludf.DUMMYFUNCTION("""COMPUTED_VALUE"""),"Deepali")</f>
        <v>Deepali</v>
      </c>
      <c r="H481" s="1"/>
      <c r="I481" s="1" t="str">
        <f>IFERROR(__xludf.DUMMYFUNCTION("""COMPUTED_VALUE"""),"Will ask family and come with them")</f>
        <v>Will ask family and come with them</v>
      </c>
      <c r="J481" s="1"/>
      <c r="K481" s="3">
        <f>IFERROR(__xludf.DUMMYFUNCTION("""COMPUTED_VALUE"""),0.5625)</f>
        <v>0.5625</v>
      </c>
      <c r="L481" s="1" t="str">
        <f>IFERROR(__xludf.DUMMYFUNCTION("""COMPUTED_VALUE"""),"Yes")</f>
        <v>Yes</v>
      </c>
      <c r="M481" s="1" t="str">
        <f>IFERROR(__xludf.DUMMYFUNCTION("""COMPUTED_VALUE"""),"Already done ")</f>
        <v>Already done </v>
      </c>
      <c r="N481" s="1" t="str">
        <f>IFERROR(__xludf.DUMMYFUNCTION("""COMPUTED_VALUE"""),"Already done ")</f>
        <v>Already done </v>
      </c>
      <c r="O481" s="1" t="str">
        <f>IFERROR(__xludf.DUMMYFUNCTION("""COMPUTED_VALUE"""),"WA ONLY, CALL")</f>
        <v>WA ONLY, CALL</v>
      </c>
      <c r="P481" s="1" t="str">
        <f>IFERROR(__xludf.DUMMYFUNCTION("""COMPUTED_VALUE"""),"Sir")</f>
        <v>Sir</v>
      </c>
      <c r="Q481" s="1" t="str">
        <f>IFERROR(__xludf.DUMMYFUNCTION("""COMPUTED_VALUE"""),"No")</f>
        <v>No</v>
      </c>
      <c r="R481" s="1" t="str">
        <f>IFERROR(__xludf.DUMMYFUNCTION("""COMPUTED_VALUE"""),"OLD")</f>
        <v>OLD</v>
      </c>
      <c r="S481" s="1"/>
    </row>
    <row r="482">
      <c r="A482" s="2">
        <f>IFERROR(__xludf.DUMMYFUNCTION("""COMPUTED_VALUE"""),45496.804851064815)</f>
        <v>45496.80485</v>
      </c>
      <c r="B482" s="1" t="str">
        <f>IFERROR(__xludf.DUMMYFUNCTION("""COMPUTED_VALUE"""),"Rama agarwal ")</f>
        <v>Rama agarwal </v>
      </c>
      <c r="C482" s="1"/>
      <c r="D482" s="1">
        <f>IFERROR(__xludf.DUMMYFUNCTION("""COMPUTED_VALUE"""),2.0)</f>
        <v>2</v>
      </c>
      <c r="E482" s="3">
        <f>IFERROR(__xludf.DUMMYFUNCTION("""COMPUTED_VALUE"""),0.7291666666642413)</f>
        <v>0.7291666667</v>
      </c>
      <c r="F482" s="1" t="str">
        <f>IFERROR(__xludf.DUMMYFUNCTION("""COMPUTED_VALUE"""),"Diamond")</f>
        <v>Diamond</v>
      </c>
      <c r="G482" s="1" t="str">
        <f>IFERROR(__xludf.DUMMYFUNCTION("""COMPUTED_VALUE"""),"Preeti")</f>
        <v>Preeti</v>
      </c>
      <c r="H482" s="1" t="str">
        <f>IFERROR(__xludf.DUMMYFUNCTION("""COMPUTED_VALUE"""),"Silver coin")</f>
        <v>Silver coin</v>
      </c>
      <c r="I482" s="1"/>
      <c r="J482" s="1"/>
      <c r="K482" s="3">
        <f>IFERROR(__xludf.DUMMYFUNCTION("""COMPUTED_VALUE"""),0.8020833333357587)</f>
        <v>0.8020833333</v>
      </c>
      <c r="L482" s="1" t="str">
        <f>IFERROR(__xludf.DUMMYFUNCTION("""COMPUTED_VALUE"""),"Yes")</f>
        <v>Yes</v>
      </c>
      <c r="M482" s="1" t="str">
        <f>IFERROR(__xludf.DUMMYFUNCTION("""COMPUTED_VALUE"""),"Already done ")</f>
        <v>Already done </v>
      </c>
      <c r="N482" s="1" t="str">
        <f>IFERROR(__xludf.DUMMYFUNCTION("""COMPUTED_VALUE"""),"Already done ")</f>
        <v>Already done </v>
      </c>
      <c r="O482" s="1" t="str">
        <f>IFERROR(__xludf.DUMMYFUNCTION("""COMPUTED_VALUE"""),"WA ONLY, CALL")</f>
        <v>WA ONLY, CALL</v>
      </c>
      <c r="P482" s="1" t="str">
        <f>IFERROR(__xludf.DUMMYFUNCTION("""COMPUTED_VALUE"""),"Madam")</f>
        <v>Madam</v>
      </c>
      <c r="Q482" s="1" t="str">
        <f>IFERROR(__xludf.DUMMYFUNCTION("""COMPUTED_VALUE"""),"No")</f>
        <v>No</v>
      </c>
      <c r="R482" s="1" t="str">
        <f>IFERROR(__xludf.DUMMYFUNCTION("""COMPUTED_VALUE"""),"OLD")</f>
        <v>OLD</v>
      </c>
      <c r="S482" s="1" t="str">
        <f>IFERROR(__xludf.DUMMYFUNCTION("""COMPUTED_VALUE"""),"Sanjeev sir")</f>
        <v>Sanjeev sir</v>
      </c>
    </row>
    <row r="483">
      <c r="A483" s="2">
        <f>IFERROR(__xludf.DUMMYFUNCTION("""COMPUTED_VALUE"""),45497.73260386574)</f>
        <v>45497.7326</v>
      </c>
      <c r="B483" s="1" t="str">
        <f>IFERROR(__xludf.DUMMYFUNCTION("""COMPUTED_VALUE"""),"Nidhi")</f>
        <v>Nidhi</v>
      </c>
      <c r="C483" s="1">
        <f>IFERROR(__xludf.DUMMYFUNCTION("""COMPUTED_VALUE"""),9.818944004E9)</f>
        <v>9818944004</v>
      </c>
      <c r="D483" s="1">
        <f>IFERROR(__xludf.DUMMYFUNCTION("""COMPUTED_VALUE"""),3.0)</f>
        <v>3</v>
      </c>
      <c r="E483" s="3">
        <f>IFERROR(__xludf.DUMMYFUNCTION("""COMPUTED_VALUE"""),0.53125)</f>
        <v>0.53125</v>
      </c>
      <c r="F483" s="1" t="str">
        <f>IFERROR(__xludf.DUMMYFUNCTION("""COMPUTED_VALUE"""),"Diamond")</f>
        <v>Diamond</v>
      </c>
      <c r="G483" s="1" t="str">
        <f>IFERROR(__xludf.DUMMYFUNCTION("""COMPUTED_VALUE"""),"Preeti")</f>
        <v>Preeti</v>
      </c>
      <c r="H483" s="1" t="str">
        <f>IFERROR(__xludf.DUMMYFUNCTION("""COMPUTED_VALUE"""),"Diamond  7 rings, Diamond chain,Diamond 2 pair tops,Diamond breslet, Diamond bangle.")</f>
        <v>Diamond  7 rings, Diamond chain,Diamond 2 pair tops,Diamond breslet, Diamond bangle.</v>
      </c>
      <c r="I483" s="1"/>
      <c r="J483" s="1"/>
      <c r="K483" s="3">
        <f>IFERROR(__xludf.DUMMYFUNCTION("""COMPUTED_VALUE"""),0.6666666666642413)</f>
        <v>0.6666666667</v>
      </c>
      <c r="L483" s="1" t="str">
        <f>IFERROR(__xludf.DUMMYFUNCTION("""COMPUTED_VALUE"""),"Yes")</f>
        <v>Yes</v>
      </c>
      <c r="M483" s="1" t="str">
        <f>IFERROR(__xludf.DUMMYFUNCTION("""COMPUTED_VALUE"""),"Already done ")</f>
        <v>Already done </v>
      </c>
      <c r="N483" s="1" t="str">
        <f>IFERROR(__xludf.DUMMYFUNCTION("""COMPUTED_VALUE"""),"Already done ")</f>
        <v>Already done </v>
      </c>
      <c r="O483" s="1" t="str">
        <f>IFERROR(__xludf.DUMMYFUNCTION("""COMPUTED_VALUE"""),"WA ONLY, OWNER CONTACT ONLY, CALL")</f>
        <v>WA ONLY, OWNER CONTACT ONLY, CALL</v>
      </c>
      <c r="P483" s="1" t="str">
        <f>IFERROR(__xludf.DUMMYFUNCTION("""COMPUTED_VALUE"""),"Madam")</f>
        <v>Madam</v>
      </c>
      <c r="Q483" s="1" t="str">
        <f>IFERROR(__xludf.DUMMYFUNCTION("""COMPUTED_VALUE"""),"No")</f>
        <v>No</v>
      </c>
      <c r="R483" s="1" t="str">
        <f>IFERROR(__xludf.DUMMYFUNCTION("""COMPUTED_VALUE"""),"OLD")</f>
        <v>OLD</v>
      </c>
      <c r="S483" s="1" t="str">
        <f>IFERROR(__xludf.DUMMYFUNCTION("""COMPUTED_VALUE"""),"Seema mam")</f>
        <v>Seema mam</v>
      </c>
    </row>
    <row r="484">
      <c r="A484" s="2">
        <f>IFERROR(__xludf.DUMMYFUNCTION("""COMPUTED_VALUE"""),45497.73525724537)</f>
        <v>45497.73526</v>
      </c>
      <c r="B484" s="1" t="str">
        <f>IFERROR(__xludf.DUMMYFUNCTION("""COMPUTED_VALUE"""),"Samira")</f>
        <v>Samira</v>
      </c>
      <c r="C484" s="1">
        <f>IFERROR(__xludf.DUMMYFUNCTION("""COMPUTED_VALUE"""),9.811900815E9)</f>
        <v>9811900815</v>
      </c>
      <c r="D484" s="1">
        <f>IFERROR(__xludf.DUMMYFUNCTION("""COMPUTED_VALUE"""),2.0)</f>
        <v>2</v>
      </c>
      <c r="E484" s="3">
        <f>IFERROR(__xludf.DUMMYFUNCTION("""COMPUTED_VALUE"""),0.5659722222189885)</f>
        <v>0.5659722222</v>
      </c>
      <c r="F484" s="1" t="str">
        <f>IFERROR(__xludf.DUMMYFUNCTION("""COMPUTED_VALUE"""),"Diamond")</f>
        <v>Diamond</v>
      </c>
      <c r="G484" s="1" t="str">
        <f>IFERROR(__xludf.DUMMYFUNCTION("""COMPUTED_VALUE"""),"Chhaya")</f>
        <v>Chhaya</v>
      </c>
      <c r="H484" s="1" t="str">
        <f>IFERROR(__xludf.DUMMYFUNCTION("""COMPUTED_VALUE"""),"Diamond tops,Diamond bali,Diamond ring,emr. Ring.")</f>
        <v>Diamond tops,Diamond bali,Diamond ring,emr. Ring.</v>
      </c>
      <c r="I484" s="1"/>
      <c r="J484" s="1"/>
      <c r="K484" s="3">
        <f>IFERROR(__xludf.DUMMYFUNCTION("""COMPUTED_VALUE"""),0.6777777777751908)</f>
        <v>0.6777777778</v>
      </c>
      <c r="L484" s="1" t="str">
        <f>IFERROR(__xludf.DUMMYFUNCTION("""COMPUTED_VALUE"""),"Yes")</f>
        <v>Yes</v>
      </c>
      <c r="M484" s="1" t="str">
        <f>IFERROR(__xludf.DUMMYFUNCTION("""COMPUTED_VALUE"""),"Already done ")</f>
        <v>Already done </v>
      </c>
      <c r="N484" s="1" t="str">
        <f>IFERROR(__xludf.DUMMYFUNCTION("""COMPUTED_VALUE"""),"Already done ")</f>
        <v>Already done </v>
      </c>
      <c r="O484" s="1" t="str">
        <f>IFERROR(__xludf.DUMMYFUNCTION("""COMPUTED_VALUE"""),"WA ONLY, OWNER CONTACT ONLY, CALL")</f>
        <v>WA ONLY, OWNER CONTACT ONLY, CALL</v>
      </c>
      <c r="P484" s="1" t="str">
        <f>IFERROR(__xludf.DUMMYFUNCTION("""COMPUTED_VALUE"""),"Madam")</f>
        <v>Madam</v>
      </c>
      <c r="Q484" s="1" t="str">
        <f>IFERROR(__xludf.DUMMYFUNCTION("""COMPUTED_VALUE"""),"No")</f>
        <v>No</v>
      </c>
      <c r="R484" s="1" t="str">
        <f>IFERROR(__xludf.DUMMYFUNCTION("""COMPUTED_VALUE"""),"OLD")</f>
        <v>OLD</v>
      </c>
      <c r="S484" s="1"/>
    </row>
    <row r="485">
      <c r="A485" s="2">
        <f>IFERROR(__xludf.DUMMYFUNCTION("""COMPUTED_VALUE"""),45497.76566579861)</f>
        <v>45497.76567</v>
      </c>
      <c r="B485" s="1" t="str">
        <f>IFERROR(__xludf.DUMMYFUNCTION("""COMPUTED_VALUE"""),"Devu shree sharma")</f>
        <v>Devu shree sharma</v>
      </c>
      <c r="C485" s="1">
        <f>IFERROR(__xludf.DUMMYFUNCTION("""COMPUTED_VALUE"""),9.350104257E9)</f>
        <v>9350104257</v>
      </c>
      <c r="D485" s="1">
        <f>IFERROR(__xludf.DUMMYFUNCTION("""COMPUTED_VALUE"""),2.0)</f>
        <v>2</v>
      </c>
      <c r="E485" s="3">
        <f>IFERROR(__xludf.DUMMYFUNCTION("""COMPUTED_VALUE"""),0.6770833333357587)</f>
        <v>0.6770833333</v>
      </c>
      <c r="F485" s="1" t="str">
        <f>IFERROR(__xludf.DUMMYFUNCTION("""COMPUTED_VALUE"""),"Plain Gold")</f>
        <v>Plain Gold</v>
      </c>
      <c r="G485" s="1" t="str">
        <f>IFERROR(__xludf.DUMMYFUNCTION("""COMPUTED_VALUE"""),"Chhaya")</f>
        <v>Chhaya</v>
      </c>
      <c r="H485" s="1" t="str">
        <f>IFERROR(__xludf.DUMMYFUNCTION("""COMPUTED_VALUE"""),"One cvd ring,kitty payment done")</f>
        <v>One cvd ring,kitty payment done</v>
      </c>
      <c r="I485" s="1"/>
      <c r="J485" s="1"/>
      <c r="K485" s="1"/>
      <c r="L485" s="1" t="str">
        <f>IFERROR(__xludf.DUMMYFUNCTION("""COMPUTED_VALUE"""),"Yes")</f>
        <v>Yes</v>
      </c>
      <c r="M485" s="1" t="str">
        <f>IFERROR(__xludf.DUMMYFUNCTION("""COMPUTED_VALUE"""),"Already done ")</f>
        <v>Already done </v>
      </c>
      <c r="N485" s="1" t="str">
        <f>IFERROR(__xludf.DUMMYFUNCTION("""COMPUTED_VALUE"""),"Already done ")</f>
        <v>Already done </v>
      </c>
      <c r="O485" s="1" t="str">
        <f>IFERROR(__xludf.DUMMYFUNCTION("""COMPUTED_VALUE"""),"WA ONLY, CALL")</f>
        <v>WA ONLY, CALL</v>
      </c>
      <c r="P485" s="1" t="str">
        <f>IFERROR(__xludf.DUMMYFUNCTION("""COMPUTED_VALUE"""),"Madam")</f>
        <v>Madam</v>
      </c>
      <c r="Q485" s="1" t="str">
        <f>IFERROR(__xludf.DUMMYFUNCTION("""COMPUTED_VALUE"""),"No")</f>
        <v>No</v>
      </c>
      <c r="R485" s="1" t="str">
        <f>IFERROR(__xludf.DUMMYFUNCTION("""COMPUTED_VALUE"""),"OLD")</f>
        <v>OLD</v>
      </c>
      <c r="S485" s="1"/>
    </row>
    <row r="486">
      <c r="A486" s="2">
        <f>IFERROR(__xludf.DUMMYFUNCTION("""COMPUTED_VALUE"""),45498.806284039354)</f>
        <v>45498.80628</v>
      </c>
      <c r="B486" s="1" t="str">
        <f>IFERROR(__xludf.DUMMYFUNCTION("""COMPUTED_VALUE"""),"Prince")</f>
        <v>Prince</v>
      </c>
      <c r="C486" s="1">
        <f>IFERROR(__xludf.DUMMYFUNCTION("""COMPUTED_VALUE"""),8.920351205E9)</f>
        <v>8920351205</v>
      </c>
      <c r="D486" s="1">
        <f>IFERROR(__xludf.DUMMYFUNCTION("""COMPUTED_VALUE"""),2.0)</f>
        <v>2</v>
      </c>
      <c r="E486" s="3">
        <f>IFERROR(__xludf.DUMMYFUNCTION("""COMPUTED_VALUE"""),0.757638888884685)</f>
        <v>0.7576388889</v>
      </c>
      <c r="F486" s="1" t="str">
        <f>IFERROR(__xludf.DUMMYFUNCTION("""COMPUTED_VALUE"""),"Plain Gold")</f>
        <v>Plain Gold</v>
      </c>
      <c r="G486" s="1" t="str">
        <f>IFERROR(__xludf.DUMMYFUNCTION("""COMPUTED_VALUE"""),"Chhaya")</f>
        <v>Chhaya</v>
      </c>
      <c r="H486" s="1"/>
      <c r="I486" s="1" t="str">
        <f>IFERROR(__xludf.DUMMYFUNCTION("""COMPUTED_VALUE"""),"Making High or Wants Discount")</f>
        <v>Making High or Wants Discount</v>
      </c>
      <c r="J486" s="1"/>
      <c r="K486" s="3">
        <f>IFERROR(__xludf.DUMMYFUNCTION("""COMPUTED_VALUE"""),0.8013888888890506)</f>
        <v>0.8013888889</v>
      </c>
      <c r="L486" s="1" t="str">
        <f>IFERROR(__xludf.DUMMYFUNCTION("""COMPUTED_VALUE"""),"No")</f>
        <v>No</v>
      </c>
      <c r="M486" s="1" t="str">
        <f>IFERROR(__xludf.DUMMYFUNCTION("""COMPUTED_VALUE"""),"No")</f>
        <v>No</v>
      </c>
      <c r="N486" s="1" t="str">
        <f>IFERROR(__xludf.DUMMYFUNCTION("""COMPUTED_VALUE"""),"No")</f>
        <v>No</v>
      </c>
      <c r="O486" s="1" t="str">
        <f>IFERROR(__xludf.DUMMYFUNCTION("""COMPUTED_VALUE"""),"WA ONLY, CALL")</f>
        <v>WA ONLY, CALL</v>
      </c>
      <c r="P486" s="1" t="str">
        <f>IFERROR(__xludf.DUMMYFUNCTION("""COMPUTED_VALUE"""),"Sir")</f>
        <v>Sir</v>
      </c>
      <c r="Q486" s="1" t="str">
        <f>IFERROR(__xludf.DUMMYFUNCTION("""COMPUTED_VALUE"""),"No")</f>
        <v>No</v>
      </c>
      <c r="R486" s="1" t="str">
        <f>IFERROR(__xludf.DUMMYFUNCTION("""COMPUTED_VALUE"""),"NEW WALK IN")</f>
        <v>NEW WALK IN</v>
      </c>
      <c r="S486" s="1"/>
    </row>
    <row r="487">
      <c r="A487" s="2">
        <f>IFERROR(__xludf.DUMMYFUNCTION("""COMPUTED_VALUE"""),45499.82308851852)</f>
        <v>45499.82309</v>
      </c>
      <c r="B487" s="1" t="str">
        <f>IFERROR(__xludf.DUMMYFUNCTION("""COMPUTED_VALUE"""),"Sapna varma")</f>
        <v>Sapna varma</v>
      </c>
      <c r="C487" s="1">
        <f>IFERROR(__xludf.DUMMYFUNCTION("""COMPUTED_VALUE"""),8.373954151E9)</f>
        <v>8373954151</v>
      </c>
      <c r="D487" s="1">
        <f>IFERROR(__xludf.DUMMYFUNCTION("""COMPUTED_VALUE"""),2.0)</f>
        <v>2</v>
      </c>
      <c r="E487" s="3">
        <f>IFERROR(__xludf.DUMMYFUNCTION("""COMPUTED_VALUE"""),0.8020833333357587)</f>
        <v>0.8020833333</v>
      </c>
      <c r="F487" s="1" t="str">
        <f>IFERROR(__xludf.DUMMYFUNCTION("""COMPUTED_VALUE"""),"Antique Gold")</f>
        <v>Antique Gold</v>
      </c>
      <c r="G487" s="1" t="str">
        <f>IFERROR(__xludf.DUMMYFUNCTION("""COMPUTED_VALUE"""),"Pooja")</f>
        <v>Pooja</v>
      </c>
      <c r="H487" s="1"/>
      <c r="I487" s="1" t="str">
        <f>IFERROR(__xludf.DUMMYFUNCTION("""COMPUTED_VALUE"""),"Pick up Order")</f>
        <v>Pick up Order</v>
      </c>
      <c r="J487" s="1"/>
      <c r="K487" s="3">
        <f>IFERROR(__xludf.DUMMYFUNCTION("""COMPUTED_VALUE"""),0.8166666666656965)</f>
        <v>0.8166666667</v>
      </c>
      <c r="L487" s="1" t="str">
        <f>IFERROR(__xludf.DUMMYFUNCTION("""COMPUTED_VALUE"""),"Yes")</f>
        <v>Yes</v>
      </c>
      <c r="M487" s="1" t="str">
        <f>IFERROR(__xludf.DUMMYFUNCTION("""COMPUTED_VALUE"""),"Already done ")</f>
        <v>Already done </v>
      </c>
      <c r="N487" s="1" t="str">
        <f>IFERROR(__xludf.DUMMYFUNCTION("""COMPUTED_VALUE"""),"Already done ")</f>
        <v>Already done </v>
      </c>
      <c r="O487" s="1" t="str">
        <f>IFERROR(__xludf.DUMMYFUNCTION("""COMPUTED_VALUE"""),"WA ONLY, CALL")</f>
        <v>WA ONLY, CALL</v>
      </c>
      <c r="P487" s="1" t="str">
        <f>IFERROR(__xludf.DUMMYFUNCTION("""COMPUTED_VALUE"""),"Madam")</f>
        <v>Madam</v>
      </c>
      <c r="Q487" s="1" t="str">
        <f>IFERROR(__xludf.DUMMYFUNCTION("""COMPUTED_VALUE"""),"No")</f>
        <v>No</v>
      </c>
      <c r="R487" s="1" t="str">
        <f>IFERROR(__xludf.DUMMYFUNCTION("""COMPUTED_VALUE"""),"OLD")</f>
        <v>OLD</v>
      </c>
      <c r="S487" s="1"/>
    </row>
    <row r="488">
      <c r="A488" s="2">
        <f>IFERROR(__xludf.DUMMYFUNCTION("""COMPUTED_VALUE"""),45499.82675789352)</f>
        <v>45499.82676</v>
      </c>
      <c r="B488" s="1" t="str">
        <f>IFERROR(__xludf.DUMMYFUNCTION("""COMPUTED_VALUE"""),"Payal")</f>
        <v>Payal</v>
      </c>
      <c r="C488" s="1">
        <f>IFERROR(__xludf.DUMMYFUNCTION("""COMPUTED_VALUE"""),8.486193617E9)</f>
        <v>8486193617</v>
      </c>
      <c r="D488" s="1">
        <f>IFERROR(__xludf.DUMMYFUNCTION("""COMPUTED_VALUE"""),4.0)</f>
        <v>4</v>
      </c>
      <c r="E488" s="3">
        <f>IFERROR(__xludf.DUMMYFUNCTION("""COMPUTED_VALUE"""),0.8152777777795563)</f>
        <v>0.8152777778</v>
      </c>
      <c r="F488" s="1" t="str">
        <f>IFERROR(__xludf.DUMMYFUNCTION("""COMPUTED_VALUE"""),"Diamond")</f>
        <v>Diamond</v>
      </c>
      <c r="G488" s="1" t="str">
        <f>IFERROR(__xludf.DUMMYFUNCTION("""COMPUTED_VALUE"""),"Preeti")</f>
        <v>Preeti</v>
      </c>
      <c r="H488" s="1"/>
      <c r="I488" s="1" t="str">
        <f>IFERROR(__xludf.DUMMYFUNCTION("""COMPUTED_VALUE"""),"Visit Again in 1 Month")</f>
        <v>Visit Again in 1 Month</v>
      </c>
      <c r="J488" s="1"/>
      <c r="K488" s="3">
        <f>IFERROR(__xludf.DUMMYFUNCTION("""COMPUTED_VALUE"""),0.8263888888905058)</f>
        <v>0.8263888889</v>
      </c>
      <c r="L488" s="1" t="str">
        <f>IFERROR(__xludf.DUMMYFUNCTION("""COMPUTED_VALUE"""),"Yes")</f>
        <v>Yes</v>
      </c>
      <c r="M488" s="1" t="str">
        <f>IFERROR(__xludf.DUMMYFUNCTION("""COMPUTED_VALUE"""),"No")</f>
        <v>No</v>
      </c>
      <c r="N488" s="1" t="str">
        <f>IFERROR(__xludf.DUMMYFUNCTION("""COMPUTED_VALUE"""),"No")</f>
        <v>No</v>
      </c>
      <c r="O488" s="1" t="str">
        <f>IFERROR(__xludf.DUMMYFUNCTION("""COMPUTED_VALUE"""),"WA ONLY, CALL")</f>
        <v>WA ONLY, CALL</v>
      </c>
      <c r="P488" s="1" t="str">
        <f>IFERROR(__xludf.DUMMYFUNCTION("""COMPUTED_VALUE"""),"Madam")</f>
        <v>Madam</v>
      </c>
      <c r="Q488" s="1" t="str">
        <f>IFERROR(__xludf.DUMMYFUNCTION("""COMPUTED_VALUE"""),"No")</f>
        <v>No</v>
      </c>
      <c r="R488" s="1" t="str">
        <f>IFERROR(__xludf.DUMMYFUNCTION("""COMPUTED_VALUE"""),"NEW WALK IN")</f>
        <v>NEW WALK IN</v>
      </c>
      <c r="S488" s="1"/>
    </row>
    <row r="489">
      <c r="A489" s="2">
        <f>IFERROR(__xludf.DUMMYFUNCTION("""COMPUTED_VALUE"""),45500.744111631946)</f>
        <v>45500.74411</v>
      </c>
      <c r="B489" s="1" t="str">
        <f>IFERROR(__xludf.DUMMYFUNCTION("""COMPUTED_VALUE"""),"Nikita ")</f>
        <v>Nikita </v>
      </c>
      <c r="C489" s="1">
        <f>IFERROR(__xludf.DUMMYFUNCTION("""COMPUTED_VALUE"""),8.860590814E9)</f>
        <v>8860590814</v>
      </c>
      <c r="D489" s="1">
        <f>IFERROR(__xludf.DUMMYFUNCTION("""COMPUTED_VALUE"""),2.0)</f>
        <v>2</v>
      </c>
      <c r="E489" s="3">
        <f>IFERROR(__xludf.DUMMYFUNCTION("""COMPUTED_VALUE"""),0.6791666666686069)</f>
        <v>0.6791666667</v>
      </c>
      <c r="F489" s="1" t="str">
        <f>IFERROR(__xludf.DUMMYFUNCTION("""COMPUTED_VALUE"""),"Plain Gold")</f>
        <v>Plain Gold</v>
      </c>
      <c r="G489" s="1" t="str">
        <f>IFERROR(__xludf.DUMMYFUNCTION("""COMPUTED_VALUE"""),"Chhaya")</f>
        <v>Chhaya</v>
      </c>
      <c r="H489" s="1" t="str">
        <f>IFERROR(__xludf.DUMMYFUNCTION("""COMPUTED_VALUE"""),"Gold ring selected and advance payment done")</f>
        <v>Gold ring selected and advance payment done</v>
      </c>
      <c r="I489" s="1"/>
      <c r="J489" s="1"/>
      <c r="K489" s="3">
        <f>IFERROR(__xludf.DUMMYFUNCTION("""COMPUTED_VALUE"""),0.7222222222189885)</f>
        <v>0.7222222222</v>
      </c>
      <c r="L489" s="1" t="str">
        <f>IFERROR(__xludf.DUMMYFUNCTION("""COMPUTED_VALUE"""),"Yes")</f>
        <v>Yes</v>
      </c>
      <c r="M489" s="1" t="str">
        <f>IFERROR(__xludf.DUMMYFUNCTION("""COMPUTED_VALUE"""),"Already done ")</f>
        <v>Already done </v>
      </c>
      <c r="N489" s="1" t="str">
        <f>IFERROR(__xludf.DUMMYFUNCTION("""COMPUTED_VALUE"""),"Already done ")</f>
        <v>Already done </v>
      </c>
      <c r="O489" s="1" t="str">
        <f>IFERROR(__xludf.DUMMYFUNCTION("""COMPUTED_VALUE"""),"WA ONLY, CALL")</f>
        <v>WA ONLY, CALL</v>
      </c>
      <c r="P489" s="1" t="str">
        <f>IFERROR(__xludf.DUMMYFUNCTION("""COMPUTED_VALUE"""),"Madam")</f>
        <v>Madam</v>
      </c>
      <c r="Q489" s="1" t="str">
        <f>IFERROR(__xludf.DUMMYFUNCTION("""COMPUTED_VALUE"""),"No")</f>
        <v>No</v>
      </c>
      <c r="R489" s="1" t="str">
        <f>IFERROR(__xludf.DUMMYFUNCTION("""COMPUTED_VALUE"""),"OLD")</f>
        <v>OLD</v>
      </c>
      <c r="S489" s="1"/>
    </row>
    <row r="490">
      <c r="A490" s="2">
        <f>IFERROR(__xludf.DUMMYFUNCTION("""COMPUTED_VALUE"""),45500.74581059028)</f>
        <v>45500.74581</v>
      </c>
      <c r="B490" s="1" t="str">
        <f>IFERROR(__xludf.DUMMYFUNCTION("""COMPUTED_VALUE"""),"Priya")</f>
        <v>Priya</v>
      </c>
      <c r="C490" s="1">
        <f>IFERROR(__xludf.DUMMYFUNCTION("""COMPUTED_VALUE"""),9.821182914E9)</f>
        <v>9821182914</v>
      </c>
      <c r="D490" s="1">
        <f>IFERROR(__xludf.DUMMYFUNCTION("""COMPUTED_VALUE"""),2.0)</f>
        <v>2</v>
      </c>
      <c r="E490" s="3">
        <f>IFERROR(__xludf.DUMMYFUNCTION("""COMPUTED_VALUE"""),0.7104166666686069)</f>
        <v>0.7104166667</v>
      </c>
      <c r="F490" s="1" t="str">
        <f>IFERROR(__xludf.DUMMYFUNCTION("""COMPUTED_VALUE"""),"Antique Gold")</f>
        <v>Antique Gold</v>
      </c>
      <c r="G490" s="1" t="str">
        <f>IFERROR(__xludf.DUMMYFUNCTION("""COMPUTED_VALUE"""),"Pooja")</f>
        <v>Pooja</v>
      </c>
      <c r="H490" s="1"/>
      <c r="I490" s="1" t="str">
        <f>IFERROR(__xludf.DUMMYFUNCTION("""COMPUTED_VALUE"""),"Customer search sum one so thats why visit")</f>
        <v>Customer search sum one so thats why visit</v>
      </c>
      <c r="J490" s="1"/>
      <c r="K490" s="3">
        <f>IFERROR(__xludf.DUMMYFUNCTION("""COMPUTED_VALUE"""),0.7145833333343035)</f>
        <v>0.7145833333</v>
      </c>
      <c r="L490" s="1" t="str">
        <f>IFERROR(__xludf.DUMMYFUNCTION("""COMPUTED_VALUE"""),"No")</f>
        <v>No</v>
      </c>
      <c r="M490" s="1" t="str">
        <f>IFERROR(__xludf.DUMMYFUNCTION("""COMPUTED_VALUE"""),"No")</f>
        <v>No</v>
      </c>
      <c r="N490" s="1" t="str">
        <f>IFERROR(__xludf.DUMMYFUNCTION("""COMPUTED_VALUE"""),"No")</f>
        <v>No</v>
      </c>
      <c r="O490" s="1" t="str">
        <f>IFERROR(__xludf.DUMMYFUNCTION("""COMPUTED_VALUE"""),"WA ONLY, CALL")</f>
        <v>WA ONLY, CALL</v>
      </c>
      <c r="P490" s="1" t="str">
        <f>IFERROR(__xludf.DUMMYFUNCTION("""COMPUTED_VALUE"""),"Madam")</f>
        <v>Madam</v>
      </c>
      <c r="Q490" s="1" t="str">
        <f>IFERROR(__xludf.DUMMYFUNCTION("""COMPUTED_VALUE"""),"No")</f>
        <v>No</v>
      </c>
      <c r="R490" s="1" t="str">
        <f>IFERROR(__xludf.DUMMYFUNCTION("""COMPUTED_VALUE"""),"NEW WALK IN")</f>
        <v>NEW WALK IN</v>
      </c>
      <c r="S490" s="1"/>
    </row>
    <row r="491">
      <c r="A491" s="2">
        <f>IFERROR(__xludf.DUMMYFUNCTION("""COMPUTED_VALUE"""),45500.80309178241)</f>
        <v>45500.80309</v>
      </c>
      <c r="B491" s="1" t="str">
        <f>IFERROR(__xludf.DUMMYFUNCTION("""COMPUTED_VALUE"""),"Kapila sharma")</f>
        <v>Kapila sharma</v>
      </c>
      <c r="C491" s="1">
        <f>IFERROR(__xludf.DUMMYFUNCTION("""COMPUTED_VALUE"""),9.015802726E9)</f>
        <v>9015802726</v>
      </c>
      <c r="D491" s="1">
        <f>IFERROR(__xludf.DUMMYFUNCTION("""COMPUTED_VALUE"""),2.0)</f>
        <v>2</v>
      </c>
      <c r="E491" s="3">
        <f>IFERROR(__xludf.DUMMYFUNCTION("""COMPUTED_VALUE"""),0.7333333333372138)</f>
        <v>0.7333333333</v>
      </c>
      <c r="F491" s="1" t="str">
        <f>IFERROR(__xludf.DUMMYFUNCTION("""COMPUTED_VALUE"""),"Diamond")</f>
        <v>Diamond</v>
      </c>
      <c r="G491" s="1" t="str">
        <f>IFERROR(__xludf.DUMMYFUNCTION("""COMPUTED_VALUE"""),"Preeti")</f>
        <v>Preeti</v>
      </c>
      <c r="H491" s="1" t="str">
        <f>IFERROR(__xludf.DUMMYFUNCTION("""COMPUTED_VALUE"""),"2 diamond breslet ")</f>
        <v>2 diamond breslet </v>
      </c>
      <c r="I491" s="1"/>
      <c r="J491" s="1"/>
      <c r="K491" s="3">
        <f>IFERROR(__xludf.DUMMYFUNCTION("""COMPUTED_VALUE"""),0.8027777777751908)</f>
        <v>0.8027777778</v>
      </c>
      <c r="L491" s="1" t="str">
        <f>IFERROR(__xludf.DUMMYFUNCTION("""COMPUTED_VALUE"""),"Yes")</f>
        <v>Yes</v>
      </c>
      <c r="M491" s="1" t="str">
        <f>IFERROR(__xludf.DUMMYFUNCTION("""COMPUTED_VALUE"""),"Already done ")</f>
        <v>Already done </v>
      </c>
      <c r="N491" s="1" t="str">
        <f>IFERROR(__xludf.DUMMYFUNCTION("""COMPUTED_VALUE"""),"Already done ")</f>
        <v>Already done </v>
      </c>
      <c r="O491" s="1" t="str">
        <f>IFERROR(__xludf.DUMMYFUNCTION("""COMPUTED_VALUE"""),"WA ONLY, OWNER CONTACT ONLY, CALL")</f>
        <v>WA ONLY, OWNER CONTACT ONLY, CALL</v>
      </c>
      <c r="P491" s="1" t="str">
        <f>IFERROR(__xludf.DUMMYFUNCTION("""COMPUTED_VALUE"""),"Madam")</f>
        <v>Madam</v>
      </c>
      <c r="Q491" s="1" t="str">
        <f>IFERROR(__xludf.DUMMYFUNCTION("""COMPUTED_VALUE"""),"No")</f>
        <v>No</v>
      </c>
      <c r="R491" s="1" t="str">
        <f>IFERROR(__xludf.DUMMYFUNCTION("""COMPUTED_VALUE"""),"OLD")</f>
        <v>OLD</v>
      </c>
      <c r="S491" s="1"/>
    </row>
    <row r="492">
      <c r="A492" s="2">
        <f>IFERROR(__xludf.DUMMYFUNCTION("""COMPUTED_VALUE"""),45501.72520893518)</f>
        <v>45501.72521</v>
      </c>
      <c r="B492" s="1" t="str">
        <f>IFERROR(__xludf.DUMMYFUNCTION("""COMPUTED_VALUE"""),"Shiv kumar")</f>
        <v>Shiv kumar</v>
      </c>
      <c r="C492" s="1">
        <f>IFERROR(__xludf.DUMMYFUNCTION("""COMPUTED_VALUE"""),9.911160469E9)</f>
        <v>9911160469</v>
      </c>
      <c r="D492" s="1">
        <f>IFERROR(__xludf.DUMMYFUNCTION("""COMPUTED_VALUE"""),4.0)</f>
        <v>4</v>
      </c>
      <c r="E492" s="3">
        <f>IFERROR(__xludf.DUMMYFUNCTION("""COMPUTED_VALUE"""),0.5)</f>
        <v>0.5</v>
      </c>
      <c r="F492" s="1" t="str">
        <f>IFERROR(__xludf.DUMMYFUNCTION("""COMPUTED_VALUE"""),"Plain Gold")</f>
        <v>Plain Gold</v>
      </c>
      <c r="G492" s="1" t="str">
        <f>IFERROR(__xludf.DUMMYFUNCTION("""COMPUTED_VALUE"""),"Tannu")</f>
        <v>Tannu</v>
      </c>
      <c r="H492" s="1" t="str">
        <f>IFERROR(__xludf.DUMMYFUNCTION("""COMPUTED_VALUE"""),"Gold chain,gold jhumki,gold ring")</f>
        <v>Gold chain,gold jhumki,gold ring</v>
      </c>
      <c r="I492" s="1"/>
      <c r="J492" s="1"/>
      <c r="K492" s="3">
        <f>IFERROR(__xludf.DUMMYFUNCTION("""COMPUTED_VALUE"""),0.5430555555576575)</f>
        <v>0.5430555556</v>
      </c>
      <c r="L492" s="1" t="str">
        <f>IFERROR(__xludf.DUMMYFUNCTION("""COMPUTED_VALUE"""),"Yes")</f>
        <v>Yes</v>
      </c>
      <c r="M492" s="1" t="str">
        <f>IFERROR(__xludf.DUMMYFUNCTION("""COMPUTED_VALUE"""),"Yes")</f>
        <v>Yes</v>
      </c>
      <c r="N492" s="1" t="str">
        <f>IFERROR(__xludf.DUMMYFUNCTION("""COMPUTED_VALUE"""),"Yes")</f>
        <v>Yes</v>
      </c>
      <c r="O492" s="1" t="str">
        <f>IFERROR(__xludf.DUMMYFUNCTION("""COMPUTED_VALUE"""),"WA ONLY, CALL")</f>
        <v>WA ONLY, CALL</v>
      </c>
      <c r="P492" s="1" t="str">
        <f>IFERROR(__xludf.DUMMYFUNCTION("""COMPUTED_VALUE"""),"Sir")</f>
        <v>Sir</v>
      </c>
      <c r="Q492" s="1" t="str">
        <f>IFERROR(__xludf.DUMMYFUNCTION("""COMPUTED_VALUE"""),"No")</f>
        <v>No</v>
      </c>
      <c r="R492" s="1" t="str">
        <f>IFERROR(__xludf.DUMMYFUNCTION("""COMPUTED_VALUE"""),"NEW WALK IN")</f>
        <v>NEW WALK IN</v>
      </c>
      <c r="S492" s="1"/>
    </row>
    <row r="493">
      <c r="A493" s="2">
        <f>IFERROR(__xludf.DUMMYFUNCTION("""COMPUTED_VALUE"""),45501.72623859954)</f>
        <v>45501.72624</v>
      </c>
      <c r="B493" s="1" t="str">
        <f>IFERROR(__xludf.DUMMYFUNCTION("""COMPUTED_VALUE"""),"Priya")</f>
        <v>Priya</v>
      </c>
      <c r="C493" s="1">
        <f>IFERROR(__xludf.DUMMYFUNCTION("""COMPUTED_VALUE"""),9.515668308E9)</f>
        <v>9515668308</v>
      </c>
      <c r="D493" s="1">
        <f>IFERROR(__xludf.DUMMYFUNCTION("""COMPUTED_VALUE"""),6.0)</f>
        <v>6</v>
      </c>
      <c r="E493" s="3">
        <f>IFERROR(__xludf.DUMMYFUNCTION("""COMPUTED_VALUE"""),0.5180555555562023)</f>
        <v>0.5180555556</v>
      </c>
      <c r="F493" s="1" t="str">
        <f>IFERROR(__xludf.DUMMYFUNCTION("""COMPUTED_VALUE"""),"Antique Gold")</f>
        <v>Antique Gold</v>
      </c>
      <c r="G493" s="1" t="str">
        <f>IFERROR(__xludf.DUMMYFUNCTION("""COMPUTED_VALUE"""),"Pooja")</f>
        <v>Pooja</v>
      </c>
      <c r="H493" s="1"/>
      <c r="I493" s="1" t="str">
        <f>IFERROR(__xludf.DUMMYFUNCTION("""COMPUTED_VALUE"""),"Want to see More Variety")</f>
        <v>Want to see More Variety</v>
      </c>
      <c r="J493" s="1"/>
      <c r="K493" s="3">
        <f>IFERROR(__xludf.DUMMYFUNCTION("""COMPUTED_VALUE"""),0.5277777777810115)</f>
        <v>0.5277777778</v>
      </c>
      <c r="L493" s="1" t="str">
        <f>IFERROR(__xludf.DUMMYFUNCTION("""COMPUTED_VALUE"""),"Yes")</f>
        <v>Yes</v>
      </c>
      <c r="M493" s="1" t="str">
        <f>IFERROR(__xludf.DUMMYFUNCTION("""COMPUTED_VALUE"""),"No")</f>
        <v>No</v>
      </c>
      <c r="N493" s="1" t="str">
        <f>IFERROR(__xludf.DUMMYFUNCTION("""COMPUTED_VALUE"""),"No")</f>
        <v>No</v>
      </c>
      <c r="O493" s="1" t="str">
        <f>IFERROR(__xludf.DUMMYFUNCTION("""COMPUTED_VALUE"""),"WA ONLY, CALL")</f>
        <v>WA ONLY, CALL</v>
      </c>
      <c r="P493" s="1" t="str">
        <f>IFERROR(__xludf.DUMMYFUNCTION("""COMPUTED_VALUE"""),"Madam")</f>
        <v>Madam</v>
      </c>
      <c r="Q493" s="1" t="str">
        <f>IFERROR(__xludf.DUMMYFUNCTION("""COMPUTED_VALUE"""),"No")</f>
        <v>No</v>
      </c>
      <c r="R493" s="1" t="str">
        <f>IFERROR(__xludf.DUMMYFUNCTION("""COMPUTED_VALUE"""),"NEW WALK IN")</f>
        <v>NEW WALK IN</v>
      </c>
      <c r="S493" s="1"/>
    </row>
    <row r="494">
      <c r="A494" s="2">
        <f>IFERROR(__xludf.DUMMYFUNCTION("""COMPUTED_VALUE"""),45501.72699082176)</f>
        <v>45501.72699</v>
      </c>
      <c r="B494" s="1" t="str">
        <f>IFERROR(__xludf.DUMMYFUNCTION("""COMPUTED_VALUE"""),"Nikita")</f>
        <v>Nikita</v>
      </c>
      <c r="C494" s="1">
        <f>IFERROR(__xludf.DUMMYFUNCTION("""COMPUTED_VALUE"""),8.860590814E9)</f>
        <v>8860590814</v>
      </c>
      <c r="D494" s="1">
        <f>IFERROR(__xludf.DUMMYFUNCTION("""COMPUTED_VALUE"""),2.0)</f>
        <v>2</v>
      </c>
      <c r="E494" s="3">
        <f>IFERROR(__xludf.DUMMYFUNCTION("""COMPUTED_VALUE"""),0.5222222222218988)</f>
        <v>0.5222222222</v>
      </c>
      <c r="F494" s="1" t="str">
        <f>IFERROR(__xludf.DUMMYFUNCTION("""COMPUTED_VALUE"""),"Diamond")</f>
        <v>Diamond</v>
      </c>
      <c r="G494" s="1" t="str">
        <f>IFERROR(__xludf.DUMMYFUNCTION("""COMPUTED_VALUE"""),"Preeti")</f>
        <v>Preeti</v>
      </c>
      <c r="H494" s="1"/>
      <c r="I494" s="1" t="str">
        <f>IFERROR(__xludf.DUMMYFUNCTION("""COMPUTED_VALUE"""),"Pick up Order")</f>
        <v>Pick up Order</v>
      </c>
      <c r="J494" s="1"/>
      <c r="K494" s="3">
        <f>IFERROR(__xludf.DUMMYFUNCTION("""COMPUTED_VALUE"""),0.5458333333372138)</f>
        <v>0.5458333333</v>
      </c>
      <c r="L494" s="1" t="str">
        <f>IFERROR(__xludf.DUMMYFUNCTION("""COMPUTED_VALUE"""),"Yes")</f>
        <v>Yes</v>
      </c>
      <c r="M494" s="1" t="str">
        <f>IFERROR(__xludf.DUMMYFUNCTION("""COMPUTED_VALUE"""),"Already done ")</f>
        <v>Already done </v>
      </c>
      <c r="N494" s="1" t="str">
        <f>IFERROR(__xludf.DUMMYFUNCTION("""COMPUTED_VALUE"""),"Already done ")</f>
        <v>Already done </v>
      </c>
      <c r="O494" s="1" t="str">
        <f>IFERROR(__xludf.DUMMYFUNCTION("""COMPUTED_VALUE"""),"WA ONLY, CALL")</f>
        <v>WA ONLY, CALL</v>
      </c>
      <c r="P494" s="1" t="str">
        <f>IFERROR(__xludf.DUMMYFUNCTION("""COMPUTED_VALUE"""),"Madam")</f>
        <v>Madam</v>
      </c>
      <c r="Q494" s="1" t="str">
        <f>IFERROR(__xludf.DUMMYFUNCTION("""COMPUTED_VALUE"""),"No")</f>
        <v>No</v>
      </c>
      <c r="R494" s="1" t="str">
        <f>IFERROR(__xludf.DUMMYFUNCTION("""COMPUTED_VALUE"""),"OLD")</f>
        <v>OLD</v>
      </c>
      <c r="S494" s="1"/>
    </row>
    <row r="495">
      <c r="A495" s="2">
        <f>IFERROR(__xludf.DUMMYFUNCTION("""COMPUTED_VALUE"""),45501.72790888889)</f>
        <v>45501.72791</v>
      </c>
      <c r="B495" s="1" t="str">
        <f>IFERROR(__xludf.DUMMYFUNCTION("""COMPUTED_VALUE"""),"Ritu")</f>
        <v>Ritu</v>
      </c>
      <c r="C495" s="1">
        <f>IFERROR(__xludf.DUMMYFUNCTION("""COMPUTED_VALUE"""),8.470070705E9)</f>
        <v>8470070705</v>
      </c>
      <c r="D495" s="1">
        <f>IFERROR(__xludf.DUMMYFUNCTION("""COMPUTED_VALUE"""),4.0)</f>
        <v>4</v>
      </c>
      <c r="E495" s="3">
        <f>IFERROR(__xludf.DUMMYFUNCTION("""COMPUTED_VALUE"""),0.5625)</f>
        <v>0.5625</v>
      </c>
      <c r="F495" s="1" t="str">
        <f>IFERROR(__xludf.DUMMYFUNCTION("""COMPUTED_VALUE"""),"Antique Gold")</f>
        <v>Antique Gold</v>
      </c>
      <c r="G495" s="1" t="str">
        <f>IFERROR(__xludf.DUMMYFUNCTION("""COMPUTED_VALUE"""),"Deepali")</f>
        <v>Deepali</v>
      </c>
      <c r="H495" s="1" t="str">
        <f>IFERROR(__xludf.DUMMYFUNCTION("""COMPUTED_VALUE"""),"Antique gold set")</f>
        <v>Antique gold set</v>
      </c>
      <c r="I495" s="1"/>
      <c r="J495" s="1"/>
      <c r="K495" s="3">
        <f>IFERROR(__xludf.DUMMYFUNCTION("""COMPUTED_VALUE"""),0.6958333333313931)</f>
        <v>0.6958333333</v>
      </c>
      <c r="L495" s="1" t="str">
        <f>IFERROR(__xludf.DUMMYFUNCTION("""COMPUTED_VALUE"""),"Yes")</f>
        <v>Yes</v>
      </c>
      <c r="M495" s="1" t="str">
        <f>IFERROR(__xludf.DUMMYFUNCTION("""COMPUTED_VALUE"""),"Already done ")</f>
        <v>Already done </v>
      </c>
      <c r="N495" s="1" t="str">
        <f>IFERROR(__xludf.DUMMYFUNCTION("""COMPUTED_VALUE"""),"Already done ")</f>
        <v>Already done </v>
      </c>
      <c r="O495" s="1" t="str">
        <f>IFERROR(__xludf.DUMMYFUNCTION("""COMPUTED_VALUE"""),"WA ONLY, OWNER CONTACT ONLY, CALL")</f>
        <v>WA ONLY, OWNER CONTACT ONLY, CALL</v>
      </c>
      <c r="P495" s="1" t="str">
        <f>IFERROR(__xludf.DUMMYFUNCTION("""COMPUTED_VALUE"""),"Madam")</f>
        <v>Madam</v>
      </c>
      <c r="Q495" s="1" t="str">
        <f>IFERROR(__xludf.DUMMYFUNCTION("""COMPUTED_VALUE"""),"No")</f>
        <v>No</v>
      </c>
      <c r="R495" s="1" t="str">
        <f>IFERROR(__xludf.DUMMYFUNCTION("""COMPUTED_VALUE"""),"OLD")</f>
        <v>OLD</v>
      </c>
      <c r="S495" s="1"/>
    </row>
    <row r="496">
      <c r="A496" s="2">
        <f>IFERROR(__xludf.DUMMYFUNCTION("""COMPUTED_VALUE"""),45501.728525659724)</f>
        <v>45501.72853</v>
      </c>
      <c r="B496" s="1" t="str">
        <f>IFERROR(__xludf.DUMMYFUNCTION("""COMPUTED_VALUE"""),"Kriti")</f>
        <v>Kriti</v>
      </c>
      <c r="C496" s="1">
        <f>IFERROR(__xludf.DUMMYFUNCTION("""COMPUTED_VALUE"""),9.654814132E9)</f>
        <v>9654814132</v>
      </c>
      <c r="D496" s="1">
        <f>IFERROR(__xludf.DUMMYFUNCTION("""COMPUTED_VALUE"""),2.0)</f>
        <v>2</v>
      </c>
      <c r="E496" s="3">
        <f>IFERROR(__xludf.DUMMYFUNCTION("""COMPUTED_VALUE"""),0.6513888888875954)</f>
        <v>0.6513888889</v>
      </c>
      <c r="F496" s="1" t="str">
        <f>IFERROR(__xludf.DUMMYFUNCTION("""COMPUTED_VALUE"""),"Antique Gold")</f>
        <v>Antique Gold</v>
      </c>
      <c r="G496" s="1" t="str">
        <f>IFERROR(__xludf.DUMMYFUNCTION("""COMPUTED_VALUE"""),"Pooja")</f>
        <v>Pooja</v>
      </c>
      <c r="H496" s="1" t="str">
        <f>IFERROR(__xludf.DUMMYFUNCTION("""COMPUTED_VALUE"""),"Gold chain")</f>
        <v>Gold chain</v>
      </c>
      <c r="I496" s="1"/>
      <c r="J496" s="1"/>
      <c r="K496" s="3">
        <f>IFERROR(__xludf.DUMMYFUNCTION("""COMPUTED_VALUE"""),0.6694444444437977)</f>
        <v>0.6694444444</v>
      </c>
      <c r="L496" s="1" t="str">
        <f>IFERROR(__xludf.DUMMYFUNCTION("""COMPUTED_VALUE"""),"Yes")</f>
        <v>Yes</v>
      </c>
      <c r="M496" s="1" t="str">
        <f>IFERROR(__xludf.DUMMYFUNCTION("""COMPUTED_VALUE"""),"Yes")</f>
        <v>Yes</v>
      </c>
      <c r="N496" s="1" t="str">
        <f>IFERROR(__xludf.DUMMYFUNCTION("""COMPUTED_VALUE"""),"Yes")</f>
        <v>Yes</v>
      </c>
      <c r="O496" s="1" t="str">
        <f>IFERROR(__xludf.DUMMYFUNCTION("""COMPUTED_VALUE"""),"WA ONLY, CALL")</f>
        <v>WA ONLY, CALL</v>
      </c>
      <c r="P496" s="1" t="str">
        <f>IFERROR(__xludf.DUMMYFUNCTION("""COMPUTED_VALUE"""),"Madam")</f>
        <v>Madam</v>
      </c>
      <c r="Q496" s="1" t="str">
        <f>IFERROR(__xludf.DUMMYFUNCTION("""COMPUTED_VALUE"""),"No")</f>
        <v>No</v>
      </c>
      <c r="R496" s="1" t="str">
        <f>IFERROR(__xludf.DUMMYFUNCTION("""COMPUTED_VALUE"""),"NEW WALK IN")</f>
        <v>NEW WALK IN</v>
      </c>
      <c r="S496" s="1"/>
    </row>
    <row r="497">
      <c r="A497" s="2">
        <f>IFERROR(__xludf.DUMMYFUNCTION("""COMPUTED_VALUE"""),45501.762069143515)</f>
        <v>45501.76207</v>
      </c>
      <c r="B497" s="1" t="str">
        <f>IFERROR(__xludf.DUMMYFUNCTION("""COMPUTED_VALUE"""),"Sukhrit")</f>
        <v>Sukhrit</v>
      </c>
      <c r="C497" s="1">
        <f>IFERROR(__xludf.DUMMYFUNCTION("""COMPUTED_VALUE"""),9.811949803E9)</f>
        <v>9811949803</v>
      </c>
      <c r="D497" s="1">
        <f>IFERROR(__xludf.DUMMYFUNCTION("""COMPUTED_VALUE"""),4.0)</f>
        <v>4</v>
      </c>
      <c r="E497" s="3">
        <f>IFERROR(__xludf.DUMMYFUNCTION("""COMPUTED_VALUE"""),0.7520833333328483)</f>
        <v>0.7520833333</v>
      </c>
      <c r="F497" s="1" t="str">
        <f>IFERROR(__xludf.DUMMYFUNCTION("""COMPUTED_VALUE"""),"Antique Gold")</f>
        <v>Antique Gold</v>
      </c>
      <c r="G497" s="1" t="str">
        <f>IFERROR(__xludf.DUMMYFUNCTION("""COMPUTED_VALUE"""),"Pooja")</f>
        <v>Pooja</v>
      </c>
      <c r="H497" s="1"/>
      <c r="I497" s="1" t="str">
        <f>IFERROR(__xludf.DUMMYFUNCTION("""COMPUTED_VALUE"""),"Customer  wants 18k gold in bangles not available ")</f>
        <v>Customer  wants 18k gold in bangles not available </v>
      </c>
      <c r="J497" s="1"/>
      <c r="K497" s="3">
        <f>IFERROR(__xludf.DUMMYFUNCTION("""COMPUTED_VALUE"""),0.7541666666656965)</f>
        <v>0.7541666667</v>
      </c>
      <c r="L497" s="1" t="str">
        <f>IFERROR(__xludf.DUMMYFUNCTION("""COMPUTED_VALUE"""),"No")</f>
        <v>No</v>
      </c>
      <c r="M497" s="1" t="str">
        <f>IFERROR(__xludf.DUMMYFUNCTION("""COMPUTED_VALUE"""),"Mo")</f>
        <v>Mo</v>
      </c>
      <c r="N497" s="1" t="str">
        <f>IFERROR(__xludf.DUMMYFUNCTION("""COMPUTED_VALUE"""),"No")</f>
        <v>No</v>
      </c>
      <c r="O497" s="1" t="str">
        <f>IFERROR(__xludf.DUMMYFUNCTION("""COMPUTED_VALUE"""),"WA ONLY, CALL")</f>
        <v>WA ONLY, CALL</v>
      </c>
      <c r="P497" s="1" t="str">
        <f>IFERROR(__xludf.DUMMYFUNCTION("""COMPUTED_VALUE"""),"Sir")</f>
        <v>Sir</v>
      </c>
      <c r="Q497" s="1" t="str">
        <f>IFERROR(__xludf.DUMMYFUNCTION("""COMPUTED_VALUE"""),"No")</f>
        <v>No</v>
      </c>
      <c r="R497" s="1" t="str">
        <f>IFERROR(__xludf.DUMMYFUNCTION("""COMPUTED_VALUE"""),"NEW WALK IN")</f>
        <v>NEW WALK IN</v>
      </c>
      <c r="S497" s="1"/>
    </row>
    <row r="498">
      <c r="A498" s="2">
        <f>IFERROR(__xludf.DUMMYFUNCTION("""COMPUTED_VALUE"""),45501.768774212964)</f>
        <v>45501.76877</v>
      </c>
      <c r="B498" s="1" t="str">
        <f>IFERROR(__xludf.DUMMYFUNCTION("""COMPUTED_VALUE"""),"Rakesh jain ")</f>
        <v>Rakesh jain </v>
      </c>
      <c r="C498" s="1">
        <f>IFERROR(__xludf.DUMMYFUNCTION("""COMPUTED_VALUE"""),9.560298034E9)</f>
        <v>9560298034</v>
      </c>
      <c r="D498" s="1">
        <f>IFERROR(__xludf.DUMMYFUNCTION("""COMPUTED_VALUE"""),2.0)</f>
        <v>2</v>
      </c>
      <c r="E498" s="3">
        <f>IFERROR(__xludf.DUMMYFUNCTION("""COMPUTED_VALUE"""),0.7590277777781012)</f>
        <v>0.7590277778</v>
      </c>
      <c r="F498" s="1" t="str">
        <f>IFERROR(__xludf.DUMMYFUNCTION("""COMPUTED_VALUE"""),"Antique Gold")</f>
        <v>Antique Gold</v>
      </c>
      <c r="G498" s="1" t="str">
        <f>IFERROR(__xludf.DUMMYFUNCTION("""COMPUTED_VALUE"""),"Pooja")</f>
        <v>Pooja</v>
      </c>
      <c r="H498" s="1"/>
      <c r="I498" s="1" t="str">
        <f>IFERROR(__xludf.DUMMYFUNCTION("""COMPUTED_VALUE"""),"Making High or Wants Discount")</f>
        <v>Making High or Wants Discount</v>
      </c>
      <c r="J498" s="1"/>
      <c r="K498" s="3">
        <f>IFERROR(__xludf.DUMMYFUNCTION("""COMPUTED_VALUE"""),0.7666666666627862)</f>
        <v>0.7666666667</v>
      </c>
      <c r="L498" s="1" t="str">
        <f>IFERROR(__xludf.DUMMYFUNCTION("""COMPUTED_VALUE"""),"Yes")</f>
        <v>Yes</v>
      </c>
      <c r="M498" s="1" t="str">
        <f>IFERROR(__xludf.DUMMYFUNCTION("""COMPUTED_VALUE"""),"No")</f>
        <v>No</v>
      </c>
      <c r="N498" s="1" t="str">
        <f>IFERROR(__xludf.DUMMYFUNCTION("""COMPUTED_VALUE"""),"No")</f>
        <v>No</v>
      </c>
      <c r="O498" s="1" t="str">
        <f>IFERROR(__xludf.DUMMYFUNCTION("""COMPUTED_VALUE"""),"WA ONLY, CALL")</f>
        <v>WA ONLY, CALL</v>
      </c>
      <c r="P498" s="1" t="str">
        <f>IFERROR(__xludf.DUMMYFUNCTION("""COMPUTED_VALUE"""),"Sir")</f>
        <v>Sir</v>
      </c>
      <c r="Q498" s="1" t="str">
        <f>IFERROR(__xludf.DUMMYFUNCTION("""COMPUTED_VALUE"""),"No")</f>
        <v>No</v>
      </c>
      <c r="R498" s="1" t="str">
        <f>IFERROR(__xludf.DUMMYFUNCTION("""COMPUTED_VALUE"""),"NEW WALK IN")</f>
        <v>NEW WALK IN</v>
      </c>
      <c r="S498" s="1"/>
    </row>
    <row r="499">
      <c r="A499" s="2">
        <f>IFERROR(__xludf.DUMMYFUNCTION("""COMPUTED_VALUE"""),45501.78469122685)</f>
        <v>45501.78469</v>
      </c>
      <c r="B499" s="1" t="str">
        <f>IFERROR(__xludf.DUMMYFUNCTION("""COMPUTED_VALUE"""),"Dr. Shrisht")</f>
        <v>Dr. Shrisht</v>
      </c>
      <c r="C499" s="1">
        <f>IFERROR(__xludf.DUMMYFUNCTION("""COMPUTED_VALUE"""),9.899284144E9)</f>
        <v>9899284144</v>
      </c>
      <c r="D499" s="1">
        <f>IFERROR(__xludf.DUMMYFUNCTION("""COMPUTED_VALUE"""),2.0)</f>
        <v>2</v>
      </c>
      <c r="E499" s="3">
        <f>IFERROR(__xludf.DUMMYFUNCTION("""COMPUTED_VALUE"""),0.6805555555547471)</f>
        <v>0.6805555556</v>
      </c>
      <c r="F499" s="1" t="str">
        <f>IFERROR(__xludf.DUMMYFUNCTION("""COMPUTED_VALUE"""),"Plain Gold")</f>
        <v>Plain Gold</v>
      </c>
      <c r="G499" s="1" t="str">
        <f>IFERROR(__xludf.DUMMYFUNCTION("""COMPUTED_VALUE"""),"Preeti")</f>
        <v>Preeti</v>
      </c>
      <c r="H499" s="1" t="str">
        <f>IFERROR(__xludf.DUMMYFUNCTION("""COMPUTED_VALUE"""),"Diamond set,Diamond ring,gold ring,diamond pendent ")</f>
        <v>Diamond set,Diamond ring,gold ring,diamond pendent </v>
      </c>
      <c r="I499" s="1"/>
      <c r="J499" s="1"/>
      <c r="K499" s="3">
        <f>IFERROR(__xludf.DUMMYFUNCTION("""COMPUTED_VALUE"""),0.7833333333328483)</f>
        <v>0.7833333333</v>
      </c>
      <c r="L499" s="1" t="str">
        <f>IFERROR(__xludf.DUMMYFUNCTION("""COMPUTED_VALUE"""),"Yes")</f>
        <v>Yes</v>
      </c>
      <c r="M499" s="1" t="str">
        <f>IFERROR(__xludf.DUMMYFUNCTION("""COMPUTED_VALUE"""),"Already done ")</f>
        <v>Already done </v>
      </c>
      <c r="N499" s="1" t="str">
        <f>IFERROR(__xludf.DUMMYFUNCTION("""COMPUTED_VALUE"""),"Already done ")</f>
        <v>Already done </v>
      </c>
      <c r="O499" s="1" t="str">
        <f>IFERROR(__xludf.DUMMYFUNCTION("""COMPUTED_VALUE"""),"WA ONLY, CALL")</f>
        <v>WA ONLY, CALL</v>
      </c>
      <c r="P499" s="1" t="str">
        <f>IFERROR(__xludf.DUMMYFUNCTION("""COMPUTED_VALUE"""),"Madam")</f>
        <v>Madam</v>
      </c>
      <c r="Q499" s="1" t="str">
        <f>IFERROR(__xludf.DUMMYFUNCTION("""COMPUTED_VALUE"""),"No")</f>
        <v>No</v>
      </c>
      <c r="R499" s="1" t="str">
        <f>IFERROR(__xludf.DUMMYFUNCTION("""COMPUTED_VALUE"""),"OLD")</f>
        <v>OLD</v>
      </c>
      <c r="S499" s="1"/>
    </row>
    <row r="500">
      <c r="A500" s="2">
        <f>IFERROR(__xludf.DUMMYFUNCTION("""COMPUTED_VALUE"""),45501.81412766204)</f>
        <v>45501.81413</v>
      </c>
      <c r="B500" s="1" t="str">
        <f>IFERROR(__xludf.DUMMYFUNCTION("""COMPUTED_VALUE"""),"Priyanka ")</f>
        <v>Priyanka </v>
      </c>
      <c r="C500" s="1">
        <f>IFERROR(__xludf.DUMMYFUNCTION("""COMPUTED_VALUE"""),9.871939022E9)</f>
        <v>9871939022</v>
      </c>
      <c r="D500" s="1">
        <f>IFERROR(__xludf.DUMMYFUNCTION("""COMPUTED_VALUE"""),1.0)</f>
        <v>1</v>
      </c>
      <c r="E500" s="3">
        <f>IFERROR(__xludf.DUMMYFUNCTION("""COMPUTED_VALUE"""),0.734722222223354)</f>
        <v>0.7347222222</v>
      </c>
      <c r="F500" s="1" t="str">
        <f>IFERROR(__xludf.DUMMYFUNCTION("""COMPUTED_VALUE"""),"Diamond")</f>
        <v>Diamond</v>
      </c>
      <c r="G500" s="1" t="str">
        <f>IFERROR(__xludf.DUMMYFUNCTION("""COMPUTED_VALUE"""),"Preeti")</f>
        <v>Preeti</v>
      </c>
      <c r="H500" s="1" t="str">
        <f>IFERROR(__xludf.DUMMYFUNCTION("""COMPUTED_VALUE"""),"Cvd ring and repair done")</f>
        <v>Cvd ring and repair done</v>
      </c>
      <c r="I500" s="1"/>
      <c r="J500" s="1"/>
      <c r="K500" s="3">
        <f>IFERROR(__xludf.DUMMYFUNCTION("""COMPUTED_VALUE"""),0.8125)</f>
        <v>0.8125</v>
      </c>
      <c r="L500" s="1" t="str">
        <f>IFERROR(__xludf.DUMMYFUNCTION("""COMPUTED_VALUE"""),"Yes")</f>
        <v>Yes</v>
      </c>
      <c r="M500" s="1" t="str">
        <f>IFERROR(__xludf.DUMMYFUNCTION("""COMPUTED_VALUE"""),"Already done ")</f>
        <v>Already done </v>
      </c>
      <c r="N500" s="1" t="str">
        <f>IFERROR(__xludf.DUMMYFUNCTION("""COMPUTED_VALUE"""),"Already done ")</f>
        <v>Already done </v>
      </c>
      <c r="O500" s="1" t="str">
        <f>IFERROR(__xludf.DUMMYFUNCTION("""COMPUTED_VALUE"""),"WA ONLY, CALL")</f>
        <v>WA ONLY, CALL</v>
      </c>
      <c r="P500" s="1" t="str">
        <f>IFERROR(__xludf.DUMMYFUNCTION("""COMPUTED_VALUE"""),"Madam")</f>
        <v>Madam</v>
      </c>
      <c r="Q500" s="1" t="str">
        <f>IFERROR(__xludf.DUMMYFUNCTION("""COMPUTED_VALUE"""),"No")</f>
        <v>No</v>
      </c>
      <c r="R500" s="1" t="str">
        <f>IFERROR(__xludf.DUMMYFUNCTION("""COMPUTED_VALUE"""),"OLD")</f>
        <v>OLD</v>
      </c>
      <c r="S500" s="1"/>
    </row>
    <row r="501">
      <c r="A501" s="2">
        <f>IFERROR(__xludf.DUMMYFUNCTION("""COMPUTED_VALUE"""),45501.821774745375)</f>
        <v>45501.82177</v>
      </c>
      <c r="B501" s="1" t="str">
        <f>IFERROR(__xludf.DUMMYFUNCTION("""COMPUTED_VALUE"""),"Pawan kumar")</f>
        <v>Pawan kumar</v>
      </c>
      <c r="C501" s="1">
        <f>IFERROR(__xludf.DUMMYFUNCTION("""COMPUTED_VALUE"""),8.860014378E9)</f>
        <v>8860014378</v>
      </c>
      <c r="D501" s="1">
        <f>IFERROR(__xludf.DUMMYFUNCTION("""COMPUTED_VALUE"""),4.0)</f>
        <v>4</v>
      </c>
      <c r="E501" s="3">
        <f>IFERROR(__xludf.DUMMYFUNCTION("""COMPUTED_VALUE"""),0.8152777777795563)</f>
        <v>0.8152777778</v>
      </c>
      <c r="F501" s="1" t="str">
        <f>IFERROR(__xludf.DUMMYFUNCTION("""COMPUTED_VALUE"""),"Antique Gold")</f>
        <v>Antique Gold</v>
      </c>
      <c r="G501" s="1" t="str">
        <f>IFERROR(__xludf.DUMMYFUNCTION("""COMPUTED_VALUE"""),"Pooja")</f>
        <v>Pooja</v>
      </c>
      <c r="H501" s="1"/>
      <c r="I501" s="1" t="str">
        <f>IFERROR(__xludf.DUMMYFUNCTION("""COMPUTED_VALUE"""),"Mmtc 10 gm coin not available in the stok")</f>
        <v>Mmtc 10 gm coin not available in the stok</v>
      </c>
      <c r="J501" s="1"/>
      <c r="K501" s="3">
        <f>IFERROR(__xludf.DUMMYFUNCTION("""COMPUTED_VALUE"""),0.8194444444452529)</f>
        <v>0.8194444444</v>
      </c>
      <c r="L501" s="1" t="str">
        <f>IFERROR(__xludf.DUMMYFUNCTION("""COMPUTED_VALUE"""),"No")</f>
        <v>No</v>
      </c>
      <c r="M501" s="1" t="str">
        <f>IFERROR(__xludf.DUMMYFUNCTION("""COMPUTED_VALUE"""),"No")</f>
        <v>No</v>
      </c>
      <c r="N501" s="1" t="str">
        <f>IFERROR(__xludf.DUMMYFUNCTION("""COMPUTED_VALUE"""),"No")</f>
        <v>No</v>
      </c>
      <c r="O501" s="1" t="str">
        <f>IFERROR(__xludf.DUMMYFUNCTION("""COMPUTED_VALUE"""),"WA ONLY, CALL")</f>
        <v>WA ONLY, CALL</v>
      </c>
      <c r="P501" s="1" t="str">
        <f>IFERROR(__xludf.DUMMYFUNCTION("""COMPUTED_VALUE"""),"Sir")</f>
        <v>Sir</v>
      </c>
      <c r="Q501" s="1" t="str">
        <f>IFERROR(__xludf.DUMMYFUNCTION("""COMPUTED_VALUE"""),"No")</f>
        <v>No</v>
      </c>
      <c r="R501" s="1" t="str">
        <f>IFERROR(__xludf.DUMMYFUNCTION("""COMPUTED_VALUE"""),"NEW WALK IN")</f>
        <v>NEW WALK IN</v>
      </c>
      <c r="S501" s="1"/>
    </row>
    <row r="502">
      <c r="A502" s="2">
        <f>IFERROR(__xludf.DUMMYFUNCTION("""COMPUTED_VALUE"""),45501.827068240746)</f>
        <v>45501.82707</v>
      </c>
      <c r="B502" s="1" t="str">
        <f>IFERROR(__xludf.DUMMYFUNCTION("""COMPUTED_VALUE"""),"Purnima")</f>
        <v>Purnima</v>
      </c>
      <c r="C502" s="1">
        <f>IFERROR(__xludf.DUMMYFUNCTION("""COMPUTED_VALUE"""),9.990213737E9)</f>
        <v>9990213737</v>
      </c>
      <c r="D502" s="1">
        <f>IFERROR(__xludf.DUMMYFUNCTION("""COMPUTED_VALUE"""),3.0)</f>
        <v>3</v>
      </c>
      <c r="E502" s="3">
        <f>IFERROR(__xludf.DUMMYFUNCTION("""COMPUTED_VALUE"""),0.7916666666642413)</f>
        <v>0.7916666667</v>
      </c>
      <c r="F502" s="1" t="str">
        <f>IFERROR(__xludf.DUMMYFUNCTION("""COMPUTED_VALUE"""),"Plain Gold")</f>
        <v>Plain Gold</v>
      </c>
      <c r="G502" s="1" t="str">
        <f>IFERROR(__xludf.DUMMYFUNCTION("""COMPUTED_VALUE"""),"Tannu")</f>
        <v>Tannu</v>
      </c>
      <c r="H502" s="1"/>
      <c r="I502" s="1" t="str">
        <f>IFERROR(__xludf.DUMMYFUNCTION("""COMPUTED_VALUE"""),"Visit Again in 1 Month")</f>
        <v>Visit Again in 1 Month</v>
      </c>
      <c r="J502" s="1"/>
      <c r="K502" s="3">
        <f>IFERROR(__xludf.DUMMYFUNCTION("""COMPUTED_VALUE"""),0.8194444444452529)</f>
        <v>0.8194444444</v>
      </c>
      <c r="L502" s="1" t="str">
        <f>IFERROR(__xludf.DUMMYFUNCTION("""COMPUTED_VALUE"""),"Yes")</f>
        <v>Yes</v>
      </c>
      <c r="M502" s="1" t="str">
        <f>IFERROR(__xludf.DUMMYFUNCTION("""COMPUTED_VALUE"""),"No")</f>
        <v>No</v>
      </c>
      <c r="N502" s="1" t="str">
        <f>IFERROR(__xludf.DUMMYFUNCTION("""COMPUTED_VALUE"""),"No")</f>
        <v>No</v>
      </c>
      <c r="O502" s="1" t="str">
        <f>IFERROR(__xludf.DUMMYFUNCTION("""COMPUTED_VALUE"""),"WA ONLY, CALL")</f>
        <v>WA ONLY, CALL</v>
      </c>
      <c r="P502" s="1" t="str">
        <f>IFERROR(__xludf.DUMMYFUNCTION("""COMPUTED_VALUE"""),"Madam")</f>
        <v>Madam</v>
      </c>
      <c r="Q502" s="1" t="str">
        <f>IFERROR(__xludf.DUMMYFUNCTION("""COMPUTED_VALUE"""),"No")</f>
        <v>No</v>
      </c>
      <c r="R502" s="1" t="str">
        <f>IFERROR(__xludf.DUMMYFUNCTION("""COMPUTED_VALUE"""),"NEW WALK IN")</f>
        <v>NEW WALK IN</v>
      </c>
      <c r="S502" s="1"/>
    </row>
    <row r="503">
      <c r="A503" s="2">
        <f>IFERROR(__xludf.DUMMYFUNCTION("""COMPUTED_VALUE"""),45503.62278329861)</f>
        <v>45503.62278</v>
      </c>
      <c r="B503" s="1" t="str">
        <f>IFERROR(__xludf.DUMMYFUNCTION("""COMPUTED_VALUE"""),"Yadav ji")</f>
        <v>Yadav ji</v>
      </c>
      <c r="C503" s="1">
        <f>IFERROR(__xludf.DUMMYFUNCTION("""COMPUTED_VALUE"""),9.506540778E9)</f>
        <v>9506540778</v>
      </c>
      <c r="D503" s="1">
        <f>IFERROR(__xludf.DUMMYFUNCTION("""COMPUTED_VALUE"""),2.0)</f>
        <v>2</v>
      </c>
      <c r="E503" s="3">
        <f>IFERROR(__xludf.DUMMYFUNCTION("""COMPUTED_VALUE"""),0.5381944444452529)</f>
        <v>0.5381944444</v>
      </c>
      <c r="F503" s="1" t="str">
        <f>IFERROR(__xludf.DUMMYFUNCTION("""COMPUTED_VALUE"""),"Plain Gold")</f>
        <v>Plain Gold</v>
      </c>
      <c r="G503" s="1" t="str">
        <f>IFERROR(__xludf.DUMMYFUNCTION("""COMPUTED_VALUE"""),"Tannu")</f>
        <v>Tannu</v>
      </c>
      <c r="H503" s="1"/>
      <c r="I503" s="1" t="str">
        <f>IFERROR(__xludf.DUMMYFUNCTION("""COMPUTED_VALUE"""),"Making High or Wants Discount")</f>
        <v>Making High or Wants Discount</v>
      </c>
      <c r="J503" s="1"/>
      <c r="K503" s="3">
        <f>IFERROR(__xludf.DUMMYFUNCTION("""COMPUTED_VALUE"""),0.5583333333343035)</f>
        <v>0.5583333333</v>
      </c>
      <c r="L503" s="1" t="str">
        <f>IFERROR(__xludf.DUMMYFUNCTION("""COMPUTED_VALUE"""),"No")</f>
        <v>No</v>
      </c>
      <c r="M503" s="1" t="str">
        <f>IFERROR(__xludf.DUMMYFUNCTION("""COMPUTED_VALUE"""),"No")</f>
        <v>No</v>
      </c>
      <c r="N503" s="1" t="str">
        <f>IFERROR(__xludf.DUMMYFUNCTION("""COMPUTED_VALUE"""),"No")</f>
        <v>No</v>
      </c>
      <c r="O503" s="1" t="str">
        <f>IFERROR(__xludf.DUMMYFUNCTION("""COMPUTED_VALUE"""),"WA ONLY, CALL")</f>
        <v>WA ONLY, CALL</v>
      </c>
      <c r="P503" s="1" t="str">
        <f>IFERROR(__xludf.DUMMYFUNCTION("""COMPUTED_VALUE"""),"Sir")</f>
        <v>Sir</v>
      </c>
      <c r="Q503" s="1" t="str">
        <f>IFERROR(__xludf.DUMMYFUNCTION("""COMPUTED_VALUE"""),"No")</f>
        <v>No</v>
      </c>
      <c r="R503" s="1" t="str">
        <f>IFERROR(__xludf.DUMMYFUNCTION("""COMPUTED_VALUE"""),"NEW WALK IN")</f>
        <v>NEW WALK IN</v>
      </c>
      <c r="S503" s="1"/>
    </row>
    <row r="504">
      <c r="A504" s="2">
        <f>IFERROR(__xludf.DUMMYFUNCTION("""COMPUTED_VALUE"""),45503.67520730324)</f>
        <v>45503.67521</v>
      </c>
      <c r="B504" s="1" t="str">
        <f>IFERROR(__xludf.DUMMYFUNCTION("""COMPUTED_VALUE"""),"Ranju")</f>
        <v>Ranju</v>
      </c>
      <c r="C504" s="1">
        <f>IFERROR(__xludf.DUMMYFUNCTION("""COMPUTED_VALUE"""),8.084432596E9)</f>
        <v>8084432596</v>
      </c>
      <c r="D504" s="1">
        <f>IFERROR(__xludf.DUMMYFUNCTION("""COMPUTED_VALUE"""),3.0)</f>
        <v>3</v>
      </c>
      <c r="E504" s="3">
        <f>IFERROR(__xludf.DUMMYFUNCTION("""COMPUTED_VALUE"""),0.59375)</f>
        <v>0.59375</v>
      </c>
      <c r="F504" s="1" t="str">
        <f>IFERROR(__xludf.DUMMYFUNCTION("""COMPUTED_VALUE"""),"Plain Gold")</f>
        <v>Plain Gold</v>
      </c>
      <c r="G504" s="1" t="str">
        <f>IFERROR(__xludf.DUMMYFUNCTION("""COMPUTED_VALUE"""),"Neetu")</f>
        <v>Neetu</v>
      </c>
      <c r="H504" s="1"/>
      <c r="I504" s="1" t="str">
        <f>IFERROR(__xludf.DUMMYFUNCTION("""COMPUTED_VALUE"""),"Making High or Wants Discount")</f>
        <v>Making High or Wants Discount</v>
      </c>
      <c r="J504" s="1"/>
      <c r="K504" s="3">
        <f>IFERROR(__xludf.DUMMYFUNCTION("""COMPUTED_VALUE"""),0.6055555555576575)</f>
        <v>0.6055555556</v>
      </c>
      <c r="L504" s="1" t="str">
        <f>IFERROR(__xludf.DUMMYFUNCTION("""COMPUTED_VALUE"""),"No")</f>
        <v>No</v>
      </c>
      <c r="M504" s="1" t="str">
        <f>IFERROR(__xludf.DUMMYFUNCTION("""COMPUTED_VALUE"""),"Already done ")</f>
        <v>Already done </v>
      </c>
      <c r="N504" s="1" t="str">
        <f>IFERROR(__xludf.DUMMYFUNCTION("""COMPUTED_VALUE"""),"Already done ")</f>
        <v>Already done </v>
      </c>
      <c r="O504" s="1" t="str">
        <f>IFERROR(__xludf.DUMMYFUNCTION("""COMPUTED_VALUE"""),"WA ONLY, CALL")</f>
        <v>WA ONLY, CALL</v>
      </c>
      <c r="P504" s="1" t="str">
        <f>IFERROR(__xludf.DUMMYFUNCTION("""COMPUTED_VALUE"""),"Sir")</f>
        <v>Sir</v>
      </c>
      <c r="Q504" s="1" t="str">
        <f>IFERROR(__xludf.DUMMYFUNCTION("""COMPUTED_VALUE"""),"No")</f>
        <v>No</v>
      </c>
      <c r="R504" s="1" t="str">
        <f>IFERROR(__xludf.DUMMYFUNCTION("""COMPUTED_VALUE"""),"OLD")</f>
        <v>OLD</v>
      </c>
      <c r="S504" s="1"/>
    </row>
    <row r="505">
      <c r="A505" s="2">
        <f>IFERROR(__xludf.DUMMYFUNCTION("""COMPUTED_VALUE"""),45503.67603696759)</f>
        <v>45503.67604</v>
      </c>
      <c r="B505" s="1" t="str">
        <f>IFERROR(__xludf.DUMMYFUNCTION("""COMPUTED_VALUE"""),"Aamir khan")</f>
        <v>Aamir khan</v>
      </c>
      <c r="C505" s="1">
        <f>IFERROR(__xludf.DUMMYFUNCTION("""COMPUTED_VALUE"""),9.953832021E9)</f>
        <v>9953832021</v>
      </c>
      <c r="D505" s="1">
        <f>IFERROR(__xludf.DUMMYFUNCTION("""COMPUTED_VALUE"""),4.0)</f>
        <v>4</v>
      </c>
      <c r="E505" s="3">
        <f>IFERROR(__xludf.DUMMYFUNCTION("""COMPUTED_VALUE"""),0.6263888888934162)</f>
        <v>0.6263888889</v>
      </c>
      <c r="F505" s="1" t="str">
        <f>IFERROR(__xludf.DUMMYFUNCTION("""COMPUTED_VALUE"""),"Plain Gold")</f>
        <v>Plain Gold</v>
      </c>
      <c r="G505" s="1" t="str">
        <f>IFERROR(__xludf.DUMMYFUNCTION("""COMPUTED_VALUE"""),"Neetu")</f>
        <v>Neetu</v>
      </c>
      <c r="H505" s="1"/>
      <c r="I505" s="1" t="str">
        <f>IFERROR(__xludf.DUMMYFUNCTION("""COMPUTED_VALUE"""),"Making High or Wants Discount")</f>
        <v>Making High or Wants Discount</v>
      </c>
      <c r="J505" s="1"/>
      <c r="K505" s="3">
        <f>IFERROR(__xludf.DUMMYFUNCTION("""COMPUTED_VALUE"""),0.6645833333313931)</f>
        <v>0.6645833333</v>
      </c>
      <c r="L505" s="1" t="str">
        <f>IFERROR(__xludf.DUMMYFUNCTION("""COMPUTED_VALUE"""),"Yes")</f>
        <v>Yes</v>
      </c>
      <c r="M505" s="1" t="str">
        <f>IFERROR(__xludf.DUMMYFUNCTION("""COMPUTED_VALUE"""),"No")</f>
        <v>No</v>
      </c>
      <c r="N505" s="1" t="str">
        <f>IFERROR(__xludf.DUMMYFUNCTION("""COMPUTED_VALUE"""),"No")</f>
        <v>No</v>
      </c>
      <c r="O505" s="1" t="str">
        <f>IFERROR(__xludf.DUMMYFUNCTION("""COMPUTED_VALUE"""),"WA ONLY, CALL")</f>
        <v>WA ONLY, CALL</v>
      </c>
      <c r="P505" s="1" t="str">
        <f>IFERROR(__xludf.DUMMYFUNCTION("""COMPUTED_VALUE"""),"Sir")</f>
        <v>Sir</v>
      </c>
      <c r="Q505" s="1" t="str">
        <f>IFERROR(__xludf.DUMMYFUNCTION("""COMPUTED_VALUE"""),"No")</f>
        <v>No</v>
      </c>
      <c r="R505" s="1" t="str">
        <f>IFERROR(__xludf.DUMMYFUNCTION("""COMPUTED_VALUE"""),"NEW WALK IN")</f>
        <v>NEW WALK IN</v>
      </c>
      <c r="S505" s="1"/>
    </row>
    <row r="506">
      <c r="A506" s="2">
        <f>IFERROR(__xludf.DUMMYFUNCTION("""COMPUTED_VALUE"""),45503.82710403935)</f>
        <v>45503.8271</v>
      </c>
      <c r="B506" s="1" t="str">
        <f>IFERROR(__xludf.DUMMYFUNCTION("""COMPUTED_VALUE"""),"Om parkash ")</f>
        <v>Om parkash </v>
      </c>
      <c r="C506" s="1">
        <f>IFERROR(__xludf.DUMMYFUNCTION("""COMPUTED_VALUE"""),8.504863131E9)</f>
        <v>8504863131</v>
      </c>
      <c r="D506" s="1">
        <f>IFERROR(__xludf.DUMMYFUNCTION("""COMPUTED_VALUE"""),2.0)</f>
        <v>2</v>
      </c>
      <c r="E506" s="3">
        <f>IFERROR(__xludf.DUMMYFUNCTION("""COMPUTED_VALUE"""),0.7638888888905058)</f>
        <v>0.7638888889</v>
      </c>
      <c r="F506" s="1" t="str">
        <f>IFERROR(__xludf.DUMMYFUNCTION("""COMPUTED_VALUE"""),"Plain Gold")</f>
        <v>Plain Gold</v>
      </c>
      <c r="G506" s="1" t="str">
        <f>IFERROR(__xludf.DUMMYFUNCTION("""COMPUTED_VALUE"""),"Chhaya")</f>
        <v>Chhaya</v>
      </c>
      <c r="H506" s="1" t="str">
        <f>IFERROR(__xludf.DUMMYFUNCTION("""COMPUTED_VALUE"""),"Gold bali")</f>
        <v>Gold bali</v>
      </c>
      <c r="I506" s="1"/>
      <c r="J506" s="1"/>
      <c r="K506" s="3">
        <f>IFERROR(__xludf.DUMMYFUNCTION("""COMPUTED_VALUE"""),0.8125)</f>
        <v>0.8125</v>
      </c>
      <c r="L506" s="1" t="str">
        <f>IFERROR(__xludf.DUMMYFUNCTION("""COMPUTED_VALUE"""),"Yes")</f>
        <v>Yes</v>
      </c>
      <c r="M506" s="1" t="str">
        <f>IFERROR(__xludf.DUMMYFUNCTION("""COMPUTED_VALUE"""),"Already done ")</f>
        <v>Already done </v>
      </c>
      <c r="N506" s="1" t="str">
        <f>IFERROR(__xludf.DUMMYFUNCTION("""COMPUTED_VALUE"""),"Already done ")</f>
        <v>Already done </v>
      </c>
      <c r="O506" s="1" t="str">
        <f>IFERROR(__xludf.DUMMYFUNCTION("""COMPUTED_VALUE"""),"WA ONLY, CALL")</f>
        <v>WA ONLY, CALL</v>
      </c>
      <c r="P506" s="1" t="str">
        <f>IFERROR(__xludf.DUMMYFUNCTION("""COMPUTED_VALUE"""),"Sir")</f>
        <v>Sir</v>
      </c>
      <c r="Q506" s="1" t="str">
        <f>IFERROR(__xludf.DUMMYFUNCTION("""COMPUTED_VALUE"""),"No")</f>
        <v>No</v>
      </c>
      <c r="R506" s="1" t="str">
        <f>IFERROR(__xludf.DUMMYFUNCTION("""COMPUTED_VALUE"""),"OLD")</f>
        <v>OLD</v>
      </c>
      <c r="S506" s="1"/>
    </row>
    <row r="507">
      <c r="A507" s="2">
        <f>IFERROR(__xludf.DUMMYFUNCTION("""COMPUTED_VALUE"""),45503.82796809028)</f>
        <v>45503.82797</v>
      </c>
      <c r="B507" s="1" t="str">
        <f>IFERROR(__xludf.DUMMYFUNCTION("""COMPUTED_VALUE"""),"Md. Aarif ")</f>
        <v>Md. Aarif </v>
      </c>
      <c r="C507" s="1">
        <f>IFERROR(__xludf.DUMMYFUNCTION("""COMPUTED_VALUE"""),9.811252166E9)</f>
        <v>9811252166</v>
      </c>
      <c r="D507" s="1">
        <f>IFERROR(__xludf.DUMMYFUNCTION("""COMPUTED_VALUE"""),3.0)</f>
        <v>3</v>
      </c>
      <c r="E507" s="3">
        <f>IFERROR(__xludf.DUMMYFUNCTION("""COMPUTED_VALUE"""),0.7805555555532919)</f>
        <v>0.7805555556</v>
      </c>
      <c r="F507" s="1" t="str">
        <f>IFERROR(__xludf.DUMMYFUNCTION("""COMPUTED_VALUE"""),"Antique Gold")</f>
        <v>Antique Gold</v>
      </c>
      <c r="G507" s="1" t="str">
        <f>IFERROR(__xludf.DUMMYFUNCTION("""COMPUTED_VALUE"""),"Preeti")</f>
        <v>Preeti</v>
      </c>
      <c r="H507" s="1"/>
      <c r="I507" s="1" t="str">
        <f>IFERROR(__xludf.DUMMYFUNCTION("""COMPUTED_VALUE"""),"Want to see More Variety")</f>
        <v>Want to see More Variety</v>
      </c>
      <c r="J507" s="1"/>
      <c r="K507" s="3">
        <f>IFERROR(__xludf.DUMMYFUNCTION("""COMPUTED_VALUE"""),0.8125)</f>
        <v>0.8125</v>
      </c>
      <c r="L507" s="1" t="str">
        <f>IFERROR(__xludf.DUMMYFUNCTION("""COMPUTED_VALUE"""),"Yes")</f>
        <v>Yes</v>
      </c>
      <c r="M507" s="1" t="str">
        <f>IFERROR(__xludf.DUMMYFUNCTION("""COMPUTED_VALUE"""),"No")</f>
        <v>No</v>
      </c>
      <c r="N507" s="1" t="str">
        <f>IFERROR(__xludf.DUMMYFUNCTION("""COMPUTED_VALUE"""),"No")</f>
        <v>No</v>
      </c>
      <c r="O507" s="1" t="str">
        <f>IFERROR(__xludf.DUMMYFUNCTION("""COMPUTED_VALUE"""),"WA ONLY, CALL")</f>
        <v>WA ONLY, CALL</v>
      </c>
      <c r="P507" s="1" t="str">
        <f>IFERROR(__xludf.DUMMYFUNCTION("""COMPUTED_VALUE"""),"Sir")</f>
        <v>Sir</v>
      </c>
      <c r="Q507" s="1" t="str">
        <f>IFERROR(__xludf.DUMMYFUNCTION("""COMPUTED_VALUE"""),"No")</f>
        <v>No</v>
      </c>
      <c r="R507" s="1" t="str">
        <f>IFERROR(__xludf.DUMMYFUNCTION("""COMPUTED_VALUE"""),"NEW WALK IN")</f>
        <v>NEW WALK IN</v>
      </c>
      <c r="S507" s="1"/>
    </row>
    <row r="508">
      <c r="A508" s="2">
        <f>IFERROR(__xludf.DUMMYFUNCTION("""COMPUTED_VALUE"""),45504.690742175924)</f>
        <v>45504.69074</v>
      </c>
      <c r="B508" s="1" t="str">
        <f>IFERROR(__xludf.DUMMYFUNCTION("""COMPUTED_VALUE"""),"Sudhir tiwari")</f>
        <v>Sudhir tiwari</v>
      </c>
      <c r="C508" s="1">
        <f>IFERROR(__xludf.DUMMYFUNCTION("""COMPUTED_VALUE"""),8.758014309E9)</f>
        <v>8758014309</v>
      </c>
      <c r="D508" s="1">
        <f>IFERROR(__xludf.DUMMYFUNCTION("""COMPUTED_VALUE"""),1.0)</f>
        <v>1</v>
      </c>
      <c r="E508" s="3">
        <f>IFERROR(__xludf.DUMMYFUNCTION("""COMPUTED_VALUE"""),0.5694444444452529)</f>
        <v>0.5694444444</v>
      </c>
      <c r="F508" s="1" t="str">
        <f>IFERROR(__xludf.DUMMYFUNCTION("""COMPUTED_VALUE"""),"Plain Gold")</f>
        <v>Plain Gold</v>
      </c>
      <c r="G508" s="1" t="str">
        <f>IFERROR(__xludf.DUMMYFUNCTION("""COMPUTED_VALUE"""),"Neetu")</f>
        <v>Neetu</v>
      </c>
      <c r="H508" s="1" t="str">
        <f>IFERROR(__xludf.DUMMYFUNCTION("""COMPUTED_VALUE"""),"Gold ring")</f>
        <v>Gold ring</v>
      </c>
      <c r="I508" s="1"/>
      <c r="J508" s="1"/>
      <c r="K508" s="3">
        <f>IFERROR(__xludf.DUMMYFUNCTION("""COMPUTED_VALUE"""),0.5826388888890506)</f>
        <v>0.5826388889</v>
      </c>
      <c r="L508" s="1" t="str">
        <f>IFERROR(__xludf.DUMMYFUNCTION("""COMPUTED_VALUE"""),"Yes")</f>
        <v>Yes</v>
      </c>
      <c r="M508" s="1" t="str">
        <f>IFERROR(__xludf.DUMMYFUNCTION("""COMPUTED_VALUE"""),"Yes")</f>
        <v>Yes</v>
      </c>
      <c r="N508" s="1" t="str">
        <f>IFERROR(__xludf.DUMMYFUNCTION("""COMPUTED_VALUE"""),"Not use")</f>
        <v>Not use</v>
      </c>
      <c r="O508" s="1" t="str">
        <f>IFERROR(__xludf.DUMMYFUNCTION("""COMPUTED_VALUE"""),"WA ONLY, CALL")</f>
        <v>WA ONLY, CALL</v>
      </c>
      <c r="P508" s="1" t="str">
        <f>IFERROR(__xludf.DUMMYFUNCTION("""COMPUTED_VALUE"""),"Sir")</f>
        <v>Sir</v>
      </c>
      <c r="Q508" s="1" t="str">
        <f>IFERROR(__xludf.DUMMYFUNCTION("""COMPUTED_VALUE"""),"No")</f>
        <v>No</v>
      </c>
      <c r="R508" s="1" t="str">
        <f>IFERROR(__xludf.DUMMYFUNCTION("""COMPUTED_VALUE"""),"NEW WALK IN")</f>
        <v>NEW WALK IN</v>
      </c>
      <c r="S508" s="1"/>
    </row>
    <row r="509">
      <c r="A509" s="2">
        <f>IFERROR(__xludf.DUMMYFUNCTION("""COMPUTED_VALUE"""),45504.69150619213)</f>
        <v>45504.69151</v>
      </c>
      <c r="B509" s="1" t="str">
        <f>IFERROR(__xludf.DUMMYFUNCTION("""COMPUTED_VALUE"""),"Pooja singh")</f>
        <v>Pooja singh</v>
      </c>
      <c r="C509" s="1">
        <f>IFERROR(__xludf.DUMMYFUNCTION("""COMPUTED_VALUE"""),8.800206494E9)</f>
        <v>8800206494</v>
      </c>
      <c r="D509" s="1">
        <f>IFERROR(__xludf.DUMMYFUNCTION("""COMPUTED_VALUE"""),2.0)</f>
        <v>2</v>
      </c>
      <c r="E509" s="3">
        <f>IFERROR(__xludf.DUMMYFUNCTION("""COMPUTED_VALUE"""),0.6111111111094942)</f>
        <v>0.6111111111</v>
      </c>
      <c r="F509" s="1" t="str">
        <f>IFERROR(__xludf.DUMMYFUNCTION("""COMPUTED_VALUE"""),"Plain Gold")</f>
        <v>Plain Gold</v>
      </c>
      <c r="G509" s="1" t="str">
        <f>IFERROR(__xludf.DUMMYFUNCTION("""COMPUTED_VALUE"""),"Tannu")</f>
        <v>Tannu</v>
      </c>
      <c r="H509" s="1" t="str">
        <f>IFERROR(__xludf.DUMMYFUNCTION("""COMPUTED_VALUE"""),"Gold nose pin")</f>
        <v>Gold nose pin</v>
      </c>
      <c r="I509" s="1"/>
      <c r="J509" s="1"/>
      <c r="K509" s="3">
        <f>IFERROR(__xludf.DUMMYFUNCTION("""COMPUTED_VALUE"""),0.6236111111065838)</f>
        <v>0.6236111111</v>
      </c>
      <c r="L509" s="1" t="str">
        <f>IFERROR(__xludf.DUMMYFUNCTION("""COMPUTED_VALUE"""),"Yes")</f>
        <v>Yes</v>
      </c>
      <c r="M509" s="1" t="str">
        <f>IFERROR(__xludf.DUMMYFUNCTION("""COMPUTED_VALUE"""),"Already done ")</f>
        <v>Already done </v>
      </c>
      <c r="N509" s="1" t="str">
        <f>IFERROR(__xludf.DUMMYFUNCTION("""COMPUTED_VALUE"""),"Already done ")</f>
        <v>Already done </v>
      </c>
      <c r="O509" s="1" t="str">
        <f>IFERROR(__xludf.DUMMYFUNCTION("""COMPUTED_VALUE"""),"WA ONLY, CALL")</f>
        <v>WA ONLY, CALL</v>
      </c>
      <c r="P509" s="1" t="str">
        <f>IFERROR(__xludf.DUMMYFUNCTION("""COMPUTED_VALUE"""),"Madam")</f>
        <v>Madam</v>
      </c>
      <c r="Q509" s="1" t="str">
        <f>IFERROR(__xludf.DUMMYFUNCTION("""COMPUTED_VALUE"""),"No")</f>
        <v>No</v>
      </c>
      <c r="R509" s="1" t="str">
        <f>IFERROR(__xludf.DUMMYFUNCTION("""COMPUTED_VALUE"""),"OLD")</f>
        <v>OLD</v>
      </c>
      <c r="S509" s="1"/>
    </row>
    <row r="510">
      <c r="A510" s="2">
        <f>IFERROR(__xludf.DUMMYFUNCTION("""COMPUTED_VALUE"""),45504.752822372684)</f>
        <v>45504.75282</v>
      </c>
      <c r="B510" s="1" t="str">
        <f>IFERROR(__xludf.DUMMYFUNCTION("""COMPUTED_VALUE"""),"Seema gupta")</f>
        <v>Seema gupta</v>
      </c>
      <c r="C510" s="1">
        <f>IFERROR(__xludf.DUMMYFUNCTION("""COMPUTED_VALUE"""),9.810413272E9)</f>
        <v>9810413272</v>
      </c>
      <c r="D510" s="1">
        <f>IFERROR(__xludf.DUMMYFUNCTION("""COMPUTED_VALUE"""),2.0)</f>
        <v>2</v>
      </c>
      <c r="E510" s="3">
        <f>IFERROR(__xludf.DUMMYFUNCTION("""COMPUTED_VALUE"""),0.6694444444437977)</f>
        <v>0.6694444444</v>
      </c>
      <c r="F510" s="1" t="str">
        <f>IFERROR(__xludf.DUMMYFUNCTION("""COMPUTED_VALUE"""),"Diamond")</f>
        <v>Diamond</v>
      </c>
      <c r="G510" s="1" t="str">
        <f>IFERROR(__xludf.DUMMYFUNCTION("""COMPUTED_VALUE"""),"Preeti")</f>
        <v>Preeti</v>
      </c>
      <c r="H510" s="1" t="str">
        <f>IFERROR(__xludf.DUMMYFUNCTION("""COMPUTED_VALUE"""),"Gold baar,gold coin,repair done.")</f>
        <v>Gold baar,gold coin,repair done.</v>
      </c>
      <c r="I510" s="1"/>
      <c r="J510" s="1"/>
      <c r="K510" s="3">
        <f>IFERROR(__xludf.DUMMYFUNCTION("""COMPUTED_VALUE"""),0.7326388888905058)</f>
        <v>0.7326388889</v>
      </c>
      <c r="L510" s="1" t="str">
        <f>IFERROR(__xludf.DUMMYFUNCTION("""COMPUTED_VALUE"""),"Yes")</f>
        <v>Yes</v>
      </c>
      <c r="M510" s="1" t="str">
        <f>IFERROR(__xludf.DUMMYFUNCTION("""COMPUTED_VALUE"""),"Already done ")</f>
        <v>Already done </v>
      </c>
      <c r="N510" s="1" t="str">
        <f>IFERROR(__xludf.DUMMYFUNCTION("""COMPUTED_VALUE"""),"Already done ")</f>
        <v>Already done </v>
      </c>
      <c r="O510" s="1" t="str">
        <f>IFERROR(__xludf.DUMMYFUNCTION("""COMPUTED_VALUE"""),"WA ONLY, CALL")</f>
        <v>WA ONLY, CALL</v>
      </c>
      <c r="P510" s="1" t="str">
        <f>IFERROR(__xludf.DUMMYFUNCTION("""COMPUTED_VALUE"""),"Madam")</f>
        <v>Madam</v>
      </c>
      <c r="Q510" s="1" t="str">
        <f>IFERROR(__xludf.DUMMYFUNCTION("""COMPUTED_VALUE"""),"No")</f>
        <v>No</v>
      </c>
      <c r="R510" s="1" t="str">
        <f>IFERROR(__xludf.DUMMYFUNCTION("""COMPUTED_VALUE"""),"OLD")</f>
        <v>OLD</v>
      </c>
      <c r="S510" s="1"/>
    </row>
    <row r="511">
      <c r="A511" s="2">
        <f>IFERROR(__xludf.DUMMYFUNCTION("""COMPUTED_VALUE"""),45505.809521030096)</f>
        <v>45505.80952</v>
      </c>
      <c r="B511" s="1" t="str">
        <f>IFERROR(__xludf.DUMMYFUNCTION("""COMPUTED_VALUE"""),"Setu agarwal")</f>
        <v>Setu agarwal</v>
      </c>
      <c r="C511" s="1">
        <f>IFERROR(__xludf.DUMMYFUNCTION("""COMPUTED_VALUE"""),9.911958929E9)</f>
        <v>9911958929</v>
      </c>
      <c r="D511" s="1">
        <f>IFERROR(__xludf.DUMMYFUNCTION("""COMPUTED_VALUE"""),2.0)</f>
        <v>2</v>
      </c>
      <c r="E511" s="3">
        <f>IFERROR(__xludf.DUMMYFUNCTION("""COMPUTED_VALUE"""),0.5437499999970896)</f>
        <v>0.54375</v>
      </c>
      <c r="F511" s="1" t="str">
        <f>IFERROR(__xludf.DUMMYFUNCTION("""COMPUTED_VALUE"""),"Diamond")</f>
        <v>Diamond</v>
      </c>
      <c r="G511" s="1" t="str">
        <f>IFERROR(__xludf.DUMMYFUNCTION("""COMPUTED_VALUE"""),"Preeti")</f>
        <v>Preeti</v>
      </c>
      <c r="H511" s="1" t="str">
        <f>IFERROR(__xludf.DUMMYFUNCTION("""COMPUTED_VALUE"""),"All diamond items order ")</f>
        <v>All diamond items order </v>
      </c>
      <c r="I511" s="1"/>
      <c r="J511" s="1"/>
      <c r="K511" s="3">
        <f>IFERROR(__xludf.DUMMYFUNCTION("""COMPUTED_VALUE"""),0.6840277777810115)</f>
        <v>0.6840277778</v>
      </c>
      <c r="L511" s="1" t="str">
        <f>IFERROR(__xludf.DUMMYFUNCTION("""COMPUTED_VALUE"""),"Yes")</f>
        <v>Yes</v>
      </c>
      <c r="M511" s="1" t="str">
        <f>IFERROR(__xludf.DUMMYFUNCTION("""COMPUTED_VALUE"""),"Already done ")</f>
        <v>Already done </v>
      </c>
      <c r="N511" s="1" t="str">
        <f>IFERROR(__xludf.DUMMYFUNCTION("""COMPUTED_VALUE"""),"Already done ")</f>
        <v>Already done </v>
      </c>
      <c r="O511" s="1" t="str">
        <f>IFERROR(__xludf.DUMMYFUNCTION("""COMPUTED_VALUE"""),"WA ONLY, CALL")</f>
        <v>WA ONLY, CALL</v>
      </c>
      <c r="P511" s="1" t="str">
        <f>IFERROR(__xludf.DUMMYFUNCTION("""COMPUTED_VALUE"""),"Madam")</f>
        <v>Madam</v>
      </c>
      <c r="Q511" s="1" t="str">
        <f>IFERROR(__xludf.DUMMYFUNCTION("""COMPUTED_VALUE"""),"No")</f>
        <v>No</v>
      </c>
      <c r="R511" s="1" t="str">
        <f>IFERROR(__xludf.DUMMYFUNCTION("""COMPUTED_VALUE"""),"OLD")</f>
        <v>OLD</v>
      </c>
      <c r="S511" s="1"/>
    </row>
    <row r="512">
      <c r="A512" s="2">
        <f>IFERROR(__xludf.DUMMYFUNCTION("""COMPUTED_VALUE"""),45505.81067457176)</f>
        <v>45505.81067</v>
      </c>
      <c r="B512" s="1" t="str">
        <f>IFERROR(__xludf.DUMMYFUNCTION("""COMPUTED_VALUE"""),"Rupanki ")</f>
        <v>Rupanki </v>
      </c>
      <c r="C512" s="1">
        <f>IFERROR(__xludf.DUMMYFUNCTION("""COMPUTED_VALUE"""),9.871767175E9)</f>
        <v>9871767175</v>
      </c>
      <c r="D512" s="1">
        <f>IFERROR(__xludf.DUMMYFUNCTION("""COMPUTED_VALUE"""),2.0)</f>
        <v>2</v>
      </c>
      <c r="E512" s="3">
        <f>IFERROR(__xludf.DUMMYFUNCTION("""COMPUTED_VALUE"""),0.5847222222218988)</f>
        <v>0.5847222222</v>
      </c>
      <c r="F512" s="1" t="str">
        <f>IFERROR(__xludf.DUMMYFUNCTION("""COMPUTED_VALUE"""),"Plain Gold")</f>
        <v>Plain Gold</v>
      </c>
      <c r="G512" s="1" t="str">
        <f>IFERROR(__xludf.DUMMYFUNCTION("""COMPUTED_VALUE"""),"Chhaya")</f>
        <v>Chhaya</v>
      </c>
      <c r="H512" s="1" t="str">
        <f>IFERROR(__xludf.DUMMYFUNCTION("""COMPUTED_VALUE"""),"Gold kada,stone bride,blue sfayar mala.")</f>
        <v>Gold kada,stone bride,blue sfayar mala.</v>
      </c>
      <c r="I512" s="1"/>
      <c r="J512" s="1"/>
      <c r="K512" s="3">
        <f>IFERROR(__xludf.DUMMYFUNCTION("""COMPUTED_VALUE"""),0.797222222223354)</f>
        <v>0.7972222222</v>
      </c>
      <c r="L512" s="1" t="str">
        <f>IFERROR(__xludf.DUMMYFUNCTION("""COMPUTED_VALUE"""),"Yes")</f>
        <v>Yes</v>
      </c>
      <c r="M512" s="1" t="str">
        <f>IFERROR(__xludf.DUMMYFUNCTION("""COMPUTED_VALUE"""),"Already done ")</f>
        <v>Already done </v>
      </c>
      <c r="N512" s="1" t="str">
        <f>IFERROR(__xludf.DUMMYFUNCTION("""COMPUTED_VALUE"""),"Already done ")</f>
        <v>Already done </v>
      </c>
      <c r="O512" s="1" t="str">
        <f>IFERROR(__xludf.DUMMYFUNCTION("""COMPUTED_VALUE"""),"WA ONLY, CALL")</f>
        <v>WA ONLY, CALL</v>
      </c>
      <c r="P512" s="1" t="str">
        <f>IFERROR(__xludf.DUMMYFUNCTION("""COMPUTED_VALUE"""),"Madam")</f>
        <v>Madam</v>
      </c>
      <c r="Q512" s="1" t="str">
        <f>IFERROR(__xludf.DUMMYFUNCTION("""COMPUTED_VALUE"""),"No")</f>
        <v>No</v>
      </c>
      <c r="R512" s="1" t="str">
        <f>IFERROR(__xludf.DUMMYFUNCTION("""COMPUTED_VALUE"""),"OLD")</f>
        <v>OLD</v>
      </c>
      <c r="S512" s="1"/>
    </row>
    <row r="513">
      <c r="A513" s="2">
        <f>IFERROR(__xludf.DUMMYFUNCTION("""COMPUTED_VALUE"""),45505.81168954862)</f>
        <v>45505.81169</v>
      </c>
      <c r="B513" s="1" t="str">
        <f>IFERROR(__xludf.DUMMYFUNCTION("""COMPUTED_VALUE"""),"Soniya")</f>
        <v>Soniya</v>
      </c>
      <c r="C513" s="1">
        <f>IFERROR(__xludf.DUMMYFUNCTION("""COMPUTED_VALUE"""),8.130420203E9)</f>
        <v>8130420203</v>
      </c>
      <c r="D513" s="1">
        <f>IFERROR(__xludf.DUMMYFUNCTION("""COMPUTED_VALUE"""),5.0)</f>
        <v>5</v>
      </c>
      <c r="E513" s="3">
        <f>IFERROR(__xludf.DUMMYFUNCTION("""COMPUTED_VALUE"""),0.6312499999985448)</f>
        <v>0.63125</v>
      </c>
      <c r="F513" s="1" t="str">
        <f>IFERROR(__xludf.DUMMYFUNCTION("""COMPUTED_VALUE"""),"Plain Gold")</f>
        <v>Plain Gold</v>
      </c>
      <c r="G513" s="1" t="str">
        <f>IFERROR(__xludf.DUMMYFUNCTION("""COMPUTED_VALUE"""),"Neetu")</f>
        <v>Neetu</v>
      </c>
      <c r="H513" s="1"/>
      <c r="I513" s="1" t="str">
        <f>IFERROR(__xludf.DUMMYFUNCTION("""COMPUTED_VALUE"""),"Return gold jewellery ")</f>
        <v>Return gold jewellery </v>
      </c>
      <c r="J513" s="1"/>
      <c r="K513" s="3">
        <f>IFERROR(__xludf.DUMMYFUNCTION("""COMPUTED_VALUE"""),0.6770833333357587)</f>
        <v>0.6770833333</v>
      </c>
      <c r="L513" s="1" t="str">
        <f>IFERROR(__xludf.DUMMYFUNCTION("""COMPUTED_VALUE"""),"Yes")</f>
        <v>Yes</v>
      </c>
      <c r="M513" s="1" t="str">
        <f>IFERROR(__xludf.DUMMYFUNCTION("""COMPUTED_VALUE"""),"Already done ")</f>
        <v>Already done </v>
      </c>
      <c r="N513" s="1" t="str">
        <f>IFERROR(__xludf.DUMMYFUNCTION("""COMPUTED_VALUE"""),"Already done ")</f>
        <v>Already done </v>
      </c>
      <c r="O513" s="1" t="str">
        <f>IFERROR(__xludf.DUMMYFUNCTION("""COMPUTED_VALUE"""),"WA ONLY, CALL")</f>
        <v>WA ONLY, CALL</v>
      </c>
      <c r="P513" s="1" t="str">
        <f>IFERROR(__xludf.DUMMYFUNCTION("""COMPUTED_VALUE"""),"Madam")</f>
        <v>Madam</v>
      </c>
      <c r="Q513" s="1" t="str">
        <f>IFERROR(__xludf.DUMMYFUNCTION("""COMPUTED_VALUE"""),"No")</f>
        <v>No</v>
      </c>
      <c r="R513" s="1" t="str">
        <f>IFERROR(__xludf.DUMMYFUNCTION("""COMPUTED_VALUE"""),"NEW WALK IN")</f>
        <v>NEW WALK IN</v>
      </c>
      <c r="S513" s="1"/>
    </row>
    <row r="514">
      <c r="A514" s="2">
        <f>IFERROR(__xludf.DUMMYFUNCTION("""COMPUTED_VALUE"""),45505.81246232639)</f>
        <v>45505.81246</v>
      </c>
      <c r="B514" s="1" t="str">
        <f>IFERROR(__xludf.DUMMYFUNCTION("""COMPUTED_VALUE"""),"Poonam")</f>
        <v>Poonam</v>
      </c>
      <c r="C514" s="1">
        <f>IFERROR(__xludf.DUMMYFUNCTION("""COMPUTED_VALUE"""),9.873670646E9)</f>
        <v>9873670646</v>
      </c>
      <c r="D514" s="1">
        <f>IFERROR(__xludf.DUMMYFUNCTION("""COMPUTED_VALUE"""),4.0)</f>
        <v>4</v>
      </c>
      <c r="E514" s="3">
        <f>IFERROR(__xludf.DUMMYFUNCTION("""COMPUTED_VALUE"""),0.7104166666686069)</f>
        <v>0.7104166667</v>
      </c>
      <c r="F514" s="1" t="str">
        <f>IFERROR(__xludf.DUMMYFUNCTION("""COMPUTED_VALUE"""),"Plain Gold")</f>
        <v>Plain Gold</v>
      </c>
      <c r="G514" s="1" t="str">
        <f>IFERROR(__xludf.DUMMYFUNCTION("""COMPUTED_VALUE"""),"Chhaya")</f>
        <v>Chhaya</v>
      </c>
      <c r="H514" s="1" t="str">
        <f>IFERROR(__xludf.DUMMYFUNCTION("""COMPUTED_VALUE"""),"Gold breslet ")</f>
        <v>Gold breslet </v>
      </c>
      <c r="I514" s="1"/>
      <c r="J514" s="1"/>
      <c r="K514" s="3">
        <f>IFERROR(__xludf.DUMMYFUNCTION("""COMPUTED_VALUE"""),0.7506944444467081)</f>
        <v>0.7506944444</v>
      </c>
      <c r="L514" s="1" t="str">
        <f>IFERROR(__xludf.DUMMYFUNCTION("""COMPUTED_VALUE"""),"Yes")</f>
        <v>Yes</v>
      </c>
      <c r="M514" s="1" t="str">
        <f>IFERROR(__xludf.DUMMYFUNCTION("""COMPUTED_VALUE"""),"Already done ")</f>
        <v>Already done </v>
      </c>
      <c r="N514" s="1" t="str">
        <f>IFERROR(__xludf.DUMMYFUNCTION("""COMPUTED_VALUE"""),"Already done ")</f>
        <v>Already done </v>
      </c>
      <c r="O514" s="1" t="str">
        <f>IFERROR(__xludf.DUMMYFUNCTION("""COMPUTED_VALUE"""),"WA ONLY, CALL")</f>
        <v>WA ONLY, CALL</v>
      </c>
      <c r="P514" s="1" t="str">
        <f>IFERROR(__xludf.DUMMYFUNCTION("""COMPUTED_VALUE"""),"Madam")</f>
        <v>Madam</v>
      </c>
      <c r="Q514" s="1" t="str">
        <f>IFERROR(__xludf.DUMMYFUNCTION("""COMPUTED_VALUE"""),"No")</f>
        <v>No</v>
      </c>
      <c r="R514" s="1" t="str">
        <f>IFERROR(__xludf.DUMMYFUNCTION("""COMPUTED_VALUE"""),"OLD")</f>
        <v>OLD</v>
      </c>
      <c r="S514" s="1"/>
    </row>
    <row r="515">
      <c r="A515" s="2">
        <f>IFERROR(__xludf.DUMMYFUNCTION("""COMPUTED_VALUE"""),45506.74486935185)</f>
        <v>45506.74487</v>
      </c>
      <c r="B515" s="1" t="str">
        <f>IFERROR(__xludf.DUMMYFUNCTION("""COMPUTED_VALUE"""),"Diya")</f>
        <v>Diya</v>
      </c>
      <c r="C515" s="1">
        <f>IFERROR(__xludf.DUMMYFUNCTION("""COMPUTED_VALUE"""),9.711166793E9)</f>
        <v>9711166793</v>
      </c>
      <c r="D515" s="1">
        <f>IFERROR(__xludf.DUMMYFUNCTION("""COMPUTED_VALUE"""),1.0)</f>
        <v>1</v>
      </c>
      <c r="E515" s="3">
        <f>IFERROR(__xludf.DUMMYFUNCTION("""COMPUTED_VALUE"""),0.7083333333357587)</f>
        <v>0.7083333333</v>
      </c>
      <c r="F515" s="1" t="str">
        <f>IFERROR(__xludf.DUMMYFUNCTION("""COMPUTED_VALUE"""),"Plain Gold")</f>
        <v>Plain Gold</v>
      </c>
      <c r="G515" s="1" t="str">
        <f>IFERROR(__xludf.DUMMYFUNCTION("""COMPUTED_VALUE"""),"Neetu")</f>
        <v>Neetu</v>
      </c>
      <c r="H515" s="1"/>
      <c r="I515" s="1" t="str">
        <f>IFERROR(__xludf.DUMMYFUNCTION("""COMPUTED_VALUE"""),"Will ask family and come with them")</f>
        <v>Will ask family and come with them</v>
      </c>
      <c r="J515" s="1"/>
      <c r="K515" s="3">
        <f>IFERROR(__xludf.DUMMYFUNCTION("""COMPUTED_VALUE"""),0.7326388888905058)</f>
        <v>0.7326388889</v>
      </c>
      <c r="L515" s="1" t="str">
        <f>IFERROR(__xludf.DUMMYFUNCTION("""COMPUTED_VALUE"""),"No")</f>
        <v>No</v>
      </c>
      <c r="M515" s="1" t="str">
        <f>IFERROR(__xludf.DUMMYFUNCTION("""COMPUTED_VALUE"""),"No")</f>
        <v>No</v>
      </c>
      <c r="N515" s="1" t="str">
        <f>IFERROR(__xludf.DUMMYFUNCTION("""COMPUTED_VALUE"""),"No")</f>
        <v>No</v>
      </c>
      <c r="O515" s="1" t="str">
        <f>IFERROR(__xludf.DUMMYFUNCTION("""COMPUTED_VALUE"""),"WA ONLY, CALL")</f>
        <v>WA ONLY, CALL</v>
      </c>
      <c r="P515" s="1" t="str">
        <f>IFERROR(__xludf.DUMMYFUNCTION("""COMPUTED_VALUE"""),"Madam")</f>
        <v>Madam</v>
      </c>
      <c r="Q515" s="1" t="str">
        <f>IFERROR(__xludf.DUMMYFUNCTION("""COMPUTED_VALUE"""),"No")</f>
        <v>No</v>
      </c>
      <c r="R515" s="1" t="str">
        <f>IFERROR(__xludf.DUMMYFUNCTION("""COMPUTED_VALUE"""),"NEW WALK IN")</f>
        <v>NEW WALK IN</v>
      </c>
      <c r="S515" s="1"/>
    </row>
    <row r="516">
      <c r="A516" s="2">
        <f>IFERROR(__xludf.DUMMYFUNCTION("""COMPUTED_VALUE"""),45506.82184790509)</f>
        <v>45506.82185</v>
      </c>
      <c r="B516" s="1" t="str">
        <f>IFERROR(__xludf.DUMMYFUNCTION("""COMPUTED_VALUE"""),"Shakil")</f>
        <v>Shakil</v>
      </c>
      <c r="C516" s="1">
        <f>IFERROR(__xludf.DUMMYFUNCTION("""COMPUTED_VALUE"""),9.990464596E9)</f>
        <v>9990464596</v>
      </c>
      <c r="D516" s="1">
        <f>IFERROR(__xludf.DUMMYFUNCTION("""COMPUTED_VALUE"""),2.0)</f>
        <v>2</v>
      </c>
      <c r="E516" s="3">
        <f>IFERROR(__xludf.DUMMYFUNCTION("""COMPUTED_VALUE"""),0.757638888884685)</f>
        <v>0.7576388889</v>
      </c>
      <c r="F516" s="1" t="str">
        <f>IFERROR(__xludf.DUMMYFUNCTION("""COMPUTED_VALUE"""),"Plain Gold")</f>
        <v>Plain Gold</v>
      </c>
      <c r="G516" s="1" t="str">
        <f>IFERROR(__xludf.DUMMYFUNCTION("""COMPUTED_VALUE"""),"Neetu")</f>
        <v>Neetu</v>
      </c>
      <c r="H516" s="1" t="str">
        <f>IFERROR(__xludf.DUMMYFUNCTION("""COMPUTED_VALUE"""),"Gold pendent,gold bali")</f>
        <v>Gold pendent,gold bali</v>
      </c>
      <c r="I516" s="1"/>
      <c r="J516" s="1"/>
      <c r="K516" s="3">
        <f>IFERROR(__xludf.DUMMYFUNCTION("""COMPUTED_VALUE"""),0.8159722222189885)</f>
        <v>0.8159722222</v>
      </c>
      <c r="L516" s="1" t="str">
        <f>IFERROR(__xludf.DUMMYFUNCTION("""COMPUTED_VALUE"""),"Yes")</f>
        <v>Yes</v>
      </c>
      <c r="M516" s="1" t="str">
        <f>IFERROR(__xludf.DUMMYFUNCTION("""COMPUTED_VALUE"""),"Yes")</f>
        <v>Yes</v>
      </c>
      <c r="N516" s="1" t="str">
        <f>IFERROR(__xludf.DUMMYFUNCTION("""COMPUTED_VALUE"""),"Yes")</f>
        <v>Yes</v>
      </c>
      <c r="O516" s="1" t="str">
        <f>IFERROR(__xludf.DUMMYFUNCTION("""COMPUTED_VALUE"""),"WA ONLY, CALL")</f>
        <v>WA ONLY, CALL</v>
      </c>
      <c r="P516" s="1" t="str">
        <f>IFERROR(__xludf.DUMMYFUNCTION("""COMPUTED_VALUE"""),"Sir")</f>
        <v>Sir</v>
      </c>
      <c r="Q516" s="1" t="str">
        <f>IFERROR(__xludf.DUMMYFUNCTION("""COMPUTED_VALUE"""),"No")</f>
        <v>No</v>
      </c>
      <c r="R516" s="1" t="str">
        <f>IFERROR(__xludf.DUMMYFUNCTION("""COMPUTED_VALUE"""),"NEW WALK IN")</f>
        <v>NEW WALK IN</v>
      </c>
      <c r="S516" s="1"/>
    </row>
    <row r="517">
      <c r="A517" s="2">
        <f>IFERROR(__xludf.DUMMYFUNCTION("""COMPUTED_VALUE"""),45507.73053084491)</f>
        <v>45507.73053</v>
      </c>
      <c r="B517" s="1" t="str">
        <f>IFERROR(__xludf.DUMMYFUNCTION("""COMPUTED_VALUE"""),"Sungandha ")</f>
        <v>Sungandha </v>
      </c>
      <c r="C517" s="1">
        <f>IFERROR(__xludf.DUMMYFUNCTION("""COMPUTED_VALUE"""),9.560984299E9)</f>
        <v>9560984299</v>
      </c>
      <c r="D517" s="1">
        <f>IFERROR(__xludf.DUMMYFUNCTION("""COMPUTED_VALUE"""),1.0)</f>
        <v>1</v>
      </c>
      <c r="E517" s="3">
        <f>IFERROR(__xludf.DUMMYFUNCTION("""COMPUTED_VALUE"""),0.6423611111094942)</f>
        <v>0.6423611111</v>
      </c>
      <c r="F517" s="1" t="str">
        <f>IFERROR(__xludf.DUMMYFUNCTION("""COMPUTED_VALUE"""),"Diamond")</f>
        <v>Diamond</v>
      </c>
      <c r="G517" s="1" t="str">
        <f>IFERROR(__xludf.DUMMYFUNCTION("""COMPUTED_VALUE"""),"Pooja")</f>
        <v>Pooja</v>
      </c>
      <c r="H517" s="1" t="str">
        <f>IFERROR(__xludf.DUMMYFUNCTION("""COMPUTED_VALUE"""),"Diamond mangalsutr")</f>
        <v>Diamond mangalsutr</v>
      </c>
      <c r="I517" s="1"/>
      <c r="J517" s="1"/>
      <c r="K517" s="3">
        <f>IFERROR(__xludf.DUMMYFUNCTION("""COMPUTED_VALUE"""),0.7097222222218988)</f>
        <v>0.7097222222</v>
      </c>
      <c r="L517" s="1" t="str">
        <f>IFERROR(__xludf.DUMMYFUNCTION("""COMPUTED_VALUE"""),"Yes")</f>
        <v>Yes</v>
      </c>
      <c r="M517" s="1" t="str">
        <f>IFERROR(__xludf.DUMMYFUNCTION("""COMPUTED_VALUE"""),"Already done ")</f>
        <v>Already done </v>
      </c>
      <c r="N517" s="1" t="str">
        <f>IFERROR(__xludf.DUMMYFUNCTION("""COMPUTED_VALUE"""),"Already done ")</f>
        <v>Already done </v>
      </c>
      <c r="O517" s="1" t="str">
        <f>IFERROR(__xludf.DUMMYFUNCTION("""COMPUTED_VALUE"""),"WA ONLY, CALL")</f>
        <v>WA ONLY, CALL</v>
      </c>
      <c r="P517" s="1" t="str">
        <f>IFERROR(__xludf.DUMMYFUNCTION("""COMPUTED_VALUE"""),"Madam")</f>
        <v>Madam</v>
      </c>
      <c r="Q517" s="1" t="str">
        <f>IFERROR(__xludf.DUMMYFUNCTION("""COMPUTED_VALUE"""),"No")</f>
        <v>No</v>
      </c>
      <c r="R517" s="1" t="str">
        <f>IFERROR(__xludf.DUMMYFUNCTION("""COMPUTED_VALUE"""),"OLD")</f>
        <v>OLD</v>
      </c>
      <c r="S517" s="1"/>
    </row>
    <row r="518">
      <c r="A518" s="2">
        <f>IFERROR(__xludf.DUMMYFUNCTION("""COMPUTED_VALUE"""),45507.734603136574)</f>
        <v>45507.7346</v>
      </c>
      <c r="B518" s="1" t="str">
        <f>IFERROR(__xludf.DUMMYFUNCTION("""COMPUTED_VALUE"""),"Tannu gupta")</f>
        <v>Tannu gupta</v>
      </c>
      <c r="C518" s="1">
        <f>IFERROR(__xludf.DUMMYFUNCTION("""COMPUTED_VALUE"""),9.818238387E9)</f>
        <v>9818238387</v>
      </c>
      <c r="D518" s="1">
        <f>IFERROR(__xludf.DUMMYFUNCTION("""COMPUTED_VALUE"""),2.0)</f>
        <v>2</v>
      </c>
      <c r="E518" s="3">
        <f>IFERROR(__xludf.DUMMYFUNCTION("""COMPUTED_VALUE"""),0.6458333333357587)</f>
        <v>0.6458333333</v>
      </c>
      <c r="F518" s="1" t="str">
        <f>IFERROR(__xludf.DUMMYFUNCTION("""COMPUTED_VALUE"""),"Antique Gold")</f>
        <v>Antique Gold</v>
      </c>
      <c r="G518" s="1" t="str">
        <f>IFERROR(__xludf.DUMMYFUNCTION("""COMPUTED_VALUE"""),"Chhaya")</f>
        <v>Chhaya</v>
      </c>
      <c r="H518" s="1" t="str">
        <f>IFERROR(__xludf.DUMMYFUNCTION("""COMPUTED_VALUE"""),"2 diamond ring,and repairing done.")</f>
        <v>2 diamond ring,and repairing done.</v>
      </c>
      <c r="I518" s="1"/>
      <c r="J518" s="1"/>
      <c r="K518" s="3">
        <f>IFERROR(__xludf.DUMMYFUNCTION("""COMPUTED_VALUE"""),0.7319444444437977)</f>
        <v>0.7319444444</v>
      </c>
      <c r="L518" s="1" t="str">
        <f>IFERROR(__xludf.DUMMYFUNCTION("""COMPUTED_VALUE"""),"Yes")</f>
        <v>Yes</v>
      </c>
      <c r="M518" s="1" t="str">
        <f>IFERROR(__xludf.DUMMYFUNCTION("""COMPUTED_VALUE"""),"Already done ")</f>
        <v>Already done </v>
      </c>
      <c r="N518" s="1" t="str">
        <f>IFERROR(__xludf.DUMMYFUNCTION("""COMPUTED_VALUE"""),"Already done ")</f>
        <v>Already done </v>
      </c>
      <c r="O518" s="1" t="str">
        <f>IFERROR(__xludf.DUMMYFUNCTION("""COMPUTED_VALUE"""),"WA ONLY, CALL")</f>
        <v>WA ONLY, CALL</v>
      </c>
      <c r="P518" s="1" t="str">
        <f>IFERROR(__xludf.DUMMYFUNCTION("""COMPUTED_VALUE"""),"Madam")</f>
        <v>Madam</v>
      </c>
      <c r="Q518" s="1" t="str">
        <f>IFERROR(__xludf.DUMMYFUNCTION("""COMPUTED_VALUE"""),"No")</f>
        <v>No</v>
      </c>
      <c r="R518" s="1" t="str">
        <f>IFERROR(__xludf.DUMMYFUNCTION("""COMPUTED_VALUE"""),"OLD")</f>
        <v>OLD</v>
      </c>
      <c r="S518" s="1"/>
    </row>
    <row r="519">
      <c r="A519" s="2">
        <f>IFERROR(__xludf.DUMMYFUNCTION("""COMPUTED_VALUE"""),45507.799887974536)</f>
        <v>45507.79989</v>
      </c>
      <c r="B519" s="1" t="str">
        <f>IFERROR(__xludf.DUMMYFUNCTION("""COMPUTED_VALUE"""),"Rajesh")</f>
        <v>Rajesh</v>
      </c>
      <c r="C519" s="1">
        <f>IFERROR(__xludf.DUMMYFUNCTION("""COMPUTED_VALUE"""),9.999347471E9)</f>
        <v>9999347471</v>
      </c>
      <c r="D519" s="1">
        <f>IFERROR(__xludf.DUMMYFUNCTION("""COMPUTED_VALUE"""),3.0)</f>
        <v>3</v>
      </c>
      <c r="E519" s="3">
        <f>IFERROR(__xludf.DUMMYFUNCTION("""COMPUTED_VALUE"""),0.7583333333313931)</f>
        <v>0.7583333333</v>
      </c>
      <c r="F519" s="1" t="str">
        <f>IFERROR(__xludf.DUMMYFUNCTION("""COMPUTED_VALUE"""),"Antique Gold")</f>
        <v>Antique Gold</v>
      </c>
      <c r="G519" s="1" t="str">
        <f>IFERROR(__xludf.DUMMYFUNCTION("""COMPUTED_VALUE"""),"Chhaya")</f>
        <v>Chhaya</v>
      </c>
      <c r="H519" s="1"/>
      <c r="I519" s="1" t="str">
        <f>IFERROR(__xludf.DUMMYFUNCTION("""COMPUTED_VALUE"""),"Will ask family and come with them")</f>
        <v>Will ask family and come with them</v>
      </c>
      <c r="J519" s="1"/>
      <c r="K519" s="3">
        <f>IFERROR(__xludf.DUMMYFUNCTION("""COMPUTED_VALUE"""),0.7986111111094942)</f>
        <v>0.7986111111</v>
      </c>
      <c r="L519" s="1" t="str">
        <f>IFERROR(__xludf.DUMMYFUNCTION("""COMPUTED_VALUE"""),"Yes")</f>
        <v>Yes</v>
      </c>
      <c r="M519" s="1" t="str">
        <f>IFERROR(__xludf.DUMMYFUNCTION("""COMPUTED_VALUE"""),"No")</f>
        <v>No</v>
      </c>
      <c r="N519" s="1" t="str">
        <f>IFERROR(__xludf.DUMMYFUNCTION("""COMPUTED_VALUE"""),"No")</f>
        <v>No</v>
      </c>
      <c r="O519" s="1" t="str">
        <f>IFERROR(__xludf.DUMMYFUNCTION("""COMPUTED_VALUE"""),"WA ONLY, CALL")</f>
        <v>WA ONLY, CALL</v>
      </c>
      <c r="P519" s="1" t="str">
        <f>IFERROR(__xludf.DUMMYFUNCTION("""COMPUTED_VALUE"""),"Sir")</f>
        <v>Sir</v>
      </c>
      <c r="Q519" s="1" t="str">
        <f>IFERROR(__xludf.DUMMYFUNCTION("""COMPUTED_VALUE"""),"No")</f>
        <v>No</v>
      </c>
      <c r="R519" s="1" t="str">
        <f>IFERROR(__xludf.DUMMYFUNCTION("""COMPUTED_VALUE"""),"NEW WALK IN")</f>
        <v>NEW WALK IN</v>
      </c>
      <c r="S519" s="1"/>
    </row>
    <row r="520">
      <c r="A520" s="2">
        <f>IFERROR(__xludf.DUMMYFUNCTION("""COMPUTED_VALUE"""),45507.80068408565)</f>
        <v>45507.80068</v>
      </c>
      <c r="B520" s="1" t="str">
        <f>IFERROR(__xludf.DUMMYFUNCTION("""COMPUTED_VALUE"""),"Usha")</f>
        <v>Usha</v>
      </c>
      <c r="C520" s="1">
        <f>IFERROR(__xludf.DUMMYFUNCTION("""COMPUTED_VALUE"""),9.311425509E9)</f>
        <v>9311425509</v>
      </c>
      <c r="D520" s="1">
        <f>IFERROR(__xludf.DUMMYFUNCTION("""COMPUTED_VALUE"""),3.0)</f>
        <v>3</v>
      </c>
      <c r="E520" s="3">
        <f>IFERROR(__xludf.DUMMYFUNCTION("""COMPUTED_VALUE"""),0.7826388888934162)</f>
        <v>0.7826388889</v>
      </c>
      <c r="F520" s="1" t="str">
        <f>IFERROR(__xludf.DUMMYFUNCTION("""COMPUTED_VALUE"""),"Plain Gold")</f>
        <v>Plain Gold</v>
      </c>
      <c r="G520" s="1" t="str">
        <f>IFERROR(__xludf.DUMMYFUNCTION("""COMPUTED_VALUE"""),"Neetu")</f>
        <v>Neetu</v>
      </c>
      <c r="H520" s="1"/>
      <c r="I520" s="1" t="str">
        <f>IFERROR(__xludf.DUMMYFUNCTION("""COMPUTED_VALUE"""),"Repair silver payal,ring")</f>
        <v>Repair silver payal,ring</v>
      </c>
      <c r="J520" s="1"/>
      <c r="K520" s="3">
        <f>IFERROR(__xludf.DUMMYFUNCTION("""COMPUTED_VALUE"""),0.7909722222248092)</f>
        <v>0.7909722222</v>
      </c>
      <c r="L520" s="1" t="str">
        <f>IFERROR(__xludf.DUMMYFUNCTION("""COMPUTED_VALUE"""),"Yes")</f>
        <v>Yes</v>
      </c>
      <c r="M520" s="1" t="str">
        <f>IFERROR(__xludf.DUMMYFUNCTION("""COMPUTED_VALUE"""),"Already done ")</f>
        <v>Already done </v>
      </c>
      <c r="N520" s="1" t="str">
        <f>IFERROR(__xludf.DUMMYFUNCTION("""COMPUTED_VALUE"""),"Already done ")</f>
        <v>Already done </v>
      </c>
      <c r="O520" s="1" t="str">
        <f>IFERROR(__xludf.DUMMYFUNCTION("""COMPUTED_VALUE"""),"WA ONLY, CALL")</f>
        <v>WA ONLY, CALL</v>
      </c>
      <c r="P520" s="1" t="str">
        <f>IFERROR(__xludf.DUMMYFUNCTION("""COMPUTED_VALUE"""),"Madam")</f>
        <v>Madam</v>
      </c>
      <c r="Q520" s="1" t="str">
        <f>IFERROR(__xludf.DUMMYFUNCTION("""COMPUTED_VALUE"""),"No")</f>
        <v>No</v>
      </c>
      <c r="R520" s="1" t="str">
        <f>IFERROR(__xludf.DUMMYFUNCTION("""COMPUTED_VALUE"""),"OLD")</f>
        <v>OLD</v>
      </c>
      <c r="S520" s="1"/>
    </row>
    <row r="521">
      <c r="A521" s="2">
        <f>IFERROR(__xludf.DUMMYFUNCTION("""COMPUTED_VALUE"""),45508.77882832176)</f>
        <v>45508.77883</v>
      </c>
      <c r="B521" s="1" t="str">
        <f>IFERROR(__xludf.DUMMYFUNCTION("""COMPUTED_VALUE"""),"Poonam")</f>
        <v>Poonam</v>
      </c>
      <c r="C521" s="1">
        <f>IFERROR(__xludf.DUMMYFUNCTION("""COMPUTED_VALUE"""),9.910812E9)</f>
        <v>9910812000</v>
      </c>
      <c r="D521" s="1">
        <f>IFERROR(__xludf.DUMMYFUNCTION("""COMPUTED_VALUE"""),2.0)</f>
        <v>2</v>
      </c>
      <c r="E521" s="3">
        <f>IFERROR(__xludf.DUMMYFUNCTION("""COMPUTED_VALUE"""),0.5562500000014552)</f>
        <v>0.55625</v>
      </c>
      <c r="F521" s="1" t="str">
        <f>IFERROR(__xludf.DUMMYFUNCTION("""COMPUTED_VALUE"""),"Diamond")</f>
        <v>Diamond</v>
      </c>
      <c r="G521" s="1" t="str">
        <f>IFERROR(__xludf.DUMMYFUNCTION("""COMPUTED_VALUE"""),"Preeti")</f>
        <v>Preeti</v>
      </c>
      <c r="H521" s="1" t="str">
        <f>IFERROR(__xludf.DUMMYFUNCTION("""COMPUTED_VALUE"""),"Diamond bangle, breslet,ring,gold set")</f>
        <v>Diamond bangle, breslet,ring,gold set</v>
      </c>
      <c r="I521" s="1"/>
      <c r="J521" s="1"/>
      <c r="K521" s="3">
        <f>IFERROR(__xludf.DUMMYFUNCTION("""COMPUTED_VALUE"""),0.6548611111065838)</f>
        <v>0.6548611111</v>
      </c>
      <c r="L521" s="1" t="str">
        <f>IFERROR(__xludf.DUMMYFUNCTION("""COMPUTED_VALUE"""),"Yes")</f>
        <v>Yes</v>
      </c>
      <c r="M521" s="1" t="str">
        <f>IFERROR(__xludf.DUMMYFUNCTION("""COMPUTED_VALUE"""),"Already done ")</f>
        <v>Already done </v>
      </c>
      <c r="N521" s="1" t="str">
        <f>IFERROR(__xludf.DUMMYFUNCTION("""COMPUTED_VALUE"""),"Already done ")</f>
        <v>Already done </v>
      </c>
      <c r="O521" s="1" t="str">
        <f>IFERROR(__xludf.DUMMYFUNCTION("""COMPUTED_VALUE"""),"WA ONLY, CALL")</f>
        <v>WA ONLY, CALL</v>
      </c>
      <c r="P521" s="1" t="str">
        <f>IFERROR(__xludf.DUMMYFUNCTION("""COMPUTED_VALUE"""),"Madam")</f>
        <v>Madam</v>
      </c>
      <c r="Q521" s="1" t="str">
        <f>IFERROR(__xludf.DUMMYFUNCTION("""COMPUTED_VALUE"""),"No")</f>
        <v>No</v>
      </c>
      <c r="R521" s="1" t="str">
        <f>IFERROR(__xludf.DUMMYFUNCTION("""COMPUTED_VALUE"""),"OLD")</f>
        <v>OLD</v>
      </c>
      <c r="S521" s="1" t="str">
        <f>IFERROR(__xludf.DUMMYFUNCTION("""COMPUTED_VALUE"""),"Sanjeev sir")</f>
        <v>Sanjeev sir</v>
      </c>
    </row>
    <row r="522">
      <c r="A522" s="2">
        <f>IFERROR(__xludf.DUMMYFUNCTION("""COMPUTED_VALUE"""),45508.779602407405)</f>
        <v>45508.7796</v>
      </c>
      <c r="B522" s="1" t="str">
        <f>IFERROR(__xludf.DUMMYFUNCTION("""COMPUTED_VALUE"""),"Ruchi garg")</f>
        <v>Ruchi garg</v>
      </c>
      <c r="C522" s="1">
        <f>IFERROR(__xludf.DUMMYFUNCTION("""COMPUTED_VALUE"""),8.742910331E9)</f>
        <v>8742910331</v>
      </c>
      <c r="D522" s="1">
        <f>IFERROR(__xludf.DUMMYFUNCTION("""COMPUTED_VALUE"""),2.0)</f>
        <v>2</v>
      </c>
      <c r="E522" s="3">
        <f>IFERROR(__xludf.DUMMYFUNCTION("""COMPUTED_VALUE"""),0.5833333333357587)</f>
        <v>0.5833333333</v>
      </c>
      <c r="F522" s="1" t="str">
        <f>IFERROR(__xludf.DUMMYFUNCTION("""COMPUTED_VALUE"""),"Plain Gold")</f>
        <v>Plain Gold</v>
      </c>
      <c r="G522" s="1" t="str">
        <f>IFERROR(__xludf.DUMMYFUNCTION("""COMPUTED_VALUE"""),"Neetu")</f>
        <v>Neetu</v>
      </c>
      <c r="H522" s="1" t="str">
        <f>IFERROR(__xludf.DUMMYFUNCTION("""COMPUTED_VALUE"""),"Gold bg")</f>
        <v>Gold bg</v>
      </c>
      <c r="I522" s="1"/>
      <c r="J522" s="1"/>
      <c r="K522" s="3">
        <f>IFERROR(__xludf.DUMMYFUNCTION("""COMPUTED_VALUE"""),0.6256944444467081)</f>
        <v>0.6256944444</v>
      </c>
      <c r="L522" s="1" t="str">
        <f>IFERROR(__xludf.DUMMYFUNCTION("""COMPUTED_VALUE"""),"Yes")</f>
        <v>Yes</v>
      </c>
      <c r="M522" s="1" t="str">
        <f>IFERROR(__xludf.DUMMYFUNCTION("""COMPUTED_VALUE"""),"Yes")</f>
        <v>Yes</v>
      </c>
      <c r="N522" s="1" t="str">
        <f>IFERROR(__xludf.DUMMYFUNCTION("""COMPUTED_VALUE"""),"Yes")</f>
        <v>Yes</v>
      </c>
      <c r="O522" s="1" t="str">
        <f>IFERROR(__xludf.DUMMYFUNCTION("""COMPUTED_VALUE"""),"WA ONLY, CALL")</f>
        <v>WA ONLY, CALL</v>
      </c>
      <c r="P522" s="1" t="str">
        <f>IFERROR(__xludf.DUMMYFUNCTION("""COMPUTED_VALUE"""),"Madam")</f>
        <v>Madam</v>
      </c>
      <c r="Q522" s="1" t="str">
        <f>IFERROR(__xludf.DUMMYFUNCTION("""COMPUTED_VALUE"""),"No")</f>
        <v>No</v>
      </c>
      <c r="R522" s="1" t="str">
        <f>IFERROR(__xludf.DUMMYFUNCTION("""COMPUTED_VALUE"""),"NEW WALK IN")</f>
        <v>NEW WALK IN</v>
      </c>
      <c r="S522" s="1"/>
    </row>
    <row r="523">
      <c r="A523" s="2">
        <f>IFERROR(__xludf.DUMMYFUNCTION("""COMPUTED_VALUE"""),45508.78140119213)</f>
        <v>45508.7814</v>
      </c>
      <c r="B523" s="1" t="str">
        <f>IFERROR(__xludf.DUMMYFUNCTION("""COMPUTED_VALUE"""),"Shitiz")</f>
        <v>Shitiz</v>
      </c>
      <c r="C523" s="1">
        <f>IFERROR(__xludf.DUMMYFUNCTION("""COMPUTED_VALUE"""),9.91197333E8)</f>
        <v>991197333</v>
      </c>
      <c r="D523" s="1">
        <f>IFERROR(__xludf.DUMMYFUNCTION("""COMPUTED_VALUE"""),2.0)</f>
        <v>2</v>
      </c>
      <c r="E523" s="3">
        <f>IFERROR(__xludf.DUMMYFUNCTION("""COMPUTED_VALUE"""),0.5833333333357587)</f>
        <v>0.5833333333</v>
      </c>
      <c r="F523" s="1" t="str">
        <f>IFERROR(__xludf.DUMMYFUNCTION("""COMPUTED_VALUE"""),"Diamond")</f>
        <v>Diamond</v>
      </c>
      <c r="G523" s="1" t="str">
        <f>IFERROR(__xludf.DUMMYFUNCTION("""COMPUTED_VALUE"""),"Chhaya")</f>
        <v>Chhaya</v>
      </c>
      <c r="H523" s="1"/>
      <c r="I523" s="1" t="str">
        <f>IFERROR(__xludf.DUMMYFUNCTION("""COMPUTED_VALUE"""),"Will ask family and come with them")</f>
        <v>Will ask family and come with them</v>
      </c>
      <c r="J523" s="1"/>
      <c r="K523" s="3">
        <f>IFERROR(__xludf.DUMMYFUNCTION("""COMPUTED_VALUE"""),0.7291666666642413)</f>
        <v>0.7291666667</v>
      </c>
      <c r="L523" s="1" t="str">
        <f>IFERROR(__xludf.DUMMYFUNCTION("""COMPUTED_VALUE"""),"Yes")</f>
        <v>Yes</v>
      </c>
      <c r="M523" s="1" t="str">
        <f>IFERROR(__xludf.DUMMYFUNCTION("""COMPUTED_VALUE"""),"No")</f>
        <v>No</v>
      </c>
      <c r="N523" s="1" t="str">
        <f>IFERROR(__xludf.DUMMYFUNCTION("""COMPUTED_VALUE"""),"No")</f>
        <v>No</v>
      </c>
      <c r="O523" s="1" t="str">
        <f>IFERROR(__xludf.DUMMYFUNCTION("""COMPUTED_VALUE"""),"WA ONLY, CALL")</f>
        <v>WA ONLY, CALL</v>
      </c>
      <c r="P523" s="1" t="str">
        <f>IFERROR(__xludf.DUMMYFUNCTION("""COMPUTED_VALUE"""),"Sir")</f>
        <v>Sir</v>
      </c>
      <c r="Q523" s="1" t="str">
        <f>IFERROR(__xludf.DUMMYFUNCTION("""COMPUTED_VALUE"""),"No")</f>
        <v>No</v>
      </c>
      <c r="R523" s="1" t="str">
        <f>IFERROR(__xludf.DUMMYFUNCTION("""COMPUTED_VALUE"""),"NEW WALK IN")</f>
        <v>NEW WALK IN</v>
      </c>
      <c r="S523" s="1"/>
    </row>
    <row r="524">
      <c r="A524" s="2">
        <f>IFERROR(__xludf.DUMMYFUNCTION("""COMPUTED_VALUE"""),45508.78204251158)</f>
        <v>45508.78204</v>
      </c>
      <c r="B524" s="1" t="str">
        <f>IFERROR(__xludf.DUMMYFUNCTION("""COMPUTED_VALUE"""),"Mitesh")</f>
        <v>Mitesh</v>
      </c>
      <c r="C524" s="1">
        <f>IFERROR(__xludf.DUMMYFUNCTION("""COMPUTED_VALUE"""),9.999943184E9)</f>
        <v>9999943184</v>
      </c>
      <c r="D524" s="1">
        <f>IFERROR(__xludf.DUMMYFUNCTION("""COMPUTED_VALUE"""),2.0)</f>
        <v>2</v>
      </c>
      <c r="E524" s="3">
        <f>IFERROR(__xludf.DUMMYFUNCTION("""COMPUTED_VALUE"""),0.7506944444467081)</f>
        <v>0.7506944444</v>
      </c>
      <c r="F524" s="1" t="str">
        <f>IFERROR(__xludf.DUMMYFUNCTION("""COMPUTED_VALUE"""),"Plain Gold")</f>
        <v>Plain Gold</v>
      </c>
      <c r="G524" s="1" t="str">
        <f>IFERROR(__xludf.DUMMYFUNCTION("""COMPUTED_VALUE"""),"Pooja")</f>
        <v>Pooja</v>
      </c>
      <c r="H524" s="1"/>
      <c r="I524" s="1" t="str">
        <f>IFERROR(__xludf.DUMMYFUNCTION("""COMPUTED_VALUE"""),"Will ask family and come with them")</f>
        <v>Will ask family and come with them</v>
      </c>
      <c r="J524" s="1"/>
      <c r="K524" s="3">
        <f>IFERROR(__xludf.DUMMYFUNCTION("""COMPUTED_VALUE"""),0.7618055555576575)</f>
        <v>0.7618055556</v>
      </c>
      <c r="L524" s="1" t="str">
        <f>IFERROR(__xludf.DUMMYFUNCTION("""COMPUTED_VALUE"""),"No")</f>
        <v>No</v>
      </c>
      <c r="M524" s="1" t="str">
        <f>IFERROR(__xludf.DUMMYFUNCTION("""COMPUTED_VALUE"""),"No")</f>
        <v>No</v>
      </c>
      <c r="N524" s="1" t="str">
        <f>IFERROR(__xludf.DUMMYFUNCTION("""COMPUTED_VALUE"""),"No")</f>
        <v>No</v>
      </c>
      <c r="O524" s="1" t="str">
        <f>IFERROR(__xludf.DUMMYFUNCTION("""COMPUTED_VALUE"""),"WA ONLY, CALL")</f>
        <v>WA ONLY, CALL</v>
      </c>
      <c r="P524" s="1" t="str">
        <f>IFERROR(__xludf.DUMMYFUNCTION("""COMPUTED_VALUE"""),"Sir")</f>
        <v>Sir</v>
      </c>
      <c r="Q524" s="1"/>
      <c r="R524" s="1"/>
      <c r="S524" s="1"/>
    </row>
    <row r="525">
      <c r="A525" s="2">
        <f>IFERROR(__xludf.DUMMYFUNCTION("""COMPUTED_VALUE"""),45510.75487055555)</f>
        <v>45510.75487</v>
      </c>
      <c r="B525" s="1" t="str">
        <f>IFERROR(__xludf.DUMMYFUNCTION("""COMPUTED_VALUE"""),"Sangeeta")</f>
        <v>Sangeeta</v>
      </c>
      <c r="C525" s="1">
        <f>IFERROR(__xludf.DUMMYFUNCTION("""COMPUTED_VALUE"""),9.818317374E9)</f>
        <v>9818317374</v>
      </c>
      <c r="D525" s="1">
        <f>IFERROR(__xludf.DUMMYFUNCTION("""COMPUTED_VALUE"""),2.0)</f>
        <v>2</v>
      </c>
      <c r="E525" s="3">
        <f>IFERROR(__xludf.DUMMYFUNCTION("""COMPUTED_VALUE"""),0.5416666666642413)</f>
        <v>0.5416666667</v>
      </c>
      <c r="F525" s="1" t="str">
        <f>IFERROR(__xludf.DUMMYFUNCTION("""COMPUTED_VALUE"""),"Plain Gold")</f>
        <v>Plain Gold</v>
      </c>
      <c r="G525" s="1" t="str">
        <f>IFERROR(__xludf.DUMMYFUNCTION("""COMPUTED_VALUE"""),"Pooja")</f>
        <v>Pooja</v>
      </c>
      <c r="H525" s="1" t="str">
        <f>IFERROR(__xludf.DUMMYFUNCTION("""COMPUTED_VALUE"""),"Gold nose pin,earing ")</f>
        <v>Gold nose pin,earing </v>
      </c>
      <c r="I525" s="1"/>
      <c r="J525" s="1"/>
      <c r="K525" s="3">
        <f>IFERROR(__xludf.DUMMYFUNCTION("""COMPUTED_VALUE"""),0.625)</f>
        <v>0.625</v>
      </c>
      <c r="L525" s="1" t="str">
        <f>IFERROR(__xludf.DUMMYFUNCTION("""COMPUTED_VALUE"""),"Yes")</f>
        <v>Yes</v>
      </c>
      <c r="M525" s="1" t="str">
        <f>IFERROR(__xludf.DUMMYFUNCTION("""COMPUTED_VALUE"""),"Already done ")</f>
        <v>Already done </v>
      </c>
      <c r="N525" s="1" t="str">
        <f>IFERROR(__xludf.DUMMYFUNCTION("""COMPUTED_VALUE"""),"Already done ")</f>
        <v>Already done </v>
      </c>
      <c r="O525" s="1" t="str">
        <f>IFERROR(__xludf.DUMMYFUNCTION("""COMPUTED_VALUE"""),"WA ONLY, CALL")</f>
        <v>WA ONLY, CALL</v>
      </c>
      <c r="P525" s="1" t="str">
        <f>IFERROR(__xludf.DUMMYFUNCTION("""COMPUTED_VALUE"""),"Madam")</f>
        <v>Madam</v>
      </c>
      <c r="Q525" s="1" t="str">
        <f>IFERROR(__xludf.DUMMYFUNCTION("""COMPUTED_VALUE"""),"No")</f>
        <v>No</v>
      </c>
      <c r="R525" s="1" t="str">
        <f>IFERROR(__xludf.DUMMYFUNCTION("""COMPUTED_VALUE"""),"OLD")</f>
        <v>OLD</v>
      </c>
      <c r="S525" s="1"/>
    </row>
    <row r="526">
      <c r="A526" s="2">
        <f>IFERROR(__xludf.DUMMYFUNCTION("""COMPUTED_VALUE"""),45510.75587946759)</f>
        <v>45510.75588</v>
      </c>
      <c r="B526" s="1" t="str">
        <f>IFERROR(__xludf.DUMMYFUNCTION("""COMPUTED_VALUE"""),"Sameera")</f>
        <v>Sameera</v>
      </c>
      <c r="C526" s="1">
        <f>IFERROR(__xludf.DUMMYFUNCTION("""COMPUTED_VALUE"""),9.811900815E9)</f>
        <v>9811900815</v>
      </c>
      <c r="D526" s="1">
        <f>IFERROR(__xludf.DUMMYFUNCTION("""COMPUTED_VALUE"""),2.0)</f>
        <v>2</v>
      </c>
      <c r="E526" s="3">
        <f>IFERROR(__xludf.DUMMYFUNCTION("""COMPUTED_VALUE"""),0.6263888888934162)</f>
        <v>0.6263888889</v>
      </c>
      <c r="F526" s="1" t="str">
        <f>IFERROR(__xludf.DUMMYFUNCTION("""COMPUTED_VALUE"""),"Plain Gold")</f>
        <v>Plain Gold</v>
      </c>
      <c r="G526" s="1" t="str">
        <f>IFERROR(__xludf.DUMMYFUNCTION("""COMPUTED_VALUE"""),"Chhaya")</f>
        <v>Chhaya</v>
      </c>
      <c r="H526" s="1"/>
      <c r="I526" s="1" t="str">
        <f>IFERROR(__xludf.DUMMYFUNCTION("""COMPUTED_VALUE"""),"Payment done,approval return ")</f>
        <v>Payment done,approval return </v>
      </c>
      <c r="J526" s="1"/>
      <c r="K526" s="3">
        <f>IFERROR(__xludf.DUMMYFUNCTION("""COMPUTED_VALUE"""),0.625)</f>
        <v>0.625</v>
      </c>
      <c r="L526" s="1" t="str">
        <f>IFERROR(__xludf.DUMMYFUNCTION("""COMPUTED_VALUE"""),"Yes")</f>
        <v>Yes</v>
      </c>
      <c r="M526" s="1" t="str">
        <f>IFERROR(__xludf.DUMMYFUNCTION("""COMPUTED_VALUE"""),"Already done ")</f>
        <v>Already done </v>
      </c>
      <c r="N526" s="1" t="str">
        <f>IFERROR(__xludf.DUMMYFUNCTION("""COMPUTED_VALUE"""),"Already done ")</f>
        <v>Already done </v>
      </c>
      <c r="O526" s="1" t="str">
        <f>IFERROR(__xludf.DUMMYFUNCTION("""COMPUTED_VALUE"""),"WA ONLY, CALL")</f>
        <v>WA ONLY, CALL</v>
      </c>
      <c r="P526" s="1" t="str">
        <f>IFERROR(__xludf.DUMMYFUNCTION("""COMPUTED_VALUE"""),"Madam")</f>
        <v>Madam</v>
      </c>
      <c r="Q526" s="1" t="str">
        <f>IFERROR(__xludf.DUMMYFUNCTION("""COMPUTED_VALUE"""),"No")</f>
        <v>No</v>
      </c>
      <c r="R526" s="1" t="str">
        <f>IFERROR(__xludf.DUMMYFUNCTION("""COMPUTED_VALUE"""),"OLD")</f>
        <v>OLD</v>
      </c>
      <c r="S526" s="1"/>
    </row>
    <row r="527">
      <c r="A527" s="2">
        <f>IFERROR(__xludf.DUMMYFUNCTION("""COMPUTED_VALUE"""),45510.756984259264)</f>
        <v>45510.75698</v>
      </c>
      <c r="B527" s="1" t="str">
        <f>IFERROR(__xludf.DUMMYFUNCTION("""COMPUTED_VALUE"""),"Vivek aagrwal")</f>
        <v>Vivek aagrwal</v>
      </c>
      <c r="C527" s="1">
        <f>IFERROR(__xludf.DUMMYFUNCTION("""COMPUTED_VALUE"""),9.752609E8)</f>
        <v>975260900</v>
      </c>
      <c r="D527" s="1">
        <f>IFERROR(__xludf.DUMMYFUNCTION("""COMPUTED_VALUE"""),2.0)</f>
        <v>2</v>
      </c>
      <c r="E527" s="3">
        <f>IFERROR(__xludf.DUMMYFUNCTION("""COMPUTED_VALUE"""),0.6854166666671517)</f>
        <v>0.6854166667</v>
      </c>
      <c r="F527" s="1" t="str">
        <f>IFERROR(__xludf.DUMMYFUNCTION("""COMPUTED_VALUE"""),"Plain Gold")</f>
        <v>Plain Gold</v>
      </c>
      <c r="G527" s="1" t="str">
        <f>IFERROR(__xludf.DUMMYFUNCTION("""COMPUTED_VALUE"""),"Tannu")</f>
        <v>Tannu</v>
      </c>
      <c r="H527" s="1" t="str">
        <f>IFERROR(__xludf.DUMMYFUNCTION("""COMPUTED_VALUE"""),"4 gold ring")</f>
        <v>4 gold ring</v>
      </c>
      <c r="I527" s="1"/>
      <c r="J527" s="1"/>
      <c r="K527" s="3">
        <f>IFERROR(__xludf.DUMMYFUNCTION("""COMPUTED_VALUE"""),0.7381944444423425)</f>
        <v>0.7381944444</v>
      </c>
      <c r="L527" s="1" t="str">
        <f>IFERROR(__xludf.DUMMYFUNCTION("""COMPUTED_VALUE"""),"Yes")</f>
        <v>Yes</v>
      </c>
      <c r="M527" s="1" t="str">
        <f>IFERROR(__xludf.DUMMYFUNCTION("""COMPUTED_VALUE"""),"Yes")</f>
        <v>Yes</v>
      </c>
      <c r="N527" s="1" t="str">
        <f>IFERROR(__xludf.DUMMYFUNCTION("""COMPUTED_VALUE"""),"Yes")</f>
        <v>Yes</v>
      </c>
      <c r="O527" s="1" t="str">
        <f>IFERROR(__xludf.DUMMYFUNCTION("""COMPUTED_VALUE"""),"WA ONLY, CALL")</f>
        <v>WA ONLY, CALL</v>
      </c>
      <c r="P527" s="1" t="str">
        <f>IFERROR(__xludf.DUMMYFUNCTION("""COMPUTED_VALUE"""),"Sir")</f>
        <v>Sir</v>
      </c>
      <c r="Q527" s="1" t="str">
        <f>IFERROR(__xludf.DUMMYFUNCTION("""COMPUTED_VALUE"""),"No")</f>
        <v>No</v>
      </c>
      <c r="R527" s="1" t="str">
        <f>IFERROR(__xludf.DUMMYFUNCTION("""COMPUTED_VALUE"""),"NEW WALK IN")</f>
        <v>NEW WALK IN</v>
      </c>
      <c r="S527" s="1" t="str">
        <f>IFERROR(__xludf.DUMMYFUNCTION("""COMPUTED_VALUE"""),"Walk in")</f>
        <v>Walk in</v>
      </c>
    </row>
    <row r="528">
      <c r="A528" s="2">
        <f>IFERROR(__xludf.DUMMYFUNCTION("""COMPUTED_VALUE"""),45510.76316365741)</f>
        <v>45510.76316</v>
      </c>
      <c r="B528" s="1" t="str">
        <f>IFERROR(__xludf.DUMMYFUNCTION("""COMPUTED_VALUE"""),"Poonam tripathi")</f>
        <v>Poonam tripathi</v>
      </c>
      <c r="C528" s="1">
        <f>IFERROR(__xludf.DUMMYFUNCTION("""COMPUTED_VALUE"""),6.398952967E9)</f>
        <v>6398952967</v>
      </c>
      <c r="D528" s="1">
        <f>IFERROR(__xludf.DUMMYFUNCTION("""COMPUTED_VALUE"""),2.0)</f>
        <v>2</v>
      </c>
      <c r="E528" s="3">
        <f>IFERROR(__xludf.DUMMYFUNCTION("""COMPUTED_VALUE"""),0.5104166666642413)</f>
        <v>0.5104166667</v>
      </c>
      <c r="F528" s="1" t="str">
        <f>IFERROR(__xludf.DUMMYFUNCTION("""COMPUTED_VALUE"""),"Plain Gold")</f>
        <v>Plain Gold</v>
      </c>
      <c r="G528" s="1" t="str">
        <f>IFERROR(__xludf.DUMMYFUNCTION("""COMPUTED_VALUE"""),"Neetu")</f>
        <v>Neetu</v>
      </c>
      <c r="H528" s="1" t="str">
        <f>IFERROR(__xludf.DUMMYFUNCTION("""COMPUTED_VALUE"""),"Gold clin,gold tops")</f>
        <v>Gold clin,gold tops</v>
      </c>
      <c r="I528" s="1"/>
      <c r="J528" s="1"/>
      <c r="K528" s="3">
        <f>IFERROR(__xludf.DUMMYFUNCTION("""COMPUTED_VALUE"""),0.6041666666642413)</f>
        <v>0.6041666667</v>
      </c>
      <c r="L528" s="1" t="str">
        <f>IFERROR(__xludf.DUMMYFUNCTION("""COMPUTED_VALUE"""),"Yes")</f>
        <v>Yes</v>
      </c>
      <c r="M528" s="1" t="str">
        <f>IFERROR(__xludf.DUMMYFUNCTION("""COMPUTED_VALUE"""),"Yes")</f>
        <v>Yes</v>
      </c>
      <c r="N528" s="1" t="str">
        <f>IFERROR(__xludf.DUMMYFUNCTION("""COMPUTED_VALUE"""),"Yes")</f>
        <v>Yes</v>
      </c>
      <c r="O528" s="1" t="str">
        <f>IFERROR(__xludf.DUMMYFUNCTION("""COMPUTED_VALUE"""),"WA ONLY, CALL")</f>
        <v>WA ONLY, CALL</v>
      </c>
      <c r="P528" s="1" t="str">
        <f>IFERROR(__xludf.DUMMYFUNCTION("""COMPUTED_VALUE"""),"Madam")</f>
        <v>Madam</v>
      </c>
      <c r="Q528" s="1" t="str">
        <f>IFERROR(__xludf.DUMMYFUNCTION("""COMPUTED_VALUE"""),"No")</f>
        <v>No</v>
      </c>
      <c r="R528" s="1" t="str">
        <f>IFERROR(__xludf.DUMMYFUNCTION("""COMPUTED_VALUE"""),"NEW WALK IN")</f>
        <v>NEW WALK IN</v>
      </c>
      <c r="S528" s="1"/>
    </row>
    <row r="529">
      <c r="A529" s="2">
        <f>IFERROR(__xludf.DUMMYFUNCTION("""COMPUTED_VALUE"""),45512.77412815973)</f>
        <v>45512.77413</v>
      </c>
      <c r="B529" s="1" t="str">
        <f>IFERROR(__xludf.DUMMYFUNCTION("""COMPUTED_VALUE"""),"Nilam")</f>
        <v>Nilam</v>
      </c>
      <c r="C529" s="1">
        <f>IFERROR(__xludf.DUMMYFUNCTION("""COMPUTED_VALUE"""),8.130996054E9)</f>
        <v>8130996054</v>
      </c>
      <c r="D529" s="1">
        <f>IFERROR(__xludf.DUMMYFUNCTION("""COMPUTED_VALUE"""),2.0)</f>
        <v>2</v>
      </c>
      <c r="E529" s="3">
        <f>IFERROR(__xludf.DUMMYFUNCTION("""COMPUTED_VALUE"""),0.6041666666642413)</f>
        <v>0.6041666667</v>
      </c>
      <c r="F529" s="1" t="str">
        <f>IFERROR(__xludf.DUMMYFUNCTION("""COMPUTED_VALUE"""),"Antique Gold")</f>
        <v>Antique Gold</v>
      </c>
      <c r="G529" s="1" t="str">
        <f>IFERROR(__xludf.DUMMYFUNCTION("""COMPUTED_VALUE"""),"Chhaya")</f>
        <v>Chhaya</v>
      </c>
      <c r="H529" s="1" t="str">
        <f>IFERROR(__xludf.DUMMYFUNCTION("""COMPUTED_VALUE"""),"Diamond tops,order bangle ")</f>
        <v>Diamond tops,order bangle </v>
      </c>
      <c r="I529" s="1"/>
      <c r="J529" s="1"/>
      <c r="K529" s="3">
        <f>IFERROR(__xludf.DUMMYFUNCTION("""COMPUTED_VALUE"""),0.7555555555591127)</f>
        <v>0.7555555556</v>
      </c>
      <c r="L529" s="1" t="str">
        <f>IFERROR(__xludf.DUMMYFUNCTION("""COMPUTED_VALUE"""),"Yes")</f>
        <v>Yes</v>
      </c>
      <c r="M529" s="1" t="str">
        <f>IFERROR(__xludf.DUMMYFUNCTION("""COMPUTED_VALUE"""),"Already done ")</f>
        <v>Already done </v>
      </c>
      <c r="N529" s="1" t="str">
        <f>IFERROR(__xludf.DUMMYFUNCTION("""COMPUTED_VALUE"""),"Already done ")</f>
        <v>Already done </v>
      </c>
      <c r="O529" s="1" t="str">
        <f>IFERROR(__xludf.DUMMYFUNCTION("""COMPUTED_VALUE"""),"WA ONLY, CALL")</f>
        <v>WA ONLY, CALL</v>
      </c>
      <c r="P529" s="1" t="str">
        <f>IFERROR(__xludf.DUMMYFUNCTION("""COMPUTED_VALUE"""),"Madam")</f>
        <v>Madam</v>
      </c>
      <c r="Q529" s="1" t="str">
        <f>IFERROR(__xludf.DUMMYFUNCTION("""COMPUTED_VALUE"""),"No")</f>
        <v>No</v>
      </c>
      <c r="R529" s="1" t="str">
        <f>IFERROR(__xludf.DUMMYFUNCTION("""COMPUTED_VALUE"""),"OLD")</f>
        <v>OLD</v>
      </c>
      <c r="S529" s="1"/>
    </row>
    <row r="530">
      <c r="A530" s="2">
        <f>IFERROR(__xludf.DUMMYFUNCTION("""COMPUTED_VALUE"""),45512.775204930556)</f>
        <v>45512.7752</v>
      </c>
      <c r="B530" s="1" t="str">
        <f>IFERROR(__xludf.DUMMYFUNCTION("""COMPUTED_VALUE"""),"Nidhi goyal")</f>
        <v>Nidhi goyal</v>
      </c>
      <c r="C530" s="1">
        <f>IFERROR(__xludf.DUMMYFUNCTION("""COMPUTED_VALUE"""),9.31105226E9)</f>
        <v>9311052260</v>
      </c>
      <c r="D530" s="1">
        <f>IFERROR(__xludf.DUMMYFUNCTION("""COMPUTED_VALUE"""),2.0)</f>
        <v>2</v>
      </c>
      <c r="E530" s="3">
        <f>IFERROR(__xludf.DUMMYFUNCTION("""COMPUTED_VALUE"""),0.6493055555547471)</f>
        <v>0.6493055556</v>
      </c>
      <c r="F530" s="1" t="str">
        <f>IFERROR(__xludf.DUMMYFUNCTION("""COMPUTED_VALUE"""),"Diamond")</f>
        <v>Diamond</v>
      </c>
      <c r="G530" s="1" t="str">
        <f>IFERROR(__xludf.DUMMYFUNCTION("""COMPUTED_VALUE"""),"Pooja")</f>
        <v>Pooja</v>
      </c>
      <c r="H530" s="1"/>
      <c r="I530" s="1" t="str">
        <f>IFERROR(__xludf.DUMMYFUNCTION("""COMPUTED_VALUE"""),"Pick up Order")</f>
        <v>Pick up Order</v>
      </c>
      <c r="J530" s="1"/>
      <c r="K530" s="3">
        <f>IFERROR(__xludf.DUMMYFUNCTION("""COMPUTED_VALUE"""),0.6770833333357587)</f>
        <v>0.6770833333</v>
      </c>
      <c r="L530" s="1" t="str">
        <f>IFERROR(__xludf.DUMMYFUNCTION("""COMPUTED_VALUE"""),"Yes")</f>
        <v>Yes</v>
      </c>
      <c r="M530" s="1" t="str">
        <f>IFERROR(__xludf.DUMMYFUNCTION("""COMPUTED_VALUE"""),"Already done ")</f>
        <v>Already done </v>
      </c>
      <c r="N530" s="1" t="str">
        <f>IFERROR(__xludf.DUMMYFUNCTION("""COMPUTED_VALUE"""),"Already done ")</f>
        <v>Already done </v>
      </c>
      <c r="O530" s="1" t="str">
        <f>IFERROR(__xludf.DUMMYFUNCTION("""COMPUTED_VALUE"""),"WA ONLY, CALL")</f>
        <v>WA ONLY, CALL</v>
      </c>
      <c r="P530" s="1" t="str">
        <f>IFERROR(__xludf.DUMMYFUNCTION("""COMPUTED_VALUE"""),"Madam")</f>
        <v>Madam</v>
      </c>
      <c r="Q530" s="1" t="str">
        <f>IFERROR(__xludf.DUMMYFUNCTION("""COMPUTED_VALUE"""),"No")</f>
        <v>No</v>
      </c>
      <c r="R530" s="1" t="str">
        <f>IFERROR(__xludf.DUMMYFUNCTION("""COMPUTED_VALUE"""),"OLD")</f>
        <v>OLD</v>
      </c>
      <c r="S530" s="1"/>
    </row>
    <row r="531">
      <c r="A531" s="2">
        <f>IFERROR(__xludf.DUMMYFUNCTION("""COMPUTED_VALUE"""),45512.776190115736)</f>
        <v>45512.77619</v>
      </c>
      <c r="B531" s="1" t="str">
        <f>IFERROR(__xludf.DUMMYFUNCTION("""COMPUTED_VALUE"""),"Shivani")</f>
        <v>Shivani</v>
      </c>
      <c r="C531" s="1">
        <f>IFERROR(__xludf.DUMMYFUNCTION("""COMPUTED_VALUE"""),9.310948529E9)</f>
        <v>9310948529</v>
      </c>
      <c r="D531" s="1">
        <f>IFERROR(__xludf.DUMMYFUNCTION("""COMPUTED_VALUE"""),3.0)</f>
        <v>3</v>
      </c>
      <c r="E531" s="3">
        <f>IFERROR(__xludf.DUMMYFUNCTION("""COMPUTED_VALUE"""),0.7513888888934162)</f>
        <v>0.7513888889</v>
      </c>
      <c r="F531" s="1" t="str">
        <f>IFERROR(__xludf.DUMMYFUNCTION("""COMPUTED_VALUE"""),"Plain Gold")</f>
        <v>Plain Gold</v>
      </c>
      <c r="G531" s="1" t="str">
        <f>IFERROR(__xludf.DUMMYFUNCTION("""COMPUTED_VALUE"""),"Neetu")</f>
        <v>Neetu</v>
      </c>
      <c r="H531" s="1"/>
      <c r="I531" s="1" t="str">
        <f>IFERROR(__xludf.DUMMYFUNCTION("""COMPUTED_VALUE"""),"Want to see More Variety")</f>
        <v>Want to see More Variety</v>
      </c>
      <c r="J531" s="1"/>
      <c r="K531" s="3">
        <f>IFERROR(__xludf.DUMMYFUNCTION("""COMPUTED_VALUE"""),0.7583333333313931)</f>
        <v>0.7583333333</v>
      </c>
      <c r="L531" s="1" t="str">
        <f>IFERROR(__xludf.DUMMYFUNCTION("""COMPUTED_VALUE"""),"No")</f>
        <v>No</v>
      </c>
      <c r="M531" s="1" t="str">
        <f>IFERROR(__xludf.DUMMYFUNCTION("""COMPUTED_VALUE"""),"No")</f>
        <v>No</v>
      </c>
      <c r="N531" s="1" t="str">
        <f>IFERROR(__xludf.DUMMYFUNCTION("""COMPUTED_VALUE"""),"No")</f>
        <v>No</v>
      </c>
      <c r="O531" s="1" t="str">
        <f>IFERROR(__xludf.DUMMYFUNCTION("""COMPUTED_VALUE"""),"WA ONLY, CALL")</f>
        <v>WA ONLY, CALL</v>
      </c>
      <c r="P531" s="1" t="str">
        <f>IFERROR(__xludf.DUMMYFUNCTION("""COMPUTED_VALUE"""),"Madam")</f>
        <v>Madam</v>
      </c>
      <c r="Q531" s="1" t="str">
        <f>IFERROR(__xludf.DUMMYFUNCTION("""COMPUTED_VALUE"""),"No")</f>
        <v>No</v>
      </c>
      <c r="R531" s="1" t="str">
        <f>IFERROR(__xludf.DUMMYFUNCTION("""COMPUTED_VALUE"""),"NEW WALK IN")</f>
        <v>NEW WALK IN</v>
      </c>
      <c r="S531" s="1"/>
    </row>
    <row r="532">
      <c r="A532" s="2">
        <f>IFERROR(__xludf.DUMMYFUNCTION("""COMPUTED_VALUE"""),45512.83546530093)</f>
        <v>45512.83547</v>
      </c>
      <c r="B532" s="1" t="str">
        <f>IFERROR(__xludf.DUMMYFUNCTION("""COMPUTED_VALUE"""),"Abhishek singh")</f>
        <v>Abhishek singh</v>
      </c>
      <c r="C532" s="1">
        <f>IFERROR(__xludf.DUMMYFUNCTION("""COMPUTED_VALUE"""),9.43160504E9)</f>
        <v>9431605040</v>
      </c>
      <c r="D532" s="1">
        <f>IFERROR(__xludf.DUMMYFUNCTION("""COMPUTED_VALUE"""),1.0)</f>
        <v>1</v>
      </c>
      <c r="E532" s="3">
        <f>IFERROR(__xludf.DUMMYFUNCTION("""COMPUTED_VALUE"""),0.8041666666686069)</f>
        <v>0.8041666667</v>
      </c>
      <c r="F532" s="1" t="str">
        <f>IFERROR(__xludf.DUMMYFUNCTION("""COMPUTED_VALUE"""),"Plain Gold")</f>
        <v>Plain Gold</v>
      </c>
      <c r="G532" s="1" t="str">
        <f>IFERROR(__xludf.DUMMYFUNCTION("""COMPUTED_VALUE"""),"Tannu")</f>
        <v>Tannu</v>
      </c>
      <c r="H532" s="1" t="str">
        <f>IFERROR(__xludf.DUMMYFUNCTION("""COMPUTED_VALUE"""),"2 gents gold ring")</f>
        <v>2 gents gold ring</v>
      </c>
      <c r="I532" s="1"/>
      <c r="J532" s="1"/>
      <c r="K532" s="3">
        <f>IFERROR(__xludf.DUMMYFUNCTION("""COMPUTED_VALUE"""),0.84375)</f>
        <v>0.84375</v>
      </c>
      <c r="L532" s="1" t="str">
        <f>IFERROR(__xludf.DUMMYFUNCTION("""COMPUTED_VALUE"""),"Yes")</f>
        <v>Yes</v>
      </c>
      <c r="M532" s="1" t="str">
        <f>IFERROR(__xludf.DUMMYFUNCTION("""COMPUTED_VALUE"""),"Yes")</f>
        <v>Yes</v>
      </c>
      <c r="N532" s="1" t="str">
        <f>IFERROR(__xludf.DUMMYFUNCTION("""COMPUTED_VALUE"""),"Yes")</f>
        <v>Yes</v>
      </c>
      <c r="O532" s="1" t="str">
        <f>IFERROR(__xludf.DUMMYFUNCTION("""COMPUTED_VALUE"""),"WA ONLY, CALL")</f>
        <v>WA ONLY, CALL</v>
      </c>
      <c r="P532" s="1" t="str">
        <f>IFERROR(__xludf.DUMMYFUNCTION("""COMPUTED_VALUE"""),"Sir")</f>
        <v>Sir</v>
      </c>
      <c r="Q532" s="1" t="str">
        <f>IFERROR(__xludf.DUMMYFUNCTION("""COMPUTED_VALUE"""),"No")</f>
        <v>No</v>
      </c>
      <c r="R532" s="1" t="str">
        <f>IFERROR(__xludf.DUMMYFUNCTION("""COMPUTED_VALUE"""),"NEW WALK IN")</f>
        <v>NEW WALK IN</v>
      </c>
      <c r="S532" s="1"/>
    </row>
    <row r="533">
      <c r="A533" s="2">
        <f>IFERROR(__xludf.DUMMYFUNCTION("""COMPUTED_VALUE"""),45513.75294715278)</f>
        <v>45513.75295</v>
      </c>
      <c r="B533" s="1" t="str">
        <f>IFERROR(__xludf.DUMMYFUNCTION("""COMPUTED_VALUE"""),"Ajay")</f>
        <v>Ajay</v>
      </c>
      <c r="C533" s="1">
        <f>IFERROR(__xludf.DUMMYFUNCTION("""COMPUTED_VALUE"""),9.868258081E9)</f>
        <v>9868258081</v>
      </c>
      <c r="D533" s="1">
        <f>IFERROR(__xludf.DUMMYFUNCTION("""COMPUTED_VALUE"""),1.0)</f>
        <v>1</v>
      </c>
      <c r="E533" s="3">
        <f>IFERROR(__xludf.DUMMYFUNCTION("""COMPUTED_VALUE"""),0.5999999999985448)</f>
        <v>0.6</v>
      </c>
      <c r="F533" s="1" t="str">
        <f>IFERROR(__xludf.DUMMYFUNCTION("""COMPUTED_VALUE"""),"Plain Gold")</f>
        <v>Plain Gold</v>
      </c>
      <c r="G533" s="1" t="str">
        <f>IFERROR(__xludf.DUMMYFUNCTION("""COMPUTED_VALUE"""),"Tannu")</f>
        <v>Tannu</v>
      </c>
      <c r="H533" s="1" t="str">
        <f>IFERROR(__xludf.DUMMYFUNCTION("""COMPUTED_VALUE"""),"Silver coin ")</f>
        <v>Silver coin </v>
      </c>
      <c r="I533" s="1"/>
      <c r="J533" s="1"/>
      <c r="K533" s="3">
        <f>IFERROR(__xludf.DUMMYFUNCTION("""COMPUTED_VALUE"""),0.6159722222218988)</f>
        <v>0.6159722222</v>
      </c>
      <c r="L533" s="1" t="str">
        <f>IFERROR(__xludf.DUMMYFUNCTION("""COMPUTED_VALUE"""),"Yes")</f>
        <v>Yes</v>
      </c>
      <c r="M533" s="1" t="str">
        <f>IFERROR(__xludf.DUMMYFUNCTION("""COMPUTED_VALUE"""),"Yes")</f>
        <v>Yes</v>
      </c>
      <c r="N533" s="1" t="str">
        <f>IFERROR(__xludf.DUMMYFUNCTION("""COMPUTED_VALUE"""),"Yes")</f>
        <v>Yes</v>
      </c>
      <c r="O533" s="1" t="str">
        <f>IFERROR(__xludf.DUMMYFUNCTION("""COMPUTED_VALUE"""),"WA ONLY, CALL")</f>
        <v>WA ONLY, CALL</v>
      </c>
      <c r="P533" s="1" t="str">
        <f>IFERROR(__xludf.DUMMYFUNCTION("""COMPUTED_VALUE"""),"Sir")</f>
        <v>Sir</v>
      </c>
      <c r="Q533" s="1" t="str">
        <f>IFERROR(__xludf.DUMMYFUNCTION("""COMPUTED_VALUE"""),"No")</f>
        <v>No</v>
      </c>
      <c r="R533" s="1" t="str">
        <f>IFERROR(__xludf.DUMMYFUNCTION("""COMPUTED_VALUE"""),"NEW WALK IN")</f>
        <v>NEW WALK IN</v>
      </c>
      <c r="S533" s="1"/>
    </row>
    <row r="534">
      <c r="A534" s="2">
        <f>IFERROR(__xludf.DUMMYFUNCTION("""COMPUTED_VALUE"""),45513.754210405095)</f>
        <v>45513.75421</v>
      </c>
      <c r="B534" s="1" t="str">
        <f>IFERROR(__xludf.DUMMYFUNCTION("""COMPUTED_VALUE"""),"Nidhi")</f>
        <v>Nidhi</v>
      </c>
      <c r="C534" s="1">
        <f>IFERROR(__xludf.DUMMYFUNCTION("""COMPUTED_VALUE"""),7.838722791E9)</f>
        <v>7838722791</v>
      </c>
      <c r="D534" s="1">
        <f>IFERROR(__xludf.DUMMYFUNCTION("""COMPUTED_VALUE"""),1.0)</f>
        <v>1</v>
      </c>
      <c r="E534" s="3">
        <f>IFERROR(__xludf.DUMMYFUNCTION("""COMPUTED_VALUE"""),0.6298611111124046)</f>
        <v>0.6298611111</v>
      </c>
      <c r="F534" s="1" t="str">
        <f>IFERROR(__xludf.DUMMYFUNCTION("""COMPUTED_VALUE"""),"Plain Gold")</f>
        <v>Plain Gold</v>
      </c>
      <c r="G534" s="1" t="str">
        <f>IFERROR(__xludf.DUMMYFUNCTION("""COMPUTED_VALUE"""),"Pooja")</f>
        <v>Pooja</v>
      </c>
      <c r="H534" s="1"/>
      <c r="I534" s="1" t="str">
        <f>IFERROR(__xludf.DUMMYFUNCTION("""COMPUTED_VALUE"""),"Only Ask for Gold Rate")</f>
        <v>Only Ask for Gold Rate</v>
      </c>
      <c r="J534" s="1"/>
      <c r="K534" s="3">
        <f>IFERROR(__xludf.DUMMYFUNCTION("""COMPUTED_VALUE"""),0.640277777776646)</f>
        <v>0.6402777778</v>
      </c>
      <c r="L534" s="1" t="str">
        <f>IFERROR(__xludf.DUMMYFUNCTION("""COMPUTED_VALUE"""),"Yes")</f>
        <v>Yes</v>
      </c>
      <c r="M534" s="1" t="str">
        <f>IFERROR(__xludf.DUMMYFUNCTION("""COMPUTED_VALUE"""),"No")</f>
        <v>No</v>
      </c>
      <c r="N534" s="1" t="str">
        <f>IFERROR(__xludf.DUMMYFUNCTION("""COMPUTED_VALUE"""),"No")</f>
        <v>No</v>
      </c>
      <c r="O534" s="1" t="str">
        <f>IFERROR(__xludf.DUMMYFUNCTION("""COMPUTED_VALUE"""),"WA ONLY, CALL")</f>
        <v>WA ONLY, CALL</v>
      </c>
      <c r="P534" s="1" t="str">
        <f>IFERROR(__xludf.DUMMYFUNCTION("""COMPUTED_VALUE"""),"Madam")</f>
        <v>Madam</v>
      </c>
      <c r="Q534" s="1" t="str">
        <f>IFERROR(__xludf.DUMMYFUNCTION("""COMPUTED_VALUE"""),"No")</f>
        <v>No</v>
      </c>
      <c r="R534" s="1" t="str">
        <f>IFERROR(__xludf.DUMMYFUNCTION("""COMPUTED_VALUE"""),"NEW WALK IN")</f>
        <v>NEW WALK IN</v>
      </c>
      <c r="S534" s="1"/>
    </row>
    <row r="535">
      <c r="A535" s="2">
        <f>IFERROR(__xludf.DUMMYFUNCTION("""COMPUTED_VALUE"""),45513.75514686343)</f>
        <v>45513.75515</v>
      </c>
      <c r="B535" s="1" t="str">
        <f>IFERROR(__xludf.DUMMYFUNCTION("""COMPUTED_VALUE"""),"Simran")</f>
        <v>Simran</v>
      </c>
      <c r="C535" s="1">
        <f>IFERROR(__xludf.DUMMYFUNCTION("""COMPUTED_VALUE"""),9.873085145E9)</f>
        <v>9873085145</v>
      </c>
      <c r="D535" s="1">
        <f>IFERROR(__xludf.DUMMYFUNCTION("""COMPUTED_VALUE"""),1.0)</f>
        <v>1</v>
      </c>
      <c r="E535" s="3">
        <f>IFERROR(__xludf.DUMMYFUNCTION("""COMPUTED_VALUE"""),0.726388888884685)</f>
        <v>0.7263888889</v>
      </c>
      <c r="F535" s="1" t="str">
        <f>IFERROR(__xludf.DUMMYFUNCTION("""COMPUTED_VALUE"""),"Plain Gold")</f>
        <v>Plain Gold</v>
      </c>
      <c r="G535" s="1" t="str">
        <f>IFERROR(__xludf.DUMMYFUNCTION("""COMPUTED_VALUE"""),"Neetu")</f>
        <v>Neetu</v>
      </c>
      <c r="H535" s="1"/>
      <c r="I535" s="1" t="str">
        <f>IFERROR(__xludf.DUMMYFUNCTION("""COMPUTED_VALUE"""),"Want to see More Variety")</f>
        <v>Want to see More Variety</v>
      </c>
      <c r="J535" s="1"/>
      <c r="K535" s="3">
        <f>IFERROR(__xludf.DUMMYFUNCTION("""COMPUTED_VALUE"""),0.7437500000014552)</f>
        <v>0.74375</v>
      </c>
      <c r="L535" s="1" t="str">
        <f>IFERROR(__xludf.DUMMYFUNCTION("""COMPUTED_VALUE"""),"No")</f>
        <v>No</v>
      </c>
      <c r="M535" s="1" t="str">
        <f>IFERROR(__xludf.DUMMYFUNCTION("""COMPUTED_VALUE"""),"No")</f>
        <v>No</v>
      </c>
      <c r="N535" s="1" t="str">
        <f>IFERROR(__xludf.DUMMYFUNCTION("""COMPUTED_VALUE"""),"No")</f>
        <v>No</v>
      </c>
      <c r="O535" s="1" t="str">
        <f>IFERROR(__xludf.DUMMYFUNCTION("""COMPUTED_VALUE"""),"WA ONLY, CALL")</f>
        <v>WA ONLY, CALL</v>
      </c>
      <c r="P535" s="1" t="str">
        <f>IFERROR(__xludf.DUMMYFUNCTION("""COMPUTED_VALUE"""),"Madam")</f>
        <v>Madam</v>
      </c>
      <c r="Q535" s="1" t="str">
        <f>IFERROR(__xludf.DUMMYFUNCTION("""COMPUTED_VALUE"""),"No")</f>
        <v>No</v>
      </c>
      <c r="R535" s="1" t="str">
        <f>IFERROR(__xludf.DUMMYFUNCTION("""COMPUTED_VALUE"""),"NEW WALK IN")</f>
        <v>NEW WALK IN</v>
      </c>
      <c r="S535" s="1"/>
    </row>
    <row r="536">
      <c r="A536" s="2">
        <f>IFERROR(__xludf.DUMMYFUNCTION("""COMPUTED_VALUE"""),45514.78785206018)</f>
        <v>45514.78785</v>
      </c>
      <c r="B536" s="1" t="str">
        <f>IFERROR(__xludf.DUMMYFUNCTION("""COMPUTED_VALUE"""),"Aachal")</f>
        <v>Aachal</v>
      </c>
      <c r="C536" s="1">
        <f>IFERROR(__xludf.DUMMYFUNCTION("""COMPUTED_VALUE"""),8.527616025E9)</f>
        <v>8527616025</v>
      </c>
      <c r="D536" s="1">
        <f>IFERROR(__xludf.DUMMYFUNCTION("""COMPUTED_VALUE"""),3.0)</f>
        <v>3</v>
      </c>
      <c r="E536" s="3">
        <f>IFERROR(__xludf.DUMMYFUNCTION("""COMPUTED_VALUE"""),0.59375)</f>
        <v>0.59375</v>
      </c>
      <c r="F536" s="1" t="str">
        <f>IFERROR(__xludf.DUMMYFUNCTION("""COMPUTED_VALUE"""),"Plain Gold")</f>
        <v>Plain Gold</v>
      </c>
      <c r="G536" s="1" t="str">
        <f>IFERROR(__xludf.DUMMYFUNCTION("""COMPUTED_VALUE"""),"Neetu")</f>
        <v>Neetu</v>
      </c>
      <c r="H536" s="1" t="str">
        <f>IFERROR(__xludf.DUMMYFUNCTION("""COMPUTED_VALUE"""),"Gold tarquish set,gold chain")</f>
        <v>Gold tarquish set,gold chain</v>
      </c>
      <c r="I536" s="1"/>
      <c r="J536" s="1"/>
      <c r="K536" s="3">
        <f>IFERROR(__xludf.DUMMYFUNCTION("""COMPUTED_VALUE"""),0.6777777777751908)</f>
        <v>0.6777777778</v>
      </c>
      <c r="L536" s="1" t="str">
        <f>IFERROR(__xludf.DUMMYFUNCTION("""COMPUTED_VALUE"""),"Yes")</f>
        <v>Yes</v>
      </c>
      <c r="M536" s="1" t="str">
        <f>IFERROR(__xludf.DUMMYFUNCTION("""COMPUTED_VALUE"""),"Yes")</f>
        <v>Yes</v>
      </c>
      <c r="N536" s="1" t="str">
        <f>IFERROR(__xludf.DUMMYFUNCTION("""COMPUTED_VALUE"""),"Yes")</f>
        <v>Yes</v>
      </c>
      <c r="O536" s="1" t="str">
        <f>IFERROR(__xludf.DUMMYFUNCTION("""COMPUTED_VALUE"""),"WA ONLY, CALL")</f>
        <v>WA ONLY, CALL</v>
      </c>
      <c r="P536" s="1" t="str">
        <f>IFERROR(__xludf.DUMMYFUNCTION("""COMPUTED_VALUE"""),"Madam")</f>
        <v>Madam</v>
      </c>
      <c r="Q536" s="1" t="str">
        <f>IFERROR(__xludf.DUMMYFUNCTION("""COMPUTED_VALUE"""),"No")</f>
        <v>No</v>
      </c>
      <c r="R536" s="1" t="str">
        <f>IFERROR(__xludf.DUMMYFUNCTION("""COMPUTED_VALUE"""),"NEW WALK IN")</f>
        <v>NEW WALK IN</v>
      </c>
      <c r="S536" s="1"/>
    </row>
    <row r="537">
      <c r="A537" s="2">
        <f>IFERROR(__xludf.DUMMYFUNCTION("""COMPUTED_VALUE"""),45514.78855885417)</f>
        <v>45514.78856</v>
      </c>
      <c r="B537" s="1" t="str">
        <f>IFERROR(__xludf.DUMMYFUNCTION("""COMPUTED_VALUE"""),"Jyoti")</f>
        <v>Jyoti</v>
      </c>
      <c r="C537" s="1">
        <f>IFERROR(__xludf.DUMMYFUNCTION("""COMPUTED_VALUE"""),8.287611915E9)</f>
        <v>8287611915</v>
      </c>
      <c r="D537" s="1">
        <f>IFERROR(__xludf.DUMMYFUNCTION("""COMPUTED_VALUE"""),2.0)</f>
        <v>2</v>
      </c>
      <c r="E537" s="3">
        <f>IFERROR(__xludf.DUMMYFUNCTION("""COMPUTED_VALUE"""),0.6388888888905058)</f>
        <v>0.6388888889</v>
      </c>
      <c r="F537" s="1" t="str">
        <f>IFERROR(__xludf.DUMMYFUNCTION("""COMPUTED_VALUE"""),"Diamond")</f>
        <v>Diamond</v>
      </c>
      <c r="G537" s="1" t="str">
        <f>IFERROR(__xludf.DUMMYFUNCTION("""COMPUTED_VALUE"""),"Neetu")</f>
        <v>Neetu</v>
      </c>
      <c r="H537" s="1"/>
      <c r="I537" s="1" t="str">
        <f>IFERROR(__xludf.DUMMYFUNCTION("""COMPUTED_VALUE"""),"Visit Again in 1 Month")</f>
        <v>Visit Again in 1 Month</v>
      </c>
      <c r="J537" s="1"/>
      <c r="K537" s="3">
        <f>IFERROR(__xludf.DUMMYFUNCTION("""COMPUTED_VALUE"""),0.6506944444408873)</f>
        <v>0.6506944444</v>
      </c>
      <c r="L537" s="1" t="str">
        <f>IFERROR(__xludf.DUMMYFUNCTION("""COMPUTED_VALUE"""),"No")</f>
        <v>No</v>
      </c>
      <c r="M537" s="1" t="str">
        <f>IFERROR(__xludf.DUMMYFUNCTION("""COMPUTED_VALUE"""),"No")</f>
        <v>No</v>
      </c>
      <c r="N537" s="1" t="str">
        <f>IFERROR(__xludf.DUMMYFUNCTION("""COMPUTED_VALUE"""),"No")</f>
        <v>No</v>
      </c>
      <c r="O537" s="1" t="str">
        <f>IFERROR(__xludf.DUMMYFUNCTION("""COMPUTED_VALUE"""),"WA ONLY, CALL")</f>
        <v>WA ONLY, CALL</v>
      </c>
      <c r="P537" s="1" t="str">
        <f>IFERROR(__xludf.DUMMYFUNCTION("""COMPUTED_VALUE"""),"Madam")</f>
        <v>Madam</v>
      </c>
      <c r="Q537" s="1" t="str">
        <f>IFERROR(__xludf.DUMMYFUNCTION("""COMPUTED_VALUE"""),"No")</f>
        <v>No</v>
      </c>
      <c r="R537" s="1" t="str">
        <f>IFERROR(__xludf.DUMMYFUNCTION("""COMPUTED_VALUE"""),"NEW WALK IN")</f>
        <v>NEW WALK IN</v>
      </c>
      <c r="S537" s="1"/>
    </row>
    <row r="538">
      <c r="A538" s="2">
        <f>IFERROR(__xludf.DUMMYFUNCTION("""COMPUTED_VALUE"""),45514.79529637731)</f>
        <v>45514.7953</v>
      </c>
      <c r="B538" s="1" t="str">
        <f>IFERROR(__xludf.DUMMYFUNCTION("""COMPUTED_VALUE"""),"Harveer")</f>
        <v>Harveer</v>
      </c>
      <c r="C538" s="1">
        <f>IFERROR(__xludf.DUMMYFUNCTION("""COMPUTED_VALUE"""),9.587100401E9)</f>
        <v>9587100401</v>
      </c>
      <c r="D538" s="1">
        <f>IFERROR(__xludf.DUMMYFUNCTION("""COMPUTED_VALUE"""),3.0)</f>
        <v>3</v>
      </c>
      <c r="E538" s="3">
        <f>IFERROR(__xludf.DUMMYFUNCTION("""COMPUTED_VALUE"""),0.6458333333357587)</f>
        <v>0.6458333333</v>
      </c>
      <c r="F538" s="1" t="str">
        <f>IFERROR(__xludf.DUMMYFUNCTION("""COMPUTED_VALUE"""),"Plain Gold")</f>
        <v>Plain Gold</v>
      </c>
      <c r="G538" s="1" t="str">
        <f>IFERROR(__xludf.DUMMYFUNCTION("""COMPUTED_VALUE"""),"Pooja")</f>
        <v>Pooja</v>
      </c>
      <c r="H538" s="1" t="str">
        <f>IFERROR(__xludf.DUMMYFUNCTION("""COMPUTED_VALUE"""),"Gold tops,gold order ")</f>
        <v>Gold tops,gold order </v>
      </c>
      <c r="I538" s="1"/>
      <c r="J538" s="1"/>
      <c r="K538" s="3">
        <f>IFERROR(__xludf.DUMMYFUNCTION("""COMPUTED_VALUE"""),0.702777777776646)</f>
        <v>0.7027777778</v>
      </c>
      <c r="L538" s="1" t="str">
        <f>IFERROR(__xludf.DUMMYFUNCTION("""COMPUTED_VALUE"""),"Yes")</f>
        <v>Yes</v>
      </c>
      <c r="M538" s="1" t="str">
        <f>IFERROR(__xludf.DUMMYFUNCTION("""COMPUTED_VALUE"""),"Already done")</f>
        <v>Already done</v>
      </c>
      <c r="N538" s="1" t="str">
        <f>IFERROR(__xludf.DUMMYFUNCTION("""COMPUTED_VALUE"""),"Already done ")</f>
        <v>Already done </v>
      </c>
      <c r="O538" s="1" t="str">
        <f>IFERROR(__xludf.DUMMYFUNCTION("""COMPUTED_VALUE"""),"WA ONLY, CALL")</f>
        <v>WA ONLY, CALL</v>
      </c>
      <c r="P538" s="1" t="str">
        <f>IFERROR(__xludf.DUMMYFUNCTION("""COMPUTED_VALUE"""),"Sir")</f>
        <v>Sir</v>
      </c>
      <c r="Q538" s="1" t="str">
        <f>IFERROR(__xludf.DUMMYFUNCTION("""COMPUTED_VALUE"""),"No")</f>
        <v>No</v>
      </c>
      <c r="R538" s="1" t="str">
        <f>IFERROR(__xludf.DUMMYFUNCTION("""COMPUTED_VALUE"""),"OLD")</f>
        <v>OLD</v>
      </c>
      <c r="S538" s="1"/>
    </row>
    <row r="539">
      <c r="A539" s="2">
        <f>IFERROR(__xludf.DUMMYFUNCTION("""COMPUTED_VALUE"""),45514.796116770834)</f>
        <v>45514.79612</v>
      </c>
      <c r="B539" s="1" t="str">
        <f>IFERROR(__xludf.DUMMYFUNCTION("""COMPUTED_VALUE"""),"Vijay")</f>
        <v>Vijay</v>
      </c>
      <c r="C539" s="1">
        <f>IFERROR(__xludf.DUMMYFUNCTION("""COMPUTED_VALUE"""),9.811339422E9)</f>
        <v>9811339422</v>
      </c>
      <c r="D539" s="1">
        <f>IFERROR(__xludf.DUMMYFUNCTION("""COMPUTED_VALUE"""),2.0)</f>
        <v>2</v>
      </c>
      <c r="E539" s="3">
        <f>IFERROR(__xludf.DUMMYFUNCTION("""COMPUTED_VALUE"""),0.672222222223354)</f>
        <v>0.6722222222</v>
      </c>
      <c r="F539" s="1" t="str">
        <f>IFERROR(__xludf.DUMMYFUNCTION("""COMPUTED_VALUE"""),"Antique Gold")</f>
        <v>Antique Gold</v>
      </c>
      <c r="G539" s="1" t="str">
        <f>IFERROR(__xludf.DUMMYFUNCTION("""COMPUTED_VALUE"""),"Chhaya")</f>
        <v>Chhaya</v>
      </c>
      <c r="H539" s="1" t="str">
        <f>IFERROR(__xludf.DUMMYFUNCTION("""COMPUTED_VALUE"""),"Antique chand bali,diamond set")</f>
        <v>Antique chand bali,diamond set</v>
      </c>
      <c r="I539" s="1"/>
      <c r="J539" s="1"/>
      <c r="K539" s="3">
        <f>IFERROR(__xludf.DUMMYFUNCTION("""COMPUTED_VALUE"""),0.7708333333357587)</f>
        <v>0.7708333333</v>
      </c>
      <c r="L539" s="1" t="str">
        <f>IFERROR(__xludf.DUMMYFUNCTION("""COMPUTED_VALUE"""),"Yes")</f>
        <v>Yes</v>
      </c>
      <c r="M539" s="1" t="str">
        <f>IFERROR(__xludf.DUMMYFUNCTION("""COMPUTED_VALUE"""),"Yes")</f>
        <v>Yes</v>
      </c>
      <c r="N539" s="1" t="str">
        <f>IFERROR(__xludf.DUMMYFUNCTION("""COMPUTED_VALUE"""),"Yes")</f>
        <v>Yes</v>
      </c>
      <c r="O539" s="1" t="str">
        <f>IFERROR(__xludf.DUMMYFUNCTION("""COMPUTED_VALUE"""),"WA ONLY, CALL")</f>
        <v>WA ONLY, CALL</v>
      </c>
      <c r="P539" s="1" t="str">
        <f>IFERROR(__xludf.DUMMYFUNCTION("""COMPUTED_VALUE"""),"Sir")</f>
        <v>Sir</v>
      </c>
      <c r="Q539" s="1" t="str">
        <f>IFERROR(__xludf.DUMMYFUNCTION("""COMPUTED_VALUE"""),"No")</f>
        <v>No</v>
      </c>
      <c r="R539" s="1" t="str">
        <f>IFERROR(__xludf.DUMMYFUNCTION("""COMPUTED_VALUE"""),"OLD")</f>
        <v>OLD</v>
      </c>
      <c r="S539" s="1"/>
    </row>
    <row r="540">
      <c r="A540" s="2">
        <f>IFERROR(__xludf.DUMMYFUNCTION("""COMPUTED_VALUE"""),45517.80112711806)</f>
        <v>45517.80113</v>
      </c>
      <c r="B540" s="1" t="str">
        <f>IFERROR(__xludf.DUMMYFUNCTION("""COMPUTED_VALUE"""),"Laxahita")</f>
        <v>Laxahita</v>
      </c>
      <c r="C540" s="1">
        <f>IFERROR(__xludf.DUMMYFUNCTION("""COMPUTED_VALUE"""),7.827182727E9)</f>
        <v>7827182727</v>
      </c>
      <c r="D540" s="1">
        <f>IFERROR(__xludf.DUMMYFUNCTION("""COMPUTED_VALUE"""),2.0)</f>
        <v>2</v>
      </c>
      <c r="E540" s="3">
        <f>IFERROR(__xludf.DUMMYFUNCTION("""COMPUTED_VALUE"""),0.5868055555547471)</f>
        <v>0.5868055556</v>
      </c>
      <c r="F540" s="1" t="str">
        <f>IFERROR(__xludf.DUMMYFUNCTION("""COMPUTED_VALUE"""),"Antique Gold")</f>
        <v>Antique Gold</v>
      </c>
      <c r="G540" s="1" t="str">
        <f>IFERROR(__xludf.DUMMYFUNCTION("""COMPUTED_VALUE"""),"Pooja")</f>
        <v>Pooja</v>
      </c>
      <c r="H540" s="1"/>
      <c r="I540" s="1" t="str">
        <f>IFERROR(__xludf.DUMMYFUNCTION("""COMPUTED_VALUE"""),"Visit Again in 1 Month")</f>
        <v>Visit Again in 1 Month</v>
      </c>
      <c r="J540" s="1"/>
      <c r="K540" s="3">
        <f>IFERROR(__xludf.DUMMYFUNCTION("""COMPUTED_VALUE"""),0.5916666666671517)</f>
        <v>0.5916666667</v>
      </c>
      <c r="L540" s="1" t="str">
        <f>IFERROR(__xludf.DUMMYFUNCTION("""COMPUTED_VALUE"""),"No")</f>
        <v>No</v>
      </c>
      <c r="M540" s="1" t="str">
        <f>IFERROR(__xludf.DUMMYFUNCTION("""COMPUTED_VALUE"""),"No")</f>
        <v>No</v>
      </c>
      <c r="N540" s="1" t="str">
        <f>IFERROR(__xludf.DUMMYFUNCTION("""COMPUTED_VALUE"""),"No")</f>
        <v>No</v>
      </c>
      <c r="O540" s="1" t="str">
        <f>IFERROR(__xludf.DUMMYFUNCTION("""COMPUTED_VALUE"""),"WA ONLY, CALL")</f>
        <v>WA ONLY, CALL</v>
      </c>
      <c r="P540" s="1" t="str">
        <f>IFERROR(__xludf.DUMMYFUNCTION("""COMPUTED_VALUE"""),"Madam")</f>
        <v>Madam</v>
      </c>
      <c r="Q540" s="1" t="str">
        <f>IFERROR(__xludf.DUMMYFUNCTION("""COMPUTED_VALUE"""),"No")</f>
        <v>No</v>
      </c>
      <c r="R540" s="1" t="str">
        <f>IFERROR(__xludf.DUMMYFUNCTION("""COMPUTED_VALUE"""),"OLD")</f>
        <v>OLD</v>
      </c>
      <c r="S540" s="1"/>
    </row>
    <row r="541">
      <c r="A541" s="2">
        <f>IFERROR(__xludf.DUMMYFUNCTION("""COMPUTED_VALUE"""),45517.80198138889)</f>
        <v>45517.80198</v>
      </c>
      <c r="B541" s="1" t="str">
        <f>IFERROR(__xludf.DUMMYFUNCTION("""COMPUTED_VALUE"""),"Rajni shukla")</f>
        <v>Rajni shukla</v>
      </c>
      <c r="C541" s="1">
        <f>IFERROR(__xludf.DUMMYFUNCTION("""COMPUTED_VALUE"""),9.953148227E9)</f>
        <v>9953148227</v>
      </c>
      <c r="D541" s="1">
        <f>IFERROR(__xludf.DUMMYFUNCTION("""COMPUTED_VALUE"""),2.0)</f>
        <v>2</v>
      </c>
      <c r="E541" s="3">
        <f>IFERROR(__xludf.DUMMYFUNCTION("""COMPUTED_VALUE"""),0.7590277777781012)</f>
        <v>0.7590277778</v>
      </c>
      <c r="F541" s="1" t="str">
        <f>IFERROR(__xludf.DUMMYFUNCTION("""COMPUTED_VALUE"""),"Plain Gold")</f>
        <v>Plain Gold</v>
      </c>
      <c r="G541" s="1" t="str">
        <f>IFERROR(__xludf.DUMMYFUNCTION("""COMPUTED_VALUE"""),"Neetu")</f>
        <v>Neetu</v>
      </c>
      <c r="H541" s="1"/>
      <c r="I541" s="1" t="str">
        <f>IFERROR(__xludf.DUMMYFUNCTION("""COMPUTED_VALUE"""),"Want to see More Variety")</f>
        <v>Want to see More Variety</v>
      </c>
      <c r="J541" s="1"/>
      <c r="K541" s="3">
        <f>IFERROR(__xludf.DUMMYFUNCTION("""COMPUTED_VALUE"""),0.7777777777810115)</f>
        <v>0.7777777778</v>
      </c>
      <c r="L541" s="1" t="str">
        <f>IFERROR(__xludf.DUMMYFUNCTION("""COMPUTED_VALUE"""),"Yes")</f>
        <v>Yes</v>
      </c>
      <c r="M541" s="1" t="str">
        <f>IFERROR(__xludf.DUMMYFUNCTION("""COMPUTED_VALUE"""),"No")</f>
        <v>No</v>
      </c>
      <c r="N541" s="1" t="str">
        <f>IFERROR(__xludf.DUMMYFUNCTION("""COMPUTED_VALUE"""),"No")</f>
        <v>No</v>
      </c>
      <c r="O541" s="1" t="str">
        <f>IFERROR(__xludf.DUMMYFUNCTION("""COMPUTED_VALUE"""),"WA ONLY, CALL")</f>
        <v>WA ONLY, CALL</v>
      </c>
      <c r="P541" s="1" t="str">
        <f>IFERROR(__xludf.DUMMYFUNCTION("""COMPUTED_VALUE"""),"Madam")</f>
        <v>Madam</v>
      </c>
      <c r="Q541" s="1" t="str">
        <f>IFERROR(__xludf.DUMMYFUNCTION("""COMPUTED_VALUE"""),"No")</f>
        <v>No</v>
      </c>
      <c r="R541" s="1" t="str">
        <f>IFERROR(__xludf.DUMMYFUNCTION("""COMPUTED_VALUE"""),"NEW WALK IN")</f>
        <v>NEW WALK IN</v>
      </c>
      <c r="S541" s="1"/>
    </row>
    <row r="542">
      <c r="A542" s="2">
        <f>IFERROR(__xludf.DUMMYFUNCTION("""COMPUTED_VALUE"""),45517.80370413195)</f>
        <v>45517.8037</v>
      </c>
      <c r="B542" s="1" t="str">
        <f>IFERROR(__xludf.DUMMYFUNCTION("""COMPUTED_VALUE"""),"Shumaila")</f>
        <v>Shumaila</v>
      </c>
      <c r="C542" s="1">
        <f>IFERROR(__xludf.DUMMYFUNCTION("""COMPUTED_VALUE"""),7.01185442E9)</f>
        <v>7011854420</v>
      </c>
      <c r="D542" s="1">
        <f>IFERROR(__xludf.DUMMYFUNCTION("""COMPUTED_VALUE"""),2.0)</f>
        <v>2</v>
      </c>
      <c r="E542" s="3">
        <f>IFERROR(__xludf.DUMMYFUNCTION("""COMPUTED_VALUE"""),0.7513888888934162)</f>
        <v>0.7513888889</v>
      </c>
      <c r="F542" s="1" t="str">
        <f>IFERROR(__xludf.DUMMYFUNCTION("""COMPUTED_VALUE"""),"Diamond")</f>
        <v>Diamond</v>
      </c>
      <c r="G542" s="1" t="str">
        <f>IFERROR(__xludf.DUMMYFUNCTION("""COMPUTED_VALUE"""),"Preeti")</f>
        <v>Preeti</v>
      </c>
      <c r="H542" s="1"/>
      <c r="I542" s="1" t="str">
        <f>IFERROR(__xludf.DUMMYFUNCTION("""COMPUTED_VALUE"""),"Designs Not Liked")</f>
        <v>Designs Not Liked</v>
      </c>
      <c r="J542" s="1"/>
      <c r="K542" s="3">
        <f>IFERROR(__xludf.DUMMYFUNCTION("""COMPUTED_VALUE"""),0.7881944444452529)</f>
        <v>0.7881944444</v>
      </c>
      <c r="L542" s="1" t="str">
        <f>IFERROR(__xludf.DUMMYFUNCTION("""COMPUTED_VALUE"""),"No")</f>
        <v>No</v>
      </c>
      <c r="M542" s="1" t="str">
        <f>IFERROR(__xludf.DUMMYFUNCTION("""COMPUTED_VALUE"""),"No")</f>
        <v>No</v>
      </c>
      <c r="N542" s="1" t="str">
        <f>IFERROR(__xludf.DUMMYFUNCTION("""COMPUTED_VALUE"""),"No")</f>
        <v>No</v>
      </c>
      <c r="O542" s="1" t="str">
        <f>IFERROR(__xludf.DUMMYFUNCTION("""COMPUTED_VALUE"""),"WA ONLY, CALL")</f>
        <v>WA ONLY, CALL</v>
      </c>
      <c r="P542" s="1" t="str">
        <f>IFERROR(__xludf.DUMMYFUNCTION("""COMPUTED_VALUE"""),"Madam")</f>
        <v>Madam</v>
      </c>
      <c r="Q542" s="1" t="str">
        <f>IFERROR(__xludf.DUMMYFUNCTION("""COMPUTED_VALUE"""),"No")</f>
        <v>No</v>
      </c>
      <c r="R542" s="1" t="str">
        <f>IFERROR(__xludf.DUMMYFUNCTION("""COMPUTED_VALUE"""),"NEW WALK IN")</f>
        <v>NEW WALK IN</v>
      </c>
      <c r="S542" s="1"/>
    </row>
    <row r="543">
      <c r="A543" s="2">
        <f>IFERROR(__xludf.DUMMYFUNCTION("""COMPUTED_VALUE"""),45517.805015694445)</f>
        <v>45517.80502</v>
      </c>
      <c r="B543" s="1" t="str">
        <f>IFERROR(__xludf.DUMMYFUNCTION("""COMPUTED_VALUE"""),"Munish singh")</f>
        <v>Munish singh</v>
      </c>
      <c r="C543" s="1">
        <f>IFERROR(__xludf.DUMMYFUNCTION("""COMPUTED_VALUE"""),9.811086725E9)</f>
        <v>9811086725</v>
      </c>
      <c r="D543" s="1">
        <f>IFERROR(__xludf.DUMMYFUNCTION("""COMPUTED_VALUE"""),3.0)</f>
        <v>3</v>
      </c>
      <c r="E543" s="3">
        <f>IFERROR(__xludf.DUMMYFUNCTION("""COMPUTED_VALUE"""),0.71875)</f>
        <v>0.71875</v>
      </c>
      <c r="F543" s="1" t="str">
        <f>IFERROR(__xludf.DUMMYFUNCTION("""COMPUTED_VALUE"""),"Antique Gold")</f>
        <v>Antique Gold</v>
      </c>
      <c r="G543" s="1" t="str">
        <f>IFERROR(__xludf.DUMMYFUNCTION("""COMPUTED_VALUE"""),"Chhaya")</f>
        <v>Chhaya</v>
      </c>
      <c r="H543" s="1" t="str">
        <f>IFERROR(__xludf.DUMMYFUNCTION("""COMPUTED_VALUE"""),"Antique gold bangles,pendent set.")</f>
        <v>Antique gold bangles,pendent set.</v>
      </c>
      <c r="I543" s="1"/>
      <c r="J543" s="1"/>
      <c r="K543" s="3">
        <f>IFERROR(__xludf.DUMMYFUNCTION("""COMPUTED_VALUE"""),0.7930555555576575)</f>
        <v>0.7930555556</v>
      </c>
      <c r="L543" s="1" t="str">
        <f>IFERROR(__xludf.DUMMYFUNCTION("""COMPUTED_VALUE"""),"Yes")</f>
        <v>Yes</v>
      </c>
      <c r="M543" s="1" t="str">
        <f>IFERROR(__xludf.DUMMYFUNCTION("""COMPUTED_VALUE"""),"Already done ")</f>
        <v>Already done </v>
      </c>
      <c r="N543" s="1" t="str">
        <f>IFERROR(__xludf.DUMMYFUNCTION("""COMPUTED_VALUE"""),"Already done ")</f>
        <v>Already done </v>
      </c>
      <c r="O543" s="1" t="str">
        <f>IFERROR(__xludf.DUMMYFUNCTION("""COMPUTED_VALUE"""),"WA ONLY, CALL")</f>
        <v>WA ONLY, CALL</v>
      </c>
      <c r="P543" s="1" t="str">
        <f>IFERROR(__xludf.DUMMYFUNCTION("""COMPUTED_VALUE"""),"Sir")</f>
        <v>Sir</v>
      </c>
      <c r="Q543" s="1" t="str">
        <f>IFERROR(__xludf.DUMMYFUNCTION("""COMPUTED_VALUE"""),"No")</f>
        <v>No</v>
      </c>
      <c r="R543" s="1" t="str">
        <f>IFERROR(__xludf.DUMMYFUNCTION("""COMPUTED_VALUE"""),"OLD")</f>
        <v>OLD</v>
      </c>
      <c r="S543" s="1"/>
    </row>
    <row r="544">
      <c r="A544" s="2">
        <f>IFERROR(__xludf.DUMMYFUNCTION("""COMPUTED_VALUE"""),45517.82475230324)</f>
        <v>45517.82475</v>
      </c>
      <c r="B544" s="1" t="str">
        <f>IFERROR(__xludf.DUMMYFUNCTION("""COMPUTED_VALUE"""),"Gourav")</f>
        <v>Gourav</v>
      </c>
      <c r="C544" s="1">
        <f>IFERROR(__xludf.DUMMYFUNCTION("""COMPUTED_VALUE"""),7.838020076E9)</f>
        <v>7838020076</v>
      </c>
      <c r="D544" s="1">
        <f>IFERROR(__xludf.DUMMYFUNCTION("""COMPUTED_VALUE"""),2.0)</f>
        <v>2</v>
      </c>
      <c r="E544" s="3">
        <f>IFERROR(__xludf.DUMMYFUNCTION("""COMPUTED_VALUE"""),0.7840277777795563)</f>
        <v>0.7840277778</v>
      </c>
      <c r="F544" s="1" t="str">
        <f>IFERROR(__xludf.DUMMYFUNCTION("""COMPUTED_VALUE"""),"Plain Gold")</f>
        <v>Plain Gold</v>
      </c>
      <c r="G544" s="1" t="str">
        <f>IFERROR(__xludf.DUMMYFUNCTION("""COMPUTED_VALUE"""),"Pooja")</f>
        <v>Pooja</v>
      </c>
      <c r="H544" s="1" t="str">
        <f>IFERROR(__xludf.DUMMYFUNCTION("""COMPUTED_VALUE"""),"Italian gents kada")</f>
        <v>Italian gents kada</v>
      </c>
      <c r="I544" s="1"/>
      <c r="J544" s="1"/>
      <c r="K544" s="3">
        <f>IFERROR(__xludf.DUMMYFUNCTION("""COMPUTED_VALUE"""),0.8194444444452529)</f>
        <v>0.8194444444</v>
      </c>
      <c r="L544" s="1" t="str">
        <f>IFERROR(__xludf.DUMMYFUNCTION("""COMPUTED_VALUE"""),"Yes")</f>
        <v>Yes</v>
      </c>
      <c r="M544" s="1" t="str">
        <f>IFERROR(__xludf.DUMMYFUNCTION("""COMPUTED_VALUE"""),"Yes")</f>
        <v>Yes</v>
      </c>
      <c r="N544" s="1" t="str">
        <f>IFERROR(__xludf.DUMMYFUNCTION("""COMPUTED_VALUE"""),"Yes")</f>
        <v>Yes</v>
      </c>
      <c r="O544" s="1" t="str">
        <f>IFERROR(__xludf.DUMMYFUNCTION("""COMPUTED_VALUE"""),"WA ONLY, CALL")</f>
        <v>WA ONLY, CALL</v>
      </c>
      <c r="P544" s="1" t="str">
        <f>IFERROR(__xludf.DUMMYFUNCTION("""COMPUTED_VALUE"""),"Sir")</f>
        <v>Sir</v>
      </c>
      <c r="Q544" s="1" t="str">
        <f>IFERROR(__xludf.DUMMYFUNCTION("""COMPUTED_VALUE"""),"No")</f>
        <v>No</v>
      </c>
      <c r="R544" s="1" t="str">
        <f>IFERROR(__xludf.DUMMYFUNCTION("""COMPUTED_VALUE"""),"NEW WALK IN")</f>
        <v>NEW WALK IN</v>
      </c>
      <c r="S544" s="1"/>
    </row>
    <row r="545">
      <c r="A545" s="2">
        <f>IFERROR(__xludf.DUMMYFUNCTION("""COMPUTED_VALUE"""),45518.64132052084)</f>
        <v>45518.64132</v>
      </c>
      <c r="B545" s="1" t="str">
        <f>IFERROR(__xludf.DUMMYFUNCTION("""COMPUTED_VALUE"""),"Pooja")</f>
        <v>Pooja</v>
      </c>
      <c r="C545" s="1">
        <f>IFERROR(__xludf.DUMMYFUNCTION("""COMPUTED_VALUE"""),9.899226225E9)</f>
        <v>9899226225</v>
      </c>
      <c r="D545" s="1">
        <f>IFERROR(__xludf.DUMMYFUNCTION("""COMPUTED_VALUE"""),1.0)</f>
        <v>1</v>
      </c>
      <c r="E545" s="3">
        <f>IFERROR(__xludf.DUMMYFUNCTION("""COMPUTED_VALUE"""),0.5833333333357587)</f>
        <v>0.5833333333</v>
      </c>
      <c r="F545" s="1" t="str">
        <f>IFERROR(__xludf.DUMMYFUNCTION("""COMPUTED_VALUE"""),"Plain Gold")</f>
        <v>Plain Gold</v>
      </c>
      <c r="G545" s="1" t="str">
        <f>IFERROR(__xludf.DUMMYFUNCTION("""COMPUTED_VALUE"""),"Neetu")</f>
        <v>Neetu</v>
      </c>
      <c r="H545" s="1" t="str">
        <f>IFERROR(__xludf.DUMMYFUNCTION("""COMPUTED_VALUE"""),"Gold ring,gold manglsutr ")</f>
        <v>Gold ring,gold manglsutr </v>
      </c>
      <c r="I545" s="1"/>
      <c r="J545" s="1"/>
      <c r="K545" s="3">
        <f>IFERROR(__xludf.DUMMYFUNCTION("""COMPUTED_VALUE"""),0.6305555555591127)</f>
        <v>0.6305555556</v>
      </c>
      <c r="L545" s="1" t="str">
        <f>IFERROR(__xludf.DUMMYFUNCTION("""COMPUTED_VALUE"""),"Yes")</f>
        <v>Yes</v>
      </c>
      <c r="M545" s="1" t="str">
        <f>IFERROR(__xludf.DUMMYFUNCTION("""COMPUTED_VALUE"""),"Yes")</f>
        <v>Yes</v>
      </c>
      <c r="N545" s="1" t="str">
        <f>IFERROR(__xludf.DUMMYFUNCTION("""COMPUTED_VALUE"""),"Yes")</f>
        <v>Yes</v>
      </c>
      <c r="O545" s="1" t="str">
        <f>IFERROR(__xludf.DUMMYFUNCTION("""COMPUTED_VALUE"""),"WA ONLY, CALL")</f>
        <v>WA ONLY, CALL</v>
      </c>
      <c r="P545" s="1" t="str">
        <f>IFERROR(__xludf.DUMMYFUNCTION("""COMPUTED_VALUE"""),"Madam")</f>
        <v>Madam</v>
      </c>
      <c r="Q545" s="1" t="str">
        <f>IFERROR(__xludf.DUMMYFUNCTION("""COMPUTED_VALUE"""),"No")</f>
        <v>No</v>
      </c>
      <c r="R545" s="1" t="str">
        <f>IFERROR(__xludf.DUMMYFUNCTION("""COMPUTED_VALUE"""),"NEW WALK IN")</f>
        <v>NEW WALK IN</v>
      </c>
      <c r="S545" s="1"/>
    </row>
    <row r="546">
      <c r="A546" s="2">
        <f>IFERROR(__xludf.DUMMYFUNCTION("""COMPUTED_VALUE"""),45518.77747119213)</f>
        <v>45518.77747</v>
      </c>
      <c r="B546" s="1" t="str">
        <f>IFERROR(__xludf.DUMMYFUNCTION("""COMPUTED_VALUE"""),"Surbhi")</f>
        <v>Surbhi</v>
      </c>
      <c r="C546" s="1">
        <f>IFERROR(__xludf.DUMMYFUNCTION("""COMPUTED_VALUE"""),8.082078372E9)</f>
        <v>8082078372</v>
      </c>
      <c r="D546" s="1">
        <f>IFERROR(__xludf.DUMMYFUNCTION("""COMPUTED_VALUE"""),1.0)</f>
        <v>1</v>
      </c>
      <c r="E546" s="3">
        <f>IFERROR(__xludf.DUMMYFUNCTION("""COMPUTED_VALUE"""),0.6527777777810115)</f>
        <v>0.6527777778</v>
      </c>
      <c r="F546" s="1" t="str">
        <f>IFERROR(__xludf.DUMMYFUNCTION("""COMPUTED_VALUE"""),"Antique Gold")</f>
        <v>Antique Gold</v>
      </c>
      <c r="G546" s="1" t="str">
        <f>IFERROR(__xludf.DUMMYFUNCTION("""COMPUTED_VALUE"""),"Pooja")</f>
        <v>Pooja</v>
      </c>
      <c r="H546" s="1"/>
      <c r="I546" s="1" t="str">
        <f>IFERROR(__xludf.DUMMYFUNCTION("""COMPUTED_VALUE"""),"Visit Again in 1 Month")</f>
        <v>Visit Again in 1 Month</v>
      </c>
      <c r="J546" s="1"/>
      <c r="K546" s="3">
        <f>IFERROR(__xludf.DUMMYFUNCTION("""COMPUTED_VALUE"""),0.7375000000029104)</f>
        <v>0.7375</v>
      </c>
      <c r="L546" s="1" t="str">
        <f>IFERROR(__xludf.DUMMYFUNCTION("""COMPUTED_VALUE"""),"Yes")</f>
        <v>Yes</v>
      </c>
      <c r="M546" s="1" t="str">
        <f>IFERROR(__xludf.DUMMYFUNCTION("""COMPUTED_VALUE"""),"No")</f>
        <v>No</v>
      </c>
      <c r="N546" s="1" t="str">
        <f>IFERROR(__xludf.DUMMYFUNCTION("""COMPUTED_VALUE"""),"No")</f>
        <v>No</v>
      </c>
      <c r="O546" s="1" t="str">
        <f>IFERROR(__xludf.DUMMYFUNCTION("""COMPUTED_VALUE"""),"WA ONLY, CALL")</f>
        <v>WA ONLY, CALL</v>
      </c>
      <c r="P546" s="1" t="str">
        <f>IFERROR(__xludf.DUMMYFUNCTION("""COMPUTED_VALUE"""),"Madam")</f>
        <v>Madam</v>
      </c>
      <c r="Q546" s="1" t="str">
        <f>IFERROR(__xludf.DUMMYFUNCTION("""COMPUTED_VALUE"""),"No")</f>
        <v>No</v>
      </c>
      <c r="R546" s="1" t="str">
        <f>IFERROR(__xludf.DUMMYFUNCTION("""COMPUTED_VALUE"""),"OLD")</f>
        <v>OLD</v>
      </c>
      <c r="S546" s="1"/>
    </row>
    <row r="547">
      <c r="A547" s="2">
        <f>IFERROR(__xludf.DUMMYFUNCTION("""COMPUTED_VALUE"""),45518.77807990741)</f>
        <v>45518.77808</v>
      </c>
      <c r="B547" s="1" t="str">
        <f>IFERROR(__xludf.DUMMYFUNCTION("""COMPUTED_VALUE"""),"Ruchi")</f>
        <v>Ruchi</v>
      </c>
      <c r="C547" s="1">
        <f>IFERROR(__xludf.DUMMYFUNCTION("""COMPUTED_VALUE"""),9.999853555E9)</f>
        <v>9999853555</v>
      </c>
      <c r="D547" s="1">
        <f>IFERROR(__xludf.DUMMYFUNCTION("""COMPUTED_VALUE"""),4.0)</f>
        <v>4</v>
      </c>
      <c r="E547" s="3">
        <f>IFERROR(__xludf.DUMMYFUNCTION("""COMPUTED_VALUE"""),0.6645833333313931)</f>
        <v>0.6645833333</v>
      </c>
      <c r="F547" s="1" t="str">
        <f>IFERROR(__xludf.DUMMYFUNCTION("""COMPUTED_VALUE"""),"Diamond")</f>
        <v>Diamond</v>
      </c>
      <c r="G547" s="1" t="str">
        <f>IFERROR(__xludf.DUMMYFUNCTION("""COMPUTED_VALUE"""),"Chhaya")</f>
        <v>Chhaya</v>
      </c>
      <c r="H547" s="1"/>
      <c r="I547" s="1" t="str">
        <f>IFERROR(__xludf.DUMMYFUNCTION("""COMPUTED_VALUE"""),"Visit Again in 1 Month")</f>
        <v>Visit Again in 1 Month</v>
      </c>
      <c r="J547" s="1"/>
      <c r="K547" s="3">
        <f>IFERROR(__xludf.DUMMYFUNCTION("""COMPUTED_VALUE"""),0.6826388888875954)</f>
        <v>0.6826388889</v>
      </c>
      <c r="L547" s="1" t="str">
        <f>IFERROR(__xludf.DUMMYFUNCTION("""COMPUTED_VALUE"""),"No")</f>
        <v>No</v>
      </c>
      <c r="M547" s="1" t="str">
        <f>IFERROR(__xludf.DUMMYFUNCTION("""COMPUTED_VALUE"""),"No")</f>
        <v>No</v>
      </c>
      <c r="N547" s="1" t="str">
        <f>IFERROR(__xludf.DUMMYFUNCTION("""COMPUTED_VALUE"""),"No")</f>
        <v>No</v>
      </c>
      <c r="O547" s="1" t="str">
        <f>IFERROR(__xludf.DUMMYFUNCTION("""COMPUTED_VALUE"""),"WA ONLY, CALL")</f>
        <v>WA ONLY, CALL</v>
      </c>
      <c r="P547" s="1" t="str">
        <f>IFERROR(__xludf.DUMMYFUNCTION("""COMPUTED_VALUE"""),"Madam")</f>
        <v>Madam</v>
      </c>
      <c r="Q547" s="1" t="str">
        <f>IFERROR(__xludf.DUMMYFUNCTION("""COMPUTED_VALUE"""),"No")</f>
        <v>No</v>
      </c>
      <c r="R547" s="1" t="str">
        <f>IFERROR(__xludf.DUMMYFUNCTION("""COMPUTED_VALUE"""),"NEW WALK IN")</f>
        <v>NEW WALK IN</v>
      </c>
      <c r="S547" s="1"/>
    </row>
    <row r="548">
      <c r="A548" s="2">
        <f>IFERROR(__xludf.DUMMYFUNCTION("""COMPUTED_VALUE"""),45518.780122638884)</f>
        <v>45518.78012</v>
      </c>
      <c r="B548" s="1" t="str">
        <f>IFERROR(__xludf.DUMMYFUNCTION("""COMPUTED_VALUE"""),"Rabiya")</f>
        <v>Rabiya</v>
      </c>
      <c r="C548" s="1">
        <f>IFERROR(__xludf.DUMMYFUNCTION("""COMPUTED_VALUE"""),9.910389061E9)</f>
        <v>9910389061</v>
      </c>
      <c r="D548" s="1">
        <f>IFERROR(__xludf.DUMMYFUNCTION("""COMPUTED_VALUE"""),2.0)</f>
        <v>2</v>
      </c>
      <c r="E548" s="3">
        <f>IFERROR(__xludf.DUMMYFUNCTION("""COMPUTED_VALUE"""),0.7479166666671517)</f>
        <v>0.7479166667</v>
      </c>
      <c r="F548" s="1" t="str">
        <f>IFERROR(__xludf.DUMMYFUNCTION("""COMPUTED_VALUE"""),"Diamond")</f>
        <v>Diamond</v>
      </c>
      <c r="G548" s="1" t="str">
        <f>IFERROR(__xludf.DUMMYFUNCTION("""COMPUTED_VALUE"""),"Pooja")</f>
        <v>Pooja</v>
      </c>
      <c r="H548" s="1"/>
      <c r="I548" s="1" t="str">
        <f>IFERROR(__xludf.DUMMYFUNCTION("""COMPUTED_VALUE"""),"Designs Not Liked")</f>
        <v>Designs Not Liked</v>
      </c>
      <c r="J548" s="1"/>
      <c r="K548" s="3">
        <f>IFERROR(__xludf.DUMMYFUNCTION("""COMPUTED_VALUE"""),0.7541666666656965)</f>
        <v>0.7541666667</v>
      </c>
      <c r="L548" s="1" t="str">
        <f>IFERROR(__xludf.DUMMYFUNCTION("""COMPUTED_VALUE"""),"No")</f>
        <v>No</v>
      </c>
      <c r="M548" s="1" t="str">
        <f>IFERROR(__xludf.DUMMYFUNCTION("""COMPUTED_VALUE"""),"No")</f>
        <v>No</v>
      </c>
      <c r="N548" s="1" t="str">
        <f>IFERROR(__xludf.DUMMYFUNCTION("""COMPUTED_VALUE"""),"No")</f>
        <v>No</v>
      </c>
      <c r="O548" s="1" t="str">
        <f>IFERROR(__xludf.DUMMYFUNCTION("""COMPUTED_VALUE"""),"WA ONLY, CALL")</f>
        <v>WA ONLY, CALL</v>
      </c>
      <c r="P548" s="1" t="str">
        <f>IFERROR(__xludf.DUMMYFUNCTION("""COMPUTED_VALUE"""),"Madam")</f>
        <v>Madam</v>
      </c>
      <c r="Q548" s="1" t="str">
        <f>IFERROR(__xludf.DUMMYFUNCTION("""COMPUTED_VALUE"""),"No")</f>
        <v>No</v>
      </c>
      <c r="R548" s="1" t="str">
        <f>IFERROR(__xludf.DUMMYFUNCTION("""COMPUTED_VALUE"""),"NEW WALK IN")</f>
        <v>NEW WALK IN</v>
      </c>
      <c r="S548" s="1"/>
    </row>
    <row r="549">
      <c r="A549" s="2">
        <f>IFERROR(__xludf.DUMMYFUNCTION("""COMPUTED_VALUE"""),45518.82665728009)</f>
        <v>45518.82666</v>
      </c>
      <c r="B549" s="1" t="str">
        <f>IFERROR(__xludf.DUMMYFUNCTION("""COMPUTED_VALUE"""),"Munish singh")</f>
        <v>Munish singh</v>
      </c>
      <c r="C549" s="1">
        <f>IFERROR(__xludf.DUMMYFUNCTION("""COMPUTED_VALUE"""),9.811086725E9)</f>
        <v>9811086725</v>
      </c>
      <c r="D549" s="1">
        <f>IFERROR(__xludf.DUMMYFUNCTION("""COMPUTED_VALUE"""),4.0)</f>
        <v>4</v>
      </c>
      <c r="E549" s="3">
        <f>IFERROR(__xludf.DUMMYFUNCTION("""COMPUTED_VALUE"""),0.7680555555562023)</f>
        <v>0.7680555556</v>
      </c>
      <c r="F549" s="1" t="str">
        <f>IFERROR(__xludf.DUMMYFUNCTION("""COMPUTED_VALUE"""),"Antique Gold")</f>
        <v>Antique Gold</v>
      </c>
      <c r="G549" s="1" t="str">
        <f>IFERROR(__xludf.DUMMYFUNCTION("""COMPUTED_VALUE"""),"Chhaya")</f>
        <v>Chhaya</v>
      </c>
      <c r="H549" s="1" t="str">
        <f>IFERROR(__xludf.DUMMYFUNCTION("""COMPUTED_VALUE"""),"Pendent set,bangles ")</f>
        <v>Pendent set,bangles </v>
      </c>
      <c r="I549" s="1"/>
      <c r="J549" s="1"/>
      <c r="K549" s="3">
        <f>IFERROR(__xludf.DUMMYFUNCTION("""COMPUTED_VALUE"""),0.8270833333372138)</f>
        <v>0.8270833333</v>
      </c>
      <c r="L549" s="1" t="str">
        <f>IFERROR(__xludf.DUMMYFUNCTION("""COMPUTED_VALUE"""),"Yes")</f>
        <v>Yes</v>
      </c>
      <c r="M549" s="1" t="str">
        <f>IFERROR(__xludf.DUMMYFUNCTION("""COMPUTED_VALUE"""),"Already done ")</f>
        <v>Already done </v>
      </c>
      <c r="N549" s="1" t="str">
        <f>IFERROR(__xludf.DUMMYFUNCTION("""COMPUTED_VALUE"""),"Already done ")</f>
        <v>Already done </v>
      </c>
      <c r="O549" s="1" t="str">
        <f>IFERROR(__xludf.DUMMYFUNCTION("""COMPUTED_VALUE"""),"WA ONLY, CALL")</f>
        <v>WA ONLY, CALL</v>
      </c>
      <c r="P549" s="1" t="str">
        <f>IFERROR(__xludf.DUMMYFUNCTION("""COMPUTED_VALUE"""),"Sir")</f>
        <v>Sir</v>
      </c>
      <c r="Q549" s="1" t="str">
        <f>IFERROR(__xludf.DUMMYFUNCTION("""COMPUTED_VALUE"""),"No")</f>
        <v>No</v>
      </c>
      <c r="R549" s="1" t="str">
        <f>IFERROR(__xludf.DUMMYFUNCTION("""COMPUTED_VALUE"""),"OLD")</f>
        <v>OLD</v>
      </c>
      <c r="S549" s="1"/>
    </row>
    <row r="550">
      <c r="A550" s="2">
        <f>IFERROR(__xludf.DUMMYFUNCTION("""COMPUTED_VALUE"""),45520.84741543981)</f>
        <v>45520.84742</v>
      </c>
      <c r="B550" s="1" t="str">
        <f>IFERROR(__xludf.DUMMYFUNCTION("""COMPUTED_VALUE"""),"Bipasa")</f>
        <v>Bipasa</v>
      </c>
      <c r="C550" s="1">
        <f>IFERROR(__xludf.DUMMYFUNCTION("""COMPUTED_VALUE"""),9.310530559E9)</f>
        <v>9310530559</v>
      </c>
      <c r="D550" s="1">
        <f>IFERROR(__xludf.DUMMYFUNCTION("""COMPUTED_VALUE"""),2.0)</f>
        <v>2</v>
      </c>
      <c r="E550" s="3">
        <f>IFERROR(__xludf.DUMMYFUNCTION("""COMPUTED_VALUE"""),0.7986111111094942)</f>
        <v>0.7986111111</v>
      </c>
      <c r="F550" s="1" t="str">
        <f>IFERROR(__xludf.DUMMYFUNCTION("""COMPUTED_VALUE"""),"Antique Gold")</f>
        <v>Antique Gold</v>
      </c>
      <c r="G550" s="1" t="str">
        <f>IFERROR(__xludf.DUMMYFUNCTION("""COMPUTED_VALUE"""),"Pooja")</f>
        <v>Pooja</v>
      </c>
      <c r="H550" s="1" t="str">
        <f>IFERROR(__xludf.DUMMYFUNCTION("""COMPUTED_VALUE"""),"Gems stone rakhi")</f>
        <v>Gems stone rakhi</v>
      </c>
      <c r="I550" s="1"/>
      <c r="J550" s="1"/>
      <c r="K550" s="3">
        <f>IFERROR(__xludf.DUMMYFUNCTION("""COMPUTED_VALUE"""),0.8104166666671517)</f>
        <v>0.8104166667</v>
      </c>
      <c r="L550" s="1" t="str">
        <f>IFERROR(__xludf.DUMMYFUNCTION("""COMPUTED_VALUE"""),"Yes")</f>
        <v>Yes</v>
      </c>
      <c r="M550" s="1" t="str">
        <f>IFERROR(__xludf.DUMMYFUNCTION("""COMPUTED_VALUE"""),"Yes")</f>
        <v>Yes</v>
      </c>
      <c r="N550" s="1" t="str">
        <f>IFERROR(__xludf.DUMMYFUNCTION("""COMPUTED_VALUE"""),"Yes")</f>
        <v>Yes</v>
      </c>
      <c r="O550" s="1" t="str">
        <f>IFERROR(__xludf.DUMMYFUNCTION("""COMPUTED_VALUE"""),"WA ONLY, CALL")</f>
        <v>WA ONLY, CALL</v>
      </c>
      <c r="P550" s="1" t="str">
        <f>IFERROR(__xludf.DUMMYFUNCTION("""COMPUTED_VALUE"""),"Madam")</f>
        <v>Madam</v>
      </c>
      <c r="Q550" s="1" t="str">
        <f>IFERROR(__xludf.DUMMYFUNCTION("""COMPUTED_VALUE"""),"No")</f>
        <v>No</v>
      </c>
      <c r="R550" s="1" t="str">
        <f>IFERROR(__xludf.DUMMYFUNCTION("""COMPUTED_VALUE"""),"NEW WALK IN")</f>
        <v>NEW WALK IN</v>
      </c>
      <c r="S550" s="1"/>
    </row>
    <row r="551">
      <c r="A551" s="2">
        <f>IFERROR(__xludf.DUMMYFUNCTION("""COMPUTED_VALUE"""),45521.78960525463)</f>
        <v>45521.78961</v>
      </c>
      <c r="B551" s="1" t="str">
        <f>IFERROR(__xludf.DUMMYFUNCTION("""COMPUTED_VALUE"""),"Shakil")</f>
        <v>Shakil</v>
      </c>
      <c r="C551" s="1">
        <f>IFERROR(__xludf.DUMMYFUNCTION("""COMPUTED_VALUE"""),9.990464596E9)</f>
        <v>9990464596</v>
      </c>
      <c r="D551" s="1">
        <f>IFERROR(__xludf.DUMMYFUNCTION("""COMPUTED_VALUE"""),1.0)</f>
        <v>1</v>
      </c>
      <c r="E551" s="3">
        <f>IFERROR(__xludf.DUMMYFUNCTION("""COMPUTED_VALUE"""),0.53125)</f>
        <v>0.53125</v>
      </c>
      <c r="F551" s="1" t="str">
        <f>IFERROR(__xludf.DUMMYFUNCTION("""COMPUTED_VALUE"""),"Plain Gold")</f>
        <v>Plain Gold</v>
      </c>
      <c r="G551" s="1" t="str">
        <f>IFERROR(__xludf.DUMMYFUNCTION("""COMPUTED_VALUE"""),"Neetu")</f>
        <v>Neetu</v>
      </c>
      <c r="H551" s="1"/>
      <c r="I551" s="1" t="str">
        <f>IFERROR(__xludf.DUMMYFUNCTION("""COMPUTED_VALUE"""),"Customer return gold pendent ")</f>
        <v>Customer return gold pendent </v>
      </c>
      <c r="J551" s="1"/>
      <c r="K551" s="3">
        <f>IFERROR(__xludf.DUMMYFUNCTION("""COMPUTED_VALUE"""),0.5555555555547471)</f>
        <v>0.5555555556</v>
      </c>
      <c r="L551" s="1" t="str">
        <f>IFERROR(__xludf.DUMMYFUNCTION("""COMPUTED_VALUE"""),"Yes")</f>
        <v>Yes</v>
      </c>
      <c r="M551" s="1" t="str">
        <f>IFERROR(__xludf.DUMMYFUNCTION("""COMPUTED_VALUE"""),"Already done ")</f>
        <v>Already done </v>
      </c>
      <c r="N551" s="1" t="str">
        <f>IFERROR(__xludf.DUMMYFUNCTION("""COMPUTED_VALUE"""),"Already done ")</f>
        <v>Already done </v>
      </c>
      <c r="O551" s="1" t="str">
        <f>IFERROR(__xludf.DUMMYFUNCTION("""COMPUTED_VALUE"""),"WA ONLY, CALL")</f>
        <v>WA ONLY, CALL</v>
      </c>
      <c r="P551" s="1" t="str">
        <f>IFERROR(__xludf.DUMMYFUNCTION("""COMPUTED_VALUE"""),"Sir")</f>
        <v>Sir</v>
      </c>
      <c r="Q551" s="1" t="str">
        <f>IFERROR(__xludf.DUMMYFUNCTION("""COMPUTED_VALUE"""),"No")</f>
        <v>No</v>
      </c>
      <c r="R551" s="1" t="str">
        <f>IFERROR(__xludf.DUMMYFUNCTION("""COMPUTED_VALUE"""),"OLD")</f>
        <v>OLD</v>
      </c>
      <c r="S551" s="1"/>
    </row>
    <row r="552">
      <c r="A552" s="2">
        <f>IFERROR(__xludf.DUMMYFUNCTION("""COMPUTED_VALUE"""),45521.79042803241)</f>
        <v>45521.79043</v>
      </c>
      <c r="B552" s="1" t="str">
        <f>IFERROR(__xludf.DUMMYFUNCTION("""COMPUTED_VALUE"""),"Dr.sajad")</f>
        <v>Dr.sajad</v>
      </c>
      <c r="C552" s="1">
        <f>IFERROR(__xludf.DUMMYFUNCTION("""COMPUTED_VALUE"""),7.006979404E9)</f>
        <v>7006979404</v>
      </c>
      <c r="D552" s="1">
        <f>IFERROR(__xludf.DUMMYFUNCTION("""COMPUTED_VALUE"""),1.0)</f>
        <v>1</v>
      </c>
      <c r="E552" s="3">
        <f>IFERROR(__xludf.DUMMYFUNCTION("""COMPUTED_VALUE"""),0.5520833333357587)</f>
        <v>0.5520833333</v>
      </c>
      <c r="F552" s="1" t="str">
        <f>IFERROR(__xludf.DUMMYFUNCTION("""COMPUTED_VALUE"""),"Antique Gold")</f>
        <v>Antique Gold</v>
      </c>
      <c r="G552" s="1" t="str">
        <f>IFERROR(__xludf.DUMMYFUNCTION("""COMPUTED_VALUE"""),"Chhaya")</f>
        <v>Chhaya</v>
      </c>
      <c r="H552" s="1" t="str">
        <f>IFERROR(__xludf.DUMMYFUNCTION("""COMPUTED_VALUE"""),"Gold coin ")</f>
        <v>Gold coin </v>
      </c>
      <c r="I552" s="1"/>
      <c r="J552" s="1"/>
      <c r="K552" s="3">
        <f>IFERROR(__xludf.DUMMYFUNCTION("""COMPUTED_VALUE"""),0.5763888888905058)</f>
        <v>0.5763888889</v>
      </c>
      <c r="L552" s="1" t="str">
        <f>IFERROR(__xludf.DUMMYFUNCTION("""COMPUTED_VALUE"""),"Yes")</f>
        <v>Yes</v>
      </c>
      <c r="M552" s="1" t="str">
        <f>IFERROR(__xludf.DUMMYFUNCTION("""COMPUTED_VALUE"""),"Yes")</f>
        <v>Yes</v>
      </c>
      <c r="N552" s="1" t="str">
        <f>IFERROR(__xludf.DUMMYFUNCTION("""COMPUTED_VALUE"""),"Yes")</f>
        <v>Yes</v>
      </c>
      <c r="O552" s="1" t="str">
        <f>IFERROR(__xludf.DUMMYFUNCTION("""COMPUTED_VALUE"""),"WA ONLY, CALL")</f>
        <v>WA ONLY, CALL</v>
      </c>
      <c r="P552" s="1" t="str">
        <f>IFERROR(__xludf.DUMMYFUNCTION("""COMPUTED_VALUE"""),"Sir")</f>
        <v>Sir</v>
      </c>
      <c r="Q552" s="1" t="str">
        <f>IFERROR(__xludf.DUMMYFUNCTION("""COMPUTED_VALUE"""),"No")</f>
        <v>No</v>
      </c>
      <c r="R552" s="1" t="str">
        <f>IFERROR(__xludf.DUMMYFUNCTION("""COMPUTED_VALUE"""),"NEW WALK IN")</f>
        <v>NEW WALK IN</v>
      </c>
      <c r="S552" s="1"/>
    </row>
    <row r="553">
      <c r="A553" s="2">
        <f>IFERROR(__xludf.DUMMYFUNCTION("""COMPUTED_VALUE"""),45521.7918593287)</f>
        <v>45521.79186</v>
      </c>
      <c r="B553" s="1" t="str">
        <f>IFERROR(__xludf.DUMMYFUNCTION("""COMPUTED_VALUE"""),"Ayub khan")</f>
        <v>Ayub khan</v>
      </c>
      <c r="C553" s="1">
        <f>IFERROR(__xludf.DUMMYFUNCTION("""COMPUTED_VALUE"""),9.811575161E9)</f>
        <v>9811575161</v>
      </c>
      <c r="D553" s="1">
        <f>IFERROR(__xludf.DUMMYFUNCTION("""COMPUTED_VALUE"""),1.0)</f>
        <v>1</v>
      </c>
      <c r="E553" s="3">
        <f>IFERROR(__xludf.DUMMYFUNCTION("""COMPUTED_VALUE"""),0.6305555555591127)</f>
        <v>0.6305555556</v>
      </c>
      <c r="F553" s="1" t="str">
        <f>IFERROR(__xludf.DUMMYFUNCTION("""COMPUTED_VALUE"""),"Antique Gold")</f>
        <v>Antique Gold</v>
      </c>
      <c r="G553" s="1" t="str">
        <f>IFERROR(__xludf.DUMMYFUNCTION("""COMPUTED_VALUE"""),"Preeti")</f>
        <v>Preeti</v>
      </c>
      <c r="H553" s="1" t="str">
        <f>IFERROR(__xludf.DUMMYFUNCTION("""COMPUTED_VALUE"""),"2 gold set,2 pair bangle,nath,tika,3 gold ring,3 nose pin,silver payal gold coin,3 nose pin,2 bali")</f>
        <v>2 gold set,2 pair bangle,nath,tika,3 gold ring,3 nose pin,silver payal gold coin,3 nose pin,2 bali</v>
      </c>
      <c r="I553" s="1"/>
      <c r="J553" s="1"/>
      <c r="K553" s="3">
        <f>IFERROR(__xludf.DUMMYFUNCTION("""COMPUTED_VALUE"""),0.7465277777810115)</f>
        <v>0.7465277778</v>
      </c>
      <c r="L553" s="1" t="str">
        <f>IFERROR(__xludf.DUMMYFUNCTION("""COMPUTED_VALUE"""),"Yes")</f>
        <v>Yes</v>
      </c>
      <c r="M553" s="1" t="str">
        <f>IFERROR(__xludf.DUMMYFUNCTION("""COMPUTED_VALUE"""),"Yes")</f>
        <v>Yes</v>
      </c>
      <c r="N553" s="1" t="str">
        <f>IFERROR(__xludf.DUMMYFUNCTION("""COMPUTED_VALUE"""),"Not use")</f>
        <v>Not use</v>
      </c>
      <c r="O553" s="1" t="str">
        <f>IFERROR(__xludf.DUMMYFUNCTION("""COMPUTED_VALUE"""),"WA ONLY, CALL")</f>
        <v>WA ONLY, CALL</v>
      </c>
      <c r="P553" s="1" t="str">
        <f>IFERROR(__xludf.DUMMYFUNCTION("""COMPUTED_VALUE"""),"Sir")</f>
        <v>Sir</v>
      </c>
      <c r="Q553" s="1" t="str">
        <f>IFERROR(__xludf.DUMMYFUNCTION("""COMPUTED_VALUE"""),"No")</f>
        <v>No</v>
      </c>
      <c r="R553" s="1" t="str">
        <f>IFERROR(__xludf.DUMMYFUNCTION("""COMPUTED_VALUE"""),"NEW WALK IN")</f>
        <v>NEW WALK IN</v>
      </c>
      <c r="S553" s="1"/>
    </row>
    <row r="554">
      <c r="A554" s="2">
        <f>IFERROR(__xludf.DUMMYFUNCTION("""COMPUTED_VALUE"""),45521.79247403935)</f>
        <v>45521.79247</v>
      </c>
      <c r="B554" s="1" t="str">
        <f>IFERROR(__xludf.DUMMYFUNCTION("""COMPUTED_VALUE"""),"Asim")</f>
        <v>Asim</v>
      </c>
      <c r="C554" s="1">
        <f>IFERROR(__xludf.DUMMYFUNCTION("""COMPUTED_VALUE"""),9.810345791E9)</f>
        <v>9810345791</v>
      </c>
      <c r="D554" s="1">
        <f>IFERROR(__xludf.DUMMYFUNCTION("""COMPUTED_VALUE"""),2.0)</f>
        <v>2</v>
      </c>
      <c r="E554" s="3">
        <f>IFERROR(__xludf.DUMMYFUNCTION("""COMPUTED_VALUE"""),0.6513888888875954)</f>
        <v>0.6513888889</v>
      </c>
      <c r="F554" s="1" t="str">
        <f>IFERROR(__xludf.DUMMYFUNCTION("""COMPUTED_VALUE"""),"Plain Gold")</f>
        <v>Plain Gold</v>
      </c>
      <c r="G554" s="1" t="str">
        <f>IFERROR(__xludf.DUMMYFUNCTION("""COMPUTED_VALUE"""),"Tannu")</f>
        <v>Tannu</v>
      </c>
      <c r="H554" s="1" t="str">
        <f>IFERROR(__xludf.DUMMYFUNCTION("""COMPUTED_VALUE"""),"Gold ring")</f>
        <v>Gold ring</v>
      </c>
      <c r="I554" s="1"/>
      <c r="J554" s="1"/>
      <c r="K554" s="3">
        <f>IFERROR(__xludf.DUMMYFUNCTION("""COMPUTED_VALUE"""),0.7083333333357587)</f>
        <v>0.7083333333</v>
      </c>
      <c r="L554" s="1" t="str">
        <f>IFERROR(__xludf.DUMMYFUNCTION("""COMPUTED_VALUE"""),"Yes")</f>
        <v>Yes</v>
      </c>
      <c r="M554" s="1" t="str">
        <f>IFERROR(__xludf.DUMMYFUNCTION("""COMPUTED_VALUE"""),"Yes")</f>
        <v>Yes</v>
      </c>
      <c r="N554" s="1" t="str">
        <f>IFERROR(__xludf.DUMMYFUNCTION("""COMPUTED_VALUE"""),"Yes")</f>
        <v>Yes</v>
      </c>
      <c r="O554" s="1" t="str">
        <f>IFERROR(__xludf.DUMMYFUNCTION("""COMPUTED_VALUE"""),"WA ONLY, CALL")</f>
        <v>WA ONLY, CALL</v>
      </c>
      <c r="P554" s="1" t="str">
        <f>IFERROR(__xludf.DUMMYFUNCTION("""COMPUTED_VALUE"""),"Sir")</f>
        <v>Sir</v>
      </c>
      <c r="Q554" s="1" t="str">
        <f>IFERROR(__xludf.DUMMYFUNCTION("""COMPUTED_VALUE"""),"No")</f>
        <v>No</v>
      </c>
      <c r="R554" s="1" t="str">
        <f>IFERROR(__xludf.DUMMYFUNCTION("""COMPUTED_VALUE"""),"NEW WALK IN")</f>
        <v>NEW WALK IN</v>
      </c>
      <c r="S554" s="1"/>
    </row>
    <row r="555">
      <c r="A555" s="2">
        <f>IFERROR(__xludf.DUMMYFUNCTION("""COMPUTED_VALUE"""),45522.72202960648)</f>
        <v>45522.72203</v>
      </c>
      <c r="B555" s="1" t="str">
        <f>IFERROR(__xludf.DUMMYFUNCTION("""COMPUTED_VALUE"""),"Deepak")</f>
        <v>Deepak</v>
      </c>
      <c r="C555" s="1">
        <f>IFERROR(__xludf.DUMMYFUNCTION("""COMPUTED_VALUE"""),9.5605440676E10)</f>
        <v>95605440676</v>
      </c>
      <c r="D555" s="1">
        <f>IFERROR(__xludf.DUMMYFUNCTION("""COMPUTED_VALUE"""),2.0)</f>
        <v>2</v>
      </c>
      <c r="E555" s="3">
        <f>IFERROR(__xludf.DUMMYFUNCTION("""COMPUTED_VALUE"""),0.547222222223354)</f>
        <v>0.5472222222</v>
      </c>
      <c r="F555" s="1" t="str">
        <f>IFERROR(__xludf.DUMMYFUNCTION("""COMPUTED_VALUE"""),"Plain Gold")</f>
        <v>Plain Gold</v>
      </c>
      <c r="G555" s="1" t="str">
        <f>IFERROR(__xludf.DUMMYFUNCTION("""COMPUTED_VALUE"""),"Pooja")</f>
        <v>Pooja</v>
      </c>
      <c r="H555" s="1" t="str">
        <f>IFERROR(__xludf.DUMMYFUNCTION("""COMPUTED_VALUE"""),"2 gold tops,1 bali")</f>
        <v>2 gold tops,1 bali</v>
      </c>
      <c r="I555" s="1"/>
      <c r="J555" s="1"/>
      <c r="K555" s="3">
        <f>IFERROR(__xludf.DUMMYFUNCTION("""COMPUTED_VALUE"""),0.6284722222189885)</f>
        <v>0.6284722222</v>
      </c>
      <c r="L555" s="1" t="str">
        <f>IFERROR(__xludf.DUMMYFUNCTION("""COMPUTED_VALUE"""),"Yes")</f>
        <v>Yes</v>
      </c>
      <c r="M555" s="1" t="str">
        <f>IFERROR(__xludf.DUMMYFUNCTION("""COMPUTED_VALUE"""),"Already done ")</f>
        <v>Already done </v>
      </c>
      <c r="N555" s="1" t="str">
        <f>IFERROR(__xludf.DUMMYFUNCTION("""COMPUTED_VALUE"""),"Already done ")</f>
        <v>Already done </v>
      </c>
      <c r="O555" s="1" t="str">
        <f>IFERROR(__xludf.DUMMYFUNCTION("""COMPUTED_VALUE"""),"WA ONLY, CALL")</f>
        <v>WA ONLY, CALL</v>
      </c>
      <c r="P555" s="1" t="str">
        <f>IFERROR(__xludf.DUMMYFUNCTION("""COMPUTED_VALUE"""),"Sir")</f>
        <v>Sir</v>
      </c>
      <c r="Q555" s="1"/>
      <c r="R555" s="1" t="str">
        <f>IFERROR(__xludf.DUMMYFUNCTION("""COMPUTED_VALUE"""),"OLD")</f>
        <v>OLD</v>
      </c>
      <c r="S555" s="1"/>
    </row>
    <row r="556">
      <c r="A556" s="2">
        <f>IFERROR(__xludf.DUMMYFUNCTION("""COMPUTED_VALUE"""),45522.7237600463)</f>
        <v>45522.72376</v>
      </c>
      <c r="B556" s="1" t="str">
        <f>IFERROR(__xludf.DUMMYFUNCTION("""COMPUTED_VALUE"""),"Jyoti kapoor")</f>
        <v>Jyoti kapoor</v>
      </c>
      <c r="C556" s="1">
        <f>IFERROR(__xludf.DUMMYFUNCTION("""COMPUTED_VALUE"""),8.800650505E9)</f>
        <v>8800650505</v>
      </c>
      <c r="D556" s="1">
        <f>IFERROR(__xludf.DUMMYFUNCTION("""COMPUTED_VALUE"""),1.0)</f>
        <v>1</v>
      </c>
      <c r="E556" s="3">
        <f>IFERROR(__xludf.DUMMYFUNCTION("""COMPUTED_VALUE"""),0.5562500000014552)</f>
        <v>0.55625</v>
      </c>
      <c r="F556" s="1" t="str">
        <f>IFERROR(__xludf.DUMMYFUNCTION("""COMPUTED_VALUE"""),"Plain Gold")</f>
        <v>Plain Gold</v>
      </c>
      <c r="G556" s="1" t="str">
        <f>IFERROR(__xludf.DUMMYFUNCTION("""COMPUTED_VALUE"""),"Tannu")</f>
        <v>Tannu</v>
      </c>
      <c r="H556" s="1"/>
      <c r="I556" s="1" t="str">
        <f>IFERROR(__xludf.DUMMYFUNCTION("""COMPUTED_VALUE"""),"Repair done,pending payment done")</f>
        <v>Repair done,pending payment done</v>
      </c>
      <c r="J556" s="1"/>
      <c r="K556" s="3">
        <f>IFERROR(__xludf.DUMMYFUNCTION("""COMPUTED_VALUE"""),0.6513888888875954)</f>
        <v>0.6513888889</v>
      </c>
      <c r="L556" s="1" t="str">
        <f>IFERROR(__xludf.DUMMYFUNCTION("""COMPUTED_VALUE"""),"Yes")</f>
        <v>Yes</v>
      </c>
      <c r="M556" s="1" t="str">
        <f>IFERROR(__xludf.DUMMYFUNCTION("""COMPUTED_VALUE"""),"Already done ")</f>
        <v>Already done </v>
      </c>
      <c r="N556" s="1" t="str">
        <f>IFERROR(__xludf.DUMMYFUNCTION("""COMPUTED_VALUE"""),"Already done ")</f>
        <v>Already done </v>
      </c>
      <c r="O556" s="1" t="str">
        <f>IFERROR(__xludf.DUMMYFUNCTION("""COMPUTED_VALUE"""),"WA ONLY, CALL")</f>
        <v>WA ONLY, CALL</v>
      </c>
      <c r="P556" s="1" t="str">
        <f>IFERROR(__xludf.DUMMYFUNCTION("""COMPUTED_VALUE"""),"Madam")</f>
        <v>Madam</v>
      </c>
      <c r="Q556" s="1" t="str">
        <f>IFERROR(__xludf.DUMMYFUNCTION("""COMPUTED_VALUE"""),"No")</f>
        <v>No</v>
      </c>
      <c r="R556" s="1" t="str">
        <f>IFERROR(__xludf.DUMMYFUNCTION("""COMPUTED_VALUE"""),"OLD")</f>
        <v>OLD</v>
      </c>
      <c r="S556" s="1"/>
    </row>
    <row r="557">
      <c r="A557" s="2">
        <f>IFERROR(__xludf.DUMMYFUNCTION("""COMPUTED_VALUE"""),45522.72486770833)</f>
        <v>45522.72487</v>
      </c>
      <c r="B557" s="1" t="str">
        <f>IFERROR(__xludf.DUMMYFUNCTION("""COMPUTED_VALUE"""),"Swati Jha ")</f>
        <v>Swati Jha </v>
      </c>
      <c r="C557" s="1">
        <f>IFERROR(__xludf.DUMMYFUNCTION("""COMPUTED_VALUE"""),9.811292152E9)</f>
        <v>9811292152</v>
      </c>
      <c r="D557" s="1">
        <f>IFERROR(__xludf.DUMMYFUNCTION("""COMPUTED_VALUE"""),3.0)</f>
        <v>3</v>
      </c>
      <c r="E557" s="3">
        <f>IFERROR(__xludf.DUMMYFUNCTION("""COMPUTED_VALUE"""),0.5729166666642413)</f>
        <v>0.5729166667</v>
      </c>
      <c r="F557" s="1" t="str">
        <f>IFERROR(__xludf.DUMMYFUNCTION("""COMPUTED_VALUE"""),"Diamond")</f>
        <v>Diamond</v>
      </c>
      <c r="G557" s="1" t="str">
        <f>IFERROR(__xludf.DUMMYFUNCTION("""COMPUTED_VALUE"""),"Preeti")</f>
        <v>Preeti</v>
      </c>
      <c r="H557" s="1" t="str">
        <f>IFERROR(__xludf.DUMMYFUNCTION("""COMPUTED_VALUE"""),"Pukhraj ring")</f>
        <v>Pukhraj ring</v>
      </c>
      <c r="I557" s="1"/>
      <c r="J557" s="1"/>
      <c r="K557" s="3">
        <f>IFERROR(__xludf.DUMMYFUNCTION("""COMPUTED_VALUE"""),0.6458333333357587)</f>
        <v>0.6458333333</v>
      </c>
      <c r="L557" s="1" t="str">
        <f>IFERROR(__xludf.DUMMYFUNCTION("""COMPUTED_VALUE"""),"Yes")</f>
        <v>Yes</v>
      </c>
      <c r="M557" s="1" t="str">
        <f>IFERROR(__xludf.DUMMYFUNCTION("""COMPUTED_VALUE"""),"Already done ")</f>
        <v>Already done </v>
      </c>
      <c r="N557" s="1" t="str">
        <f>IFERROR(__xludf.DUMMYFUNCTION("""COMPUTED_VALUE"""),"Already done ")</f>
        <v>Already done </v>
      </c>
      <c r="O557" s="1" t="str">
        <f>IFERROR(__xludf.DUMMYFUNCTION("""COMPUTED_VALUE"""),"WA ONLY, CALL")</f>
        <v>WA ONLY, CALL</v>
      </c>
      <c r="P557" s="1" t="str">
        <f>IFERROR(__xludf.DUMMYFUNCTION("""COMPUTED_VALUE"""),"Madam")</f>
        <v>Madam</v>
      </c>
      <c r="Q557" s="1" t="str">
        <f>IFERROR(__xludf.DUMMYFUNCTION("""COMPUTED_VALUE"""),"No")</f>
        <v>No</v>
      </c>
      <c r="R557" s="1" t="str">
        <f>IFERROR(__xludf.DUMMYFUNCTION("""COMPUTED_VALUE"""),"OLD")</f>
        <v>OLD</v>
      </c>
      <c r="S557" s="1"/>
    </row>
    <row r="558">
      <c r="A558" s="2">
        <f>IFERROR(__xludf.DUMMYFUNCTION("""COMPUTED_VALUE"""),45522.726109571755)</f>
        <v>45522.72611</v>
      </c>
      <c r="B558" s="1" t="str">
        <f>IFERROR(__xludf.DUMMYFUNCTION("""COMPUTED_VALUE"""),"Priyanka ")</f>
        <v>Priyanka </v>
      </c>
      <c r="C558" s="1">
        <f>IFERROR(__xludf.DUMMYFUNCTION("""COMPUTED_VALUE"""),8.287868503E9)</f>
        <v>8287868503</v>
      </c>
      <c r="D558" s="1">
        <f>IFERROR(__xludf.DUMMYFUNCTION("""COMPUTED_VALUE"""),2.0)</f>
        <v>2</v>
      </c>
      <c r="E558" s="3">
        <f>IFERROR(__xludf.DUMMYFUNCTION("""COMPUTED_VALUE"""),0.59375)</f>
        <v>0.59375</v>
      </c>
      <c r="F558" s="1" t="str">
        <f>IFERROR(__xludf.DUMMYFUNCTION("""COMPUTED_VALUE"""),"Diamond")</f>
        <v>Diamond</v>
      </c>
      <c r="G558" s="1" t="str">
        <f>IFERROR(__xludf.DUMMYFUNCTION("""COMPUTED_VALUE"""),"Preeti")</f>
        <v>Preeti</v>
      </c>
      <c r="H558" s="1"/>
      <c r="I558" s="1" t="str">
        <f>IFERROR(__xludf.DUMMYFUNCTION("""COMPUTED_VALUE"""),"Customer wanta temple jhumki not available in the store")</f>
        <v>Customer wanta temple jhumki not available in the store</v>
      </c>
      <c r="J558" s="1"/>
      <c r="K558" s="3">
        <f>IFERROR(__xludf.DUMMYFUNCTION("""COMPUTED_VALUE"""),0.6215277777810115)</f>
        <v>0.6215277778</v>
      </c>
      <c r="L558" s="1" t="str">
        <f>IFERROR(__xludf.DUMMYFUNCTION("""COMPUTED_VALUE"""),"No")</f>
        <v>No</v>
      </c>
      <c r="M558" s="1" t="str">
        <f>IFERROR(__xludf.DUMMYFUNCTION("""COMPUTED_VALUE"""),"No")</f>
        <v>No</v>
      </c>
      <c r="N558" s="1" t="str">
        <f>IFERROR(__xludf.DUMMYFUNCTION("""COMPUTED_VALUE"""),"No")</f>
        <v>No</v>
      </c>
      <c r="O558" s="1" t="str">
        <f>IFERROR(__xludf.DUMMYFUNCTION("""COMPUTED_VALUE"""),"WA ONLY, CALL")</f>
        <v>WA ONLY, CALL</v>
      </c>
      <c r="P558" s="1" t="str">
        <f>IFERROR(__xludf.DUMMYFUNCTION("""COMPUTED_VALUE"""),"Madam")</f>
        <v>Madam</v>
      </c>
      <c r="Q558" s="1" t="str">
        <f>IFERROR(__xludf.DUMMYFUNCTION("""COMPUTED_VALUE"""),"No")</f>
        <v>No</v>
      </c>
      <c r="R558" s="1" t="str">
        <f>IFERROR(__xludf.DUMMYFUNCTION("""COMPUTED_VALUE"""),"NEW WALK IN")</f>
        <v>NEW WALK IN</v>
      </c>
      <c r="S558" s="1"/>
    </row>
    <row r="559">
      <c r="A559" s="2">
        <f>IFERROR(__xludf.DUMMYFUNCTION("""COMPUTED_VALUE"""),45522.726709826384)</f>
        <v>45522.72671</v>
      </c>
      <c r="B559" s="1" t="str">
        <f>IFERROR(__xludf.DUMMYFUNCTION("""COMPUTED_VALUE"""),"Ritika")</f>
        <v>Ritika</v>
      </c>
      <c r="C559" s="1">
        <f>IFERROR(__xludf.DUMMYFUNCTION("""COMPUTED_VALUE"""),9.891338462E9)</f>
        <v>9891338462</v>
      </c>
      <c r="D559" s="1">
        <f>IFERROR(__xludf.DUMMYFUNCTION("""COMPUTED_VALUE"""),1.0)</f>
        <v>1</v>
      </c>
      <c r="E559" s="3">
        <f>IFERROR(__xludf.DUMMYFUNCTION("""COMPUTED_VALUE"""),0.5833333333357587)</f>
        <v>0.5833333333</v>
      </c>
      <c r="F559" s="1" t="str">
        <f>IFERROR(__xludf.DUMMYFUNCTION("""COMPUTED_VALUE"""),"Plain Gold")</f>
        <v>Plain Gold</v>
      </c>
      <c r="G559" s="1" t="str">
        <f>IFERROR(__xludf.DUMMYFUNCTION("""COMPUTED_VALUE"""),"Deepali")</f>
        <v>Deepali</v>
      </c>
      <c r="H559" s="1"/>
      <c r="I559" s="1" t="str">
        <f>IFERROR(__xludf.DUMMYFUNCTION("""COMPUTED_VALUE"""),"Will ask family and come with them")</f>
        <v>Will ask family and come with them</v>
      </c>
      <c r="J559" s="1"/>
      <c r="K559" s="3">
        <f>IFERROR(__xludf.DUMMYFUNCTION("""COMPUTED_VALUE"""),0.6111111111094942)</f>
        <v>0.6111111111</v>
      </c>
      <c r="L559" s="1" t="str">
        <f>IFERROR(__xludf.DUMMYFUNCTION("""COMPUTED_VALUE"""),"Yes")</f>
        <v>Yes</v>
      </c>
      <c r="M559" s="1" t="str">
        <f>IFERROR(__xludf.DUMMYFUNCTION("""COMPUTED_VALUE"""),"No")</f>
        <v>No</v>
      </c>
      <c r="N559" s="1" t="str">
        <f>IFERROR(__xludf.DUMMYFUNCTION("""COMPUTED_VALUE"""),"No")</f>
        <v>No</v>
      </c>
      <c r="O559" s="1" t="str">
        <f>IFERROR(__xludf.DUMMYFUNCTION("""COMPUTED_VALUE"""),"WA ONLY, CALL")</f>
        <v>WA ONLY, CALL</v>
      </c>
      <c r="P559" s="1" t="str">
        <f>IFERROR(__xludf.DUMMYFUNCTION("""COMPUTED_VALUE"""),"Madam")</f>
        <v>Madam</v>
      </c>
      <c r="Q559" s="1"/>
      <c r="R559" s="1" t="str">
        <f>IFERROR(__xludf.DUMMYFUNCTION("""COMPUTED_VALUE"""),"NEW WALK IN")</f>
        <v>NEW WALK IN</v>
      </c>
      <c r="S559" s="1"/>
    </row>
    <row r="560">
      <c r="A560" s="2">
        <f>IFERROR(__xludf.DUMMYFUNCTION("""COMPUTED_VALUE"""),45525.752761932876)</f>
        <v>45525.75276</v>
      </c>
      <c r="B560" s="1" t="str">
        <f>IFERROR(__xludf.DUMMYFUNCTION("""COMPUTED_VALUE"""),"Archna ")</f>
        <v>Archna </v>
      </c>
      <c r="C560" s="1">
        <f>IFERROR(__xludf.DUMMYFUNCTION("""COMPUTED_VALUE"""),9.891300076E9)</f>
        <v>9891300076</v>
      </c>
      <c r="D560" s="1">
        <f>IFERROR(__xludf.DUMMYFUNCTION("""COMPUTED_VALUE"""),1.0)</f>
        <v>1</v>
      </c>
      <c r="E560" s="3">
        <f>IFERROR(__xludf.DUMMYFUNCTION("""COMPUTED_VALUE"""),0.5999999999985448)</f>
        <v>0.6</v>
      </c>
      <c r="F560" s="1" t="str">
        <f>IFERROR(__xludf.DUMMYFUNCTION("""COMPUTED_VALUE"""),"Antique Gold")</f>
        <v>Antique Gold</v>
      </c>
      <c r="G560" s="1" t="str">
        <f>IFERROR(__xludf.DUMMYFUNCTION("""COMPUTED_VALUE"""),"Pooja")</f>
        <v>Pooja</v>
      </c>
      <c r="H560" s="1"/>
      <c r="I560" s="1" t="str">
        <f>IFERROR(__xludf.DUMMYFUNCTION("""COMPUTED_VALUE"""),"Visit again after few hours ")</f>
        <v>Visit again after few hours </v>
      </c>
      <c r="J560" s="1"/>
      <c r="K560" s="3">
        <f>IFERROR(__xludf.DUMMYFUNCTION("""COMPUTED_VALUE"""),0.6256944444467081)</f>
        <v>0.6256944444</v>
      </c>
      <c r="L560" s="1" t="str">
        <f>IFERROR(__xludf.DUMMYFUNCTION("""COMPUTED_VALUE"""),"No")</f>
        <v>No</v>
      </c>
      <c r="M560" s="1" t="str">
        <f>IFERROR(__xludf.DUMMYFUNCTION("""COMPUTED_VALUE"""),"No")</f>
        <v>No</v>
      </c>
      <c r="N560" s="1" t="str">
        <f>IFERROR(__xludf.DUMMYFUNCTION("""COMPUTED_VALUE"""),"No")</f>
        <v>No</v>
      </c>
      <c r="O560" s="1" t="str">
        <f>IFERROR(__xludf.DUMMYFUNCTION("""COMPUTED_VALUE"""),"WA ONLY, CALL")</f>
        <v>WA ONLY, CALL</v>
      </c>
      <c r="P560" s="1" t="str">
        <f>IFERROR(__xludf.DUMMYFUNCTION("""COMPUTED_VALUE"""),"Madam")</f>
        <v>Madam</v>
      </c>
      <c r="Q560" s="1" t="str">
        <f>IFERROR(__xludf.DUMMYFUNCTION("""COMPUTED_VALUE"""),"No")</f>
        <v>No</v>
      </c>
      <c r="R560" s="1" t="str">
        <f>IFERROR(__xludf.DUMMYFUNCTION("""COMPUTED_VALUE"""),"NEW WALK IN")</f>
        <v>NEW WALK IN</v>
      </c>
      <c r="S560" s="1"/>
    </row>
    <row r="561">
      <c r="A561" s="2">
        <f>IFERROR(__xludf.DUMMYFUNCTION("""COMPUTED_VALUE"""),45525.7534710301)</f>
        <v>45525.75347</v>
      </c>
      <c r="B561" s="1" t="str">
        <f>IFERROR(__xludf.DUMMYFUNCTION("""COMPUTED_VALUE"""),"Ritu")</f>
        <v>Ritu</v>
      </c>
      <c r="C561" s="1">
        <f>IFERROR(__xludf.DUMMYFUNCTION("""COMPUTED_VALUE"""),8.470070705E9)</f>
        <v>8470070705</v>
      </c>
      <c r="D561" s="1">
        <f>IFERROR(__xludf.DUMMYFUNCTION("""COMPUTED_VALUE"""),2.0)</f>
        <v>2</v>
      </c>
      <c r="E561" s="3">
        <f>IFERROR(__xludf.DUMMYFUNCTION("""COMPUTED_VALUE"""),0.625)</f>
        <v>0.625</v>
      </c>
      <c r="F561" s="1" t="str">
        <f>IFERROR(__xludf.DUMMYFUNCTION("""COMPUTED_VALUE"""),"Antique Gold")</f>
        <v>Antique Gold</v>
      </c>
      <c r="G561" s="1" t="str">
        <f>IFERROR(__xludf.DUMMYFUNCTION("""COMPUTED_VALUE"""),"Tannu")</f>
        <v>Tannu</v>
      </c>
      <c r="H561" s="1"/>
      <c r="I561" s="1" t="str">
        <f>IFERROR(__xludf.DUMMYFUNCTION("""COMPUTED_VALUE"""),"Pick up Order")</f>
        <v>Pick up Order</v>
      </c>
      <c r="J561" s="1"/>
      <c r="K561" s="3">
        <f>IFERROR(__xludf.DUMMYFUNCTION("""COMPUTED_VALUE"""),0.6368055555576575)</f>
        <v>0.6368055556</v>
      </c>
      <c r="L561" s="1" t="str">
        <f>IFERROR(__xludf.DUMMYFUNCTION("""COMPUTED_VALUE"""),"Yes")</f>
        <v>Yes</v>
      </c>
      <c r="M561" s="1" t="str">
        <f>IFERROR(__xludf.DUMMYFUNCTION("""COMPUTED_VALUE"""),"Already done ")</f>
        <v>Already done </v>
      </c>
      <c r="N561" s="1" t="str">
        <f>IFERROR(__xludf.DUMMYFUNCTION("""COMPUTED_VALUE"""),"Already done ")</f>
        <v>Already done </v>
      </c>
      <c r="O561" s="1" t="str">
        <f>IFERROR(__xludf.DUMMYFUNCTION("""COMPUTED_VALUE"""),"WA ONLY, CALL")</f>
        <v>WA ONLY, CALL</v>
      </c>
      <c r="P561" s="1" t="str">
        <f>IFERROR(__xludf.DUMMYFUNCTION("""COMPUTED_VALUE"""),"Madam")</f>
        <v>Madam</v>
      </c>
      <c r="Q561" s="1" t="str">
        <f>IFERROR(__xludf.DUMMYFUNCTION("""COMPUTED_VALUE"""),"No")</f>
        <v>No</v>
      </c>
      <c r="R561" s="1" t="str">
        <f>IFERROR(__xludf.DUMMYFUNCTION("""COMPUTED_VALUE"""),"OLD")</f>
        <v>OLD</v>
      </c>
      <c r="S561" s="1"/>
    </row>
    <row r="562">
      <c r="A562" s="2">
        <f>IFERROR(__xludf.DUMMYFUNCTION("""COMPUTED_VALUE"""),45525.75466114584)</f>
        <v>45525.75466</v>
      </c>
      <c r="B562" s="1" t="str">
        <f>IFERROR(__xludf.DUMMYFUNCTION("""COMPUTED_VALUE"""),"Kamal gupta")</f>
        <v>Kamal gupta</v>
      </c>
      <c r="C562" s="1">
        <f>IFERROR(__xludf.DUMMYFUNCTION("""COMPUTED_VALUE"""),9.899497509E9)</f>
        <v>9899497509</v>
      </c>
      <c r="D562" s="1">
        <f>IFERROR(__xludf.DUMMYFUNCTION("""COMPUTED_VALUE"""),1.0)</f>
        <v>1</v>
      </c>
      <c r="E562" s="3">
        <f>IFERROR(__xludf.DUMMYFUNCTION("""COMPUTED_VALUE"""),0.6736111111094942)</f>
        <v>0.6736111111</v>
      </c>
      <c r="F562" s="1" t="str">
        <f>IFERROR(__xludf.DUMMYFUNCTION("""COMPUTED_VALUE"""),"Plain Gold")</f>
        <v>Plain Gold</v>
      </c>
      <c r="G562" s="1" t="str">
        <f>IFERROR(__xludf.DUMMYFUNCTION("""COMPUTED_VALUE"""),"Neetu")</f>
        <v>Neetu</v>
      </c>
      <c r="H562" s="1"/>
      <c r="I562" s="1"/>
      <c r="J562" s="1"/>
      <c r="K562" s="3">
        <f>IFERROR(__xludf.DUMMYFUNCTION("""COMPUTED_VALUE"""),0.7520833333328483)</f>
        <v>0.7520833333</v>
      </c>
      <c r="L562" s="1" t="str">
        <f>IFERROR(__xludf.DUMMYFUNCTION("""COMPUTED_VALUE"""),"Yes")</f>
        <v>Yes</v>
      </c>
      <c r="M562" s="1" t="str">
        <f>IFERROR(__xludf.DUMMYFUNCTION("""COMPUTED_VALUE"""),"Already done ")</f>
        <v>Already done </v>
      </c>
      <c r="N562" s="1" t="str">
        <f>IFERROR(__xludf.DUMMYFUNCTION("""COMPUTED_VALUE"""),"Already done ")</f>
        <v>Already done </v>
      </c>
      <c r="O562" s="1" t="str">
        <f>IFERROR(__xludf.DUMMYFUNCTION("""COMPUTED_VALUE"""),"WA ONLY, CALL")</f>
        <v>WA ONLY, CALL</v>
      </c>
      <c r="P562" s="1" t="str">
        <f>IFERROR(__xludf.DUMMYFUNCTION("""COMPUTED_VALUE"""),"Sir")</f>
        <v>Sir</v>
      </c>
      <c r="Q562" s="1" t="str">
        <f>IFERROR(__xludf.DUMMYFUNCTION("""COMPUTED_VALUE"""),"No")</f>
        <v>No</v>
      </c>
      <c r="R562" s="1" t="str">
        <f>IFERROR(__xludf.DUMMYFUNCTION("""COMPUTED_VALUE"""),"OLD")</f>
        <v>OLD</v>
      </c>
      <c r="S562" s="1"/>
    </row>
    <row r="563">
      <c r="A563" s="2">
        <f>IFERROR(__xludf.DUMMYFUNCTION("""COMPUTED_VALUE"""),45525.75575053241)</f>
        <v>45525.75575</v>
      </c>
      <c r="B563" s="1" t="str">
        <f>IFERROR(__xludf.DUMMYFUNCTION("""COMPUTED_VALUE"""),"Shivam")</f>
        <v>Shivam</v>
      </c>
      <c r="C563" s="1">
        <f>IFERROR(__xludf.DUMMYFUNCTION("""COMPUTED_VALUE"""),9.891102336E9)</f>
        <v>9891102336</v>
      </c>
      <c r="D563" s="1">
        <f>IFERROR(__xludf.DUMMYFUNCTION("""COMPUTED_VALUE"""),2.0)</f>
        <v>2</v>
      </c>
      <c r="E563" s="3">
        <f>IFERROR(__xludf.DUMMYFUNCTION("""COMPUTED_VALUE"""),0.6875)</f>
        <v>0.6875</v>
      </c>
      <c r="F563" s="1" t="str">
        <f>IFERROR(__xludf.DUMMYFUNCTION("""COMPUTED_VALUE"""),"Plain Gold")</f>
        <v>Plain Gold</v>
      </c>
      <c r="G563" s="1" t="str">
        <f>IFERROR(__xludf.DUMMYFUNCTION("""COMPUTED_VALUE"""),"Tannu")</f>
        <v>Tannu</v>
      </c>
      <c r="H563" s="1"/>
      <c r="I563" s="1" t="str">
        <f>IFERROR(__xludf.DUMMYFUNCTION("""COMPUTED_VALUE"""),"Visit again tomorrow ")</f>
        <v>Visit again tomorrow </v>
      </c>
      <c r="J563" s="1"/>
      <c r="K563" s="3">
        <f>IFERROR(__xludf.DUMMYFUNCTION("""COMPUTED_VALUE"""),0.7208333333328483)</f>
        <v>0.7208333333</v>
      </c>
      <c r="L563" s="1" t="str">
        <f>IFERROR(__xludf.DUMMYFUNCTION("""COMPUTED_VALUE"""),"Yes")</f>
        <v>Yes</v>
      </c>
      <c r="M563" s="1" t="str">
        <f>IFERROR(__xludf.DUMMYFUNCTION("""COMPUTED_VALUE"""),"Already done ")</f>
        <v>Already done </v>
      </c>
      <c r="N563" s="1" t="str">
        <f>IFERROR(__xludf.DUMMYFUNCTION("""COMPUTED_VALUE"""),"Already done ")</f>
        <v>Already done </v>
      </c>
      <c r="O563" s="1" t="str">
        <f>IFERROR(__xludf.DUMMYFUNCTION("""COMPUTED_VALUE"""),"WA ONLY, CALL")</f>
        <v>WA ONLY, CALL</v>
      </c>
      <c r="P563" s="1" t="str">
        <f>IFERROR(__xludf.DUMMYFUNCTION("""COMPUTED_VALUE"""),"Sir")</f>
        <v>Sir</v>
      </c>
      <c r="Q563" s="1"/>
      <c r="R563" s="1" t="str">
        <f>IFERROR(__xludf.DUMMYFUNCTION("""COMPUTED_VALUE"""),"OLD")</f>
        <v>OLD</v>
      </c>
      <c r="S563" s="1"/>
    </row>
    <row r="564">
      <c r="A564" s="2">
        <f>IFERROR(__xludf.DUMMYFUNCTION("""COMPUTED_VALUE"""),45525.774497094906)</f>
        <v>45525.7745</v>
      </c>
      <c r="B564" s="1" t="str">
        <f>IFERROR(__xludf.DUMMYFUNCTION("""COMPUTED_VALUE"""),"Rupanki,ekta")</f>
        <v>Rupanki,ekta</v>
      </c>
      <c r="C564" s="1">
        <f>IFERROR(__xludf.DUMMYFUNCTION("""COMPUTED_VALUE"""),9.871767175E9)</f>
        <v>9871767175</v>
      </c>
      <c r="D564" s="1">
        <f>IFERROR(__xludf.DUMMYFUNCTION("""COMPUTED_VALUE"""),2.0)</f>
        <v>2</v>
      </c>
      <c r="E564" s="3">
        <f>IFERROR(__xludf.DUMMYFUNCTION("""COMPUTED_VALUE"""),0.59375)</f>
        <v>0.59375</v>
      </c>
      <c r="F564" s="1" t="str">
        <f>IFERROR(__xludf.DUMMYFUNCTION("""COMPUTED_VALUE"""),"Diamond")</f>
        <v>Diamond</v>
      </c>
      <c r="G564" s="1" t="str">
        <f>IFERROR(__xludf.DUMMYFUNCTION("""COMPUTED_VALUE"""),"Preeti")</f>
        <v>Preeti</v>
      </c>
      <c r="H564" s="1" t="str">
        <f>IFERROR(__xludf.DUMMYFUNCTION("""COMPUTED_VALUE"""),"Polki set,polki breslet,diamond ring,dalmeet set,diamond ring")</f>
        <v>Polki set,polki breslet,diamond ring,dalmeet set,diamond ring</v>
      </c>
      <c r="I564" s="1"/>
      <c r="J564" s="1"/>
      <c r="K564" s="3">
        <f>IFERROR(__xludf.DUMMYFUNCTION("""COMPUTED_VALUE"""),0.7729166666686069)</f>
        <v>0.7729166667</v>
      </c>
      <c r="L564" s="1" t="str">
        <f>IFERROR(__xludf.DUMMYFUNCTION("""COMPUTED_VALUE"""),"Yes")</f>
        <v>Yes</v>
      </c>
      <c r="M564" s="1" t="str">
        <f>IFERROR(__xludf.DUMMYFUNCTION("""COMPUTED_VALUE"""),"Already done ")</f>
        <v>Already done </v>
      </c>
      <c r="N564" s="1" t="str">
        <f>IFERROR(__xludf.DUMMYFUNCTION("""COMPUTED_VALUE"""),"Already done ")</f>
        <v>Already done </v>
      </c>
      <c r="O564" s="1" t="str">
        <f>IFERROR(__xludf.DUMMYFUNCTION("""COMPUTED_VALUE"""),"WA ONLY, CALL")</f>
        <v>WA ONLY, CALL</v>
      </c>
      <c r="P564" s="1" t="str">
        <f>IFERROR(__xludf.DUMMYFUNCTION("""COMPUTED_VALUE"""),"Madam")</f>
        <v>Madam</v>
      </c>
      <c r="Q564" s="1" t="str">
        <f>IFERROR(__xludf.DUMMYFUNCTION("""COMPUTED_VALUE"""),"No")</f>
        <v>No</v>
      </c>
      <c r="R564" s="1" t="str">
        <f>IFERROR(__xludf.DUMMYFUNCTION("""COMPUTED_VALUE"""),"OLD")</f>
        <v>OLD</v>
      </c>
      <c r="S564" s="1"/>
    </row>
    <row r="565">
      <c r="A565" s="2">
        <f>IFERROR(__xludf.DUMMYFUNCTION("""COMPUTED_VALUE"""),45526.81111087963)</f>
        <v>45526.81111</v>
      </c>
      <c r="B565" s="1" t="str">
        <f>IFERROR(__xludf.DUMMYFUNCTION("""COMPUTED_VALUE"""),"Parag")</f>
        <v>Parag</v>
      </c>
      <c r="C565" s="1">
        <f>IFERROR(__xludf.DUMMYFUNCTION("""COMPUTED_VALUE"""),8.447816333E9)</f>
        <v>8447816333</v>
      </c>
      <c r="D565" s="1">
        <f>IFERROR(__xludf.DUMMYFUNCTION("""COMPUTED_VALUE"""),2.0)</f>
        <v>2</v>
      </c>
      <c r="E565" s="3">
        <f>IFERROR(__xludf.DUMMYFUNCTION("""COMPUTED_VALUE"""),0.75)</f>
        <v>0.75</v>
      </c>
      <c r="F565" s="1" t="str">
        <f>IFERROR(__xludf.DUMMYFUNCTION("""COMPUTED_VALUE"""),"Diamond")</f>
        <v>Diamond</v>
      </c>
      <c r="G565" s="1" t="str">
        <f>IFERROR(__xludf.DUMMYFUNCTION("""COMPUTED_VALUE"""),"Preeti")</f>
        <v>Preeti</v>
      </c>
      <c r="H565" s="1"/>
      <c r="I565" s="1" t="str">
        <f>IFERROR(__xludf.DUMMYFUNCTION("""COMPUTED_VALUE"""),"Visit Again in 1 Month")</f>
        <v>Visit Again in 1 Month</v>
      </c>
      <c r="J565" s="1"/>
      <c r="K565" s="3">
        <f>IFERROR(__xludf.DUMMYFUNCTION("""COMPUTED_VALUE"""),0.7708333333357587)</f>
        <v>0.7708333333</v>
      </c>
      <c r="L565" s="1" t="str">
        <f>IFERROR(__xludf.DUMMYFUNCTION("""COMPUTED_VALUE"""),"Yes")</f>
        <v>Yes</v>
      </c>
      <c r="M565" s="1" t="str">
        <f>IFERROR(__xludf.DUMMYFUNCTION("""COMPUTED_VALUE"""),"No")</f>
        <v>No</v>
      </c>
      <c r="N565" s="1" t="str">
        <f>IFERROR(__xludf.DUMMYFUNCTION("""COMPUTED_VALUE"""),"No")</f>
        <v>No</v>
      </c>
      <c r="O565" s="1" t="str">
        <f>IFERROR(__xludf.DUMMYFUNCTION("""COMPUTED_VALUE"""),"WA ONLY, CALL")</f>
        <v>WA ONLY, CALL</v>
      </c>
      <c r="P565" s="1" t="str">
        <f>IFERROR(__xludf.DUMMYFUNCTION("""COMPUTED_VALUE"""),"Sir")</f>
        <v>Sir</v>
      </c>
      <c r="Q565" s="1" t="str">
        <f>IFERROR(__xludf.DUMMYFUNCTION("""COMPUTED_VALUE"""),"No")</f>
        <v>No</v>
      </c>
      <c r="R565" s="1" t="str">
        <f>IFERROR(__xludf.DUMMYFUNCTION("""COMPUTED_VALUE"""),"NEW WALK IN")</f>
        <v>NEW WALK IN</v>
      </c>
      <c r="S565" s="1"/>
    </row>
    <row r="566">
      <c r="A566" s="2">
        <f>IFERROR(__xludf.DUMMYFUNCTION("""COMPUTED_VALUE"""),45526.81169777778)</f>
        <v>45526.8117</v>
      </c>
      <c r="B566" s="1" t="str">
        <f>IFERROR(__xludf.DUMMYFUNCTION("""COMPUTED_VALUE"""),"Mamta")</f>
        <v>Mamta</v>
      </c>
      <c r="C566" s="1">
        <f>IFERROR(__xludf.DUMMYFUNCTION("""COMPUTED_VALUE"""),8.826436055E9)</f>
        <v>8826436055</v>
      </c>
      <c r="D566" s="1">
        <f>IFERROR(__xludf.DUMMYFUNCTION("""COMPUTED_VALUE"""),1.0)</f>
        <v>1</v>
      </c>
      <c r="E566" s="3">
        <f>IFERROR(__xludf.DUMMYFUNCTION("""COMPUTED_VALUE"""),0.7708333333357587)</f>
        <v>0.7708333333</v>
      </c>
      <c r="F566" s="1" t="str">
        <f>IFERROR(__xludf.DUMMYFUNCTION("""COMPUTED_VALUE"""),"Plain Gold")</f>
        <v>Plain Gold</v>
      </c>
      <c r="G566" s="1" t="str">
        <f>IFERROR(__xludf.DUMMYFUNCTION("""COMPUTED_VALUE"""),"Deepali")</f>
        <v>Deepali</v>
      </c>
      <c r="H566" s="1"/>
      <c r="I566" s="1" t="str">
        <f>IFERROR(__xludf.DUMMYFUNCTION("""COMPUTED_VALUE"""),"Want to see More Variety")</f>
        <v>Want to see More Variety</v>
      </c>
      <c r="J566" s="1"/>
      <c r="K566" s="3">
        <f>IFERROR(__xludf.DUMMYFUNCTION("""COMPUTED_VALUE"""),0.7847222222189885)</f>
        <v>0.7847222222</v>
      </c>
      <c r="L566" s="1" t="str">
        <f>IFERROR(__xludf.DUMMYFUNCTION("""COMPUTED_VALUE"""),"No")</f>
        <v>No</v>
      </c>
      <c r="M566" s="1" t="str">
        <f>IFERROR(__xludf.DUMMYFUNCTION("""COMPUTED_VALUE"""),"No")</f>
        <v>No</v>
      </c>
      <c r="N566" s="1" t="str">
        <f>IFERROR(__xludf.DUMMYFUNCTION("""COMPUTED_VALUE"""),"No")</f>
        <v>No</v>
      </c>
      <c r="O566" s="1" t="str">
        <f>IFERROR(__xludf.DUMMYFUNCTION("""COMPUTED_VALUE"""),"WA ONLY, CALL")</f>
        <v>WA ONLY, CALL</v>
      </c>
      <c r="P566" s="1" t="str">
        <f>IFERROR(__xludf.DUMMYFUNCTION("""COMPUTED_VALUE"""),"Madam")</f>
        <v>Madam</v>
      </c>
      <c r="Q566" s="1" t="str">
        <f>IFERROR(__xludf.DUMMYFUNCTION("""COMPUTED_VALUE"""),"No")</f>
        <v>No</v>
      </c>
      <c r="R566" s="1" t="str">
        <f>IFERROR(__xludf.DUMMYFUNCTION("""COMPUTED_VALUE"""),"NEW WALK IN")</f>
        <v>NEW WALK IN</v>
      </c>
      <c r="S566" s="1"/>
    </row>
    <row r="567">
      <c r="A567" s="2">
        <f>IFERROR(__xludf.DUMMYFUNCTION("""COMPUTED_VALUE"""),45526.81273096065)</f>
        <v>45526.81273</v>
      </c>
      <c r="B567" s="1" t="str">
        <f>IFERROR(__xludf.DUMMYFUNCTION("""COMPUTED_VALUE"""),"Hashir")</f>
        <v>Hashir</v>
      </c>
      <c r="C567" s="1">
        <f>IFERROR(__xludf.DUMMYFUNCTION("""COMPUTED_VALUE"""),9.990586907E9)</f>
        <v>9990586907</v>
      </c>
      <c r="D567" s="1">
        <f>IFERROR(__xludf.DUMMYFUNCTION("""COMPUTED_VALUE"""),4.0)</f>
        <v>4</v>
      </c>
      <c r="E567" s="3">
        <f>IFERROR(__xludf.DUMMYFUNCTION("""COMPUTED_VALUE"""),0.8069444444408873)</f>
        <v>0.8069444444</v>
      </c>
      <c r="F567" s="1" t="str">
        <f>IFERROR(__xludf.DUMMYFUNCTION("""COMPUTED_VALUE"""),"Diamond")</f>
        <v>Diamond</v>
      </c>
      <c r="G567" s="1" t="str">
        <f>IFERROR(__xludf.DUMMYFUNCTION("""COMPUTED_VALUE"""),"Preeti")</f>
        <v>Preeti</v>
      </c>
      <c r="H567" s="1"/>
      <c r="I567" s="1" t="str">
        <f>IFERROR(__xludf.DUMMYFUNCTION("""COMPUTED_VALUE"""),"Want to see More Variety")</f>
        <v>Want to see More Variety</v>
      </c>
      <c r="J567" s="1"/>
      <c r="K567" s="3">
        <f>IFERROR(__xludf.DUMMYFUNCTION("""COMPUTED_VALUE"""),0.8097222222204437)</f>
        <v>0.8097222222</v>
      </c>
      <c r="L567" s="1" t="str">
        <f>IFERROR(__xludf.DUMMYFUNCTION("""COMPUTED_VALUE"""),"No")</f>
        <v>No</v>
      </c>
      <c r="M567" s="1" t="str">
        <f>IFERROR(__xludf.DUMMYFUNCTION("""COMPUTED_VALUE"""),"No")</f>
        <v>No</v>
      </c>
      <c r="N567" s="1" t="str">
        <f>IFERROR(__xludf.DUMMYFUNCTION("""COMPUTED_VALUE"""),"No")</f>
        <v>No</v>
      </c>
      <c r="O567" s="1" t="str">
        <f>IFERROR(__xludf.DUMMYFUNCTION("""COMPUTED_VALUE"""),"WA ONLY, CALL")</f>
        <v>WA ONLY, CALL</v>
      </c>
      <c r="P567" s="1" t="str">
        <f>IFERROR(__xludf.DUMMYFUNCTION("""COMPUTED_VALUE"""),"Sir")</f>
        <v>Sir</v>
      </c>
      <c r="Q567" s="1" t="str">
        <f>IFERROR(__xludf.DUMMYFUNCTION("""COMPUTED_VALUE"""),"No")</f>
        <v>No</v>
      </c>
      <c r="R567" s="1" t="str">
        <f>IFERROR(__xludf.DUMMYFUNCTION("""COMPUTED_VALUE"""),"NEW WALK IN")</f>
        <v>NEW WALK IN</v>
      </c>
      <c r="S567" s="1"/>
    </row>
    <row r="568">
      <c r="A568" s="2">
        <f>IFERROR(__xludf.DUMMYFUNCTION("""COMPUTED_VALUE"""),45526.813612488426)</f>
        <v>45526.81361</v>
      </c>
      <c r="B568" s="1" t="str">
        <f>IFERROR(__xludf.DUMMYFUNCTION("""COMPUTED_VALUE"""),"Ritu")</f>
        <v>Ritu</v>
      </c>
      <c r="C568" s="1">
        <f>IFERROR(__xludf.DUMMYFUNCTION("""COMPUTED_VALUE"""),8.470070705E9)</f>
        <v>8470070705</v>
      </c>
      <c r="D568" s="1">
        <f>IFERROR(__xludf.DUMMYFUNCTION("""COMPUTED_VALUE"""),4.0)</f>
        <v>4</v>
      </c>
      <c r="E568" s="3">
        <f>IFERROR(__xludf.DUMMYFUNCTION("""COMPUTED_VALUE"""),0.7708333333357587)</f>
        <v>0.7708333333</v>
      </c>
      <c r="F568" s="1" t="str">
        <f>IFERROR(__xludf.DUMMYFUNCTION("""COMPUTED_VALUE"""),"Antique Gold")</f>
        <v>Antique Gold</v>
      </c>
      <c r="G568" s="1" t="str">
        <f>IFERROR(__xludf.DUMMYFUNCTION("""COMPUTED_VALUE"""),"Pooja")</f>
        <v>Pooja</v>
      </c>
      <c r="H568" s="1"/>
      <c r="I568" s="1" t="str">
        <f>IFERROR(__xludf.DUMMYFUNCTION("""COMPUTED_VALUE"""),"Pick up Order")</f>
        <v>Pick up Order</v>
      </c>
      <c r="J568" s="1"/>
      <c r="K568" s="3">
        <f>IFERROR(__xludf.DUMMYFUNCTION("""COMPUTED_VALUE"""),0.8333333333357587)</f>
        <v>0.8333333333</v>
      </c>
      <c r="L568" s="1" t="str">
        <f>IFERROR(__xludf.DUMMYFUNCTION("""COMPUTED_VALUE"""),"Yes")</f>
        <v>Yes</v>
      </c>
      <c r="M568" s="1" t="str">
        <f>IFERROR(__xludf.DUMMYFUNCTION("""COMPUTED_VALUE"""),"Already done ")</f>
        <v>Already done </v>
      </c>
      <c r="N568" s="1" t="str">
        <f>IFERROR(__xludf.DUMMYFUNCTION("""COMPUTED_VALUE"""),"Already done ")</f>
        <v>Already done </v>
      </c>
      <c r="O568" s="1" t="str">
        <f>IFERROR(__xludf.DUMMYFUNCTION("""COMPUTED_VALUE"""),"WA ONLY, CALL")</f>
        <v>WA ONLY, CALL</v>
      </c>
      <c r="P568" s="1" t="str">
        <f>IFERROR(__xludf.DUMMYFUNCTION("""COMPUTED_VALUE"""),"Madam")</f>
        <v>Madam</v>
      </c>
      <c r="Q568" s="1" t="str">
        <f>IFERROR(__xludf.DUMMYFUNCTION("""COMPUTED_VALUE"""),"No")</f>
        <v>No</v>
      </c>
      <c r="R568" s="1" t="str">
        <f>IFERROR(__xludf.DUMMYFUNCTION("""COMPUTED_VALUE"""),"OLD")</f>
        <v>OLD</v>
      </c>
      <c r="S568" s="1"/>
    </row>
    <row r="569">
      <c r="A569" s="2">
        <f>IFERROR(__xludf.DUMMYFUNCTION("""COMPUTED_VALUE"""),45527.72781015046)</f>
        <v>45527.72781</v>
      </c>
      <c r="B569" s="1" t="str">
        <f>IFERROR(__xludf.DUMMYFUNCTION("""COMPUTED_VALUE"""),"Smita")</f>
        <v>Smita</v>
      </c>
      <c r="C569" s="1">
        <f>IFERROR(__xludf.DUMMYFUNCTION("""COMPUTED_VALUE"""),8.527917332E9)</f>
        <v>8527917332</v>
      </c>
      <c r="D569" s="1">
        <f>IFERROR(__xludf.DUMMYFUNCTION("""COMPUTED_VALUE"""),1.0)</f>
        <v>1</v>
      </c>
      <c r="E569" s="3">
        <f>IFERROR(__xludf.DUMMYFUNCTION("""COMPUTED_VALUE"""),0.5243055555547471)</f>
        <v>0.5243055556</v>
      </c>
      <c r="F569" s="1" t="str">
        <f>IFERROR(__xludf.DUMMYFUNCTION("""COMPUTED_VALUE"""),"Plain Gold")</f>
        <v>Plain Gold</v>
      </c>
      <c r="G569" s="1" t="str">
        <f>IFERROR(__xludf.DUMMYFUNCTION("""COMPUTED_VALUE"""),"Pooja")</f>
        <v>Pooja</v>
      </c>
      <c r="H569" s="1"/>
      <c r="I569" s="1" t="str">
        <f>IFERROR(__xludf.DUMMYFUNCTION("""COMPUTED_VALUE"""),"Customer visit again after clothes purchase ")</f>
        <v>Customer visit again after clothes purchase </v>
      </c>
      <c r="J569" s="1"/>
      <c r="K569" s="3">
        <f>IFERROR(__xludf.DUMMYFUNCTION("""COMPUTED_VALUE"""),0.5361111111124046)</f>
        <v>0.5361111111</v>
      </c>
      <c r="L569" s="1" t="str">
        <f>IFERROR(__xludf.DUMMYFUNCTION("""COMPUTED_VALUE"""),"No")</f>
        <v>No</v>
      </c>
      <c r="M569" s="1" t="str">
        <f>IFERROR(__xludf.DUMMYFUNCTION("""COMPUTED_VALUE"""),"No")</f>
        <v>No</v>
      </c>
      <c r="N569" s="1" t="str">
        <f>IFERROR(__xludf.DUMMYFUNCTION("""COMPUTED_VALUE"""),"No")</f>
        <v>No</v>
      </c>
      <c r="O569" s="1" t="str">
        <f>IFERROR(__xludf.DUMMYFUNCTION("""COMPUTED_VALUE"""),"WA ONLY, CALL")</f>
        <v>WA ONLY, CALL</v>
      </c>
      <c r="P569" s="1" t="str">
        <f>IFERROR(__xludf.DUMMYFUNCTION("""COMPUTED_VALUE"""),"Madam")</f>
        <v>Madam</v>
      </c>
      <c r="Q569" s="1" t="str">
        <f>IFERROR(__xludf.DUMMYFUNCTION("""COMPUTED_VALUE"""),"No")</f>
        <v>No</v>
      </c>
      <c r="R569" s="1" t="str">
        <f>IFERROR(__xludf.DUMMYFUNCTION("""COMPUTED_VALUE"""),"NEW WALK IN")</f>
        <v>NEW WALK IN</v>
      </c>
      <c r="S569" s="1"/>
    </row>
    <row r="570">
      <c r="A570" s="2">
        <f>IFERROR(__xludf.DUMMYFUNCTION("""COMPUTED_VALUE"""),45527.824056122685)</f>
        <v>45527.82406</v>
      </c>
      <c r="B570" s="1" t="str">
        <f>IFERROR(__xludf.DUMMYFUNCTION("""COMPUTED_VALUE"""),"Shruti")</f>
        <v>Shruti</v>
      </c>
      <c r="C570" s="1" t="str">
        <f>IFERROR(__xludf.DUMMYFUNCTION("""COMPUTED_VALUE"""),"+2018758869")</f>
        <v>+2018758869</v>
      </c>
      <c r="D570" s="1">
        <f>IFERROR(__xludf.DUMMYFUNCTION("""COMPUTED_VALUE"""),2.0)</f>
        <v>2</v>
      </c>
      <c r="E570" s="3">
        <f>IFERROR(__xludf.DUMMYFUNCTION("""COMPUTED_VALUE"""),0.6875)</f>
        <v>0.6875</v>
      </c>
      <c r="F570" s="1" t="str">
        <f>IFERROR(__xludf.DUMMYFUNCTION("""COMPUTED_VALUE"""),"Diamond")</f>
        <v>Diamond</v>
      </c>
      <c r="G570" s="1" t="str">
        <f>IFERROR(__xludf.DUMMYFUNCTION("""COMPUTED_VALUE"""),"Preeti")</f>
        <v>Preeti</v>
      </c>
      <c r="H570" s="1" t="str">
        <f>IFERROR(__xludf.DUMMYFUNCTION("""COMPUTED_VALUE"""),"Diamond solitaire ring")</f>
        <v>Diamond solitaire ring</v>
      </c>
      <c r="I570" s="1"/>
      <c r="J570" s="1"/>
      <c r="K570" s="3">
        <f>IFERROR(__xludf.DUMMYFUNCTION("""COMPUTED_VALUE"""),0.7722222222218988)</f>
        <v>0.7722222222</v>
      </c>
      <c r="L570" s="1" t="str">
        <f>IFERROR(__xludf.DUMMYFUNCTION("""COMPUTED_VALUE"""),"Yes")</f>
        <v>Yes</v>
      </c>
      <c r="M570" s="1" t="str">
        <f>IFERROR(__xludf.DUMMYFUNCTION("""COMPUTED_VALUE"""),"Already done ")</f>
        <v>Already done </v>
      </c>
      <c r="N570" s="1" t="str">
        <f>IFERROR(__xludf.DUMMYFUNCTION("""COMPUTED_VALUE"""),"Already done ")</f>
        <v>Already done </v>
      </c>
      <c r="O570" s="1" t="str">
        <f>IFERROR(__xludf.DUMMYFUNCTION("""COMPUTED_VALUE"""),"WA ONLY, CALL")</f>
        <v>WA ONLY, CALL</v>
      </c>
      <c r="P570" s="1" t="str">
        <f>IFERROR(__xludf.DUMMYFUNCTION("""COMPUTED_VALUE"""),"Madam")</f>
        <v>Madam</v>
      </c>
      <c r="Q570" s="1" t="str">
        <f>IFERROR(__xludf.DUMMYFUNCTION("""COMPUTED_VALUE"""),"No")</f>
        <v>No</v>
      </c>
      <c r="R570" s="1" t="str">
        <f>IFERROR(__xludf.DUMMYFUNCTION("""COMPUTED_VALUE"""),"OLD")</f>
        <v>OLD</v>
      </c>
      <c r="S570" s="1"/>
    </row>
    <row r="571">
      <c r="A571" s="2">
        <f>IFERROR(__xludf.DUMMYFUNCTION("""COMPUTED_VALUE"""),45527.825596759256)</f>
        <v>45527.8256</v>
      </c>
      <c r="B571" s="1" t="str">
        <f>IFERROR(__xludf.DUMMYFUNCTION("""COMPUTED_VALUE"""),"Dhiraj bhalla")</f>
        <v>Dhiraj bhalla</v>
      </c>
      <c r="C571" s="1">
        <f>IFERROR(__xludf.DUMMYFUNCTION("""COMPUTED_VALUE"""),8.375069085E9)</f>
        <v>8375069085</v>
      </c>
      <c r="D571" s="1">
        <f>IFERROR(__xludf.DUMMYFUNCTION("""COMPUTED_VALUE"""),1.0)</f>
        <v>1</v>
      </c>
      <c r="E571" s="3">
        <f>IFERROR(__xludf.DUMMYFUNCTION("""COMPUTED_VALUE"""),0.75)</f>
        <v>0.75</v>
      </c>
      <c r="F571" s="1" t="str">
        <f>IFERROR(__xludf.DUMMYFUNCTION("""COMPUTED_VALUE"""),"Diamond")</f>
        <v>Diamond</v>
      </c>
      <c r="G571" s="1" t="str">
        <f>IFERROR(__xludf.DUMMYFUNCTION("""COMPUTED_VALUE"""),"Preeti")</f>
        <v>Preeti</v>
      </c>
      <c r="H571" s="1"/>
      <c r="I571" s="1" t="str">
        <f>IFERROR(__xludf.DUMMYFUNCTION("""COMPUTED_VALUE"""),"Visit again tomorrow ")</f>
        <v>Visit again tomorrow </v>
      </c>
      <c r="J571" s="1"/>
      <c r="K571" s="3">
        <f>IFERROR(__xludf.DUMMYFUNCTION("""COMPUTED_VALUE"""),0.7951388888905058)</f>
        <v>0.7951388889</v>
      </c>
      <c r="L571" s="1" t="str">
        <f>IFERROR(__xludf.DUMMYFUNCTION("""COMPUTED_VALUE"""),"Yes")</f>
        <v>Yes</v>
      </c>
      <c r="M571" s="1" t="str">
        <f>IFERROR(__xludf.DUMMYFUNCTION("""COMPUTED_VALUE"""),"Already done ")</f>
        <v>Already done </v>
      </c>
      <c r="N571" s="1" t="str">
        <f>IFERROR(__xludf.DUMMYFUNCTION("""COMPUTED_VALUE"""),"Already done ")</f>
        <v>Already done </v>
      </c>
      <c r="O571" s="1" t="str">
        <f>IFERROR(__xludf.DUMMYFUNCTION("""COMPUTED_VALUE"""),"WA ONLY, CALL")</f>
        <v>WA ONLY, CALL</v>
      </c>
      <c r="P571" s="1" t="str">
        <f>IFERROR(__xludf.DUMMYFUNCTION("""COMPUTED_VALUE"""),"Sir")</f>
        <v>Sir</v>
      </c>
      <c r="Q571" s="1" t="str">
        <f>IFERROR(__xludf.DUMMYFUNCTION("""COMPUTED_VALUE"""),"No")</f>
        <v>No</v>
      </c>
      <c r="R571" s="1" t="str">
        <f>IFERROR(__xludf.DUMMYFUNCTION("""COMPUTED_VALUE"""),"OLD")</f>
        <v>OLD</v>
      </c>
      <c r="S571" s="1"/>
    </row>
    <row r="572">
      <c r="A572" s="2">
        <f>IFERROR(__xludf.DUMMYFUNCTION("""COMPUTED_VALUE"""),45527.827097870366)</f>
        <v>45527.8271</v>
      </c>
      <c r="B572" s="1" t="str">
        <f>IFERROR(__xludf.DUMMYFUNCTION("""COMPUTED_VALUE"""),"Rizwana")</f>
        <v>Rizwana</v>
      </c>
      <c r="C572" s="1">
        <f>IFERROR(__xludf.DUMMYFUNCTION("""COMPUTED_VALUE"""),7.834954915E9)</f>
        <v>7834954915</v>
      </c>
      <c r="D572" s="1">
        <f>IFERROR(__xludf.DUMMYFUNCTION("""COMPUTED_VALUE"""),1.0)</f>
        <v>1</v>
      </c>
      <c r="E572" s="3">
        <f>IFERROR(__xludf.DUMMYFUNCTION("""COMPUTED_VALUE"""),0.7708333333357587)</f>
        <v>0.7708333333</v>
      </c>
      <c r="F572" s="1" t="str">
        <f>IFERROR(__xludf.DUMMYFUNCTION("""COMPUTED_VALUE"""),"Plain Gold")</f>
        <v>Plain Gold</v>
      </c>
      <c r="G572" s="1" t="str">
        <f>IFERROR(__xludf.DUMMYFUNCTION("""COMPUTED_VALUE"""),"Neetu")</f>
        <v>Neetu</v>
      </c>
      <c r="H572" s="1" t="str">
        <f>IFERROR(__xludf.DUMMYFUNCTION("""COMPUTED_VALUE"""),"Gold tops")</f>
        <v>Gold tops</v>
      </c>
      <c r="I572" s="1"/>
      <c r="J572" s="1"/>
      <c r="K572" s="3">
        <f>IFERROR(__xludf.DUMMYFUNCTION("""COMPUTED_VALUE"""),0.797222222223354)</f>
        <v>0.7972222222</v>
      </c>
      <c r="L572" s="1" t="str">
        <f>IFERROR(__xludf.DUMMYFUNCTION("""COMPUTED_VALUE"""),"Yes")</f>
        <v>Yes</v>
      </c>
      <c r="M572" s="1" t="str">
        <f>IFERROR(__xludf.DUMMYFUNCTION("""COMPUTED_VALUE"""),"Yes")</f>
        <v>Yes</v>
      </c>
      <c r="N572" s="1" t="str">
        <f>IFERROR(__xludf.DUMMYFUNCTION("""COMPUTED_VALUE"""),"Not use")</f>
        <v>Not use</v>
      </c>
      <c r="O572" s="1" t="str">
        <f>IFERROR(__xludf.DUMMYFUNCTION("""COMPUTED_VALUE"""),"WA ONLY, CALL")</f>
        <v>WA ONLY, CALL</v>
      </c>
      <c r="P572" s="1" t="str">
        <f>IFERROR(__xludf.DUMMYFUNCTION("""COMPUTED_VALUE"""),"Madam")</f>
        <v>Madam</v>
      </c>
      <c r="Q572" s="1" t="str">
        <f>IFERROR(__xludf.DUMMYFUNCTION("""COMPUTED_VALUE"""),"No")</f>
        <v>No</v>
      </c>
      <c r="R572" s="1" t="str">
        <f>IFERROR(__xludf.DUMMYFUNCTION("""COMPUTED_VALUE"""),"NEW WALK IN")</f>
        <v>NEW WALK IN</v>
      </c>
      <c r="S572" s="1"/>
    </row>
    <row r="573">
      <c r="A573" s="2">
        <f>IFERROR(__xludf.DUMMYFUNCTION("""COMPUTED_VALUE"""),45527.83319521991)</f>
        <v>45527.8332</v>
      </c>
      <c r="B573" s="1" t="str">
        <f>IFERROR(__xludf.DUMMYFUNCTION("""COMPUTED_VALUE"""),"Bhawna")</f>
        <v>Bhawna</v>
      </c>
      <c r="C573" s="1">
        <f>IFERROR(__xludf.DUMMYFUNCTION("""COMPUTED_VALUE"""),9.582142278E9)</f>
        <v>9582142278</v>
      </c>
      <c r="D573" s="1">
        <f>IFERROR(__xludf.DUMMYFUNCTION("""COMPUTED_VALUE"""),2.0)</f>
        <v>2</v>
      </c>
      <c r="E573" s="3">
        <f>IFERROR(__xludf.DUMMYFUNCTION("""COMPUTED_VALUE"""),0.7604166666642413)</f>
        <v>0.7604166667</v>
      </c>
      <c r="F573" s="1" t="str">
        <f>IFERROR(__xludf.DUMMYFUNCTION("""COMPUTED_VALUE"""),"Antique Gold")</f>
        <v>Antique Gold</v>
      </c>
      <c r="G573" s="1" t="str">
        <f>IFERROR(__xludf.DUMMYFUNCTION("""COMPUTED_VALUE"""),"Chhaya")</f>
        <v>Chhaya</v>
      </c>
      <c r="H573" s="1" t="str">
        <f>IFERROR(__xludf.DUMMYFUNCTION("""COMPUTED_VALUE"""),"Diamond pendent set ")</f>
        <v>Diamond pendent set </v>
      </c>
      <c r="I573" s="1"/>
      <c r="J573" s="1"/>
      <c r="K573" s="3">
        <f>IFERROR(__xludf.DUMMYFUNCTION("""COMPUTED_VALUE"""),0.8402777777810115)</f>
        <v>0.8402777778</v>
      </c>
      <c r="L573" s="1" t="str">
        <f>IFERROR(__xludf.DUMMYFUNCTION("""COMPUTED_VALUE"""),"Yes")</f>
        <v>Yes</v>
      </c>
      <c r="M573" s="1" t="str">
        <f>IFERROR(__xludf.DUMMYFUNCTION("""COMPUTED_VALUE"""),"Already done ")</f>
        <v>Already done </v>
      </c>
      <c r="N573" s="1" t="str">
        <f>IFERROR(__xludf.DUMMYFUNCTION("""COMPUTED_VALUE"""),"Already done ")</f>
        <v>Already done </v>
      </c>
      <c r="O573" s="1" t="str">
        <f>IFERROR(__xludf.DUMMYFUNCTION("""COMPUTED_VALUE"""),"WA ONLY, CALL")</f>
        <v>WA ONLY, CALL</v>
      </c>
      <c r="P573" s="1" t="str">
        <f>IFERROR(__xludf.DUMMYFUNCTION("""COMPUTED_VALUE"""),"Madam")</f>
        <v>Madam</v>
      </c>
      <c r="Q573" s="1" t="str">
        <f>IFERROR(__xludf.DUMMYFUNCTION("""COMPUTED_VALUE"""),"No")</f>
        <v>No</v>
      </c>
      <c r="R573" s="1" t="str">
        <f>IFERROR(__xludf.DUMMYFUNCTION("""COMPUTED_VALUE"""),"OLD")</f>
        <v>OLD</v>
      </c>
      <c r="S573" s="1"/>
    </row>
    <row r="574">
      <c r="A574" s="2">
        <f>IFERROR(__xludf.DUMMYFUNCTION("""COMPUTED_VALUE"""),45528.785104270835)</f>
        <v>45528.7851</v>
      </c>
      <c r="B574" s="1" t="str">
        <f>IFERROR(__xludf.DUMMYFUNCTION("""COMPUTED_VALUE"""),"Pooja gupta")</f>
        <v>Pooja gupta</v>
      </c>
      <c r="C574" s="1">
        <f>IFERROR(__xludf.DUMMYFUNCTION("""COMPUTED_VALUE"""),9.810795881E9)</f>
        <v>9810795881</v>
      </c>
      <c r="D574" s="1">
        <f>IFERROR(__xludf.DUMMYFUNCTION("""COMPUTED_VALUE"""),2.0)</f>
        <v>2</v>
      </c>
      <c r="E574" s="3">
        <f>IFERROR(__xludf.DUMMYFUNCTION("""COMPUTED_VALUE"""),0.5625)</f>
        <v>0.5625</v>
      </c>
      <c r="F574" s="1" t="str">
        <f>IFERROR(__xludf.DUMMYFUNCTION("""COMPUTED_VALUE"""),"Antique Gold")</f>
        <v>Antique Gold</v>
      </c>
      <c r="G574" s="1" t="str">
        <f>IFERROR(__xludf.DUMMYFUNCTION("""COMPUTED_VALUE"""),"Pooja")</f>
        <v>Pooja</v>
      </c>
      <c r="H574" s="1"/>
      <c r="I574" s="1" t="str">
        <f>IFERROR(__xludf.DUMMYFUNCTION("""COMPUTED_VALUE"""),"Repair gold jewellery ")</f>
        <v>Repair gold jewellery </v>
      </c>
      <c r="J574" s="1"/>
      <c r="K574" s="3">
        <f>IFERROR(__xludf.DUMMYFUNCTION("""COMPUTED_VALUE"""),0.6458333333357587)</f>
        <v>0.6458333333</v>
      </c>
      <c r="L574" s="1" t="str">
        <f>IFERROR(__xludf.DUMMYFUNCTION("""COMPUTED_VALUE"""),"Yes")</f>
        <v>Yes</v>
      </c>
      <c r="M574" s="1" t="str">
        <f>IFERROR(__xludf.DUMMYFUNCTION("""COMPUTED_VALUE"""),"Already done ")</f>
        <v>Already done </v>
      </c>
      <c r="N574" s="1" t="str">
        <f>IFERROR(__xludf.DUMMYFUNCTION("""COMPUTED_VALUE"""),"Already done ")</f>
        <v>Already done </v>
      </c>
      <c r="O574" s="1" t="str">
        <f>IFERROR(__xludf.DUMMYFUNCTION("""COMPUTED_VALUE"""),"WA ONLY, CALL")</f>
        <v>WA ONLY, CALL</v>
      </c>
      <c r="P574" s="1" t="str">
        <f>IFERROR(__xludf.DUMMYFUNCTION("""COMPUTED_VALUE"""),"Madam")</f>
        <v>Madam</v>
      </c>
      <c r="Q574" s="1" t="str">
        <f>IFERROR(__xludf.DUMMYFUNCTION("""COMPUTED_VALUE"""),"No")</f>
        <v>No</v>
      </c>
      <c r="R574" s="1" t="str">
        <f>IFERROR(__xludf.DUMMYFUNCTION("""COMPUTED_VALUE"""),"OLD")</f>
        <v>OLD</v>
      </c>
      <c r="S574" s="1"/>
    </row>
    <row r="575">
      <c r="A575" s="2">
        <f>IFERROR(__xludf.DUMMYFUNCTION("""COMPUTED_VALUE"""),45528.78610878473)</f>
        <v>45528.78611</v>
      </c>
      <c r="B575" s="1" t="str">
        <f>IFERROR(__xludf.DUMMYFUNCTION("""COMPUTED_VALUE"""),"Dikshi")</f>
        <v>Dikshi</v>
      </c>
      <c r="C575" s="1">
        <f>IFERROR(__xludf.DUMMYFUNCTION("""COMPUTED_VALUE"""),9.953161016E9)</f>
        <v>9953161016</v>
      </c>
      <c r="D575" s="1">
        <f>IFERROR(__xludf.DUMMYFUNCTION("""COMPUTED_VALUE"""),5.0)</f>
        <v>5</v>
      </c>
      <c r="E575" s="3">
        <f>IFERROR(__xludf.DUMMYFUNCTION("""COMPUTED_VALUE"""),0.6041666666642413)</f>
        <v>0.6041666667</v>
      </c>
      <c r="F575" s="1" t="str">
        <f>IFERROR(__xludf.DUMMYFUNCTION("""COMPUTED_VALUE"""),"Diamond")</f>
        <v>Diamond</v>
      </c>
      <c r="G575" s="1" t="str">
        <f>IFERROR(__xludf.DUMMYFUNCTION("""COMPUTED_VALUE"""),"Chhaya")</f>
        <v>Chhaya</v>
      </c>
      <c r="H575" s="1" t="str">
        <f>IFERROR(__xludf.DUMMYFUNCTION("""COMPUTED_VALUE"""),"Diamond set")</f>
        <v>Diamond set</v>
      </c>
      <c r="I575" s="1"/>
      <c r="J575" s="1"/>
      <c r="K575" s="3">
        <f>IFERROR(__xludf.DUMMYFUNCTION("""COMPUTED_VALUE"""),0.7847222222189885)</f>
        <v>0.7847222222</v>
      </c>
      <c r="L575" s="1" t="str">
        <f>IFERROR(__xludf.DUMMYFUNCTION("""COMPUTED_VALUE"""),"Yes")</f>
        <v>Yes</v>
      </c>
      <c r="M575" s="1" t="str">
        <f>IFERROR(__xludf.DUMMYFUNCTION("""COMPUTED_VALUE"""),"Already done ")</f>
        <v>Already done </v>
      </c>
      <c r="N575" s="1" t="str">
        <f>IFERROR(__xludf.DUMMYFUNCTION("""COMPUTED_VALUE"""),"Already done ")</f>
        <v>Already done </v>
      </c>
      <c r="O575" s="1" t="str">
        <f>IFERROR(__xludf.DUMMYFUNCTION("""COMPUTED_VALUE"""),"WA ONLY, CALL")</f>
        <v>WA ONLY, CALL</v>
      </c>
      <c r="P575" s="1" t="str">
        <f>IFERROR(__xludf.DUMMYFUNCTION("""COMPUTED_VALUE"""),"Madam")</f>
        <v>Madam</v>
      </c>
      <c r="Q575" s="1" t="str">
        <f>IFERROR(__xludf.DUMMYFUNCTION("""COMPUTED_VALUE"""),"No")</f>
        <v>No</v>
      </c>
      <c r="R575" s="1" t="str">
        <f>IFERROR(__xludf.DUMMYFUNCTION("""COMPUTED_VALUE"""),"OLD")</f>
        <v>OLD</v>
      </c>
      <c r="S575" s="1"/>
    </row>
    <row r="576">
      <c r="A576" s="2">
        <f>IFERROR(__xludf.DUMMYFUNCTION("""COMPUTED_VALUE"""),45528.82192015046)</f>
        <v>45528.82192</v>
      </c>
      <c r="B576" s="1" t="str">
        <f>IFERROR(__xludf.DUMMYFUNCTION("""COMPUTED_VALUE"""),"Sohali")</f>
        <v>Sohali</v>
      </c>
      <c r="C576" s="1">
        <f>IFERROR(__xludf.DUMMYFUNCTION("""COMPUTED_VALUE"""),9.792691959E9)</f>
        <v>9792691959</v>
      </c>
      <c r="D576" s="1">
        <f>IFERROR(__xludf.DUMMYFUNCTION("""COMPUTED_VALUE"""),2.0)</f>
        <v>2</v>
      </c>
      <c r="E576" s="3">
        <f>IFERROR(__xludf.DUMMYFUNCTION("""COMPUTED_VALUE"""),0.7708333333357587)</f>
        <v>0.7708333333</v>
      </c>
      <c r="F576" s="1" t="str">
        <f>IFERROR(__xludf.DUMMYFUNCTION("""COMPUTED_VALUE"""),"Plain Gold")</f>
        <v>Plain Gold</v>
      </c>
      <c r="G576" s="1" t="str">
        <f>IFERROR(__xludf.DUMMYFUNCTION("""COMPUTED_VALUE"""),"Pooja")</f>
        <v>Pooja</v>
      </c>
      <c r="H576" s="1" t="str">
        <f>IFERROR(__xludf.DUMMYFUNCTION("""COMPUTED_VALUE"""),"Gold set")</f>
        <v>Gold set</v>
      </c>
      <c r="I576" s="1"/>
      <c r="J576" s="1"/>
      <c r="K576" s="3">
        <f>IFERROR(__xludf.DUMMYFUNCTION("""COMPUTED_VALUE"""),0.8159722222189885)</f>
        <v>0.8159722222</v>
      </c>
      <c r="L576" s="1" t="str">
        <f>IFERROR(__xludf.DUMMYFUNCTION("""COMPUTED_VALUE"""),"Yes")</f>
        <v>Yes</v>
      </c>
      <c r="M576" s="1" t="str">
        <f>IFERROR(__xludf.DUMMYFUNCTION("""COMPUTED_VALUE"""),"Already done ")</f>
        <v>Already done </v>
      </c>
      <c r="N576" s="1" t="str">
        <f>IFERROR(__xludf.DUMMYFUNCTION("""COMPUTED_VALUE"""),"Already done ")</f>
        <v>Already done </v>
      </c>
      <c r="O576" s="1" t="str">
        <f>IFERROR(__xludf.DUMMYFUNCTION("""COMPUTED_VALUE"""),"WA ONLY, CALL")</f>
        <v>WA ONLY, CALL</v>
      </c>
      <c r="P576" s="1" t="str">
        <f>IFERROR(__xludf.DUMMYFUNCTION("""COMPUTED_VALUE"""),"Madam")</f>
        <v>Madam</v>
      </c>
      <c r="Q576" s="1" t="str">
        <f>IFERROR(__xludf.DUMMYFUNCTION("""COMPUTED_VALUE"""),"No")</f>
        <v>No</v>
      </c>
      <c r="R576" s="1" t="str">
        <f>IFERROR(__xludf.DUMMYFUNCTION("""COMPUTED_VALUE"""),"OLD")</f>
        <v>OLD</v>
      </c>
      <c r="S576" s="1"/>
    </row>
    <row r="577">
      <c r="A577" s="2">
        <f>IFERROR(__xludf.DUMMYFUNCTION("""COMPUTED_VALUE"""),45529.776427453704)</f>
        <v>45529.77643</v>
      </c>
      <c r="B577" s="1" t="str">
        <f>IFERROR(__xludf.DUMMYFUNCTION("""COMPUTED_VALUE"""),"Sunita gupta ")</f>
        <v>Sunita gupta </v>
      </c>
      <c r="C577" s="1">
        <f>IFERROR(__xludf.DUMMYFUNCTION("""COMPUTED_VALUE"""),8.700269637E9)</f>
        <v>8700269637</v>
      </c>
      <c r="D577" s="1">
        <f>IFERROR(__xludf.DUMMYFUNCTION("""COMPUTED_VALUE"""),3.0)</f>
        <v>3</v>
      </c>
      <c r="E577" s="3">
        <f>IFERROR(__xludf.DUMMYFUNCTION("""COMPUTED_VALUE"""),0.625)</f>
        <v>0.625</v>
      </c>
      <c r="F577" s="1" t="str">
        <f>IFERROR(__xludf.DUMMYFUNCTION("""COMPUTED_VALUE"""),"Diamond")</f>
        <v>Diamond</v>
      </c>
      <c r="G577" s="1" t="str">
        <f>IFERROR(__xludf.DUMMYFUNCTION("""COMPUTED_VALUE"""),"Preeti")</f>
        <v>Preeti</v>
      </c>
      <c r="H577" s="1"/>
      <c r="I577" s="1" t="str">
        <f>IFERROR(__xludf.DUMMYFUNCTION("""COMPUTED_VALUE"""),"Join celebration ")</f>
        <v>Join celebration </v>
      </c>
      <c r="J577" s="1"/>
      <c r="K577" s="3">
        <f>IFERROR(__xludf.DUMMYFUNCTION("""COMPUTED_VALUE"""),0.6770833333357587)</f>
        <v>0.6770833333</v>
      </c>
      <c r="L577" s="1" t="str">
        <f>IFERROR(__xludf.DUMMYFUNCTION("""COMPUTED_VALUE"""),"Yes")</f>
        <v>Yes</v>
      </c>
      <c r="M577" s="1" t="str">
        <f>IFERROR(__xludf.DUMMYFUNCTION("""COMPUTED_VALUE"""),"Already done ")</f>
        <v>Already done </v>
      </c>
      <c r="N577" s="1" t="str">
        <f>IFERROR(__xludf.DUMMYFUNCTION("""COMPUTED_VALUE"""),"Already done ")</f>
        <v>Already done </v>
      </c>
      <c r="O577" s="1" t="str">
        <f>IFERROR(__xludf.DUMMYFUNCTION("""COMPUTED_VALUE"""),"WA ONLY, CALL")</f>
        <v>WA ONLY, CALL</v>
      </c>
      <c r="P577" s="1" t="str">
        <f>IFERROR(__xludf.DUMMYFUNCTION("""COMPUTED_VALUE"""),"Madam")</f>
        <v>Madam</v>
      </c>
      <c r="Q577" s="1"/>
      <c r="R577" s="1" t="str">
        <f>IFERROR(__xludf.DUMMYFUNCTION("""COMPUTED_VALUE"""),"OLD")</f>
        <v>OLD</v>
      </c>
      <c r="S577" s="1"/>
    </row>
    <row r="578">
      <c r="A578" s="2">
        <f>IFERROR(__xludf.DUMMYFUNCTION("""COMPUTED_VALUE"""),45529.77742373843)</f>
        <v>45529.77742</v>
      </c>
      <c r="B578" s="1" t="str">
        <f>IFERROR(__xludf.DUMMYFUNCTION("""COMPUTED_VALUE"""),"Vaishali")</f>
        <v>Vaishali</v>
      </c>
      <c r="C578" s="1">
        <f>IFERROR(__xludf.DUMMYFUNCTION("""COMPUTED_VALUE"""),9.871758037E9)</f>
        <v>9871758037</v>
      </c>
      <c r="D578" s="1">
        <f>IFERROR(__xludf.DUMMYFUNCTION("""COMPUTED_VALUE"""),4.0)</f>
        <v>4</v>
      </c>
      <c r="E578" s="3">
        <f>IFERROR(__xludf.DUMMYFUNCTION("""COMPUTED_VALUE"""),0.5833333333357587)</f>
        <v>0.5833333333</v>
      </c>
      <c r="F578" s="1" t="str">
        <f>IFERROR(__xludf.DUMMYFUNCTION("""COMPUTED_VALUE"""),"Plain Gold")</f>
        <v>Plain Gold</v>
      </c>
      <c r="G578" s="1" t="str">
        <f>IFERROR(__xludf.DUMMYFUNCTION("""COMPUTED_VALUE"""),"Neetu")</f>
        <v>Neetu</v>
      </c>
      <c r="H578" s="1" t="str">
        <f>IFERROR(__xludf.DUMMYFUNCTION("""COMPUTED_VALUE"""),"Gold pendent ")</f>
        <v>Gold pendent </v>
      </c>
      <c r="I578" s="1"/>
      <c r="J578" s="1"/>
      <c r="K578" s="3">
        <f>IFERROR(__xludf.DUMMYFUNCTION("""COMPUTED_VALUE"""),0.702777777776646)</f>
        <v>0.7027777778</v>
      </c>
      <c r="L578" s="1" t="str">
        <f>IFERROR(__xludf.DUMMYFUNCTION("""COMPUTED_VALUE"""),"Yes")</f>
        <v>Yes</v>
      </c>
      <c r="M578" s="1" t="str">
        <f>IFERROR(__xludf.DUMMYFUNCTION("""COMPUTED_VALUE"""),"Already done ")</f>
        <v>Already done </v>
      </c>
      <c r="N578" s="1" t="str">
        <f>IFERROR(__xludf.DUMMYFUNCTION("""COMPUTED_VALUE"""),"Already done ")</f>
        <v>Already done </v>
      </c>
      <c r="O578" s="1" t="str">
        <f>IFERROR(__xludf.DUMMYFUNCTION("""COMPUTED_VALUE"""),"WA ONLY, CALL")</f>
        <v>WA ONLY, CALL</v>
      </c>
      <c r="P578" s="1" t="str">
        <f>IFERROR(__xludf.DUMMYFUNCTION("""COMPUTED_VALUE"""),"Madam")</f>
        <v>Madam</v>
      </c>
      <c r="Q578" s="1" t="str">
        <f>IFERROR(__xludf.DUMMYFUNCTION("""COMPUTED_VALUE"""),"No")</f>
        <v>No</v>
      </c>
      <c r="R578" s="1" t="str">
        <f>IFERROR(__xludf.DUMMYFUNCTION("""COMPUTED_VALUE"""),"OLD")</f>
        <v>OLD</v>
      </c>
      <c r="S578" s="1"/>
    </row>
    <row r="579">
      <c r="A579" s="2">
        <f>IFERROR(__xludf.DUMMYFUNCTION("""COMPUTED_VALUE"""),45529.77818032407)</f>
        <v>45529.77818</v>
      </c>
      <c r="B579" s="1" t="str">
        <f>IFERROR(__xludf.DUMMYFUNCTION("""COMPUTED_VALUE"""),"Shruti")</f>
        <v>Shruti</v>
      </c>
      <c r="C579" s="1" t="str">
        <f>IFERROR(__xludf.DUMMYFUNCTION("""COMPUTED_VALUE"""),"+2018758869")</f>
        <v>+2018758869</v>
      </c>
      <c r="D579" s="1">
        <f>IFERROR(__xludf.DUMMYFUNCTION("""COMPUTED_VALUE"""),2.0)</f>
        <v>2</v>
      </c>
      <c r="E579" s="3">
        <f>IFERROR(__xludf.DUMMYFUNCTION("""COMPUTED_VALUE"""),0.6076388888905058)</f>
        <v>0.6076388889</v>
      </c>
      <c r="F579" s="1" t="str">
        <f>IFERROR(__xludf.DUMMYFUNCTION("""COMPUTED_VALUE"""),"Diamond")</f>
        <v>Diamond</v>
      </c>
      <c r="G579" s="1" t="str">
        <f>IFERROR(__xludf.DUMMYFUNCTION("""COMPUTED_VALUE"""),"Preeti")</f>
        <v>Preeti</v>
      </c>
      <c r="H579" s="1"/>
      <c r="I579" s="1" t="str">
        <f>IFERROR(__xludf.DUMMYFUNCTION("""COMPUTED_VALUE"""),"Pick up Order")</f>
        <v>Pick up Order</v>
      </c>
      <c r="J579" s="1"/>
      <c r="K579" s="3">
        <f>IFERROR(__xludf.DUMMYFUNCTION("""COMPUTED_VALUE"""),0.6076388888905058)</f>
        <v>0.6076388889</v>
      </c>
      <c r="L579" s="1" t="str">
        <f>IFERROR(__xludf.DUMMYFUNCTION("""COMPUTED_VALUE"""),"Yes")</f>
        <v>Yes</v>
      </c>
      <c r="M579" s="1" t="str">
        <f>IFERROR(__xludf.DUMMYFUNCTION("""COMPUTED_VALUE"""),"Already done ")</f>
        <v>Already done </v>
      </c>
      <c r="N579" s="1" t="str">
        <f>IFERROR(__xludf.DUMMYFUNCTION("""COMPUTED_VALUE"""),"Already done ")</f>
        <v>Already done </v>
      </c>
      <c r="O579" s="1" t="str">
        <f>IFERROR(__xludf.DUMMYFUNCTION("""COMPUTED_VALUE"""),"WA ONLY, CALL")</f>
        <v>WA ONLY, CALL</v>
      </c>
      <c r="P579" s="1" t="str">
        <f>IFERROR(__xludf.DUMMYFUNCTION("""COMPUTED_VALUE"""),"Madam")</f>
        <v>Madam</v>
      </c>
      <c r="Q579" s="1" t="str">
        <f>IFERROR(__xludf.DUMMYFUNCTION("""COMPUTED_VALUE"""),"No")</f>
        <v>No</v>
      </c>
      <c r="R579" s="1" t="str">
        <f>IFERROR(__xludf.DUMMYFUNCTION("""COMPUTED_VALUE"""),"OLD")</f>
        <v>OLD</v>
      </c>
      <c r="S579" s="1"/>
    </row>
    <row r="580">
      <c r="A580" s="2">
        <f>IFERROR(__xludf.DUMMYFUNCTION("""COMPUTED_VALUE"""),45529.78965549769)</f>
        <v>45529.78966</v>
      </c>
      <c r="B580" s="1" t="str">
        <f>IFERROR(__xludf.DUMMYFUNCTION("""COMPUTED_VALUE"""),"Sarvik")</f>
        <v>Sarvik</v>
      </c>
      <c r="C580" s="1">
        <f>IFERROR(__xludf.DUMMYFUNCTION("""COMPUTED_VALUE"""),9.818132387E9)</f>
        <v>9818132387</v>
      </c>
      <c r="D580" s="1">
        <f>IFERROR(__xludf.DUMMYFUNCTION("""COMPUTED_VALUE"""),2.0)</f>
        <v>2</v>
      </c>
      <c r="E580" s="3">
        <f>IFERROR(__xludf.DUMMYFUNCTION("""COMPUTED_VALUE"""),0.6666666666642413)</f>
        <v>0.6666666667</v>
      </c>
      <c r="F580" s="1" t="str">
        <f>IFERROR(__xludf.DUMMYFUNCTION("""COMPUTED_VALUE"""),"Antique Gold")</f>
        <v>Antique Gold</v>
      </c>
      <c r="G580" s="1" t="str">
        <f>IFERROR(__xludf.DUMMYFUNCTION("""COMPUTED_VALUE"""),"Chhaya")</f>
        <v>Chhaya</v>
      </c>
      <c r="H580" s="1"/>
      <c r="I580" s="1" t="str">
        <f>IFERROR(__xludf.DUMMYFUNCTION("""COMPUTED_VALUE"""),"Visit Again in 1 Month")</f>
        <v>Visit Again in 1 Month</v>
      </c>
      <c r="J580" s="1"/>
      <c r="K580" s="3">
        <f>IFERROR(__xludf.DUMMYFUNCTION("""COMPUTED_VALUE"""),0.7201388888934162)</f>
        <v>0.7201388889</v>
      </c>
      <c r="L580" s="1" t="str">
        <f>IFERROR(__xludf.DUMMYFUNCTION("""COMPUTED_VALUE"""),"Yes")</f>
        <v>Yes</v>
      </c>
      <c r="M580" s="1" t="str">
        <f>IFERROR(__xludf.DUMMYFUNCTION("""COMPUTED_VALUE"""),"No")</f>
        <v>No</v>
      </c>
      <c r="N580" s="1" t="str">
        <f>IFERROR(__xludf.DUMMYFUNCTION("""COMPUTED_VALUE"""),"No")</f>
        <v>No</v>
      </c>
      <c r="O580" s="1" t="str">
        <f>IFERROR(__xludf.DUMMYFUNCTION("""COMPUTED_VALUE"""),"WA ONLY, CALL")</f>
        <v>WA ONLY, CALL</v>
      </c>
      <c r="P580" s="1" t="str">
        <f>IFERROR(__xludf.DUMMYFUNCTION("""COMPUTED_VALUE"""),"Madam")</f>
        <v>Madam</v>
      </c>
      <c r="Q580" s="1" t="str">
        <f>IFERROR(__xludf.DUMMYFUNCTION("""COMPUTED_VALUE"""),"No")</f>
        <v>No</v>
      </c>
      <c r="R580" s="1" t="str">
        <f>IFERROR(__xludf.DUMMYFUNCTION("""COMPUTED_VALUE"""),"NEW WALK IN")</f>
        <v>NEW WALK IN</v>
      </c>
      <c r="S580" s="1"/>
    </row>
    <row r="581">
      <c r="A581" s="2">
        <f>IFERROR(__xludf.DUMMYFUNCTION("""COMPUTED_VALUE"""),45529.79729773148)</f>
        <v>45529.7973</v>
      </c>
      <c r="B581" s="1" t="str">
        <f>IFERROR(__xludf.DUMMYFUNCTION("""COMPUTED_VALUE"""),"Anjali")</f>
        <v>Anjali</v>
      </c>
      <c r="C581" s="1">
        <f>IFERROR(__xludf.DUMMYFUNCTION("""COMPUTED_VALUE"""),7.86974689E9)</f>
        <v>7869746890</v>
      </c>
      <c r="D581" s="1">
        <f>IFERROR(__xludf.DUMMYFUNCTION("""COMPUTED_VALUE"""),3.0)</f>
        <v>3</v>
      </c>
      <c r="E581" s="3">
        <f>IFERROR(__xludf.DUMMYFUNCTION("""COMPUTED_VALUE"""),0.7326388888905058)</f>
        <v>0.7326388889</v>
      </c>
      <c r="F581" s="1" t="str">
        <f>IFERROR(__xludf.DUMMYFUNCTION("""COMPUTED_VALUE"""),"Plain Gold")</f>
        <v>Plain Gold</v>
      </c>
      <c r="G581" s="1" t="str">
        <f>IFERROR(__xludf.DUMMYFUNCTION("""COMPUTED_VALUE"""),"Neetu")</f>
        <v>Neetu</v>
      </c>
      <c r="H581" s="1"/>
      <c r="I581" s="1" t="str">
        <f>IFERROR(__xludf.DUMMYFUNCTION("""COMPUTED_VALUE"""),"Want to see More Variety")</f>
        <v>Want to see More Variety</v>
      </c>
      <c r="J581" s="1"/>
      <c r="K581" s="3">
        <f>IFERROR(__xludf.DUMMYFUNCTION("""COMPUTED_VALUE"""),0.7472222222204437)</f>
        <v>0.7472222222</v>
      </c>
      <c r="L581" s="1" t="str">
        <f>IFERROR(__xludf.DUMMYFUNCTION("""COMPUTED_VALUE"""),"No")</f>
        <v>No</v>
      </c>
      <c r="M581" s="1" t="str">
        <f>IFERROR(__xludf.DUMMYFUNCTION("""COMPUTED_VALUE"""),"No")</f>
        <v>No</v>
      </c>
      <c r="N581" s="1" t="str">
        <f>IFERROR(__xludf.DUMMYFUNCTION("""COMPUTED_VALUE"""),"No")</f>
        <v>No</v>
      </c>
      <c r="O581" s="1" t="str">
        <f>IFERROR(__xludf.DUMMYFUNCTION("""COMPUTED_VALUE"""),"WA ONLY, CALL")</f>
        <v>WA ONLY, CALL</v>
      </c>
      <c r="P581" s="1" t="str">
        <f>IFERROR(__xludf.DUMMYFUNCTION("""COMPUTED_VALUE"""),"Madam")</f>
        <v>Madam</v>
      </c>
      <c r="Q581" s="1"/>
      <c r="R581" s="1" t="str">
        <f>IFERROR(__xludf.DUMMYFUNCTION("""COMPUTED_VALUE"""),"NEW WALK IN")</f>
        <v>NEW WALK IN</v>
      </c>
      <c r="S581" s="1"/>
    </row>
    <row r="582">
      <c r="A582" s="2">
        <f>IFERROR(__xludf.DUMMYFUNCTION("""COMPUTED_VALUE"""),45529.798868136575)</f>
        <v>45529.79887</v>
      </c>
      <c r="B582" s="1" t="str">
        <f>IFERROR(__xludf.DUMMYFUNCTION("""COMPUTED_VALUE"""),"Namira")</f>
        <v>Namira</v>
      </c>
      <c r="C582" s="1">
        <f>IFERROR(__xludf.DUMMYFUNCTION("""COMPUTED_VALUE"""),7.428116648E9)</f>
        <v>7428116648</v>
      </c>
      <c r="D582" s="1">
        <f>IFERROR(__xludf.DUMMYFUNCTION("""COMPUTED_VALUE"""),2.0)</f>
        <v>2</v>
      </c>
      <c r="E582" s="3">
        <f>IFERROR(__xludf.DUMMYFUNCTION("""COMPUTED_VALUE"""),0.7833333333328483)</f>
        <v>0.7833333333</v>
      </c>
      <c r="F582" s="1" t="str">
        <f>IFERROR(__xludf.DUMMYFUNCTION("""COMPUTED_VALUE"""),"Plain Gold")</f>
        <v>Plain Gold</v>
      </c>
      <c r="G582" s="1" t="str">
        <f>IFERROR(__xludf.DUMMYFUNCTION("""COMPUTED_VALUE"""),"Tannu")</f>
        <v>Tannu</v>
      </c>
      <c r="H582" s="1"/>
      <c r="I582" s="1" t="str">
        <f>IFERROR(__xludf.DUMMYFUNCTION("""COMPUTED_VALUE"""),"Visit Again in 1 Month")</f>
        <v>Visit Again in 1 Month</v>
      </c>
      <c r="J582" s="1"/>
      <c r="K582" s="3">
        <f>IFERROR(__xludf.DUMMYFUNCTION("""COMPUTED_VALUE"""),0.7895833333313931)</f>
        <v>0.7895833333</v>
      </c>
      <c r="L582" s="1" t="str">
        <f>IFERROR(__xludf.DUMMYFUNCTION("""COMPUTED_VALUE"""),"No")</f>
        <v>No</v>
      </c>
      <c r="M582" s="1" t="str">
        <f>IFERROR(__xludf.DUMMYFUNCTION("""COMPUTED_VALUE"""),"No")</f>
        <v>No</v>
      </c>
      <c r="N582" s="1" t="str">
        <f>IFERROR(__xludf.DUMMYFUNCTION("""COMPUTED_VALUE"""),"No")</f>
        <v>No</v>
      </c>
      <c r="O582" s="1" t="str">
        <f>IFERROR(__xludf.DUMMYFUNCTION("""COMPUTED_VALUE"""),"WA ONLY, CALL")</f>
        <v>WA ONLY, CALL</v>
      </c>
      <c r="P582" s="1" t="str">
        <f>IFERROR(__xludf.DUMMYFUNCTION("""COMPUTED_VALUE"""),"Madam")</f>
        <v>Madam</v>
      </c>
      <c r="Q582" s="1"/>
      <c r="R582" s="1" t="str">
        <f>IFERROR(__xludf.DUMMYFUNCTION("""COMPUTED_VALUE"""),"NEW WALK IN")</f>
        <v>NEW WALK IN</v>
      </c>
      <c r="S582" s="1"/>
    </row>
    <row r="583">
      <c r="A583" s="2">
        <f>IFERROR(__xludf.DUMMYFUNCTION("""COMPUTED_VALUE"""),45529.81114871528)</f>
        <v>45529.81115</v>
      </c>
      <c r="B583" s="1" t="str">
        <f>IFERROR(__xludf.DUMMYFUNCTION("""COMPUTED_VALUE"""),"Radhika ")</f>
        <v>Radhika </v>
      </c>
      <c r="C583" s="1">
        <f>IFERROR(__xludf.DUMMYFUNCTION("""COMPUTED_VALUE"""),7.903137711E9)</f>
        <v>7903137711</v>
      </c>
      <c r="D583" s="1">
        <f>IFERROR(__xludf.DUMMYFUNCTION("""COMPUTED_VALUE"""),1.0)</f>
        <v>1</v>
      </c>
      <c r="E583" s="3">
        <f>IFERROR(__xludf.DUMMYFUNCTION("""COMPUTED_VALUE"""),0.7458333333343035)</f>
        <v>0.7458333333</v>
      </c>
      <c r="F583" s="1" t="str">
        <f>IFERROR(__xludf.DUMMYFUNCTION("""COMPUTED_VALUE"""),"Antique Gold")</f>
        <v>Antique Gold</v>
      </c>
      <c r="G583" s="1" t="str">
        <f>IFERROR(__xludf.DUMMYFUNCTION("""COMPUTED_VALUE"""),"Chhaya")</f>
        <v>Chhaya</v>
      </c>
      <c r="H583" s="1"/>
      <c r="I583" s="1" t="str">
        <f>IFERROR(__xludf.DUMMYFUNCTION("""COMPUTED_VALUE"""),"Visit again Tuesday ")</f>
        <v>Visit again Tuesday </v>
      </c>
      <c r="J583" s="1"/>
      <c r="K583" s="3">
        <f>IFERROR(__xludf.DUMMYFUNCTION("""COMPUTED_VALUE"""),0.8020833333357587)</f>
        <v>0.8020833333</v>
      </c>
      <c r="L583" s="1" t="str">
        <f>IFERROR(__xludf.DUMMYFUNCTION("""COMPUTED_VALUE"""),"No")</f>
        <v>No</v>
      </c>
      <c r="M583" s="1" t="str">
        <f>IFERROR(__xludf.DUMMYFUNCTION("""COMPUTED_VALUE"""),"No")</f>
        <v>No</v>
      </c>
      <c r="N583" s="1" t="str">
        <f>IFERROR(__xludf.DUMMYFUNCTION("""COMPUTED_VALUE"""),"No")</f>
        <v>No</v>
      </c>
      <c r="O583" s="1" t="str">
        <f>IFERROR(__xludf.DUMMYFUNCTION("""COMPUTED_VALUE"""),"WA ONLY, CALL")</f>
        <v>WA ONLY, CALL</v>
      </c>
      <c r="P583" s="1" t="str">
        <f>IFERROR(__xludf.DUMMYFUNCTION("""COMPUTED_VALUE"""),"Madam")</f>
        <v>Madam</v>
      </c>
      <c r="Q583" s="1" t="str">
        <f>IFERROR(__xludf.DUMMYFUNCTION("""COMPUTED_VALUE"""),"No")</f>
        <v>No</v>
      </c>
      <c r="R583" s="1" t="str">
        <f>IFERROR(__xludf.DUMMYFUNCTION("""COMPUTED_VALUE"""),"NEW WALK IN")</f>
        <v>NEW WALK IN</v>
      </c>
      <c r="S583" s="1"/>
    </row>
    <row r="584">
      <c r="A584" s="2">
        <f>IFERROR(__xludf.DUMMYFUNCTION("""COMPUTED_VALUE"""),45529.812010821755)</f>
        <v>45529.81201</v>
      </c>
      <c r="B584" s="1" t="str">
        <f>IFERROR(__xludf.DUMMYFUNCTION("""COMPUTED_VALUE"""),"Rajan")</f>
        <v>Rajan</v>
      </c>
      <c r="C584" s="1">
        <f>IFERROR(__xludf.DUMMYFUNCTION("""COMPUTED_VALUE"""),9.817943109E9)</f>
        <v>9817943109</v>
      </c>
      <c r="D584" s="1">
        <f>IFERROR(__xludf.DUMMYFUNCTION("""COMPUTED_VALUE"""),5.0)</f>
        <v>5</v>
      </c>
      <c r="E584" s="3">
        <f>IFERROR(__xludf.DUMMYFUNCTION("""COMPUTED_VALUE"""),0.7138888888875954)</f>
        <v>0.7138888889</v>
      </c>
      <c r="F584" s="1" t="str">
        <f>IFERROR(__xludf.DUMMYFUNCTION("""COMPUTED_VALUE"""),"Diamond")</f>
        <v>Diamond</v>
      </c>
      <c r="G584" s="1" t="str">
        <f>IFERROR(__xludf.DUMMYFUNCTION("""COMPUTED_VALUE"""),"Preeti")</f>
        <v>Preeti</v>
      </c>
      <c r="H584" s="1" t="str">
        <f>IFERROR(__xludf.DUMMYFUNCTION("""COMPUTED_VALUE"""),"Diamond set")</f>
        <v>Diamond set</v>
      </c>
      <c r="I584" s="1"/>
      <c r="J584" s="1"/>
      <c r="K584" s="3">
        <f>IFERROR(__xludf.DUMMYFUNCTION("""COMPUTED_VALUE"""),0.8055555555547471)</f>
        <v>0.8055555556</v>
      </c>
      <c r="L584" s="1" t="str">
        <f>IFERROR(__xludf.DUMMYFUNCTION("""COMPUTED_VALUE"""),"Yes")</f>
        <v>Yes</v>
      </c>
      <c r="M584" s="1" t="str">
        <f>IFERROR(__xludf.DUMMYFUNCTION("""COMPUTED_VALUE"""),"Already done ")</f>
        <v>Already done </v>
      </c>
      <c r="N584" s="1" t="str">
        <f>IFERROR(__xludf.DUMMYFUNCTION("""COMPUTED_VALUE"""),"Already done ")</f>
        <v>Already done </v>
      </c>
      <c r="O584" s="1" t="str">
        <f>IFERROR(__xludf.DUMMYFUNCTION("""COMPUTED_VALUE"""),"WA ONLY, CALL")</f>
        <v>WA ONLY, CALL</v>
      </c>
      <c r="P584" s="1" t="str">
        <f>IFERROR(__xludf.DUMMYFUNCTION("""COMPUTED_VALUE"""),"Sir")</f>
        <v>Sir</v>
      </c>
      <c r="Q584" s="1" t="str">
        <f>IFERROR(__xludf.DUMMYFUNCTION("""COMPUTED_VALUE"""),"No")</f>
        <v>No</v>
      </c>
      <c r="R584" s="1" t="str">
        <f>IFERROR(__xludf.DUMMYFUNCTION("""COMPUTED_VALUE"""),"OLD")</f>
        <v>OLD</v>
      </c>
      <c r="S584" s="1"/>
    </row>
    <row r="585">
      <c r="A585" s="2">
        <f>IFERROR(__xludf.DUMMYFUNCTION("""COMPUTED_VALUE"""),45531.7718630787)</f>
        <v>45531.77186</v>
      </c>
      <c r="B585" s="1" t="str">
        <f>IFERROR(__xludf.DUMMYFUNCTION("""COMPUTED_VALUE"""),"Shikha")</f>
        <v>Shikha</v>
      </c>
      <c r="C585" s="1">
        <f>IFERROR(__xludf.DUMMYFUNCTION("""COMPUTED_VALUE"""),9.8103561E9)</f>
        <v>9810356100</v>
      </c>
      <c r="D585" s="1">
        <f>IFERROR(__xludf.DUMMYFUNCTION("""COMPUTED_VALUE"""),1.0)</f>
        <v>1</v>
      </c>
      <c r="E585" s="3">
        <f>IFERROR(__xludf.DUMMYFUNCTION("""COMPUTED_VALUE"""),0.6666666666642413)</f>
        <v>0.6666666667</v>
      </c>
      <c r="F585" s="1" t="str">
        <f>IFERROR(__xludf.DUMMYFUNCTION("""COMPUTED_VALUE"""),"Diamond")</f>
        <v>Diamond</v>
      </c>
      <c r="G585" s="1" t="str">
        <f>IFERROR(__xludf.DUMMYFUNCTION("""COMPUTED_VALUE"""),"Preeti")</f>
        <v>Preeti</v>
      </c>
      <c r="H585" s="1" t="str">
        <f>IFERROR(__xludf.DUMMYFUNCTION("""COMPUTED_VALUE"""),"Diamond set")</f>
        <v>Diamond set</v>
      </c>
      <c r="I585" s="1"/>
      <c r="J585" s="1"/>
      <c r="K585" s="3">
        <f>IFERROR(__xludf.DUMMYFUNCTION("""COMPUTED_VALUE"""),0.7256944444452529)</f>
        <v>0.7256944444</v>
      </c>
      <c r="L585" s="1" t="str">
        <f>IFERROR(__xludf.DUMMYFUNCTION("""COMPUTED_VALUE"""),"Yes")</f>
        <v>Yes</v>
      </c>
      <c r="M585" s="1" t="str">
        <f>IFERROR(__xludf.DUMMYFUNCTION("""COMPUTED_VALUE"""),"Already done ")</f>
        <v>Already done </v>
      </c>
      <c r="N585" s="1" t="str">
        <f>IFERROR(__xludf.DUMMYFUNCTION("""COMPUTED_VALUE"""),"Already done ")</f>
        <v>Already done </v>
      </c>
      <c r="O585" s="1" t="str">
        <f>IFERROR(__xludf.DUMMYFUNCTION("""COMPUTED_VALUE"""),"WA ONLY, CALL")</f>
        <v>WA ONLY, CALL</v>
      </c>
      <c r="P585" s="1" t="str">
        <f>IFERROR(__xludf.DUMMYFUNCTION("""COMPUTED_VALUE"""),"Madam")</f>
        <v>Madam</v>
      </c>
      <c r="Q585" s="1" t="str">
        <f>IFERROR(__xludf.DUMMYFUNCTION("""COMPUTED_VALUE"""),"No")</f>
        <v>No</v>
      </c>
      <c r="R585" s="1" t="str">
        <f>IFERROR(__xludf.DUMMYFUNCTION("""COMPUTED_VALUE"""),"OLD")</f>
        <v>OLD</v>
      </c>
      <c r="S585" s="1"/>
    </row>
    <row r="586">
      <c r="A586" s="2">
        <f>IFERROR(__xludf.DUMMYFUNCTION("""COMPUTED_VALUE"""),45531.772896724535)</f>
        <v>45531.7729</v>
      </c>
      <c r="B586" s="1" t="str">
        <f>IFERROR(__xludf.DUMMYFUNCTION("""COMPUTED_VALUE"""),"Danish")</f>
        <v>Danish</v>
      </c>
      <c r="C586" s="1">
        <f>IFERROR(__xludf.DUMMYFUNCTION("""COMPUTED_VALUE"""),9.899226225E9)</f>
        <v>9899226225</v>
      </c>
      <c r="D586" s="1">
        <f>IFERROR(__xludf.DUMMYFUNCTION("""COMPUTED_VALUE"""),2.0)</f>
        <v>2</v>
      </c>
      <c r="E586" s="3">
        <f>IFERROR(__xludf.DUMMYFUNCTION("""COMPUTED_VALUE"""),0.6993055555576575)</f>
        <v>0.6993055556</v>
      </c>
      <c r="F586" s="1" t="str">
        <f>IFERROR(__xludf.DUMMYFUNCTION("""COMPUTED_VALUE"""),"Plain Gold")</f>
        <v>Plain Gold</v>
      </c>
      <c r="G586" s="1" t="str">
        <f>IFERROR(__xludf.DUMMYFUNCTION("""COMPUTED_VALUE"""),"Pooja")</f>
        <v>Pooja</v>
      </c>
      <c r="H586" s="1"/>
      <c r="I586" s="1" t="str">
        <f>IFERROR(__xludf.DUMMYFUNCTION("""COMPUTED_VALUE"""),"Exchange pendent ")</f>
        <v>Exchange pendent </v>
      </c>
      <c r="J586" s="1"/>
      <c r="K586" s="3">
        <f>IFERROR(__xludf.DUMMYFUNCTION("""COMPUTED_VALUE"""),0.7298611111109494)</f>
        <v>0.7298611111</v>
      </c>
      <c r="L586" s="1" t="str">
        <f>IFERROR(__xludf.DUMMYFUNCTION("""COMPUTED_VALUE"""),"Yes")</f>
        <v>Yes</v>
      </c>
      <c r="M586" s="1" t="str">
        <f>IFERROR(__xludf.DUMMYFUNCTION("""COMPUTED_VALUE"""),"Already done ")</f>
        <v>Already done </v>
      </c>
      <c r="N586" s="1" t="str">
        <f>IFERROR(__xludf.DUMMYFUNCTION("""COMPUTED_VALUE"""),"Already done ")</f>
        <v>Already done </v>
      </c>
      <c r="O586" s="1" t="str">
        <f>IFERROR(__xludf.DUMMYFUNCTION("""COMPUTED_VALUE"""),"WA ONLY, CALL")</f>
        <v>WA ONLY, CALL</v>
      </c>
      <c r="P586" s="1" t="str">
        <f>IFERROR(__xludf.DUMMYFUNCTION("""COMPUTED_VALUE"""),"Sir")</f>
        <v>Sir</v>
      </c>
      <c r="Q586" s="1" t="str">
        <f>IFERROR(__xludf.DUMMYFUNCTION("""COMPUTED_VALUE"""),"No")</f>
        <v>No</v>
      </c>
      <c r="R586" s="1" t="str">
        <f>IFERROR(__xludf.DUMMYFUNCTION("""COMPUTED_VALUE"""),"OLD")</f>
        <v>OLD</v>
      </c>
      <c r="S586" s="1"/>
    </row>
    <row r="587">
      <c r="A587" s="2">
        <f>IFERROR(__xludf.DUMMYFUNCTION("""COMPUTED_VALUE"""),45531.77932717593)</f>
        <v>45531.77933</v>
      </c>
      <c r="B587" s="1" t="str">
        <f>IFERROR(__xludf.DUMMYFUNCTION("""COMPUTED_VALUE"""),"Shardha")</f>
        <v>Shardha</v>
      </c>
      <c r="C587" s="1">
        <f>IFERROR(__xludf.DUMMYFUNCTION("""COMPUTED_VALUE"""),9.811252128E9)</f>
        <v>9811252128</v>
      </c>
      <c r="D587" s="1">
        <f>IFERROR(__xludf.DUMMYFUNCTION("""COMPUTED_VALUE"""),1.0)</f>
        <v>1</v>
      </c>
      <c r="E587" s="3">
        <f>IFERROR(__xludf.DUMMYFUNCTION("""COMPUTED_VALUE"""),0.7083333333357587)</f>
        <v>0.7083333333</v>
      </c>
      <c r="F587" s="1" t="str">
        <f>IFERROR(__xludf.DUMMYFUNCTION("""COMPUTED_VALUE"""),"Antique Gold")</f>
        <v>Antique Gold</v>
      </c>
      <c r="G587" s="1" t="str">
        <f>IFERROR(__xludf.DUMMYFUNCTION("""COMPUTED_VALUE"""),"Chhaya")</f>
        <v>Chhaya</v>
      </c>
      <c r="H587" s="1" t="str">
        <f>IFERROR(__xludf.DUMMYFUNCTION("""COMPUTED_VALUE"""),"Diamond breslet ")</f>
        <v>Diamond breslet </v>
      </c>
      <c r="I587" s="1"/>
      <c r="J587" s="1"/>
      <c r="K587" s="3">
        <f>IFERROR(__xludf.DUMMYFUNCTION("""COMPUTED_VALUE"""),0.7624999999970896)</f>
        <v>0.7625</v>
      </c>
      <c r="L587" s="1" t="str">
        <f>IFERROR(__xludf.DUMMYFUNCTION("""COMPUTED_VALUE"""),"Yes")</f>
        <v>Yes</v>
      </c>
      <c r="M587" s="1" t="str">
        <f>IFERROR(__xludf.DUMMYFUNCTION("""COMPUTED_VALUE"""),"Already done ")</f>
        <v>Already done </v>
      </c>
      <c r="N587" s="1" t="str">
        <f>IFERROR(__xludf.DUMMYFUNCTION("""COMPUTED_VALUE"""),"Already done ")</f>
        <v>Already done </v>
      </c>
      <c r="O587" s="1" t="str">
        <f>IFERROR(__xludf.DUMMYFUNCTION("""COMPUTED_VALUE"""),"WA ONLY, CALL")</f>
        <v>WA ONLY, CALL</v>
      </c>
      <c r="P587" s="1" t="str">
        <f>IFERROR(__xludf.DUMMYFUNCTION("""COMPUTED_VALUE"""),"Madam")</f>
        <v>Madam</v>
      </c>
      <c r="Q587" s="1" t="str">
        <f>IFERROR(__xludf.DUMMYFUNCTION("""COMPUTED_VALUE"""),"No")</f>
        <v>No</v>
      </c>
      <c r="R587" s="1" t="str">
        <f>IFERROR(__xludf.DUMMYFUNCTION("""COMPUTED_VALUE"""),"OLD")</f>
        <v>OLD</v>
      </c>
      <c r="S587" s="1"/>
    </row>
    <row r="588">
      <c r="A588" s="2">
        <f>IFERROR(__xludf.DUMMYFUNCTION("""COMPUTED_VALUE"""),45531.829515578705)</f>
        <v>45531.82952</v>
      </c>
      <c r="B588" s="1" t="str">
        <f>IFERROR(__xludf.DUMMYFUNCTION("""COMPUTED_VALUE"""),"Yogendra kumar")</f>
        <v>Yogendra kumar</v>
      </c>
      <c r="C588" s="1">
        <f>IFERROR(__xludf.DUMMYFUNCTION("""COMPUTED_VALUE"""),9.811252128E9)</f>
        <v>9811252128</v>
      </c>
      <c r="D588" s="1">
        <f>IFERROR(__xludf.DUMMYFUNCTION("""COMPUTED_VALUE"""),5.0)</f>
        <v>5</v>
      </c>
      <c r="E588" s="3">
        <f>IFERROR(__xludf.DUMMYFUNCTION("""COMPUTED_VALUE"""),0.7291666666642413)</f>
        <v>0.7291666667</v>
      </c>
      <c r="F588" s="1" t="str">
        <f>IFERROR(__xludf.DUMMYFUNCTION("""COMPUTED_VALUE"""),"Diamond")</f>
        <v>Diamond</v>
      </c>
      <c r="G588" s="1" t="str">
        <f>IFERROR(__xludf.DUMMYFUNCTION("""COMPUTED_VALUE"""),"Preeti")</f>
        <v>Preeti</v>
      </c>
      <c r="H588" s="1"/>
      <c r="I588" s="1" t="str">
        <f>IFERROR(__xludf.DUMMYFUNCTION("""COMPUTED_VALUE"""),"Visit again tomorrow ")</f>
        <v>Visit again tomorrow </v>
      </c>
      <c r="J588" s="1"/>
      <c r="K588" s="3">
        <f>IFERROR(__xludf.DUMMYFUNCTION("""COMPUTED_VALUE"""),0.8125)</f>
        <v>0.8125</v>
      </c>
      <c r="L588" s="1" t="str">
        <f>IFERROR(__xludf.DUMMYFUNCTION("""COMPUTED_VALUE"""),"Yes")</f>
        <v>Yes</v>
      </c>
      <c r="M588" s="1" t="str">
        <f>IFERROR(__xludf.DUMMYFUNCTION("""COMPUTED_VALUE"""),"No")</f>
        <v>No</v>
      </c>
      <c r="N588" s="1" t="str">
        <f>IFERROR(__xludf.DUMMYFUNCTION("""COMPUTED_VALUE"""),"No")</f>
        <v>No</v>
      </c>
      <c r="O588" s="1" t="str">
        <f>IFERROR(__xludf.DUMMYFUNCTION("""COMPUTED_VALUE"""),"WA ONLY, CALL")</f>
        <v>WA ONLY, CALL</v>
      </c>
      <c r="P588" s="1" t="str">
        <f>IFERROR(__xludf.DUMMYFUNCTION("""COMPUTED_VALUE"""),"Sir")</f>
        <v>Sir</v>
      </c>
      <c r="Q588" s="1" t="str">
        <f>IFERROR(__xludf.DUMMYFUNCTION("""COMPUTED_VALUE"""),"No")</f>
        <v>No</v>
      </c>
      <c r="R588" s="1" t="str">
        <f>IFERROR(__xludf.DUMMYFUNCTION("""COMPUTED_VALUE"""),"OLD")</f>
        <v>OLD</v>
      </c>
      <c r="S588" s="1"/>
    </row>
    <row r="589">
      <c r="A589" s="2">
        <f>IFERROR(__xludf.DUMMYFUNCTION("""COMPUTED_VALUE"""),45531.830272465275)</f>
        <v>45531.83027</v>
      </c>
      <c r="B589" s="1" t="str">
        <f>IFERROR(__xludf.DUMMYFUNCTION("""COMPUTED_VALUE"""),"Danish")</f>
        <v>Danish</v>
      </c>
      <c r="C589" s="1">
        <f>IFERROR(__xludf.DUMMYFUNCTION("""COMPUTED_VALUE"""),9.540244322E9)</f>
        <v>9540244322</v>
      </c>
      <c r="D589" s="1">
        <f>IFERROR(__xludf.DUMMYFUNCTION("""COMPUTED_VALUE"""),2.0)</f>
        <v>2</v>
      </c>
      <c r="E589" s="3">
        <f>IFERROR(__xludf.DUMMYFUNCTION("""COMPUTED_VALUE"""),0.7916666666642413)</f>
        <v>0.7916666667</v>
      </c>
      <c r="F589" s="1" t="str">
        <f>IFERROR(__xludf.DUMMYFUNCTION("""COMPUTED_VALUE"""),"Plain Gold")</f>
        <v>Plain Gold</v>
      </c>
      <c r="G589" s="1" t="str">
        <f>IFERROR(__xludf.DUMMYFUNCTION("""COMPUTED_VALUE"""),"Tannu")</f>
        <v>Tannu</v>
      </c>
      <c r="H589" s="1"/>
      <c r="I589" s="1" t="str">
        <f>IFERROR(__xludf.DUMMYFUNCTION("""COMPUTED_VALUE"""),"Making High or Wants Discount")</f>
        <v>Making High or Wants Discount</v>
      </c>
      <c r="J589" s="1"/>
      <c r="K589" s="3">
        <f>IFERROR(__xludf.DUMMYFUNCTION("""COMPUTED_VALUE"""),0.8111111111065838)</f>
        <v>0.8111111111</v>
      </c>
      <c r="L589" s="1" t="str">
        <f>IFERROR(__xludf.DUMMYFUNCTION("""COMPUTED_VALUE"""),"Yes")</f>
        <v>Yes</v>
      </c>
      <c r="M589" s="1" t="str">
        <f>IFERROR(__xludf.DUMMYFUNCTION("""COMPUTED_VALUE"""),"No")</f>
        <v>No</v>
      </c>
      <c r="N589" s="1" t="str">
        <f>IFERROR(__xludf.DUMMYFUNCTION("""COMPUTED_VALUE"""),"No")</f>
        <v>No</v>
      </c>
      <c r="O589" s="1" t="str">
        <f>IFERROR(__xludf.DUMMYFUNCTION("""COMPUTED_VALUE"""),"WA ONLY, CALL")</f>
        <v>WA ONLY, CALL</v>
      </c>
      <c r="P589" s="1" t="str">
        <f>IFERROR(__xludf.DUMMYFUNCTION("""COMPUTED_VALUE"""),"Sir")</f>
        <v>Sir</v>
      </c>
      <c r="Q589" s="1" t="str">
        <f>IFERROR(__xludf.DUMMYFUNCTION("""COMPUTED_VALUE"""),"No")</f>
        <v>No</v>
      </c>
      <c r="R589" s="1" t="str">
        <f>IFERROR(__xludf.DUMMYFUNCTION("""COMPUTED_VALUE"""),"NEW WALK IN")</f>
        <v>NEW WALK IN</v>
      </c>
      <c r="S589" s="1"/>
    </row>
    <row r="590">
      <c r="A590" s="2">
        <f>IFERROR(__xludf.DUMMYFUNCTION("""COMPUTED_VALUE"""),45532.759636250004)</f>
        <v>45532.75964</v>
      </c>
      <c r="B590" s="1" t="str">
        <f>IFERROR(__xludf.DUMMYFUNCTION("""COMPUTED_VALUE"""),"Kirti goyal")</f>
        <v>Kirti goyal</v>
      </c>
      <c r="C590" s="1" t="str">
        <f>IFERROR(__xludf.DUMMYFUNCTION("""COMPUTED_VALUE"""),"+16473251266")</f>
        <v>+16473251266</v>
      </c>
      <c r="D590" s="1">
        <f>IFERROR(__xludf.DUMMYFUNCTION("""COMPUTED_VALUE"""),5.0)</f>
        <v>5</v>
      </c>
      <c r="E590" s="3">
        <f>IFERROR(__xludf.DUMMYFUNCTION("""COMPUTED_VALUE"""),0.5430555555576575)</f>
        <v>0.5430555556</v>
      </c>
      <c r="F590" s="1" t="str">
        <f>IFERROR(__xludf.DUMMYFUNCTION("""COMPUTED_VALUE"""),"Diamond")</f>
        <v>Diamond</v>
      </c>
      <c r="G590" s="1" t="str">
        <f>IFERROR(__xludf.DUMMYFUNCTION("""COMPUTED_VALUE"""),"Preeti")</f>
        <v>Preeti</v>
      </c>
      <c r="H590" s="1" t="str">
        <f>IFERROR(__xludf.DUMMYFUNCTION("""COMPUTED_VALUE"""),"Diamond breslet ")</f>
        <v>Diamond breslet </v>
      </c>
      <c r="I590" s="1"/>
      <c r="J590" s="1"/>
      <c r="K590" s="3">
        <f>IFERROR(__xludf.DUMMYFUNCTION("""COMPUTED_VALUE"""),0.6104166666627862)</f>
        <v>0.6104166667</v>
      </c>
      <c r="L590" s="1" t="str">
        <f>IFERROR(__xludf.DUMMYFUNCTION("""COMPUTED_VALUE"""),"Yes")</f>
        <v>Yes</v>
      </c>
      <c r="M590" s="1" t="str">
        <f>IFERROR(__xludf.DUMMYFUNCTION("""COMPUTED_VALUE"""),"Yes")</f>
        <v>Yes</v>
      </c>
      <c r="N590" s="1" t="str">
        <f>IFERROR(__xludf.DUMMYFUNCTION("""COMPUTED_VALUE"""),"Yes")</f>
        <v>Yes</v>
      </c>
      <c r="O590" s="1" t="str">
        <f>IFERROR(__xludf.DUMMYFUNCTION("""COMPUTED_VALUE"""),"WA ONLY, CALL")</f>
        <v>WA ONLY, CALL</v>
      </c>
      <c r="P590" s="1" t="str">
        <f>IFERROR(__xludf.DUMMYFUNCTION("""COMPUTED_VALUE"""),"Madam")</f>
        <v>Madam</v>
      </c>
      <c r="Q590" s="1" t="str">
        <f>IFERROR(__xludf.DUMMYFUNCTION("""COMPUTED_VALUE"""),"No")</f>
        <v>No</v>
      </c>
      <c r="R590" s="1" t="str">
        <f>IFERROR(__xludf.DUMMYFUNCTION("""COMPUTED_VALUE"""),"OLD")</f>
        <v>OLD</v>
      </c>
      <c r="S590" s="1"/>
    </row>
    <row r="591">
      <c r="A591" s="2">
        <f>IFERROR(__xludf.DUMMYFUNCTION("""COMPUTED_VALUE"""),45532.768425902774)</f>
        <v>45532.76843</v>
      </c>
      <c r="B591" s="1" t="str">
        <f>IFERROR(__xludf.DUMMYFUNCTION("""COMPUTED_VALUE"""),"Aprna")</f>
        <v>Aprna</v>
      </c>
      <c r="C591" s="1">
        <f>IFERROR(__xludf.DUMMYFUNCTION("""COMPUTED_VALUE"""),9.312672555E9)</f>
        <v>9312672555</v>
      </c>
      <c r="D591" s="1">
        <f>IFERROR(__xludf.DUMMYFUNCTION("""COMPUTED_VALUE"""),1.0)</f>
        <v>1</v>
      </c>
      <c r="E591" s="3">
        <f>IFERROR(__xludf.DUMMYFUNCTION("""COMPUTED_VALUE"""),0.625)</f>
        <v>0.625</v>
      </c>
      <c r="F591" s="1" t="str">
        <f>IFERROR(__xludf.DUMMYFUNCTION("""COMPUTED_VALUE"""),"Diamond")</f>
        <v>Diamond</v>
      </c>
      <c r="G591" s="1" t="str">
        <f>IFERROR(__xludf.DUMMYFUNCTION("""COMPUTED_VALUE"""),"Preeti")</f>
        <v>Preeti</v>
      </c>
      <c r="H591" s="1" t="str">
        <f>IFERROR(__xludf.DUMMYFUNCTION("""COMPUTED_VALUE"""),"Diamond pendent set")</f>
        <v>Diamond pendent set</v>
      </c>
      <c r="I591" s="1"/>
      <c r="J591" s="1"/>
      <c r="K591" s="3">
        <f>IFERROR(__xludf.DUMMYFUNCTION("""COMPUTED_VALUE"""),0.7687500000029104)</f>
        <v>0.76875</v>
      </c>
      <c r="L591" s="1" t="str">
        <f>IFERROR(__xludf.DUMMYFUNCTION("""COMPUTED_VALUE"""),"Yes")</f>
        <v>Yes</v>
      </c>
      <c r="M591" s="1" t="str">
        <f>IFERROR(__xludf.DUMMYFUNCTION("""COMPUTED_VALUE"""),"Already done ")</f>
        <v>Already done </v>
      </c>
      <c r="N591" s="1" t="str">
        <f>IFERROR(__xludf.DUMMYFUNCTION("""COMPUTED_VALUE"""),"Already done ")</f>
        <v>Already done </v>
      </c>
      <c r="O591" s="1" t="str">
        <f>IFERROR(__xludf.DUMMYFUNCTION("""COMPUTED_VALUE"""),"WA ONLY, CALL")</f>
        <v>WA ONLY, CALL</v>
      </c>
      <c r="P591" s="1" t="str">
        <f>IFERROR(__xludf.DUMMYFUNCTION("""COMPUTED_VALUE"""),"Madam")</f>
        <v>Madam</v>
      </c>
      <c r="Q591" s="1" t="str">
        <f>IFERROR(__xludf.DUMMYFUNCTION("""COMPUTED_VALUE"""),"No")</f>
        <v>No</v>
      </c>
      <c r="R591" s="1" t="str">
        <f>IFERROR(__xludf.DUMMYFUNCTION("""COMPUTED_VALUE"""),"OLD")</f>
        <v>OLD</v>
      </c>
      <c r="S591" s="1"/>
    </row>
    <row r="592">
      <c r="A592" s="2">
        <f>IFERROR(__xludf.DUMMYFUNCTION("""COMPUTED_VALUE"""),45533.767700439814)</f>
        <v>45533.7677</v>
      </c>
      <c r="B592" s="1" t="str">
        <f>IFERROR(__xludf.DUMMYFUNCTION("""COMPUTED_VALUE"""),"Urvashi")</f>
        <v>Urvashi</v>
      </c>
      <c r="C592" s="1">
        <f>IFERROR(__xludf.DUMMYFUNCTION("""COMPUTED_VALUE"""),9.971700776E9)</f>
        <v>9971700776</v>
      </c>
      <c r="D592" s="1">
        <f>IFERROR(__xludf.DUMMYFUNCTION("""COMPUTED_VALUE"""),2.0)</f>
        <v>2</v>
      </c>
      <c r="E592" s="3">
        <f>IFERROR(__xludf.DUMMYFUNCTION("""COMPUTED_VALUE"""),0.6520833333343035)</f>
        <v>0.6520833333</v>
      </c>
      <c r="F592" s="1" t="str">
        <f>IFERROR(__xludf.DUMMYFUNCTION("""COMPUTED_VALUE"""),"Plain Gold")</f>
        <v>Plain Gold</v>
      </c>
      <c r="G592" s="1" t="str">
        <f>IFERROR(__xludf.DUMMYFUNCTION("""COMPUTED_VALUE"""),"Tannu")</f>
        <v>Tannu</v>
      </c>
      <c r="H592" s="1" t="str">
        <f>IFERROR(__xludf.DUMMYFUNCTION("""COMPUTED_VALUE"""),"2 gold ring,1 gold pendent ")</f>
        <v>2 gold ring,1 gold pendent </v>
      </c>
      <c r="I592" s="1"/>
      <c r="J592" s="1"/>
      <c r="K592" s="3">
        <f>IFERROR(__xludf.DUMMYFUNCTION("""COMPUTED_VALUE"""),0.7104166666686069)</f>
        <v>0.7104166667</v>
      </c>
      <c r="L592" s="1" t="str">
        <f>IFERROR(__xludf.DUMMYFUNCTION("""COMPUTED_VALUE"""),"Yes")</f>
        <v>Yes</v>
      </c>
      <c r="M592" s="1" t="str">
        <f>IFERROR(__xludf.DUMMYFUNCTION("""COMPUTED_VALUE"""),"Yes")</f>
        <v>Yes</v>
      </c>
      <c r="N592" s="1" t="str">
        <f>IFERROR(__xludf.DUMMYFUNCTION("""COMPUTED_VALUE"""),"Not use")</f>
        <v>Not use</v>
      </c>
      <c r="O592" s="1" t="str">
        <f>IFERROR(__xludf.DUMMYFUNCTION("""COMPUTED_VALUE"""),"WA ONLY, CALL")</f>
        <v>WA ONLY, CALL</v>
      </c>
      <c r="P592" s="1" t="str">
        <f>IFERROR(__xludf.DUMMYFUNCTION("""COMPUTED_VALUE"""),"Madam")</f>
        <v>Madam</v>
      </c>
      <c r="Q592" s="1" t="str">
        <f>IFERROR(__xludf.DUMMYFUNCTION("""COMPUTED_VALUE"""),"No")</f>
        <v>No</v>
      </c>
      <c r="R592" s="1" t="str">
        <f>IFERROR(__xludf.DUMMYFUNCTION("""COMPUTED_VALUE"""),"NEW WALK IN")</f>
        <v>NEW WALK IN</v>
      </c>
      <c r="S592" s="1"/>
    </row>
    <row r="593">
      <c r="A593" s="2">
        <f>IFERROR(__xludf.DUMMYFUNCTION("""COMPUTED_VALUE"""),45534.78992736111)</f>
        <v>45534.78993</v>
      </c>
      <c r="B593" s="1" t="str">
        <f>IFERROR(__xludf.DUMMYFUNCTION("""COMPUTED_VALUE"""),"Sunidhi")</f>
        <v>Sunidhi</v>
      </c>
      <c r="C593" s="1">
        <f>IFERROR(__xludf.DUMMYFUNCTION("""COMPUTED_VALUE"""),7.217745458E9)</f>
        <v>7217745458</v>
      </c>
      <c r="D593" s="1">
        <f>IFERROR(__xludf.DUMMYFUNCTION("""COMPUTED_VALUE"""),3.0)</f>
        <v>3</v>
      </c>
      <c r="E593" s="3">
        <f>IFERROR(__xludf.DUMMYFUNCTION("""COMPUTED_VALUE"""),0.6895833333328483)</f>
        <v>0.6895833333</v>
      </c>
      <c r="F593" s="1" t="str">
        <f>IFERROR(__xludf.DUMMYFUNCTION("""COMPUTED_VALUE"""),"Plain Gold")</f>
        <v>Plain Gold</v>
      </c>
      <c r="G593" s="1" t="str">
        <f>IFERROR(__xludf.DUMMYFUNCTION("""COMPUTED_VALUE"""),"Tannu")</f>
        <v>Tannu</v>
      </c>
      <c r="H593" s="1" t="str">
        <f>IFERROR(__xludf.DUMMYFUNCTION("""COMPUTED_VALUE"""),"Gold nose pin")</f>
        <v>Gold nose pin</v>
      </c>
      <c r="I593" s="1"/>
      <c r="J593" s="1"/>
      <c r="K593" s="3">
        <f>IFERROR(__xludf.DUMMYFUNCTION("""COMPUTED_VALUE"""),0.7236111111124046)</f>
        <v>0.7236111111</v>
      </c>
      <c r="L593" s="1" t="str">
        <f>IFERROR(__xludf.DUMMYFUNCTION("""COMPUTED_VALUE"""),"Yes")</f>
        <v>Yes</v>
      </c>
      <c r="M593" s="1" t="str">
        <f>IFERROR(__xludf.DUMMYFUNCTION("""COMPUTED_VALUE"""),"Yes")</f>
        <v>Yes</v>
      </c>
      <c r="N593" s="1" t="str">
        <f>IFERROR(__xludf.DUMMYFUNCTION("""COMPUTED_VALUE"""),"Yes")</f>
        <v>Yes</v>
      </c>
      <c r="O593" s="1" t="str">
        <f>IFERROR(__xludf.DUMMYFUNCTION("""COMPUTED_VALUE"""),"WA ONLY, CALL")</f>
        <v>WA ONLY, CALL</v>
      </c>
      <c r="P593" s="1" t="str">
        <f>IFERROR(__xludf.DUMMYFUNCTION("""COMPUTED_VALUE"""),"Madam")</f>
        <v>Madam</v>
      </c>
      <c r="Q593" s="1" t="str">
        <f>IFERROR(__xludf.DUMMYFUNCTION("""COMPUTED_VALUE"""),"No")</f>
        <v>No</v>
      </c>
      <c r="R593" s="1" t="str">
        <f>IFERROR(__xludf.DUMMYFUNCTION("""COMPUTED_VALUE"""),"NEW WALK IN")</f>
        <v>NEW WALK IN</v>
      </c>
      <c r="S593" s="1"/>
    </row>
    <row r="594">
      <c r="A594" s="2">
        <f>IFERROR(__xludf.DUMMYFUNCTION("""COMPUTED_VALUE"""),45534.79348630787)</f>
        <v>45534.79349</v>
      </c>
      <c r="B594" s="1" t="str">
        <f>IFERROR(__xludf.DUMMYFUNCTION("""COMPUTED_VALUE"""),"Sidharth Anand ")</f>
        <v>Sidharth Anand </v>
      </c>
      <c r="C594" s="1">
        <f>IFERROR(__xludf.DUMMYFUNCTION("""COMPUTED_VALUE"""),9.87190605E9)</f>
        <v>9871906050</v>
      </c>
      <c r="D594" s="1">
        <f>IFERROR(__xludf.DUMMYFUNCTION("""COMPUTED_VALUE"""),1.0)</f>
        <v>1</v>
      </c>
      <c r="E594" s="3">
        <f>IFERROR(__xludf.DUMMYFUNCTION("""COMPUTED_VALUE"""),0.7013888888905058)</f>
        <v>0.7013888889</v>
      </c>
      <c r="F594" s="1" t="str">
        <f>IFERROR(__xludf.DUMMYFUNCTION("""COMPUTED_VALUE"""),"Diamond")</f>
        <v>Diamond</v>
      </c>
      <c r="G594" s="1" t="str">
        <f>IFERROR(__xludf.DUMMYFUNCTION("""COMPUTED_VALUE"""),"Preeti")</f>
        <v>Preeti</v>
      </c>
      <c r="H594" s="1" t="str">
        <f>IFERROR(__xludf.DUMMYFUNCTION("""COMPUTED_VALUE"""),"Diamond set,diamond pendent ")</f>
        <v>Diamond set,diamond pendent </v>
      </c>
      <c r="I594" s="1"/>
      <c r="J594" s="1"/>
      <c r="K594" s="3">
        <f>IFERROR(__xludf.DUMMYFUNCTION("""COMPUTED_VALUE"""),0.7451388888875954)</f>
        <v>0.7451388889</v>
      </c>
      <c r="L594" s="1" t="str">
        <f>IFERROR(__xludf.DUMMYFUNCTION("""COMPUTED_VALUE"""),"Yes")</f>
        <v>Yes</v>
      </c>
      <c r="M594" s="1" t="str">
        <f>IFERROR(__xludf.DUMMYFUNCTION("""COMPUTED_VALUE"""),"Yes")</f>
        <v>Yes</v>
      </c>
      <c r="N594" s="1" t="str">
        <f>IFERROR(__xludf.DUMMYFUNCTION("""COMPUTED_VALUE"""),"Yes")</f>
        <v>Yes</v>
      </c>
      <c r="O594" s="1" t="str">
        <f>IFERROR(__xludf.DUMMYFUNCTION("""COMPUTED_VALUE"""),"WA ONLY")</f>
        <v>WA ONLY</v>
      </c>
      <c r="P594" s="1" t="str">
        <f>IFERROR(__xludf.DUMMYFUNCTION("""COMPUTED_VALUE"""),"Sir")</f>
        <v>Sir</v>
      </c>
      <c r="Q594" s="1" t="str">
        <f>IFERROR(__xludf.DUMMYFUNCTION("""COMPUTED_VALUE"""),"No")</f>
        <v>No</v>
      </c>
      <c r="R594" s="1" t="str">
        <f>IFERROR(__xludf.DUMMYFUNCTION("""COMPUTED_VALUE"""),"NEW WALK IN")</f>
        <v>NEW WALK IN</v>
      </c>
      <c r="S594" s="1" t="str">
        <f>IFERROR(__xludf.DUMMYFUNCTION("""COMPUTED_VALUE"""),"Saurav sir")</f>
        <v>Saurav sir</v>
      </c>
    </row>
    <row r="595">
      <c r="A595" s="2">
        <f>IFERROR(__xludf.DUMMYFUNCTION("""COMPUTED_VALUE"""),45534.79481755787)</f>
        <v>45534.79482</v>
      </c>
      <c r="B595" s="1" t="str">
        <f>IFERROR(__xludf.DUMMYFUNCTION("""COMPUTED_VALUE"""),"Rajendra ")</f>
        <v>Rajendra </v>
      </c>
      <c r="C595" s="1">
        <f>IFERROR(__xludf.DUMMYFUNCTION("""COMPUTED_VALUE"""),9.817943109E9)</f>
        <v>9817943109</v>
      </c>
      <c r="D595" s="1">
        <f>IFERROR(__xludf.DUMMYFUNCTION("""COMPUTED_VALUE"""),1.0)</f>
        <v>1</v>
      </c>
      <c r="E595" s="3">
        <f>IFERROR(__xludf.DUMMYFUNCTION("""COMPUTED_VALUE"""),0.7270833333313931)</f>
        <v>0.7270833333</v>
      </c>
      <c r="F595" s="1" t="str">
        <f>IFERROR(__xludf.DUMMYFUNCTION("""COMPUTED_VALUE"""),"Antique Gold")</f>
        <v>Antique Gold</v>
      </c>
      <c r="G595" s="1" t="str">
        <f>IFERROR(__xludf.DUMMYFUNCTION("""COMPUTED_VALUE"""),"Pooja")</f>
        <v>Pooja</v>
      </c>
      <c r="H595" s="1"/>
      <c r="I595" s="1" t="str">
        <f>IFERROR(__xludf.DUMMYFUNCTION("""COMPUTED_VALUE"""),"Give old gold discuss bill and pic up order ")</f>
        <v>Give old gold discuss bill and pic up order </v>
      </c>
      <c r="J595" s="1"/>
      <c r="K595" s="3">
        <f>IFERROR(__xludf.DUMMYFUNCTION("""COMPUTED_VALUE"""),0.742361111115315)</f>
        <v>0.7423611111</v>
      </c>
      <c r="L595" s="1" t="str">
        <f>IFERROR(__xludf.DUMMYFUNCTION("""COMPUTED_VALUE"""),"Yes")</f>
        <v>Yes</v>
      </c>
      <c r="M595" s="1" t="str">
        <f>IFERROR(__xludf.DUMMYFUNCTION("""COMPUTED_VALUE"""),"Already done ")</f>
        <v>Already done </v>
      </c>
      <c r="N595" s="1" t="str">
        <f>IFERROR(__xludf.DUMMYFUNCTION("""COMPUTED_VALUE"""),"Already done ")</f>
        <v>Already done </v>
      </c>
      <c r="O595" s="1" t="str">
        <f>IFERROR(__xludf.DUMMYFUNCTION("""COMPUTED_VALUE"""),"WA ONLY, CALL")</f>
        <v>WA ONLY, CALL</v>
      </c>
      <c r="P595" s="1" t="str">
        <f>IFERROR(__xludf.DUMMYFUNCTION("""COMPUTED_VALUE"""),"Sir")</f>
        <v>Sir</v>
      </c>
      <c r="Q595" s="1" t="str">
        <f>IFERROR(__xludf.DUMMYFUNCTION("""COMPUTED_VALUE"""),"No")</f>
        <v>No</v>
      </c>
      <c r="R595" s="1" t="str">
        <f>IFERROR(__xludf.DUMMYFUNCTION("""COMPUTED_VALUE"""),"OLD")</f>
        <v>OLD</v>
      </c>
      <c r="S595" s="1"/>
    </row>
    <row r="596">
      <c r="A596" s="2">
        <f>IFERROR(__xludf.DUMMYFUNCTION("""COMPUTED_VALUE"""),45534.79558822917)</f>
        <v>45534.79559</v>
      </c>
      <c r="B596" s="1" t="str">
        <f>IFERROR(__xludf.DUMMYFUNCTION("""COMPUTED_VALUE"""),"Nirpal")</f>
        <v>Nirpal</v>
      </c>
      <c r="C596" s="1">
        <f>IFERROR(__xludf.DUMMYFUNCTION("""COMPUTED_VALUE"""),9.354332992E9)</f>
        <v>9354332992</v>
      </c>
      <c r="D596" s="1">
        <f>IFERROR(__xludf.DUMMYFUNCTION("""COMPUTED_VALUE"""),4.0)</f>
        <v>4</v>
      </c>
      <c r="E596" s="3">
        <f>IFERROR(__xludf.DUMMYFUNCTION("""COMPUTED_VALUE"""),0.7402777777751908)</f>
        <v>0.7402777778</v>
      </c>
      <c r="F596" s="1" t="str">
        <f>IFERROR(__xludf.DUMMYFUNCTION("""COMPUTED_VALUE"""),"Antique Gold")</f>
        <v>Antique Gold</v>
      </c>
      <c r="G596" s="1" t="str">
        <f>IFERROR(__xludf.DUMMYFUNCTION("""COMPUTED_VALUE"""),"Chhaya")</f>
        <v>Chhaya</v>
      </c>
      <c r="H596" s="1"/>
      <c r="I596" s="1" t="str">
        <f>IFERROR(__xludf.DUMMYFUNCTION("""COMPUTED_VALUE"""),"Will ask family and come with them")</f>
        <v>Will ask family and come with them</v>
      </c>
      <c r="J596" s="1"/>
      <c r="K596" s="3">
        <f>IFERROR(__xludf.DUMMYFUNCTION("""COMPUTED_VALUE"""),0.7784722222204437)</f>
        <v>0.7784722222</v>
      </c>
      <c r="L596" s="1" t="str">
        <f>IFERROR(__xludf.DUMMYFUNCTION("""COMPUTED_VALUE"""),"Yes")</f>
        <v>Yes</v>
      </c>
      <c r="M596" s="1" t="str">
        <f>IFERROR(__xludf.DUMMYFUNCTION("""COMPUTED_VALUE"""),"No")</f>
        <v>No</v>
      </c>
      <c r="N596" s="1" t="str">
        <f>IFERROR(__xludf.DUMMYFUNCTION("""COMPUTED_VALUE"""),"No")</f>
        <v>No</v>
      </c>
      <c r="O596" s="1" t="str">
        <f>IFERROR(__xludf.DUMMYFUNCTION("""COMPUTED_VALUE"""),"WA ONLY, CALL")</f>
        <v>WA ONLY, CALL</v>
      </c>
      <c r="P596" s="1" t="str">
        <f>IFERROR(__xludf.DUMMYFUNCTION("""COMPUTED_VALUE"""),"Sir")</f>
        <v>Sir</v>
      </c>
      <c r="Q596" s="1" t="str">
        <f>IFERROR(__xludf.DUMMYFUNCTION("""COMPUTED_VALUE"""),"No")</f>
        <v>No</v>
      </c>
      <c r="R596" s="1" t="str">
        <f>IFERROR(__xludf.DUMMYFUNCTION("""COMPUTED_VALUE"""),"NEW WALK IN")</f>
        <v>NEW WALK IN</v>
      </c>
      <c r="S596" s="1"/>
    </row>
    <row r="597">
      <c r="A597" s="2">
        <f>IFERROR(__xludf.DUMMYFUNCTION("""COMPUTED_VALUE"""),45535.78656896991)</f>
        <v>45535.78657</v>
      </c>
      <c r="B597" s="1" t="str">
        <f>IFERROR(__xludf.DUMMYFUNCTION("""COMPUTED_VALUE"""),"Bharat rathi")</f>
        <v>Bharat rathi</v>
      </c>
      <c r="C597" s="1">
        <f>IFERROR(__xludf.DUMMYFUNCTION("""COMPUTED_VALUE"""),9.310074389E9)</f>
        <v>9310074389</v>
      </c>
      <c r="D597" s="1">
        <f>IFERROR(__xludf.DUMMYFUNCTION("""COMPUTED_VALUE"""),1.0)</f>
        <v>1</v>
      </c>
      <c r="E597" s="3">
        <f>IFERROR(__xludf.DUMMYFUNCTION("""COMPUTED_VALUE"""),0.6347222222248092)</f>
        <v>0.6347222222</v>
      </c>
      <c r="F597" s="1" t="str">
        <f>IFERROR(__xludf.DUMMYFUNCTION("""COMPUTED_VALUE"""),"Diamond")</f>
        <v>Diamond</v>
      </c>
      <c r="G597" s="1" t="str">
        <f>IFERROR(__xludf.DUMMYFUNCTION("""COMPUTED_VALUE"""),"Preeti")</f>
        <v>Preeti</v>
      </c>
      <c r="H597" s="1"/>
      <c r="I597" s="1" t="str">
        <f>IFERROR(__xludf.DUMMYFUNCTION("""COMPUTED_VALUE"""),"Want to see More Variety")</f>
        <v>Want to see More Variety</v>
      </c>
      <c r="J597" s="1"/>
      <c r="K597" s="3">
        <f>IFERROR(__xludf.DUMMYFUNCTION("""COMPUTED_VALUE"""),0.6527777777810115)</f>
        <v>0.6527777778</v>
      </c>
      <c r="L597" s="1" t="str">
        <f>IFERROR(__xludf.DUMMYFUNCTION("""COMPUTED_VALUE"""),"Yes")</f>
        <v>Yes</v>
      </c>
      <c r="M597" s="1" t="str">
        <f>IFERROR(__xludf.DUMMYFUNCTION("""COMPUTED_VALUE"""),"Already done ")</f>
        <v>Already done </v>
      </c>
      <c r="N597" s="1" t="str">
        <f>IFERROR(__xludf.DUMMYFUNCTION("""COMPUTED_VALUE"""),"Already done ")</f>
        <v>Already done </v>
      </c>
      <c r="O597" s="1" t="str">
        <f>IFERROR(__xludf.DUMMYFUNCTION("""COMPUTED_VALUE"""),"WA ONLY, CALL")</f>
        <v>WA ONLY, CALL</v>
      </c>
      <c r="P597" s="1" t="str">
        <f>IFERROR(__xludf.DUMMYFUNCTION("""COMPUTED_VALUE"""),"Sir")</f>
        <v>Sir</v>
      </c>
      <c r="Q597" s="1" t="str">
        <f>IFERROR(__xludf.DUMMYFUNCTION("""COMPUTED_VALUE"""),"No")</f>
        <v>No</v>
      </c>
      <c r="R597" s="1" t="str">
        <f>IFERROR(__xludf.DUMMYFUNCTION("""COMPUTED_VALUE"""),"OLD")</f>
        <v>OLD</v>
      </c>
      <c r="S597" s="1"/>
    </row>
    <row r="598">
      <c r="A598" s="2">
        <f>IFERROR(__xludf.DUMMYFUNCTION("""COMPUTED_VALUE"""),45535.78737060185)</f>
        <v>45535.78737</v>
      </c>
      <c r="B598" s="1" t="str">
        <f>IFERROR(__xludf.DUMMYFUNCTION("""COMPUTED_VALUE"""),"Nawab")</f>
        <v>Nawab</v>
      </c>
      <c r="C598" s="1">
        <f>IFERROR(__xludf.DUMMYFUNCTION("""COMPUTED_VALUE"""),9.911072166E9)</f>
        <v>9911072166</v>
      </c>
      <c r="D598" s="1">
        <f>IFERROR(__xludf.DUMMYFUNCTION("""COMPUTED_VALUE"""),2.0)</f>
        <v>2</v>
      </c>
      <c r="E598" s="3">
        <f>IFERROR(__xludf.DUMMYFUNCTION("""COMPUTED_VALUE"""),0.6944444444452529)</f>
        <v>0.6944444444</v>
      </c>
      <c r="F598" s="1" t="str">
        <f>IFERROR(__xludf.DUMMYFUNCTION("""COMPUTED_VALUE"""),"Diamond")</f>
        <v>Diamond</v>
      </c>
      <c r="G598" s="1" t="str">
        <f>IFERROR(__xludf.DUMMYFUNCTION("""COMPUTED_VALUE"""),"Preeti")</f>
        <v>Preeti</v>
      </c>
      <c r="H598" s="1"/>
      <c r="I598" s="1" t="str">
        <f>IFERROR(__xludf.DUMMYFUNCTION("""COMPUTED_VALUE"""),"Want to see More Variety")</f>
        <v>Want to see More Variety</v>
      </c>
      <c r="J598" s="1"/>
      <c r="K598" s="3">
        <f>IFERROR(__xludf.DUMMYFUNCTION("""COMPUTED_VALUE"""),0.7020833333372138)</f>
        <v>0.7020833333</v>
      </c>
      <c r="L598" s="1" t="str">
        <f>IFERROR(__xludf.DUMMYFUNCTION("""COMPUTED_VALUE"""),"No")</f>
        <v>No</v>
      </c>
      <c r="M598" s="1" t="str">
        <f>IFERROR(__xludf.DUMMYFUNCTION("""COMPUTED_VALUE"""),"No")</f>
        <v>No</v>
      </c>
      <c r="N598" s="1" t="str">
        <f>IFERROR(__xludf.DUMMYFUNCTION("""COMPUTED_VALUE"""),"No")</f>
        <v>No</v>
      </c>
      <c r="O598" s="1" t="str">
        <f>IFERROR(__xludf.DUMMYFUNCTION("""COMPUTED_VALUE"""),"WA ONLY, CALL")</f>
        <v>WA ONLY, CALL</v>
      </c>
      <c r="P598" s="1" t="str">
        <f>IFERROR(__xludf.DUMMYFUNCTION("""COMPUTED_VALUE"""),"Sir")</f>
        <v>Sir</v>
      </c>
      <c r="Q598" s="1" t="str">
        <f>IFERROR(__xludf.DUMMYFUNCTION("""COMPUTED_VALUE"""),"No")</f>
        <v>No</v>
      </c>
      <c r="R598" s="1" t="str">
        <f>IFERROR(__xludf.DUMMYFUNCTION("""COMPUTED_VALUE"""),"NEW WALK IN")</f>
        <v>NEW WALK IN</v>
      </c>
      <c r="S598" s="1"/>
    </row>
    <row r="599">
      <c r="A599" s="2">
        <f>IFERROR(__xludf.DUMMYFUNCTION("""COMPUTED_VALUE"""),45535.79088615741)</f>
        <v>45535.79089</v>
      </c>
      <c r="B599" s="1" t="str">
        <f>IFERROR(__xludf.DUMMYFUNCTION("""COMPUTED_VALUE"""),"Raj kumar aggarwal ")</f>
        <v>Raj kumar aggarwal </v>
      </c>
      <c r="C599" s="1">
        <f>IFERROR(__xludf.DUMMYFUNCTION("""COMPUTED_VALUE"""),9.868149982E9)</f>
        <v>9868149982</v>
      </c>
      <c r="D599" s="1">
        <f>IFERROR(__xludf.DUMMYFUNCTION("""COMPUTED_VALUE"""),5.0)</f>
        <v>5</v>
      </c>
      <c r="E599" s="3">
        <f>IFERROR(__xludf.DUMMYFUNCTION("""COMPUTED_VALUE"""),0.6354166666642413)</f>
        <v>0.6354166667</v>
      </c>
      <c r="F599" s="1" t="str">
        <f>IFERROR(__xludf.DUMMYFUNCTION("""COMPUTED_VALUE"""),"Antique Gold")</f>
        <v>Antique Gold</v>
      </c>
      <c r="G599" s="1" t="str">
        <f>IFERROR(__xludf.DUMMYFUNCTION("""COMPUTED_VALUE"""),"Chhaya")</f>
        <v>Chhaya</v>
      </c>
      <c r="H599" s="1" t="str">
        <f>IFERROR(__xludf.DUMMYFUNCTION("""COMPUTED_VALUE"""),"1 gold long set,1 set,gold,chain")</f>
        <v>1 gold long set,1 set,gold,chain</v>
      </c>
      <c r="I599" s="1"/>
      <c r="J599" s="1"/>
      <c r="K599" s="3">
        <f>IFERROR(__xludf.DUMMYFUNCTION("""COMPUTED_VALUE"""),0.8319444444423425)</f>
        <v>0.8319444444</v>
      </c>
      <c r="L599" s="1" t="str">
        <f>IFERROR(__xludf.DUMMYFUNCTION("""COMPUTED_VALUE"""),"Yes")</f>
        <v>Yes</v>
      </c>
      <c r="M599" s="1" t="str">
        <f>IFERROR(__xludf.DUMMYFUNCTION("""COMPUTED_VALUE"""),"Yes")</f>
        <v>Yes</v>
      </c>
      <c r="N599" s="1" t="str">
        <f>IFERROR(__xludf.DUMMYFUNCTION("""COMPUTED_VALUE"""),"Not use")</f>
        <v>Not use</v>
      </c>
      <c r="O599" s="1" t="str">
        <f>IFERROR(__xludf.DUMMYFUNCTION("""COMPUTED_VALUE"""),"WA ONLY, CALL")</f>
        <v>WA ONLY, CALL</v>
      </c>
      <c r="P599" s="1" t="str">
        <f>IFERROR(__xludf.DUMMYFUNCTION("""COMPUTED_VALUE"""),"Sir")</f>
        <v>Sir</v>
      </c>
      <c r="Q599" s="1" t="str">
        <f>IFERROR(__xludf.DUMMYFUNCTION("""COMPUTED_VALUE"""),"No")</f>
        <v>No</v>
      </c>
      <c r="R599" s="1" t="str">
        <f>IFERROR(__xludf.DUMMYFUNCTION("""COMPUTED_VALUE"""),"OLD")</f>
        <v>OLD</v>
      </c>
      <c r="S599" s="1"/>
    </row>
    <row r="600">
      <c r="A600" s="2">
        <f>IFERROR(__xludf.DUMMYFUNCTION("""COMPUTED_VALUE"""),45536.705706354165)</f>
        <v>45536.70571</v>
      </c>
      <c r="B600" s="1" t="str">
        <f>IFERROR(__xludf.DUMMYFUNCTION("""COMPUTED_VALUE"""),"Manish")</f>
        <v>Manish</v>
      </c>
      <c r="C600" s="1">
        <f>IFERROR(__xludf.DUMMYFUNCTION("""COMPUTED_VALUE"""),8.172962386E9)</f>
        <v>8172962386</v>
      </c>
      <c r="D600" s="1">
        <f>IFERROR(__xludf.DUMMYFUNCTION("""COMPUTED_VALUE"""),2.0)</f>
        <v>2</v>
      </c>
      <c r="E600" s="3">
        <f>IFERROR(__xludf.DUMMYFUNCTION("""COMPUTED_VALUE"""),0.5416666666642413)</f>
        <v>0.5416666667</v>
      </c>
      <c r="F600" s="1" t="str">
        <f>IFERROR(__xludf.DUMMYFUNCTION("""COMPUTED_VALUE"""),"Plain Gold")</f>
        <v>Plain Gold</v>
      </c>
      <c r="G600" s="1" t="str">
        <f>IFERROR(__xludf.DUMMYFUNCTION("""COMPUTED_VALUE"""),"Chhaya")</f>
        <v>Chhaya</v>
      </c>
      <c r="H600" s="1" t="str">
        <f>IFERROR(__xludf.DUMMYFUNCTION("""COMPUTED_VALUE"""),"Gold nose pin,gold manglsutr,gold tops,diamond manglsutr ")</f>
        <v>Gold nose pin,gold manglsutr,gold tops,diamond manglsutr </v>
      </c>
      <c r="I600" s="1"/>
      <c r="J600" s="1"/>
      <c r="K600" s="3">
        <f>IFERROR(__xludf.DUMMYFUNCTION("""COMPUTED_VALUE"""),0.7020833333372138)</f>
        <v>0.7020833333</v>
      </c>
      <c r="L600" s="1" t="str">
        <f>IFERROR(__xludf.DUMMYFUNCTION("""COMPUTED_VALUE"""),"Yes")</f>
        <v>Yes</v>
      </c>
      <c r="M600" s="1" t="str">
        <f>IFERROR(__xludf.DUMMYFUNCTION("""COMPUTED_VALUE"""),"Yes")</f>
        <v>Yes</v>
      </c>
      <c r="N600" s="1" t="str">
        <f>IFERROR(__xludf.DUMMYFUNCTION("""COMPUTED_VALUE"""),"Yes")</f>
        <v>Yes</v>
      </c>
      <c r="O600" s="1" t="str">
        <f>IFERROR(__xludf.DUMMYFUNCTION("""COMPUTED_VALUE"""),"WA ONLY, CALL")</f>
        <v>WA ONLY, CALL</v>
      </c>
      <c r="P600" s="1" t="str">
        <f>IFERROR(__xludf.DUMMYFUNCTION("""COMPUTED_VALUE"""),"Sir")</f>
        <v>Sir</v>
      </c>
      <c r="Q600" s="1" t="str">
        <f>IFERROR(__xludf.DUMMYFUNCTION("""COMPUTED_VALUE"""),"No")</f>
        <v>No</v>
      </c>
      <c r="R600" s="1" t="str">
        <f>IFERROR(__xludf.DUMMYFUNCTION("""COMPUTED_VALUE"""),"NEW WALK IN")</f>
        <v>NEW WALK IN</v>
      </c>
      <c r="S600" s="1"/>
    </row>
    <row r="601">
      <c r="A601" s="2">
        <f>IFERROR(__xludf.DUMMYFUNCTION("""COMPUTED_VALUE"""),45536.706980057876)</f>
        <v>45536.70698</v>
      </c>
      <c r="B601" s="1" t="str">
        <f>IFERROR(__xludf.DUMMYFUNCTION("""COMPUTED_VALUE"""),"Parteek")</f>
        <v>Parteek</v>
      </c>
      <c r="C601" s="1">
        <f>IFERROR(__xludf.DUMMYFUNCTION("""COMPUTED_VALUE"""),9.015152292E9)</f>
        <v>9015152292</v>
      </c>
      <c r="D601" s="1">
        <f>IFERROR(__xludf.DUMMYFUNCTION("""COMPUTED_VALUE"""),1.0)</f>
        <v>1</v>
      </c>
      <c r="E601" s="3">
        <f>IFERROR(__xludf.DUMMYFUNCTION("""COMPUTED_VALUE"""),0.6104166666627862)</f>
        <v>0.6104166667</v>
      </c>
      <c r="F601" s="1" t="str">
        <f>IFERROR(__xludf.DUMMYFUNCTION("""COMPUTED_VALUE"""),"Diamond")</f>
        <v>Diamond</v>
      </c>
      <c r="G601" s="1" t="str">
        <f>IFERROR(__xludf.DUMMYFUNCTION("""COMPUTED_VALUE"""),"Preeti")</f>
        <v>Preeti</v>
      </c>
      <c r="H601" s="1"/>
      <c r="I601" s="1" t="str">
        <f>IFERROR(__xludf.DUMMYFUNCTION("""COMPUTED_VALUE"""),"Want to see More Variety")</f>
        <v>Want to see More Variety</v>
      </c>
      <c r="J601" s="1"/>
      <c r="K601" s="3">
        <f>IFERROR(__xludf.DUMMYFUNCTION("""COMPUTED_VALUE"""),0.6187500000014552)</f>
        <v>0.61875</v>
      </c>
      <c r="L601" s="1" t="str">
        <f>IFERROR(__xludf.DUMMYFUNCTION("""COMPUTED_VALUE"""),"No")</f>
        <v>No</v>
      </c>
      <c r="M601" s="1" t="str">
        <f>IFERROR(__xludf.DUMMYFUNCTION("""COMPUTED_VALUE"""),"No")</f>
        <v>No</v>
      </c>
      <c r="N601" s="1" t="str">
        <f>IFERROR(__xludf.DUMMYFUNCTION("""COMPUTED_VALUE"""),"No")</f>
        <v>No</v>
      </c>
      <c r="O601" s="1" t="str">
        <f>IFERROR(__xludf.DUMMYFUNCTION("""COMPUTED_VALUE"""),"WA ONLY, CALL")</f>
        <v>WA ONLY, CALL</v>
      </c>
      <c r="P601" s="1" t="str">
        <f>IFERROR(__xludf.DUMMYFUNCTION("""COMPUTED_VALUE"""),"Sir")</f>
        <v>Sir</v>
      </c>
      <c r="Q601" s="1" t="str">
        <f>IFERROR(__xludf.DUMMYFUNCTION("""COMPUTED_VALUE"""),"No")</f>
        <v>No</v>
      </c>
      <c r="R601" s="1" t="str">
        <f>IFERROR(__xludf.DUMMYFUNCTION("""COMPUTED_VALUE"""),"NEW WALK IN")</f>
        <v>NEW WALK IN</v>
      </c>
      <c r="S601" s="1"/>
    </row>
    <row r="602">
      <c r="A602" s="2">
        <f>IFERROR(__xludf.DUMMYFUNCTION("""COMPUTED_VALUE"""),45536.71018730324)</f>
        <v>45536.71019</v>
      </c>
      <c r="B602" s="1" t="str">
        <f>IFERROR(__xludf.DUMMYFUNCTION("""COMPUTED_VALUE"""),"Aaina")</f>
        <v>Aaina</v>
      </c>
      <c r="C602" s="1">
        <f>IFERROR(__xludf.DUMMYFUNCTION("""COMPUTED_VALUE"""),9.811120718E9)</f>
        <v>9811120718</v>
      </c>
      <c r="D602" s="1">
        <f>IFERROR(__xludf.DUMMYFUNCTION("""COMPUTED_VALUE"""),3.0)</f>
        <v>3</v>
      </c>
      <c r="E602" s="3">
        <f>IFERROR(__xludf.DUMMYFUNCTION("""COMPUTED_VALUE"""),0.6791666666686069)</f>
        <v>0.6791666667</v>
      </c>
      <c r="F602" s="1" t="str">
        <f>IFERROR(__xludf.DUMMYFUNCTION("""COMPUTED_VALUE"""),"Antique Gold")</f>
        <v>Antique Gold</v>
      </c>
      <c r="G602" s="1" t="str">
        <f>IFERROR(__xludf.DUMMYFUNCTION("""COMPUTED_VALUE"""),"Pooja")</f>
        <v>Pooja</v>
      </c>
      <c r="H602" s="1"/>
      <c r="I602" s="1" t="str">
        <f>IFERROR(__xludf.DUMMYFUNCTION("""COMPUTED_VALUE"""),"Will ask family and come with them")</f>
        <v>Will ask family and come with them</v>
      </c>
      <c r="J602" s="1"/>
      <c r="K602" s="3">
        <f>IFERROR(__xludf.DUMMYFUNCTION("""COMPUTED_VALUE"""),0.6979166666642413)</f>
        <v>0.6979166667</v>
      </c>
      <c r="L602" s="1" t="str">
        <f>IFERROR(__xludf.DUMMYFUNCTION("""COMPUTED_VALUE"""),"Yes")</f>
        <v>Yes</v>
      </c>
      <c r="M602" s="1" t="str">
        <f>IFERROR(__xludf.DUMMYFUNCTION("""COMPUTED_VALUE"""),"No")</f>
        <v>No</v>
      </c>
      <c r="N602" s="1" t="str">
        <f>IFERROR(__xludf.DUMMYFUNCTION("""COMPUTED_VALUE"""),"No")</f>
        <v>No</v>
      </c>
      <c r="O602" s="1" t="str">
        <f>IFERROR(__xludf.DUMMYFUNCTION("""COMPUTED_VALUE"""),"WA ONLY, CALL")</f>
        <v>WA ONLY, CALL</v>
      </c>
      <c r="P602" s="1" t="str">
        <f>IFERROR(__xludf.DUMMYFUNCTION("""COMPUTED_VALUE"""),"Madam")</f>
        <v>Madam</v>
      </c>
      <c r="Q602" s="1" t="str">
        <f>IFERROR(__xludf.DUMMYFUNCTION("""COMPUTED_VALUE"""),"No")</f>
        <v>No</v>
      </c>
      <c r="R602" s="1" t="str">
        <f>IFERROR(__xludf.DUMMYFUNCTION("""COMPUTED_VALUE"""),"NEW WALK IN")</f>
        <v>NEW WALK IN</v>
      </c>
      <c r="S602" s="1"/>
    </row>
    <row r="603">
      <c r="A603" s="2">
        <f>IFERROR(__xludf.DUMMYFUNCTION("""COMPUTED_VALUE"""),45536.8095915625)</f>
        <v>45536.80959</v>
      </c>
      <c r="B603" s="1" t="str">
        <f>IFERROR(__xludf.DUMMYFUNCTION("""COMPUTED_VALUE"""),"Kanika ")</f>
        <v>Kanika </v>
      </c>
      <c r="C603" s="1">
        <f>IFERROR(__xludf.DUMMYFUNCTION("""COMPUTED_VALUE"""),7.02720659E9)</f>
        <v>7027206590</v>
      </c>
      <c r="D603" s="1">
        <f>IFERROR(__xludf.DUMMYFUNCTION("""COMPUTED_VALUE"""),4.0)</f>
        <v>4</v>
      </c>
      <c r="E603" s="3">
        <f>IFERROR(__xludf.DUMMYFUNCTION("""COMPUTED_VALUE"""),0.7145833333343035)</f>
        <v>0.7145833333</v>
      </c>
      <c r="F603" s="1" t="str">
        <f>IFERROR(__xludf.DUMMYFUNCTION("""COMPUTED_VALUE"""),"Diamond")</f>
        <v>Diamond</v>
      </c>
      <c r="G603" s="1" t="str">
        <f>IFERROR(__xludf.DUMMYFUNCTION("""COMPUTED_VALUE"""),"Preeti")</f>
        <v>Preeti</v>
      </c>
      <c r="H603" s="1" t="str">
        <f>IFERROR(__xludf.DUMMYFUNCTION("""COMPUTED_VALUE"""),"Diamond items finalized Diamond solitaire,2 Diamond ring")</f>
        <v>Diamond items finalized Diamond solitaire,2 Diamond ring</v>
      </c>
      <c r="I603" s="1"/>
      <c r="J603" s="1"/>
      <c r="K603" s="3">
        <f>IFERROR(__xludf.DUMMYFUNCTION("""COMPUTED_VALUE"""),0.75)</f>
        <v>0.75</v>
      </c>
      <c r="L603" s="1" t="str">
        <f>IFERROR(__xludf.DUMMYFUNCTION("""COMPUTED_VALUE"""),"Yes")</f>
        <v>Yes</v>
      </c>
      <c r="M603" s="1" t="str">
        <f>IFERROR(__xludf.DUMMYFUNCTION("""COMPUTED_VALUE"""),"Already done ")</f>
        <v>Already done </v>
      </c>
      <c r="N603" s="1" t="str">
        <f>IFERROR(__xludf.DUMMYFUNCTION("""COMPUTED_VALUE"""),"Already done ")</f>
        <v>Already done </v>
      </c>
      <c r="O603" s="1" t="str">
        <f>IFERROR(__xludf.DUMMYFUNCTION("""COMPUTED_VALUE"""),"WA ONLY, CALL")</f>
        <v>WA ONLY, CALL</v>
      </c>
      <c r="P603" s="1" t="str">
        <f>IFERROR(__xludf.DUMMYFUNCTION("""COMPUTED_VALUE"""),"Madam")</f>
        <v>Madam</v>
      </c>
      <c r="Q603" s="1" t="str">
        <f>IFERROR(__xludf.DUMMYFUNCTION("""COMPUTED_VALUE"""),"No")</f>
        <v>No</v>
      </c>
      <c r="R603" s="1" t="str">
        <f>IFERROR(__xludf.DUMMYFUNCTION("""COMPUTED_VALUE"""),"OLD")</f>
        <v>OLD</v>
      </c>
      <c r="S603" s="1"/>
    </row>
    <row r="604">
      <c r="A604" s="2">
        <f>IFERROR(__xludf.DUMMYFUNCTION("""COMPUTED_VALUE"""),45536.81052811343)</f>
        <v>45536.81053</v>
      </c>
      <c r="B604" s="1" t="str">
        <f>IFERROR(__xludf.DUMMYFUNCTION("""COMPUTED_VALUE"""),"Shweta ")</f>
        <v>Shweta </v>
      </c>
      <c r="C604" s="1">
        <f>IFERROR(__xludf.DUMMYFUNCTION("""COMPUTED_VALUE"""),8.377847975E9)</f>
        <v>8377847975</v>
      </c>
      <c r="D604" s="1">
        <f>IFERROR(__xludf.DUMMYFUNCTION("""COMPUTED_VALUE"""),4.0)</f>
        <v>4</v>
      </c>
      <c r="E604" s="3">
        <f>IFERROR(__xludf.DUMMYFUNCTION("""COMPUTED_VALUE"""),0.7152777777810115)</f>
        <v>0.7152777778</v>
      </c>
      <c r="F604" s="1" t="str">
        <f>IFERROR(__xludf.DUMMYFUNCTION("""COMPUTED_VALUE"""),"Antique Gold")</f>
        <v>Antique Gold</v>
      </c>
      <c r="G604" s="1" t="str">
        <f>IFERROR(__xludf.DUMMYFUNCTION("""COMPUTED_VALUE"""),"Chhaya")</f>
        <v>Chhaya</v>
      </c>
      <c r="H604" s="1" t="str">
        <f>IFERROR(__xludf.DUMMYFUNCTION("""COMPUTED_VALUE"""),"Gold bangle in order ")</f>
        <v>Gold bangle in order </v>
      </c>
      <c r="I604" s="1"/>
      <c r="J604" s="1"/>
      <c r="K604" s="3">
        <f>IFERROR(__xludf.DUMMYFUNCTION("""COMPUTED_VALUE"""),0.78125)</f>
        <v>0.78125</v>
      </c>
      <c r="L604" s="1" t="str">
        <f>IFERROR(__xludf.DUMMYFUNCTION("""COMPUTED_VALUE"""),"Yes")</f>
        <v>Yes</v>
      </c>
      <c r="M604" s="1" t="str">
        <f>IFERROR(__xludf.DUMMYFUNCTION("""COMPUTED_VALUE"""),"Already done ")</f>
        <v>Already done </v>
      </c>
      <c r="N604" s="1" t="str">
        <f>IFERROR(__xludf.DUMMYFUNCTION("""COMPUTED_VALUE"""),"Already done ")</f>
        <v>Already done </v>
      </c>
      <c r="O604" s="1" t="str">
        <f>IFERROR(__xludf.DUMMYFUNCTION("""COMPUTED_VALUE"""),"WA ONLY, CALL")</f>
        <v>WA ONLY, CALL</v>
      </c>
      <c r="P604" s="1" t="str">
        <f>IFERROR(__xludf.DUMMYFUNCTION("""COMPUTED_VALUE"""),"Madam")</f>
        <v>Madam</v>
      </c>
      <c r="Q604" s="1" t="str">
        <f>IFERROR(__xludf.DUMMYFUNCTION("""COMPUTED_VALUE"""),"No")</f>
        <v>No</v>
      </c>
      <c r="R604" s="1" t="str">
        <f>IFERROR(__xludf.DUMMYFUNCTION("""COMPUTED_VALUE"""),"OLD")</f>
        <v>OLD</v>
      </c>
      <c r="S604" s="1"/>
    </row>
    <row r="605">
      <c r="A605" s="2">
        <f>IFERROR(__xludf.DUMMYFUNCTION("""COMPUTED_VALUE"""),45536.81154653935)</f>
        <v>45536.81155</v>
      </c>
      <c r="B605" s="1" t="str">
        <f>IFERROR(__xludf.DUMMYFUNCTION("""COMPUTED_VALUE"""),"Kajal")</f>
        <v>Kajal</v>
      </c>
      <c r="C605" s="1">
        <f>IFERROR(__xludf.DUMMYFUNCTION("""COMPUTED_VALUE"""),9.555872873E9)</f>
        <v>9555872873</v>
      </c>
      <c r="D605" s="1">
        <f>IFERROR(__xludf.DUMMYFUNCTION("""COMPUTED_VALUE"""),3.0)</f>
        <v>3</v>
      </c>
      <c r="E605" s="3">
        <f>IFERROR(__xludf.DUMMYFUNCTION("""COMPUTED_VALUE"""),0.7222222222189885)</f>
        <v>0.7222222222</v>
      </c>
      <c r="F605" s="1" t="str">
        <f>IFERROR(__xludf.DUMMYFUNCTION("""COMPUTED_VALUE"""),"Antique Gold")</f>
        <v>Antique Gold</v>
      </c>
      <c r="G605" s="1" t="str">
        <f>IFERROR(__xludf.DUMMYFUNCTION("""COMPUTED_VALUE"""),"Tannu")</f>
        <v>Tannu</v>
      </c>
      <c r="H605" s="1"/>
      <c r="I605" s="1" t="str">
        <f>IFERROR(__xludf.DUMMYFUNCTION("""COMPUTED_VALUE"""),"Want to see More Variety")</f>
        <v>Want to see More Variety</v>
      </c>
      <c r="J605" s="1"/>
      <c r="K605" s="3">
        <f>IFERROR(__xludf.DUMMYFUNCTION("""COMPUTED_VALUE"""),0.7569444444452529)</f>
        <v>0.7569444444</v>
      </c>
      <c r="L605" s="1" t="str">
        <f>IFERROR(__xludf.DUMMYFUNCTION("""COMPUTED_VALUE"""),"Yes")</f>
        <v>Yes</v>
      </c>
      <c r="M605" s="1" t="str">
        <f>IFERROR(__xludf.DUMMYFUNCTION("""COMPUTED_VALUE"""),"No")</f>
        <v>No</v>
      </c>
      <c r="N605" s="1" t="str">
        <f>IFERROR(__xludf.DUMMYFUNCTION("""COMPUTED_VALUE"""),"No")</f>
        <v>No</v>
      </c>
      <c r="O605" s="1" t="str">
        <f>IFERROR(__xludf.DUMMYFUNCTION("""COMPUTED_VALUE"""),"WA ONLY, CALL")</f>
        <v>WA ONLY, CALL</v>
      </c>
      <c r="P605" s="1" t="str">
        <f>IFERROR(__xludf.DUMMYFUNCTION("""COMPUTED_VALUE"""),"Madam")</f>
        <v>Madam</v>
      </c>
      <c r="Q605" s="1" t="str">
        <f>IFERROR(__xludf.DUMMYFUNCTION("""COMPUTED_VALUE"""),"No")</f>
        <v>No</v>
      </c>
      <c r="R605" s="1" t="str">
        <f>IFERROR(__xludf.DUMMYFUNCTION("""COMPUTED_VALUE"""),"NEW WALK IN")</f>
        <v>NEW WALK IN</v>
      </c>
      <c r="S605" s="1"/>
    </row>
    <row r="606">
      <c r="A606" s="2">
        <f>IFERROR(__xludf.DUMMYFUNCTION("""COMPUTED_VALUE"""),45536.812464375005)</f>
        <v>45536.81246</v>
      </c>
      <c r="B606" s="1" t="str">
        <f>IFERROR(__xludf.DUMMYFUNCTION("""COMPUTED_VALUE"""),"Arun kumar")</f>
        <v>Arun kumar</v>
      </c>
      <c r="C606" s="1">
        <f>IFERROR(__xludf.DUMMYFUNCTION("""COMPUTED_VALUE"""),9.71743474E9)</f>
        <v>9717434740</v>
      </c>
      <c r="D606" s="1">
        <f>IFERROR(__xludf.DUMMYFUNCTION("""COMPUTED_VALUE"""),7.0)</f>
        <v>7</v>
      </c>
      <c r="E606" s="3">
        <f>IFERROR(__xludf.DUMMYFUNCTION("""COMPUTED_VALUE"""),0.7173611111065838)</f>
        <v>0.7173611111</v>
      </c>
      <c r="F606" s="1" t="str">
        <f>IFERROR(__xludf.DUMMYFUNCTION("""COMPUTED_VALUE"""),"Plain Gold")</f>
        <v>Plain Gold</v>
      </c>
      <c r="G606" s="1" t="str">
        <f>IFERROR(__xludf.DUMMYFUNCTION("""COMPUTED_VALUE"""),"Pooja")</f>
        <v>Pooja</v>
      </c>
      <c r="H606" s="1" t="str">
        <f>IFERROR(__xludf.DUMMYFUNCTION("""COMPUTED_VALUE"""),"Gold set")</f>
        <v>Gold set</v>
      </c>
      <c r="I606" s="1"/>
      <c r="J606" s="1"/>
      <c r="K606" s="3">
        <f>IFERROR(__xludf.DUMMYFUNCTION("""COMPUTED_VALUE"""),0.8333333333357587)</f>
        <v>0.8333333333</v>
      </c>
      <c r="L606" s="1" t="str">
        <f>IFERROR(__xludf.DUMMYFUNCTION("""COMPUTED_VALUE"""),"Yes")</f>
        <v>Yes</v>
      </c>
      <c r="M606" s="1" t="str">
        <f>IFERROR(__xludf.DUMMYFUNCTION("""COMPUTED_VALUE"""),"Yes")</f>
        <v>Yes</v>
      </c>
      <c r="N606" s="1" t="str">
        <f>IFERROR(__xludf.DUMMYFUNCTION("""COMPUTED_VALUE"""),"Yes")</f>
        <v>Yes</v>
      </c>
      <c r="O606" s="1" t="str">
        <f>IFERROR(__xludf.DUMMYFUNCTION("""COMPUTED_VALUE"""),"WA ONLY, CALL")</f>
        <v>WA ONLY, CALL</v>
      </c>
      <c r="P606" s="1" t="str">
        <f>IFERROR(__xludf.DUMMYFUNCTION("""COMPUTED_VALUE"""),"Sir")</f>
        <v>Sir</v>
      </c>
      <c r="Q606" s="1" t="str">
        <f>IFERROR(__xludf.DUMMYFUNCTION("""COMPUTED_VALUE"""),"No")</f>
        <v>No</v>
      </c>
      <c r="R606" s="1" t="str">
        <f>IFERROR(__xludf.DUMMYFUNCTION("""COMPUTED_VALUE"""),"NEW WALK IN")</f>
        <v>NEW WALK IN</v>
      </c>
      <c r="S606" s="1"/>
    </row>
    <row r="607">
      <c r="A607" s="2">
        <f>IFERROR(__xludf.DUMMYFUNCTION("""COMPUTED_VALUE"""),45538.80321084491)</f>
        <v>45538.80321</v>
      </c>
      <c r="B607" s="1" t="str">
        <f>IFERROR(__xludf.DUMMYFUNCTION("""COMPUTED_VALUE"""),"Kamal gupta")</f>
        <v>Kamal gupta</v>
      </c>
      <c r="C607" s="1">
        <f>IFERROR(__xludf.DUMMYFUNCTION("""COMPUTED_VALUE"""),9.899497509E9)</f>
        <v>9899497509</v>
      </c>
      <c r="D607" s="1">
        <f>IFERROR(__xludf.DUMMYFUNCTION("""COMPUTED_VALUE"""),1.0)</f>
        <v>1</v>
      </c>
      <c r="E607" s="3">
        <f>IFERROR(__xludf.DUMMYFUNCTION("""COMPUTED_VALUE"""),0.6354166666642413)</f>
        <v>0.6354166667</v>
      </c>
      <c r="F607" s="1" t="str">
        <f>IFERROR(__xludf.DUMMYFUNCTION("""COMPUTED_VALUE"""),"Plain Gold")</f>
        <v>Plain Gold</v>
      </c>
      <c r="G607" s="1" t="str">
        <f>IFERROR(__xludf.DUMMYFUNCTION("""COMPUTED_VALUE"""),"Tannu")</f>
        <v>Tannu</v>
      </c>
      <c r="H607" s="1" t="str">
        <f>IFERROR(__xludf.DUMMYFUNCTION("""COMPUTED_VALUE"""),"Gold ring order ")</f>
        <v>Gold ring order </v>
      </c>
      <c r="I607" s="1"/>
      <c r="J607" s="1"/>
      <c r="K607" s="3">
        <f>IFERROR(__xludf.DUMMYFUNCTION("""COMPUTED_VALUE"""),0.7361111111094942)</f>
        <v>0.7361111111</v>
      </c>
      <c r="L607" s="1" t="str">
        <f>IFERROR(__xludf.DUMMYFUNCTION("""COMPUTED_VALUE"""),"Yes")</f>
        <v>Yes</v>
      </c>
      <c r="M607" s="1" t="str">
        <f>IFERROR(__xludf.DUMMYFUNCTION("""COMPUTED_VALUE"""),"Yes")</f>
        <v>Yes</v>
      </c>
      <c r="N607" s="1" t="str">
        <f>IFERROR(__xludf.DUMMYFUNCTION("""COMPUTED_VALUE"""),"Not use")</f>
        <v>Not use</v>
      </c>
      <c r="O607" s="1" t="str">
        <f>IFERROR(__xludf.DUMMYFUNCTION("""COMPUTED_VALUE"""),"WA ONLY, CALL")</f>
        <v>WA ONLY, CALL</v>
      </c>
      <c r="P607" s="1" t="str">
        <f>IFERROR(__xludf.DUMMYFUNCTION("""COMPUTED_VALUE"""),"Sir")</f>
        <v>Sir</v>
      </c>
      <c r="Q607" s="1" t="str">
        <f>IFERROR(__xludf.DUMMYFUNCTION("""COMPUTED_VALUE"""),"No")</f>
        <v>No</v>
      </c>
      <c r="R607" s="1" t="str">
        <f>IFERROR(__xludf.DUMMYFUNCTION("""COMPUTED_VALUE"""),"OLD")</f>
        <v>OLD</v>
      </c>
      <c r="S607" s="1"/>
    </row>
    <row r="608">
      <c r="A608" s="2">
        <f>IFERROR(__xludf.DUMMYFUNCTION("""COMPUTED_VALUE"""),45538.8045322338)</f>
        <v>45538.80453</v>
      </c>
      <c r="B608" s="1" t="str">
        <f>IFERROR(__xludf.DUMMYFUNCTION("""COMPUTED_VALUE"""),"Sohali")</f>
        <v>Sohali</v>
      </c>
      <c r="C608" s="1">
        <f>IFERROR(__xludf.DUMMYFUNCTION("""COMPUTED_VALUE"""),8.860067564E9)</f>
        <v>8860067564</v>
      </c>
      <c r="D608" s="1">
        <f>IFERROR(__xludf.DUMMYFUNCTION("""COMPUTED_VALUE"""),3.0)</f>
        <v>3</v>
      </c>
      <c r="E608" s="3">
        <f>IFERROR(__xludf.DUMMYFUNCTION("""COMPUTED_VALUE"""),0.7083333333357587)</f>
        <v>0.7083333333</v>
      </c>
      <c r="F608" s="1" t="str">
        <f>IFERROR(__xludf.DUMMYFUNCTION("""COMPUTED_VALUE"""),"Antique Gold")</f>
        <v>Antique Gold</v>
      </c>
      <c r="G608" s="1" t="str">
        <f>IFERROR(__xludf.DUMMYFUNCTION("""COMPUTED_VALUE"""),"Chhaya")</f>
        <v>Chhaya</v>
      </c>
      <c r="H608" s="1" t="str">
        <f>IFERROR(__xludf.DUMMYFUNCTION("""COMPUTED_VALUE"""),"Gold brochure in order advance Payam done")</f>
        <v>Gold brochure in order advance Payam done</v>
      </c>
      <c r="I608" s="1"/>
      <c r="J608" s="1"/>
      <c r="K608" s="3">
        <f>IFERROR(__xludf.DUMMYFUNCTION("""COMPUTED_VALUE"""),0.7270833333313931)</f>
        <v>0.7270833333</v>
      </c>
      <c r="L608" s="1" t="str">
        <f>IFERROR(__xludf.DUMMYFUNCTION("""COMPUTED_VALUE"""),"Yes")</f>
        <v>Yes</v>
      </c>
      <c r="M608" s="1" t="str">
        <f>IFERROR(__xludf.DUMMYFUNCTION("""COMPUTED_VALUE"""),"Already done ")</f>
        <v>Already done </v>
      </c>
      <c r="N608" s="1" t="str">
        <f>IFERROR(__xludf.DUMMYFUNCTION("""COMPUTED_VALUE"""),"Already done ")</f>
        <v>Already done </v>
      </c>
      <c r="O608" s="1" t="str">
        <f>IFERROR(__xludf.DUMMYFUNCTION("""COMPUTED_VALUE"""),"WA ONLY, CALL")</f>
        <v>WA ONLY, CALL</v>
      </c>
      <c r="P608" s="1" t="str">
        <f>IFERROR(__xludf.DUMMYFUNCTION("""COMPUTED_VALUE"""),"Sir")</f>
        <v>Sir</v>
      </c>
      <c r="Q608" s="1" t="str">
        <f>IFERROR(__xludf.DUMMYFUNCTION("""COMPUTED_VALUE"""),"No")</f>
        <v>No</v>
      </c>
      <c r="R608" s="1" t="str">
        <f>IFERROR(__xludf.DUMMYFUNCTION("""COMPUTED_VALUE"""),"OLD")</f>
        <v>OLD</v>
      </c>
      <c r="S608" s="1"/>
    </row>
    <row r="609">
      <c r="A609" s="2">
        <f>IFERROR(__xludf.DUMMYFUNCTION("""COMPUTED_VALUE"""),45538.805905057874)</f>
        <v>45538.80591</v>
      </c>
      <c r="B609" s="1" t="str">
        <f>IFERROR(__xludf.DUMMYFUNCTION("""COMPUTED_VALUE"""),"Sunil varma")</f>
        <v>Sunil varma</v>
      </c>
      <c r="C609" s="1">
        <f>IFERROR(__xludf.DUMMYFUNCTION("""COMPUTED_VALUE"""),9.810747419E9)</f>
        <v>9810747419</v>
      </c>
      <c r="D609" s="1">
        <f>IFERROR(__xludf.DUMMYFUNCTION("""COMPUTED_VALUE"""),4.0)</f>
        <v>4</v>
      </c>
      <c r="E609" s="3">
        <f>IFERROR(__xludf.DUMMYFUNCTION("""COMPUTED_VALUE"""),0.7180555555532919)</f>
        <v>0.7180555556</v>
      </c>
      <c r="F609" s="1" t="str">
        <f>IFERROR(__xludf.DUMMYFUNCTION("""COMPUTED_VALUE"""),"Diamond")</f>
        <v>Diamond</v>
      </c>
      <c r="G609" s="1" t="str">
        <f>IFERROR(__xludf.DUMMYFUNCTION("""COMPUTED_VALUE"""),"Preeti")</f>
        <v>Preeti</v>
      </c>
      <c r="H609" s="1"/>
      <c r="I609" s="1" t="str">
        <f>IFERROR(__xludf.DUMMYFUNCTION("""COMPUTED_VALUE"""),"Want to see More Variety")</f>
        <v>Want to see More Variety</v>
      </c>
      <c r="J609" s="1"/>
      <c r="K609" s="3">
        <f>IFERROR(__xludf.DUMMYFUNCTION("""COMPUTED_VALUE"""),0.7270833333313931)</f>
        <v>0.7270833333</v>
      </c>
      <c r="L609" s="1" t="str">
        <f>IFERROR(__xludf.DUMMYFUNCTION("""COMPUTED_VALUE"""),"No")</f>
        <v>No</v>
      </c>
      <c r="M609" s="1" t="str">
        <f>IFERROR(__xludf.DUMMYFUNCTION("""COMPUTED_VALUE"""),"No")</f>
        <v>No</v>
      </c>
      <c r="N609" s="1" t="str">
        <f>IFERROR(__xludf.DUMMYFUNCTION("""COMPUTED_VALUE"""),"No")</f>
        <v>No</v>
      </c>
      <c r="O609" s="1" t="str">
        <f>IFERROR(__xludf.DUMMYFUNCTION("""COMPUTED_VALUE"""),"WA ONLY, CALL")</f>
        <v>WA ONLY, CALL</v>
      </c>
      <c r="P609" s="1" t="str">
        <f>IFERROR(__xludf.DUMMYFUNCTION("""COMPUTED_VALUE"""),"Sir")</f>
        <v>Sir</v>
      </c>
      <c r="Q609" s="1" t="str">
        <f>IFERROR(__xludf.DUMMYFUNCTION("""COMPUTED_VALUE"""),"No")</f>
        <v>No</v>
      </c>
      <c r="R609" s="1" t="str">
        <f>IFERROR(__xludf.DUMMYFUNCTION("""COMPUTED_VALUE"""),"NEW WALK IN")</f>
        <v>NEW WALK IN</v>
      </c>
      <c r="S609" s="1"/>
    </row>
    <row r="610">
      <c r="A610" s="2">
        <f>IFERROR(__xludf.DUMMYFUNCTION("""COMPUTED_VALUE"""),45538.80671302084)</f>
        <v>45538.80671</v>
      </c>
      <c r="B610" s="1" t="str">
        <f>IFERROR(__xludf.DUMMYFUNCTION("""COMPUTED_VALUE"""),"Kiran")</f>
        <v>Kiran</v>
      </c>
      <c r="C610" s="1">
        <f>IFERROR(__xludf.DUMMYFUNCTION("""COMPUTED_VALUE"""),8.368373104E9)</f>
        <v>8368373104</v>
      </c>
      <c r="D610" s="1">
        <f>IFERROR(__xludf.DUMMYFUNCTION("""COMPUTED_VALUE"""),3.0)</f>
        <v>3</v>
      </c>
      <c r="E610" s="3">
        <f>IFERROR(__xludf.DUMMYFUNCTION("""COMPUTED_VALUE"""),0.7430555555547471)</f>
        <v>0.7430555556</v>
      </c>
      <c r="F610" s="1" t="str">
        <f>IFERROR(__xludf.DUMMYFUNCTION("""COMPUTED_VALUE"""),"Plain Gold")</f>
        <v>Plain Gold</v>
      </c>
      <c r="G610" s="1" t="str">
        <f>IFERROR(__xludf.DUMMYFUNCTION("""COMPUTED_VALUE"""),"Tannu")</f>
        <v>Tannu</v>
      </c>
      <c r="H610" s="1" t="str">
        <f>IFERROR(__xludf.DUMMYFUNCTION("""COMPUTED_VALUE"""),"Silver breslet ")</f>
        <v>Silver breslet </v>
      </c>
      <c r="I610" s="1"/>
      <c r="J610" s="1"/>
      <c r="K610" s="3">
        <f>IFERROR(__xludf.DUMMYFUNCTION("""COMPUTED_VALUE"""),0.765972222223354)</f>
        <v>0.7659722222</v>
      </c>
      <c r="L610" s="1" t="str">
        <f>IFERROR(__xludf.DUMMYFUNCTION("""COMPUTED_VALUE"""),"Yes")</f>
        <v>Yes</v>
      </c>
      <c r="M610" s="1" t="str">
        <f>IFERROR(__xludf.DUMMYFUNCTION("""COMPUTED_VALUE"""),"Yes")</f>
        <v>Yes</v>
      </c>
      <c r="N610" s="1" t="str">
        <f>IFERROR(__xludf.DUMMYFUNCTION("""COMPUTED_VALUE"""),"Yes")</f>
        <v>Yes</v>
      </c>
      <c r="O610" s="1" t="str">
        <f>IFERROR(__xludf.DUMMYFUNCTION("""COMPUTED_VALUE"""),"WA ONLY, CALL")</f>
        <v>WA ONLY, CALL</v>
      </c>
      <c r="P610" s="1" t="str">
        <f>IFERROR(__xludf.DUMMYFUNCTION("""COMPUTED_VALUE"""),"Madam")</f>
        <v>Madam</v>
      </c>
      <c r="Q610" s="1" t="str">
        <f>IFERROR(__xludf.DUMMYFUNCTION("""COMPUTED_VALUE"""),"No")</f>
        <v>No</v>
      </c>
      <c r="R610" s="1" t="str">
        <f>IFERROR(__xludf.DUMMYFUNCTION("""COMPUTED_VALUE"""),"NEW WALK IN")</f>
        <v>NEW WALK IN</v>
      </c>
      <c r="S610" s="1"/>
    </row>
    <row r="611">
      <c r="A611" s="2">
        <f>IFERROR(__xludf.DUMMYFUNCTION("""COMPUTED_VALUE"""),45538.80738009259)</f>
        <v>45538.80738</v>
      </c>
      <c r="B611" s="1" t="str">
        <f>IFERROR(__xludf.DUMMYFUNCTION("""COMPUTED_VALUE"""),"Aarchna")</f>
        <v>Aarchna</v>
      </c>
      <c r="C611" s="1">
        <f>IFERROR(__xludf.DUMMYFUNCTION("""COMPUTED_VALUE"""),9.871052175E9)</f>
        <v>9871052175</v>
      </c>
      <c r="D611" s="1">
        <f>IFERROR(__xludf.DUMMYFUNCTION("""COMPUTED_VALUE"""),2.0)</f>
        <v>2</v>
      </c>
      <c r="E611" s="3">
        <f>IFERROR(__xludf.DUMMYFUNCTION("""COMPUTED_VALUE"""),0.75)</f>
        <v>0.75</v>
      </c>
      <c r="F611" s="1" t="str">
        <f>IFERROR(__xludf.DUMMYFUNCTION("""COMPUTED_VALUE"""),"Diamond")</f>
        <v>Diamond</v>
      </c>
      <c r="G611" s="1" t="str">
        <f>IFERROR(__xludf.DUMMYFUNCTION("""COMPUTED_VALUE"""),"Pooja")</f>
        <v>Pooja</v>
      </c>
      <c r="H611" s="1" t="str">
        <f>IFERROR(__xludf.DUMMYFUNCTION("""COMPUTED_VALUE"""),"Gold ring")</f>
        <v>Gold ring</v>
      </c>
      <c r="I611" s="1"/>
      <c r="J611" s="1"/>
      <c r="K611" s="3">
        <f>IFERROR(__xludf.DUMMYFUNCTION("""COMPUTED_VALUE"""),0.8013888888890506)</f>
        <v>0.8013888889</v>
      </c>
      <c r="L611" s="1" t="str">
        <f>IFERROR(__xludf.DUMMYFUNCTION("""COMPUTED_VALUE"""),"Yes")</f>
        <v>Yes</v>
      </c>
      <c r="M611" s="1" t="str">
        <f>IFERROR(__xludf.DUMMYFUNCTION("""COMPUTED_VALUE"""),"Already done ")</f>
        <v>Already done </v>
      </c>
      <c r="N611" s="1" t="str">
        <f>IFERROR(__xludf.DUMMYFUNCTION("""COMPUTED_VALUE"""),"Already done ")</f>
        <v>Already done </v>
      </c>
      <c r="O611" s="1" t="str">
        <f>IFERROR(__xludf.DUMMYFUNCTION("""COMPUTED_VALUE"""),"WA ONLY, CALL")</f>
        <v>WA ONLY, CALL</v>
      </c>
      <c r="P611" s="1" t="str">
        <f>IFERROR(__xludf.DUMMYFUNCTION("""COMPUTED_VALUE"""),"Madam")</f>
        <v>Madam</v>
      </c>
      <c r="Q611" s="1" t="str">
        <f>IFERROR(__xludf.DUMMYFUNCTION("""COMPUTED_VALUE"""),"No")</f>
        <v>No</v>
      </c>
      <c r="R611" s="1" t="str">
        <f>IFERROR(__xludf.DUMMYFUNCTION("""COMPUTED_VALUE"""),"OLD")</f>
        <v>OLD</v>
      </c>
      <c r="S611" s="1"/>
    </row>
    <row r="612">
      <c r="A612" s="2">
        <f>IFERROR(__xludf.DUMMYFUNCTION("""COMPUTED_VALUE"""),45539.77151157407)</f>
        <v>45539.77151</v>
      </c>
      <c r="B612" s="1" t="str">
        <f>IFERROR(__xludf.DUMMYFUNCTION("""COMPUTED_VALUE"""),"Neeraj")</f>
        <v>Neeraj</v>
      </c>
      <c r="C612" s="1">
        <f>IFERROR(__xludf.DUMMYFUNCTION("""COMPUTED_VALUE"""),7.011743682E9)</f>
        <v>7011743682</v>
      </c>
      <c r="D612" s="1">
        <f>IFERROR(__xludf.DUMMYFUNCTION("""COMPUTED_VALUE"""),1.0)</f>
        <v>1</v>
      </c>
      <c r="E612" s="3">
        <f>IFERROR(__xludf.DUMMYFUNCTION("""COMPUTED_VALUE"""),0.6805555555547471)</f>
        <v>0.6805555556</v>
      </c>
      <c r="F612" s="1" t="str">
        <f>IFERROR(__xludf.DUMMYFUNCTION("""COMPUTED_VALUE"""),"Plain Gold")</f>
        <v>Plain Gold</v>
      </c>
      <c r="G612" s="1" t="str">
        <f>IFERROR(__xludf.DUMMYFUNCTION("""COMPUTED_VALUE"""),"Tannu")</f>
        <v>Tannu</v>
      </c>
      <c r="H612" s="1"/>
      <c r="I612" s="1" t="str">
        <f>IFERROR(__xludf.DUMMYFUNCTION("""COMPUTED_VALUE"""),"Credit card payment issue ")</f>
        <v>Credit card payment issue </v>
      </c>
      <c r="J612" s="1"/>
      <c r="K612" s="3">
        <f>IFERROR(__xludf.DUMMYFUNCTION("""COMPUTED_VALUE"""),0.7090277777751908)</f>
        <v>0.7090277778</v>
      </c>
      <c r="L612" s="1" t="str">
        <f>IFERROR(__xludf.DUMMYFUNCTION("""COMPUTED_VALUE"""),"No")</f>
        <v>No</v>
      </c>
      <c r="M612" s="1" t="str">
        <f>IFERROR(__xludf.DUMMYFUNCTION("""COMPUTED_VALUE"""),"No")</f>
        <v>No</v>
      </c>
      <c r="N612" s="1" t="str">
        <f>IFERROR(__xludf.DUMMYFUNCTION("""COMPUTED_VALUE"""),"No")</f>
        <v>No</v>
      </c>
      <c r="O612" s="1" t="str">
        <f>IFERROR(__xludf.DUMMYFUNCTION("""COMPUTED_VALUE"""),"WA ONLY, CALL")</f>
        <v>WA ONLY, CALL</v>
      </c>
      <c r="P612" s="1" t="str">
        <f>IFERROR(__xludf.DUMMYFUNCTION("""COMPUTED_VALUE"""),"Sir")</f>
        <v>Sir</v>
      </c>
      <c r="Q612" s="1" t="str">
        <f>IFERROR(__xludf.DUMMYFUNCTION("""COMPUTED_VALUE"""),"No")</f>
        <v>No</v>
      </c>
      <c r="R612" s="1" t="str">
        <f>IFERROR(__xludf.DUMMYFUNCTION("""COMPUTED_VALUE"""),"NEW WALK IN")</f>
        <v>NEW WALK IN</v>
      </c>
      <c r="S612" s="1"/>
    </row>
    <row r="613">
      <c r="A613" s="2">
        <f>IFERROR(__xludf.DUMMYFUNCTION("""COMPUTED_VALUE"""),45539.77241085648)</f>
        <v>45539.77241</v>
      </c>
      <c r="B613" s="1" t="str">
        <f>IFERROR(__xludf.DUMMYFUNCTION("""COMPUTED_VALUE"""),"Setu aggarwal ")</f>
        <v>Setu aggarwal </v>
      </c>
      <c r="C613" s="1">
        <f>IFERROR(__xludf.DUMMYFUNCTION("""COMPUTED_VALUE"""),9.911958928E9)</f>
        <v>9911958928</v>
      </c>
      <c r="D613" s="1">
        <f>IFERROR(__xludf.DUMMYFUNCTION("""COMPUTED_VALUE"""),1.0)</f>
        <v>1</v>
      </c>
      <c r="E613" s="3">
        <f>IFERROR(__xludf.DUMMYFUNCTION("""COMPUTED_VALUE"""),0.5847222222218988)</f>
        <v>0.5847222222</v>
      </c>
      <c r="F613" s="1" t="str">
        <f>IFERROR(__xludf.DUMMYFUNCTION("""COMPUTED_VALUE"""),"Diamond")</f>
        <v>Diamond</v>
      </c>
      <c r="G613" s="1" t="str">
        <f>IFERROR(__xludf.DUMMYFUNCTION("""COMPUTED_VALUE"""),"Preeti")</f>
        <v>Preeti</v>
      </c>
      <c r="H613" s="1" t="str">
        <f>IFERROR(__xludf.DUMMYFUNCTION("""COMPUTED_VALUE"""),"Diamond br,bg,set order ")</f>
        <v>Diamond br,bg,set order </v>
      </c>
      <c r="I613" s="1"/>
      <c r="J613" s="1"/>
      <c r="K613" s="3">
        <f>IFERROR(__xludf.DUMMYFUNCTION("""COMPUTED_VALUE"""),0.7520833333328483)</f>
        <v>0.7520833333</v>
      </c>
      <c r="L613" s="1" t="str">
        <f>IFERROR(__xludf.DUMMYFUNCTION("""COMPUTED_VALUE"""),"Yes")</f>
        <v>Yes</v>
      </c>
      <c r="M613" s="1" t="str">
        <f>IFERROR(__xludf.DUMMYFUNCTION("""COMPUTED_VALUE"""),"Already done ")</f>
        <v>Already done </v>
      </c>
      <c r="N613" s="1" t="str">
        <f>IFERROR(__xludf.DUMMYFUNCTION("""COMPUTED_VALUE"""),"Already done ")</f>
        <v>Already done </v>
      </c>
      <c r="O613" s="1" t="str">
        <f>IFERROR(__xludf.DUMMYFUNCTION("""COMPUTED_VALUE"""),"WA ONLY, CALL")</f>
        <v>WA ONLY, CALL</v>
      </c>
      <c r="P613" s="1" t="str">
        <f>IFERROR(__xludf.DUMMYFUNCTION("""COMPUTED_VALUE"""),"Madam")</f>
        <v>Madam</v>
      </c>
      <c r="Q613" s="1" t="str">
        <f>IFERROR(__xludf.DUMMYFUNCTION("""COMPUTED_VALUE"""),"No")</f>
        <v>No</v>
      </c>
      <c r="R613" s="1" t="str">
        <f>IFERROR(__xludf.DUMMYFUNCTION("""COMPUTED_VALUE"""),"OLD")</f>
        <v>OLD</v>
      </c>
      <c r="S613" s="1"/>
    </row>
    <row r="614">
      <c r="A614" s="2">
        <f>IFERROR(__xludf.DUMMYFUNCTION("""COMPUTED_VALUE"""),45540.745135590274)</f>
        <v>45540.74514</v>
      </c>
      <c r="B614" s="1" t="str">
        <f>IFERROR(__xludf.DUMMYFUNCTION("""COMPUTED_VALUE"""),"Gaurav, ")</f>
        <v>Gaurav, </v>
      </c>
      <c r="C614" s="1">
        <f>IFERROR(__xludf.DUMMYFUNCTION("""COMPUTED_VALUE"""),9.0681122E9)</f>
        <v>9068112200</v>
      </c>
      <c r="D614" s="1">
        <f>IFERROR(__xludf.DUMMYFUNCTION("""COMPUTED_VALUE"""),2.0)</f>
        <v>2</v>
      </c>
      <c r="E614" s="3">
        <f>IFERROR(__xludf.DUMMYFUNCTION("""COMPUTED_VALUE"""),0.6111111111094942)</f>
        <v>0.6111111111</v>
      </c>
      <c r="F614" s="1" t="str">
        <f>IFERROR(__xludf.DUMMYFUNCTION("""COMPUTED_VALUE"""),"Plain Gold")</f>
        <v>Plain Gold</v>
      </c>
      <c r="G614" s="1" t="str">
        <f>IFERROR(__xludf.DUMMYFUNCTION("""COMPUTED_VALUE"""),"Pooja")</f>
        <v>Pooja</v>
      </c>
      <c r="H614" s="1"/>
      <c r="I614" s="1" t="str">
        <f>IFERROR(__xludf.DUMMYFUNCTION("""COMPUTED_VALUE"""),"Want to see More Variety")</f>
        <v>Want to see More Variety</v>
      </c>
      <c r="J614" s="1"/>
      <c r="K614" s="3">
        <f>IFERROR(__xludf.DUMMYFUNCTION("""COMPUTED_VALUE"""),0.6152777777751908)</f>
        <v>0.6152777778</v>
      </c>
      <c r="L614" s="1" t="str">
        <f>IFERROR(__xludf.DUMMYFUNCTION("""COMPUTED_VALUE"""),"No")</f>
        <v>No</v>
      </c>
      <c r="M614" s="1" t="str">
        <f>IFERROR(__xludf.DUMMYFUNCTION("""COMPUTED_VALUE"""),"No")</f>
        <v>No</v>
      </c>
      <c r="N614" s="1" t="str">
        <f>IFERROR(__xludf.DUMMYFUNCTION("""COMPUTED_VALUE"""),"No")</f>
        <v>No</v>
      </c>
      <c r="O614" s="1" t="str">
        <f>IFERROR(__xludf.DUMMYFUNCTION("""COMPUTED_VALUE"""),"WA ONLY, CALL")</f>
        <v>WA ONLY, CALL</v>
      </c>
      <c r="P614" s="1" t="str">
        <f>IFERROR(__xludf.DUMMYFUNCTION("""COMPUTED_VALUE"""),"Sir")</f>
        <v>Sir</v>
      </c>
      <c r="Q614" s="1" t="str">
        <f>IFERROR(__xludf.DUMMYFUNCTION("""COMPUTED_VALUE"""),"No")</f>
        <v>No</v>
      </c>
      <c r="R614" s="1" t="str">
        <f>IFERROR(__xludf.DUMMYFUNCTION("""COMPUTED_VALUE"""),"NEW WALK IN")</f>
        <v>NEW WALK IN</v>
      </c>
      <c r="S614" s="1"/>
    </row>
    <row r="615">
      <c r="A615" s="2">
        <f>IFERROR(__xludf.DUMMYFUNCTION("""COMPUTED_VALUE"""),45541.80197084491)</f>
        <v>45541.80197</v>
      </c>
      <c r="B615" s="1" t="str">
        <f>IFERROR(__xludf.DUMMYFUNCTION("""COMPUTED_VALUE"""),"Rohit patel")</f>
        <v>Rohit patel</v>
      </c>
      <c r="C615" s="1">
        <f>IFERROR(__xludf.DUMMYFUNCTION("""COMPUTED_VALUE"""),9.340254051E9)</f>
        <v>9340254051</v>
      </c>
      <c r="D615" s="1">
        <f>IFERROR(__xludf.DUMMYFUNCTION("""COMPUTED_VALUE"""),2.0)</f>
        <v>2</v>
      </c>
      <c r="E615" s="3">
        <f>IFERROR(__xludf.DUMMYFUNCTION("""COMPUTED_VALUE"""),0.7763888888875954)</f>
        <v>0.7763888889</v>
      </c>
      <c r="F615" s="1" t="str">
        <f>IFERROR(__xludf.DUMMYFUNCTION("""COMPUTED_VALUE"""),"Plain Gold")</f>
        <v>Plain Gold</v>
      </c>
      <c r="G615" s="1" t="str">
        <f>IFERROR(__xludf.DUMMYFUNCTION("""COMPUTED_VALUE"""),"Pooja")</f>
        <v>Pooja</v>
      </c>
      <c r="H615" s="1"/>
      <c r="I615" s="1" t="str">
        <f>IFERROR(__xludf.DUMMYFUNCTION("""COMPUTED_VALUE"""),"3 leyar gold bali is not available in the stock")</f>
        <v>3 leyar gold bali is not available in the stock</v>
      </c>
      <c r="J615" s="1"/>
      <c r="K615" s="3">
        <f>IFERROR(__xludf.DUMMYFUNCTION("""COMPUTED_VALUE"""),0.797222222223354)</f>
        <v>0.7972222222</v>
      </c>
      <c r="L615" s="1" t="str">
        <f>IFERROR(__xludf.DUMMYFUNCTION("""COMPUTED_VALUE"""),"No")</f>
        <v>No</v>
      </c>
      <c r="M615" s="1" t="str">
        <f>IFERROR(__xludf.DUMMYFUNCTION("""COMPUTED_VALUE"""),"No")</f>
        <v>No</v>
      </c>
      <c r="N615" s="1" t="str">
        <f>IFERROR(__xludf.DUMMYFUNCTION("""COMPUTED_VALUE"""),"No")</f>
        <v>No</v>
      </c>
      <c r="O615" s="1" t="str">
        <f>IFERROR(__xludf.DUMMYFUNCTION("""COMPUTED_VALUE"""),"WA ONLY, CALL")</f>
        <v>WA ONLY, CALL</v>
      </c>
      <c r="P615" s="1" t="str">
        <f>IFERROR(__xludf.DUMMYFUNCTION("""COMPUTED_VALUE"""),"Sir")</f>
        <v>Sir</v>
      </c>
      <c r="Q615" s="1" t="str">
        <f>IFERROR(__xludf.DUMMYFUNCTION("""COMPUTED_VALUE"""),"No")</f>
        <v>No</v>
      </c>
      <c r="R615" s="1" t="str">
        <f>IFERROR(__xludf.DUMMYFUNCTION("""COMPUTED_VALUE"""),"NEW WALK IN")</f>
        <v>NEW WALK IN</v>
      </c>
      <c r="S615" s="1"/>
    </row>
    <row r="616">
      <c r="A616" s="2">
        <f>IFERROR(__xludf.DUMMYFUNCTION("""COMPUTED_VALUE"""),45542.76879377315)</f>
        <v>45542.76879</v>
      </c>
      <c r="B616" s="1" t="str">
        <f>IFERROR(__xludf.DUMMYFUNCTION("""COMPUTED_VALUE"""),"Virean")</f>
        <v>Virean</v>
      </c>
      <c r="C616" s="1">
        <f>IFERROR(__xludf.DUMMYFUNCTION("""COMPUTED_VALUE"""),9.999976925E9)</f>
        <v>9999976925</v>
      </c>
      <c r="D616" s="1">
        <f>IFERROR(__xludf.DUMMYFUNCTION("""COMPUTED_VALUE"""),3.0)</f>
        <v>3</v>
      </c>
      <c r="E616" s="3">
        <f>IFERROR(__xludf.DUMMYFUNCTION("""COMPUTED_VALUE"""),0.5416666666642413)</f>
        <v>0.5416666667</v>
      </c>
      <c r="F616" s="1" t="str">
        <f>IFERROR(__xludf.DUMMYFUNCTION("""COMPUTED_VALUE"""),"Plain Gold")</f>
        <v>Plain Gold</v>
      </c>
      <c r="G616" s="1" t="str">
        <f>IFERROR(__xludf.DUMMYFUNCTION("""COMPUTED_VALUE"""),"Chhaya")</f>
        <v>Chhaya</v>
      </c>
      <c r="H616" s="1"/>
      <c r="I616" s="1" t="str">
        <f>IFERROR(__xludf.DUMMYFUNCTION("""COMPUTED_VALUE"""),"Want to see More Variety")</f>
        <v>Want to see More Variety</v>
      </c>
      <c r="J616" s="1"/>
      <c r="K616" s="3">
        <f>IFERROR(__xludf.DUMMYFUNCTION("""COMPUTED_VALUE"""),0.5888888888875954)</f>
        <v>0.5888888889</v>
      </c>
      <c r="L616" s="1" t="str">
        <f>IFERROR(__xludf.DUMMYFUNCTION("""COMPUTED_VALUE"""),"Yes")</f>
        <v>Yes</v>
      </c>
      <c r="M616" s="1" t="str">
        <f>IFERROR(__xludf.DUMMYFUNCTION("""COMPUTED_VALUE"""),"No")</f>
        <v>No</v>
      </c>
      <c r="N616" s="1" t="str">
        <f>IFERROR(__xludf.DUMMYFUNCTION("""COMPUTED_VALUE"""),"No")</f>
        <v>No</v>
      </c>
      <c r="O616" s="1" t="str">
        <f>IFERROR(__xludf.DUMMYFUNCTION("""COMPUTED_VALUE"""),"WA ONLY, CALL")</f>
        <v>WA ONLY, CALL</v>
      </c>
      <c r="P616" s="1" t="str">
        <f>IFERROR(__xludf.DUMMYFUNCTION("""COMPUTED_VALUE"""),"Sir")</f>
        <v>Sir</v>
      </c>
      <c r="Q616" s="1" t="str">
        <f>IFERROR(__xludf.DUMMYFUNCTION("""COMPUTED_VALUE"""),"No")</f>
        <v>No</v>
      </c>
      <c r="R616" s="1" t="str">
        <f>IFERROR(__xludf.DUMMYFUNCTION("""COMPUTED_VALUE"""),"NEW WALK IN")</f>
        <v>NEW WALK IN</v>
      </c>
      <c r="S616" s="1"/>
    </row>
    <row r="617">
      <c r="A617" s="2">
        <f>IFERROR(__xludf.DUMMYFUNCTION("""COMPUTED_VALUE"""),45542.769583726855)</f>
        <v>45542.76958</v>
      </c>
      <c r="B617" s="1" t="str">
        <f>IFERROR(__xludf.DUMMYFUNCTION("""COMPUTED_VALUE"""),"Hazim md.arif")</f>
        <v>Hazim md.arif</v>
      </c>
      <c r="C617" s="1">
        <f>IFERROR(__xludf.DUMMYFUNCTION("""COMPUTED_VALUE"""),9.829237868E9)</f>
        <v>9829237868</v>
      </c>
      <c r="D617" s="1">
        <f>IFERROR(__xludf.DUMMYFUNCTION("""COMPUTED_VALUE"""),3.0)</f>
        <v>3</v>
      </c>
      <c r="E617" s="3">
        <f>IFERROR(__xludf.DUMMYFUNCTION("""COMPUTED_VALUE"""),0.7215277777795563)</f>
        <v>0.7215277778</v>
      </c>
      <c r="F617" s="1" t="str">
        <f>IFERROR(__xludf.DUMMYFUNCTION("""COMPUTED_VALUE"""),"Plain Gold")</f>
        <v>Plain Gold</v>
      </c>
      <c r="G617" s="1" t="str">
        <f>IFERROR(__xludf.DUMMYFUNCTION("""COMPUTED_VALUE"""),"Pooja")</f>
        <v>Pooja</v>
      </c>
      <c r="H617" s="1" t="str">
        <f>IFERROR(__xludf.DUMMYFUNCTION("""COMPUTED_VALUE"""),"5 gold ring,1 gold chain")</f>
        <v>5 gold ring,1 gold chain</v>
      </c>
      <c r="I617" s="1"/>
      <c r="J617" s="1"/>
      <c r="K617" s="3">
        <f>IFERROR(__xludf.DUMMYFUNCTION("""COMPUTED_VALUE"""),0.765277777776646)</f>
        <v>0.7652777778</v>
      </c>
      <c r="L617" s="1" t="str">
        <f>IFERROR(__xludf.DUMMYFUNCTION("""COMPUTED_VALUE"""),"Yes")</f>
        <v>Yes</v>
      </c>
      <c r="M617" s="1" t="str">
        <f>IFERROR(__xludf.DUMMYFUNCTION("""COMPUTED_VALUE"""),"Yes")</f>
        <v>Yes</v>
      </c>
      <c r="N617" s="1" t="str">
        <f>IFERROR(__xludf.DUMMYFUNCTION("""COMPUTED_VALUE"""),"Yes ")</f>
        <v>Yes </v>
      </c>
      <c r="O617" s="1" t="str">
        <f>IFERROR(__xludf.DUMMYFUNCTION("""COMPUTED_VALUE"""),"WA ONLY, CALL")</f>
        <v>WA ONLY, CALL</v>
      </c>
      <c r="P617" s="1" t="str">
        <f>IFERROR(__xludf.DUMMYFUNCTION("""COMPUTED_VALUE"""),"Sir")</f>
        <v>Sir</v>
      </c>
      <c r="Q617" s="1" t="str">
        <f>IFERROR(__xludf.DUMMYFUNCTION("""COMPUTED_VALUE"""),"No")</f>
        <v>No</v>
      </c>
      <c r="R617" s="1" t="str">
        <f>IFERROR(__xludf.DUMMYFUNCTION("""COMPUTED_VALUE"""),"NEW WALK IN")</f>
        <v>NEW WALK IN</v>
      </c>
      <c r="S617" s="1"/>
    </row>
    <row r="618">
      <c r="A618" s="2">
        <f>IFERROR(__xludf.DUMMYFUNCTION("""COMPUTED_VALUE"""),45543.81554645833)</f>
        <v>45543.81555</v>
      </c>
      <c r="B618" s="1" t="str">
        <f>IFERROR(__xludf.DUMMYFUNCTION("""COMPUTED_VALUE"""),"Hitesh")</f>
        <v>Hitesh</v>
      </c>
      <c r="C618" s="1">
        <f>IFERROR(__xludf.DUMMYFUNCTION("""COMPUTED_VALUE"""),9.013201919E9)</f>
        <v>9013201919</v>
      </c>
      <c r="D618" s="1">
        <f>IFERROR(__xludf.DUMMYFUNCTION("""COMPUTED_VALUE"""),3.0)</f>
        <v>3</v>
      </c>
      <c r="E618" s="3">
        <f>IFERROR(__xludf.DUMMYFUNCTION("""COMPUTED_VALUE"""),0.6569444444467081)</f>
        <v>0.6569444444</v>
      </c>
      <c r="F618" s="1" t="str">
        <f>IFERROR(__xludf.DUMMYFUNCTION("""COMPUTED_VALUE"""),"Diamond")</f>
        <v>Diamond</v>
      </c>
      <c r="G618" s="1" t="str">
        <f>IFERROR(__xludf.DUMMYFUNCTION("""COMPUTED_VALUE"""),"Preeti")</f>
        <v>Preeti</v>
      </c>
      <c r="H618" s="1"/>
      <c r="I618" s="1" t="str">
        <f>IFERROR(__xludf.DUMMYFUNCTION("""COMPUTED_VALUE"""),"Visit Again in 1 Month")</f>
        <v>Visit Again in 1 Month</v>
      </c>
      <c r="J618" s="1"/>
      <c r="K618" s="3">
        <f>IFERROR(__xludf.DUMMYFUNCTION("""COMPUTED_VALUE"""),0.6666666666642413)</f>
        <v>0.6666666667</v>
      </c>
      <c r="L618" s="1" t="str">
        <f>IFERROR(__xludf.DUMMYFUNCTION("""COMPUTED_VALUE"""),"Yes")</f>
        <v>Yes</v>
      </c>
      <c r="M618" s="1" t="str">
        <f>IFERROR(__xludf.DUMMYFUNCTION("""COMPUTED_VALUE"""),"No")</f>
        <v>No</v>
      </c>
      <c r="N618" s="1" t="str">
        <f>IFERROR(__xludf.DUMMYFUNCTION("""COMPUTED_VALUE"""),"No")</f>
        <v>No</v>
      </c>
      <c r="O618" s="1" t="str">
        <f>IFERROR(__xludf.DUMMYFUNCTION("""COMPUTED_VALUE"""),"WA ONLY, CALL")</f>
        <v>WA ONLY, CALL</v>
      </c>
      <c r="P618" s="1" t="str">
        <f>IFERROR(__xludf.DUMMYFUNCTION("""COMPUTED_VALUE"""),"Sir")</f>
        <v>Sir</v>
      </c>
      <c r="Q618" s="1" t="str">
        <f>IFERROR(__xludf.DUMMYFUNCTION("""COMPUTED_VALUE"""),"No")</f>
        <v>No</v>
      </c>
      <c r="R618" s="1" t="str">
        <f>IFERROR(__xludf.DUMMYFUNCTION("""COMPUTED_VALUE"""),"NEW WALK IN")</f>
        <v>NEW WALK IN</v>
      </c>
      <c r="S618" s="1"/>
    </row>
    <row r="619">
      <c r="A619" s="2">
        <f>IFERROR(__xludf.DUMMYFUNCTION("""COMPUTED_VALUE"""),45543.81698415509)</f>
        <v>45543.81698</v>
      </c>
      <c r="B619" s="1" t="str">
        <f>IFERROR(__xludf.DUMMYFUNCTION("""COMPUTED_VALUE"""),"Dr.md.suhail")</f>
        <v>Dr.md.suhail</v>
      </c>
      <c r="C619" s="1">
        <f>IFERROR(__xludf.DUMMYFUNCTION("""COMPUTED_VALUE"""),9.891203082E9)</f>
        <v>9891203082</v>
      </c>
      <c r="D619" s="1">
        <f>IFERROR(__xludf.DUMMYFUNCTION("""COMPUTED_VALUE"""),2.0)</f>
        <v>2</v>
      </c>
      <c r="E619" s="3">
        <f>IFERROR(__xludf.DUMMYFUNCTION("""COMPUTED_VALUE"""),0.6909722222189885)</f>
        <v>0.6909722222</v>
      </c>
      <c r="F619" s="1" t="str">
        <f>IFERROR(__xludf.DUMMYFUNCTION("""COMPUTED_VALUE"""),"Diamond")</f>
        <v>Diamond</v>
      </c>
      <c r="G619" s="1" t="str">
        <f>IFERROR(__xludf.DUMMYFUNCTION("""COMPUTED_VALUE"""),"Chhaya")</f>
        <v>Chhaya</v>
      </c>
      <c r="H619" s="1" t="str">
        <f>IFERROR(__xludf.DUMMYFUNCTION("""COMPUTED_VALUE"""),"Gold chain,diamond pendent ")</f>
        <v>Gold chain,diamond pendent </v>
      </c>
      <c r="I619" s="1"/>
      <c r="J619" s="1"/>
      <c r="K619" s="3">
        <f>IFERROR(__xludf.DUMMYFUNCTION("""COMPUTED_VALUE"""),0.7430555555547471)</f>
        <v>0.7430555556</v>
      </c>
      <c r="L619" s="1" t="str">
        <f>IFERROR(__xludf.DUMMYFUNCTION("""COMPUTED_VALUE"""),"Yes")</f>
        <v>Yes</v>
      </c>
      <c r="M619" s="1" t="str">
        <f>IFERROR(__xludf.DUMMYFUNCTION("""COMPUTED_VALUE"""),"Yes")</f>
        <v>Yes</v>
      </c>
      <c r="N619" s="1" t="str">
        <f>IFERROR(__xludf.DUMMYFUNCTION("""COMPUTED_VALUE"""),"Yes")</f>
        <v>Yes</v>
      </c>
      <c r="O619" s="1" t="str">
        <f>IFERROR(__xludf.DUMMYFUNCTION("""COMPUTED_VALUE"""),"WA ONLY, CALL")</f>
        <v>WA ONLY, CALL</v>
      </c>
      <c r="P619" s="1" t="str">
        <f>IFERROR(__xludf.DUMMYFUNCTION("""COMPUTED_VALUE"""),"Sir")</f>
        <v>Sir</v>
      </c>
      <c r="Q619" s="1" t="str">
        <f>IFERROR(__xludf.DUMMYFUNCTION("""COMPUTED_VALUE"""),"No")</f>
        <v>No</v>
      </c>
      <c r="R619" s="1" t="str">
        <f>IFERROR(__xludf.DUMMYFUNCTION("""COMPUTED_VALUE"""),"NEW WALK IN")</f>
        <v>NEW WALK IN</v>
      </c>
      <c r="S619" s="1"/>
    </row>
    <row r="620">
      <c r="A620" s="2">
        <f>IFERROR(__xludf.DUMMYFUNCTION("""COMPUTED_VALUE"""),45543.817889768514)</f>
        <v>45543.81789</v>
      </c>
      <c r="B620" s="1" t="str">
        <f>IFERROR(__xludf.DUMMYFUNCTION("""COMPUTED_VALUE"""),"Viren")</f>
        <v>Viren</v>
      </c>
      <c r="C620" s="1">
        <f>IFERROR(__xludf.DUMMYFUNCTION("""COMPUTED_VALUE"""),9.999796925E9)</f>
        <v>9999796925</v>
      </c>
      <c r="D620" s="1">
        <f>IFERROR(__xludf.DUMMYFUNCTION("""COMPUTED_VALUE"""),2.0)</f>
        <v>2</v>
      </c>
      <c r="E620" s="3">
        <f>IFERROR(__xludf.DUMMYFUNCTION("""COMPUTED_VALUE"""),0.7555555555591127)</f>
        <v>0.7555555556</v>
      </c>
      <c r="F620" s="1" t="str">
        <f>IFERROR(__xludf.DUMMYFUNCTION("""COMPUTED_VALUE"""),"Antique Gold")</f>
        <v>Antique Gold</v>
      </c>
      <c r="G620" s="1" t="str">
        <f>IFERROR(__xludf.DUMMYFUNCTION("""COMPUTED_VALUE"""),"Chhaya")</f>
        <v>Chhaya</v>
      </c>
      <c r="H620" s="1" t="str">
        <f>IFERROR(__xludf.DUMMYFUNCTION("""COMPUTED_VALUE"""),"Order gold antique set")</f>
        <v>Order gold antique set</v>
      </c>
      <c r="I620" s="1"/>
      <c r="J620" s="1"/>
      <c r="K620" s="3">
        <f>IFERROR(__xludf.DUMMYFUNCTION("""COMPUTED_VALUE"""),0.8020833333357587)</f>
        <v>0.8020833333</v>
      </c>
      <c r="L620" s="1" t="str">
        <f>IFERROR(__xludf.DUMMYFUNCTION("""COMPUTED_VALUE"""),"Yes")</f>
        <v>Yes</v>
      </c>
      <c r="M620" s="1" t="str">
        <f>IFERROR(__xludf.DUMMYFUNCTION("""COMPUTED_VALUE"""),"Yes")</f>
        <v>Yes</v>
      </c>
      <c r="N620" s="1" t="str">
        <f>IFERROR(__xludf.DUMMYFUNCTION("""COMPUTED_VALUE"""),"Yes")</f>
        <v>Yes</v>
      </c>
      <c r="O620" s="1" t="str">
        <f>IFERROR(__xludf.DUMMYFUNCTION("""COMPUTED_VALUE"""),"WA ONLY, CALL")</f>
        <v>WA ONLY, CALL</v>
      </c>
      <c r="P620" s="1" t="str">
        <f>IFERROR(__xludf.DUMMYFUNCTION("""COMPUTED_VALUE"""),"Sir")</f>
        <v>Sir</v>
      </c>
      <c r="Q620" s="1" t="str">
        <f>IFERROR(__xludf.DUMMYFUNCTION("""COMPUTED_VALUE"""),"No")</f>
        <v>No</v>
      </c>
      <c r="R620" s="1" t="str">
        <f>IFERROR(__xludf.DUMMYFUNCTION("""COMPUTED_VALUE"""),"NEW WALK IN")</f>
        <v>NEW WALK IN</v>
      </c>
      <c r="S620" s="1"/>
    </row>
    <row r="621">
      <c r="A621" s="2">
        <f>IFERROR(__xludf.DUMMYFUNCTION("""COMPUTED_VALUE"""),45543.81885788194)</f>
        <v>45543.81886</v>
      </c>
      <c r="B621" s="1" t="str">
        <f>IFERROR(__xludf.DUMMYFUNCTION("""COMPUTED_VALUE"""),"Rakeshndra")</f>
        <v>Rakeshndra</v>
      </c>
      <c r="C621" s="1">
        <f>IFERROR(__xludf.DUMMYFUNCTION("""COMPUTED_VALUE"""),9.873284859E9)</f>
        <v>9873284859</v>
      </c>
      <c r="D621" s="1">
        <f>IFERROR(__xludf.DUMMYFUNCTION("""COMPUTED_VALUE"""),3.0)</f>
        <v>3</v>
      </c>
      <c r="E621" s="3">
        <f>IFERROR(__xludf.DUMMYFUNCTION("""COMPUTED_VALUE"""),0.5680555555591127)</f>
        <v>0.5680555556</v>
      </c>
      <c r="F621" s="1" t="str">
        <f>IFERROR(__xludf.DUMMYFUNCTION("""COMPUTED_VALUE"""),"Plain Gold")</f>
        <v>Plain Gold</v>
      </c>
      <c r="G621" s="1" t="str">
        <f>IFERROR(__xludf.DUMMYFUNCTION("""COMPUTED_VALUE"""),"Pooja")</f>
        <v>Pooja</v>
      </c>
      <c r="H621" s="1" t="str">
        <f>IFERROR(__xludf.DUMMYFUNCTION("""COMPUTED_VALUE"""),"Gold nose pin,silver payal")</f>
        <v>Gold nose pin,silver payal</v>
      </c>
      <c r="I621" s="1"/>
      <c r="J621" s="1"/>
      <c r="K621" s="3">
        <f>IFERROR(__xludf.DUMMYFUNCTION("""COMPUTED_VALUE"""),0.6041666666642413)</f>
        <v>0.6041666667</v>
      </c>
      <c r="L621" s="1" t="str">
        <f>IFERROR(__xludf.DUMMYFUNCTION("""COMPUTED_VALUE"""),"Yes")</f>
        <v>Yes</v>
      </c>
      <c r="M621" s="1" t="str">
        <f>IFERROR(__xludf.DUMMYFUNCTION("""COMPUTED_VALUE"""),"Yes")</f>
        <v>Yes</v>
      </c>
      <c r="N621" s="1" t="str">
        <f>IFERROR(__xludf.DUMMYFUNCTION("""COMPUTED_VALUE"""),"Yes")</f>
        <v>Yes</v>
      </c>
      <c r="O621" s="1" t="str">
        <f>IFERROR(__xludf.DUMMYFUNCTION("""COMPUTED_VALUE"""),"WA ONLY, CALL")</f>
        <v>WA ONLY, CALL</v>
      </c>
      <c r="P621" s="1" t="str">
        <f>IFERROR(__xludf.DUMMYFUNCTION("""COMPUTED_VALUE"""),"Sir")</f>
        <v>Sir</v>
      </c>
      <c r="Q621" s="1" t="str">
        <f>IFERROR(__xludf.DUMMYFUNCTION("""COMPUTED_VALUE"""),"No")</f>
        <v>No</v>
      </c>
      <c r="R621" s="1" t="str">
        <f>IFERROR(__xludf.DUMMYFUNCTION("""COMPUTED_VALUE"""),"NEW WALK IN")</f>
        <v>NEW WALK IN</v>
      </c>
      <c r="S621" s="1"/>
    </row>
    <row r="622">
      <c r="A622" s="2">
        <f>IFERROR(__xludf.DUMMYFUNCTION("""COMPUTED_VALUE"""),45543.81979393518)</f>
        <v>45543.81979</v>
      </c>
      <c r="B622" s="1" t="str">
        <f>IFERROR(__xludf.DUMMYFUNCTION("""COMPUTED_VALUE"""),"Furkan")</f>
        <v>Furkan</v>
      </c>
      <c r="C622" s="1" t="str">
        <f>IFERROR(__xludf.DUMMYFUNCTION("""COMPUTED_VALUE"""),"01931299765")</f>
        <v>01931299765</v>
      </c>
      <c r="D622" s="1">
        <f>IFERROR(__xludf.DUMMYFUNCTION("""COMPUTED_VALUE"""),2.0)</f>
        <v>2</v>
      </c>
      <c r="E622" s="3">
        <f>IFERROR(__xludf.DUMMYFUNCTION("""COMPUTED_VALUE"""),0.7916666666642413)</f>
        <v>0.7916666667</v>
      </c>
      <c r="F622" s="1" t="str">
        <f>IFERROR(__xludf.DUMMYFUNCTION("""COMPUTED_VALUE"""),"Diamond")</f>
        <v>Diamond</v>
      </c>
      <c r="G622" s="1" t="str">
        <f>IFERROR(__xludf.DUMMYFUNCTION("""COMPUTED_VALUE"""),"Pooja")</f>
        <v>Pooja</v>
      </c>
      <c r="H622" s="1"/>
      <c r="I622" s="1" t="str">
        <f>IFERROR(__xludf.DUMMYFUNCTION("""COMPUTED_VALUE"""),"Want to see More Variety")</f>
        <v>Want to see More Variety</v>
      </c>
      <c r="J622" s="1"/>
      <c r="K622" s="3">
        <f>IFERROR(__xludf.DUMMYFUNCTION("""COMPUTED_VALUE"""),0.8187499999985448)</f>
        <v>0.81875</v>
      </c>
      <c r="L622" s="1" t="str">
        <f>IFERROR(__xludf.DUMMYFUNCTION("""COMPUTED_VALUE"""),"No")</f>
        <v>No</v>
      </c>
      <c r="M622" s="1" t="str">
        <f>IFERROR(__xludf.DUMMYFUNCTION("""COMPUTED_VALUE"""),"No")</f>
        <v>No</v>
      </c>
      <c r="N622" s="1" t="str">
        <f>IFERROR(__xludf.DUMMYFUNCTION("""COMPUTED_VALUE"""),"No")</f>
        <v>No</v>
      </c>
      <c r="O622" s="1" t="str">
        <f>IFERROR(__xludf.DUMMYFUNCTION("""COMPUTED_VALUE"""),"WA ONLY, CALL")</f>
        <v>WA ONLY, CALL</v>
      </c>
      <c r="P622" s="1" t="str">
        <f>IFERROR(__xludf.DUMMYFUNCTION("""COMPUTED_VALUE"""),"Sir")</f>
        <v>Sir</v>
      </c>
      <c r="Q622" s="1" t="str">
        <f>IFERROR(__xludf.DUMMYFUNCTION("""COMPUTED_VALUE"""),"No")</f>
        <v>No</v>
      </c>
      <c r="R622" s="1" t="str">
        <f>IFERROR(__xludf.DUMMYFUNCTION("""COMPUTED_VALUE"""),"NEW WALK IN")</f>
        <v>NEW WALK IN</v>
      </c>
      <c r="S622" s="1"/>
    </row>
    <row r="623">
      <c r="A623" s="2">
        <f>IFERROR(__xludf.DUMMYFUNCTION("""COMPUTED_VALUE"""),45545.80562704861)</f>
        <v>45545.80563</v>
      </c>
      <c r="B623" s="1" t="str">
        <f>IFERROR(__xludf.DUMMYFUNCTION("""COMPUTED_VALUE"""),"Keso devi ")</f>
        <v>Keso devi </v>
      </c>
      <c r="C623" s="1">
        <f>IFERROR(__xludf.DUMMYFUNCTION("""COMPUTED_VALUE"""),9.87144661E9)</f>
        <v>9871446610</v>
      </c>
      <c r="D623" s="1">
        <f>IFERROR(__xludf.DUMMYFUNCTION("""COMPUTED_VALUE"""),1.0)</f>
        <v>1</v>
      </c>
      <c r="E623" s="3">
        <f>IFERROR(__xludf.DUMMYFUNCTION("""COMPUTED_VALUE"""),0.5208333333357587)</f>
        <v>0.5208333333</v>
      </c>
      <c r="F623" s="1" t="str">
        <f>IFERROR(__xludf.DUMMYFUNCTION("""COMPUTED_VALUE"""),"Antique Gold")</f>
        <v>Antique Gold</v>
      </c>
      <c r="G623" s="1" t="str">
        <f>IFERROR(__xludf.DUMMYFUNCTION("""COMPUTED_VALUE"""),"Pooja")</f>
        <v>Pooja</v>
      </c>
      <c r="H623" s="1"/>
      <c r="I623" s="1" t="str">
        <f>IFERROR(__xludf.DUMMYFUNCTION("""COMPUTED_VALUE"""),"Return to gold pendent ")</f>
        <v>Return to gold pendent </v>
      </c>
      <c r="J623" s="1"/>
      <c r="K623" s="3">
        <f>IFERROR(__xludf.DUMMYFUNCTION("""COMPUTED_VALUE"""),0.6041666666642413)</f>
        <v>0.6041666667</v>
      </c>
      <c r="L623" s="1" t="str">
        <f>IFERROR(__xludf.DUMMYFUNCTION("""COMPUTED_VALUE"""),"Yes")</f>
        <v>Yes</v>
      </c>
      <c r="M623" s="1" t="str">
        <f>IFERROR(__xludf.DUMMYFUNCTION("""COMPUTED_VALUE"""),"Already done ")</f>
        <v>Already done </v>
      </c>
      <c r="N623" s="1" t="str">
        <f>IFERROR(__xludf.DUMMYFUNCTION("""COMPUTED_VALUE"""),"Already done ")</f>
        <v>Already done </v>
      </c>
      <c r="O623" s="1" t="str">
        <f>IFERROR(__xludf.DUMMYFUNCTION("""COMPUTED_VALUE"""),"WA ONLY, CALL")</f>
        <v>WA ONLY, CALL</v>
      </c>
      <c r="P623" s="1" t="str">
        <f>IFERROR(__xludf.DUMMYFUNCTION("""COMPUTED_VALUE"""),"Madam")</f>
        <v>Madam</v>
      </c>
      <c r="Q623" s="1" t="str">
        <f>IFERROR(__xludf.DUMMYFUNCTION("""COMPUTED_VALUE"""),"No")</f>
        <v>No</v>
      </c>
      <c r="R623" s="1" t="str">
        <f>IFERROR(__xludf.DUMMYFUNCTION("""COMPUTED_VALUE"""),"OLD")</f>
        <v>OLD</v>
      </c>
      <c r="S623" s="1"/>
    </row>
    <row r="624">
      <c r="A624" s="2">
        <f>IFERROR(__xludf.DUMMYFUNCTION("""COMPUTED_VALUE"""),45545.8065765162)</f>
        <v>45545.80658</v>
      </c>
      <c r="B624" s="1" t="str">
        <f>IFERROR(__xludf.DUMMYFUNCTION("""COMPUTED_VALUE"""),"Mamta")</f>
        <v>Mamta</v>
      </c>
      <c r="C624" s="1">
        <f>IFERROR(__xludf.DUMMYFUNCTION("""COMPUTED_VALUE"""),9.582159548E9)</f>
        <v>9582159548</v>
      </c>
      <c r="D624" s="1">
        <f>IFERROR(__xludf.DUMMYFUNCTION("""COMPUTED_VALUE"""),1.0)</f>
        <v>1</v>
      </c>
      <c r="E624" s="3">
        <f>IFERROR(__xludf.DUMMYFUNCTION("""COMPUTED_VALUE"""),0.6458333333357587)</f>
        <v>0.6458333333</v>
      </c>
      <c r="F624" s="1" t="str">
        <f>IFERROR(__xludf.DUMMYFUNCTION("""COMPUTED_VALUE"""),"Antique Gold")</f>
        <v>Antique Gold</v>
      </c>
      <c r="G624" s="1" t="str">
        <f>IFERROR(__xludf.DUMMYFUNCTION("""COMPUTED_VALUE"""),"Pooja")</f>
        <v>Pooja</v>
      </c>
      <c r="H624" s="1" t="str">
        <f>IFERROR(__xludf.DUMMYFUNCTION("""COMPUTED_VALUE"""),"Gold baar")</f>
        <v>Gold baar</v>
      </c>
      <c r="I624" s="1"/>
      <c r="J624" s="1"/>
      <c r="K624" s="3">
        <f>IFERROR(__xludf.DUMMYFUNCTION("""COMPUTED_VALUE"""),0.7368055555562023)</f>
        <v>0.7368055556</v>
      </c>
      <c r="L624" s="1" t="str">
        <f>IFERROR(__xludf.DUMMYFUNCTION("""COMPUTED_VALUE"""),"Yes")</f>
        <v>Yes</v>
      </c>
      <c r="M624" s="1" t="str">
        <f>IFERROR(__xludf.DUMMYFUNCTION("""COMPUTED_VALUE"""),"Already done ")</f>
        <v>Already done </v>
      </c>
      <c r="N624" s="1" t="str">
        <f>IFERROR(__xludf.DUMMYFUNCTION("""COMPUTED_VALUE"""),"Already done ")</f>
        <v>Already done </v>
      </c>
      <c r="O624" s="1" t="str">
        <f>IFERROR(__xludf.DUMMYFUNCTION("""COMPUTED_VALUE"""),"WA ONLY, CALL")</f>
        <v>WA ONLY, CALL</v>
      </c>
      <c r="P624" s="1" t="str">
        <f>IFERROR(__xludf.DUMMYFUNCTION("""COMPUTED_VALUE"""),"Madam")</f>
        <v>Madam</v>
      </c>
      <c r="Q624" s="1" t="str">
        <f>IFERROR(__xludf.DUMMYFUNCTION("""COMPUTED_VALUE"""),"No")</f>
        <v>No</v>
      </c>
      <c r="R624" s="1" t="str">
        <f>IFERROR(__xludf.DUMMYFUNCTION("""COMPUTED_VALUE"""),"OLD")</f>
        <v>OLD</v>
      </c>
      <c r="S624" s="1"/>
    </row>
    <row r="625">
      <c r="A625" s="2">
        <f>IFERROR(__xludf.DUMMYFUNCTION("""COMPUTED_VALUE"""),45545.8103570949)</f>
        <v>45545.81036</v>
      </c>
      <c r="B625" s="1" t="str">
        <f>IFERROR(__xludf.DUMMYFUNCTION("""COMPUTED_VALUE"""),"Viren")</f>
        <v>Viren</v>
      </c>
      <c r="C625" s="1">
        <f>IFERROR(__xludf.DUMMYFUNCTION("""COMPUTED_VALUE"""),9.999796925E9)</f>
        <v>9999796925</v>
      </c>
      <c r="D625" s="1">
        <f>IFERROR(__xludf.DUMMYFUNCTION("""COMPUTED_VALUE"""),2.0)</f>
        <v>2</v>
      </c>
      <c r="E625" s="3">
        <f>IFERROR(__xludf.DUMMYFUNCTION("""COMPUTED_VALUE"""),0.796527777776646)</f>
        <v>0.7965277778</v>
      </c>
      <c r="F625" s="1" t="str">
        <f>IFERROR(__xludf.DUMMYFUNCTION("""COMPUTED_VALUE"""),"Antique Gold")</f>
        <v>Antique Gold</v>
      </c>
      <c r="G625" s="1" t="str">
        <f>IFERROR(__xludf.DUMMYFUNCTION("""COMPUTED_VALUE"""),"Pooja")</f>
        <v>Pooja</v>
      </c>
      <c r="H625" s="1"/>
      <c r="I625" s="1" t="str">
        <f>IFERROR(__xludf.DUMMYFUNCTION("""COMPUTED_VALUE"""),"Confrim antique gold set")</f>
        <v>Confrim antique gold set</v>
      </c>
      <c r="J625" s="1"/>
      <c r="K625" s="3">
        <f>IFERROR(__xludf.DUMMYFUNCTION("""COMPUTED_VALUE"""),0.8340277777751908)</f>
        <v>0.8340277778</v>
      </c>
      <c r="L625" s="1" t="str">
        <f>IFERROR(__xludf.DUMMYFUNCTION("""COMPUTED_VALUE"""),"Yes")</f>
        <v>Yes</v>
      </c>
      <c r="M625" s="1" t="str">
        <f>IFERROR(__xludf.DUMMYFUNCTION("""COMPUTED_VALUE"""),"Already done ")</f>
        <v>Already done </v>
      </c>
      <c r="N625" s="1" t="str">
        <f>IFERROR(__xludf.DUMMYFUNCTION("""COMPUTED_VALUE"""),"Already done ")</f>
        <v>Already done </v>
      </c>
      <c r="O625" s="1" t="str">
        <f>IFERROR(__xludf.DUMMYFUNCTION("""COMPUTED_VALUE"""),"WA ONLY, CALL")</f>
        <v>WA ONLY, CALL</v>
      </c>
      <c r="P625" s="1" t="str">
        <f>IFERROR(__xludf.DUMMYFUNCTION("""COMPUTED_VALUE"""),"Sir")</f>
        <v>Sir</v>
      </c>
      <c r="Q625" s="1" t="str">
        <f>IFERROR(__xludf.DUMMYFUNCTION("""COMPUTED_VALUE"""),"No")</f>
        <v>No</v>
      </c>
      <c r="R625" s="1" t="str">
        <f>IFERROR(__xludf.DUMMYFUNCTION("""COMPUTED_VALUE"""),"OLD")</f>
        <v>OLD</v>
      </c>
      <c r="S625" s="1"/>
    </row>
    <row r="626">
      <c r="A626" s="2">
        <f>IFERROR(__xludf.DUMMYFUNCTION("""COMPUTED_VALUE"""),45545.82329799769)</f>
        <v>45545.8233</v>
      </c>
      <c r="B626" s="1" t="str">
        <f>IFERROR(__xludf.DUMMYFUNCTION("""COMPUTED_VALUE"""),"Ajeet kumar")</f>
        <v>Ajeet kumar</v>
      </c>
      <c r="C626" s="1">
        <f>IFERROR(__xludf.DUMMYFUNCTION("""COMPUTED_VALUE"""),9.015110185E9)</f>
        <v>9015110185</v>
      </c>
      <c r="D626" s="1">
        <f>IFERROR(__xludf.DUMMYFUNCTION("""COMPUTED_VALUE"""),2.0)</f>
        <v>2</v>
      </c>
      <c r="E626" s="3">
        <f>IFERROR(__xludf.DUMMYFUNCTION("""COMPUTED_VALUE"""),0.8138888888934162)</f>
        <v>0.8138888889</v>
      </c>
      <c r="F626" s="1" t="str">
        <f>IFERROR(__xludf.DUMMYFUNCTION("""COMPUTED_VALUE"""),"Plain Gold")</f>
        <v>Plain Gold</v>
      </c>
      <c r="G626" s="1" t="str">
        <f>IFERROR(__xludf.DUMMYFUNCTION("""COMPUTED_VALUE"""),"Tannu")</f>
        <v>Tannu</v>
      </c>
      <c r="H626" s="1"/>
      <c r="I626" s="1" t="str">
        <f>IFERROR(__xludf.DUMMYFUNCTION("""COMPUTED_VALUE"""),"Want to see More Variety")</f>
        <v>Want to see More Variety</v>
      </c>
      <c r="J626" s="1"/>
      <c r="K626" s="3">
        <f>IFERROR(__xludf.DUMMYFUNCTION("""COMPUTED_VALUE"""),0.8222222222248092)</f>
        <v>0.8222222222</v>
      </c>
      <c r="L626" s="1" t="str">
        <f>IFERROR(__xludf.DUMMYFUNCTION("""COMPUTED_VALUE"""),"No")</f>
        <v>No</v>
      </c>
      <c r="M626" s="1" t="str">
        <f>IFERROR(__xludf.DUMMYFUNCTION("""COMPUTED_VALUE"""),"No")</f>
        <v>No</v>
      </c>
      <c r="N626" s="1" t="str">
        <f>IFERROR(__xludf.DUMMYFUNCTION("""COMPUTED_VALUE"""),"No")</f>
        <v>No</v>
      </c>
      <c r="O626" s="1" t="str">
        <f>IFERROR(__xludf.DUMMYFUNCTION("""COMPUTED_VALUE"""),"WA ONLY, CALL")</f>
        <v>WA ONLY, CALL</v>
      </c>
      <c r="P626" s="1" t="str">
        <f>IFERROR(__xludf.DUMMYFUNCTION("""COMPUTED_VALUE"""),"Sir")</f>
        <v>Sir</v>
      </c>
      <c r="Q626" s="1" t="str">
        <f>IFERROR(__xludf.DUMMYFUNCTION("""COMPUTED_VALUE"""),"No")</f>
        <v>No</v>
      </c>
      <c r="R626" s="1" t="str">
        <f>IFERROR(__xludf.DUMMYFUNCTION("""COMPUTED_VALUE"""),"NEW WALK IN")</f>
        <v>NEW WALK IN</v>
      </c>
      <c r="S626" s="1"/>
    </row>
    <row r="627">
      <c r="A627" s="2">
        <f>IFERROR(__xludf.DUMMYFUNCTION("""COMPUTED_VALUE"""),45546.835220995374)</f>
        <v>45546.83522</v>
      </c>
      <c r="B627" s="1" t="str">
        <f>IFERROR(__xludf.DUMMYFUNCTION("""COMPUTED_VALUE"""),"Sanny jain")</f>
        <v>Sanny jain</v>
      </c>
      <c r="C627" s="1">
        <f>IFERROR(__xludf.DUMMYFUNCTION("""COMPUTED_VALUE"""),8.447847772E9)</f>
        <v>8447847772</v>
      </c>
      <c r="D627" s="1">
        <f>IFERROR(__xludf.DUMMYFUNCTION("""COMPUTED_VALUE"""),3.0)</f>
        <v>3</v>
      </c>
      <c r="E627" s="3">
        <f>IFERROR(__xludf.DUMMYFUNCTION("""COMPUTED_VALUE"""),0.6187500000014552)</f>
        <v>0.61875</v>
      </c>
      <c r="F627" s="1" t="str">
        <f>IFERROR(__xludf.DUMMYFUNCTION("""COMPUTED_VALUE"""),"Antique Gold")</f>
        <v>Antique Gold</v>
      </c>
      <c r="G627" s="1" t="str">
        <f>IFERROR(__xludf.DUMMYFUNCTION("""COMPUTED_VALUE"""),"Pooja")</f>
        <v>Pooja</v>
      </c>
      <c r="H627" s="1"/>
      <c r="I627" s="1" t="str">
        <f>IFERROR(__xludf.DUMMYFUNCTION("""COMPUTED_VALUE"""),"Want to see More Variety")</f>
        <v>Want to see More Variety</v>
      </c>
      <c r="J627" s="1"/>
      <c r="K627" s="3">
        <f>IFERROR(__xludf.DUMMYFUNCTION("""COMPUTED_VALUE"""),0.6458333333357587)</f>
        <v>0.6458333333</v>
      </c>
      <c r="L627" s="1" t="str">
        <f>IFERROR(__xludf.DUMMYFUNCTION("""COMPUTED_VALUE"""),"No")</f>
        <v>No</v>
      </c>
      <c r="M627" s="1" t="str">
        <f>IFERROR(__xludf.DUMMYFUNCTION("""COMPUTED_VALUE"""),"No")</f>
        <v>No</v>
      </c>
      <c r="N627" s="1" t="str">
        <f>IFERROR(__xludf.DUMMYFUNCTION("""COMPUTED_VALUE"""),"No")</f>
        <v>No</v>
      </c>
      <c r="O627" s="1" t="str">
        <f>IFERROR(__xludf.DUMMYFUNCTION("""COMPUTED_VALUE"""),"WA ONLY, CALL")</f>
        <v>WA ONLY, CALL</v>
      </c>
      <c r="P627" s="1" t="str">
        <f>IFERROR(__xludf.DUMMYFUNCTION("""COMPUTED_VALUE"""),"Sir")</f>
        <v>Sir</v>
      </c>
      <c r="Q627" s="1" t="str">
        <f>IFERROR(__xludf.DUMMYFUNCTION("""COMPUTED_VALUE"""),"No")</f>
        <v>No</v>
      </c>
      <c r="R627" s="1" t="str">
        <f>IFERROR(__xludf.DUMMYFUNCTION("""COMPUTED_VALUE"""),"NEW WALK IN")</f>
        <v>NEW WALK IN</v>
      </c>
      <c r="S627" s="1"/>
    </row>
    <row r="628">
      <c r="A628" s="2">
        <f>IFERROR(__xludf.DUMMYFUNCTION("""COMPUTED_VALUE"""),45546.83637072917)</f>
        <v>45546.83637</v>
      </c>
      <c r="B628" s="1" t="str">
        <f>IFERROR(__xludf.DUMMYFUNCTION("""COMPUTED_VALUE"""),"Jyoti jain")</f>
        <v>Jyoti jain</v>
      </c>
      <c r="C628" s="1">
        <f>IFERROR(__xludf.DUMMYFUNCTION("""COMPUTED_VALUE"""),8.448829871E9)</f>
        <v>8448829871</v>
      </c>
      <c r="D628" s="1">
        <f>IFERROR(__xludf.DUMMYFUNCTION("""COMPUTED_VALUE"""),2.0)</f>
        <v>2</v>
      </c>
      <c r="E628" s="3">
        <f>IFERROR(__xludf.DUMMYFUNCTION("""COMPUTED_VALUE"""),0.7118055555547471)</f>
        <v>0.7118055556</v>
      </c>
      <c r="F628" s="1" t="str">
        <f>IFERROR(__xludf.DUMMYFUNCTION("""COMPUTED_VALUE"""),"Plain Gold")</f>
        <v>Plain Gold</v>
      </c>
      <c r="G628" s="1" t="str">
        <f>IFERROR(__xludf.DUMMYFUNCTION("""COMPUTED_VALUE"""),"Pooja")</f>
        <v>Pooja</v>
      </c>
      <c r="H628" s="1" t="str">
        <f>IFERROR(__xludf.DUMMYFUNCTION("""COMPUTED_VALUE"""),"Gold ring in order ")</f>
        <v>Gold ring in order </v>
      </c>
      <c r="I628" s="1"/>
      <c r="J628" s="1"/>
      <c r="K628" s="3">
        <f>IFERROR(__xludf.DUMMYFUNCTION("""COMPUTED_VALUE"""),0.7326388888905058)</f>
        <v>0.7326388889</v>
      </c>
      <c r="L628" s="1" t="str">
        <f>IFERROR(__xludf.DUMMYFUNCTION("""COMPUTED_VALUE"""),"Yes")</f>
        <v>Yes</v>
      </c>
      <c r="M628" s="1" t="str">
        <f>IFERROR(__xludf.DUMMYFUNCTION("""COMPUTED_VALUE"""),"Yes")</f>
        <v>Yes</v>
      </c>
      <c r="N628" s="1" t="str">
        <f>IFERROR(__xludf.DUMMYFUNCTION("""COMPUTED_VALUE"""),"Yes")</f>
        <v>Yes</v>
      </c>
      <c r="O628" s="1" t="str">
        <f>IFERROR(__xludf.DUMMYFUNCTION("""COMPUTED_VALUE"""),"WA ONLY, CALL")</f>
        <v>WA ONLY, CALL</v>
      </c>
      <c r="P628" s="1" t="str">
        <f>IFERROR(__xludf.DUMMYFUNCTION("""COMPUTED_VALUE"""),"Madam")</f>
        <v>Madam</v>
      </c>
      <c r="Q628" s="1" t="str">
        <f>IFERROR(__xludf.DUMMYFUNCTION("""COMPUTED_VALUE"""),"No")</f>
        <v>No</v>
      </c>
      <c r="R628" s="1" t="str">
        <f>IFERROR(__xludf.DUMMYFUNCTION("""COMPUTED_VALUE"""),"OLD")</f>
        <v>OLD</v>
      </c>
      <c r="S628" s="1"/>
    </row>
    <row r="629">
      <c r="A629" s="2">
        <f>IFERROR(__xludf.DUMMYFUNCTION("""COMPUTED_VALUE"""),45546.83840466435)</f>
        <v>45546.8384</v>
      </c>
      <c r="B629" s="1" t="str">
        <f>IFERROR(__xludf.DUMMYFUNCTION("""COMPUTED_VALUE"""),"Sandeep")</f>
        <v>Sandeep</v>
      </c>
      <c r="C629" s="1">
        <f>IFERROR(__xludf.DUMMYFUNCTION("""COMPUTED_VALUE"""),9.871405086E9)</f>
        <v>9871405086</v>
      </c>
      <c r="D629" s="1">
        <f>IFERROR(__xludf.DUMMYFUNCTION("""COMPUTED_VALUE"""),5.0)</f>
        <v>5</v>
      </c>
      <c r="E629" s="3">
        <f>IFERROR(__xludf.DUMMYFUNCTION("""COMPUTED_VALUE"""),0.7249999999985448)</f>
        <v>0.725</v>
      </c>
      <c r="F629" s="1" t="str">
        <f>IFERROR(__xludf.DUMMYFUNCTION("""COMPUTED_VALUE"""),"Diamond")</f>
        <v>Diamond</v>
      </c>
      <c r="G629" s="1" t="str">
        <f>IFERROR(__xludf.DUMMYFUNCTION("""COMPUTED_VALUE"""),"Tannu")</f>
        <v>Tannu</v>
      </c>
      <c r="H629" s="1" t="str">
        <f>IFERROR(__xludf.DUMMYFUNCTION("""COMPUTED_VALUE"""),"Gold set,ring,ms,mangtika")</f>
        <v>Gold set,ring,ms,mangtika</v>
      </c>
      <c r="I629" s="1"/>
      <c r="J629" s="1"/>
      <c r="K629" s="3">
        <f>IFERROR(__xludf.DUMMYFUNCTION("""COMPUTED_VALUE"""),0.8375000000014552)</f>
        <v>0.8375</v>
      </c>
      <c r="L629" s="1" t="str">
        <f>IFERROR(__xludf.DUMMYFUNCTION("""COMPUTED_VALUE"""),"Yes")</f>
        <v>Yes</v>
      </c>
      <c r="M629" s="1" t="str">
        <f>IFERROR(__xludf.DUMMYFUNCTION("""COMPUTED_VALUE"""),"Yes")</f>
        <v>Yes</v>
      </c>
      <c r="N629" s="1" t="str">
        <f>IFERROR(__xludf.DUMMYFUNCTION("""COMPUTED_VALUE"""),"Yes ")</f>
        <v>Yes </v>
      </c>
      <c r="O629" s="1" t="str">
        <f>IFERROR(__xludf.DUMMYFUNCTION("""COMPUTED_VALUE"""),"WA ONLY, CALL")</f>
        <v>WA ONLY, CALL</v>
      </c>
      <c r="P629" s="1" t="str">
        <f>IFERROR(__xludf.DUMMYFUNCTION("""COMPUTED_VALUE"""),"Sir")</f>
        <v>Sir</v>
      </c>
      <c r="Q629" s="1" t="str">
        <f>IFERROR(__xludf.DUMMYFUNCTION("""COMPUTED_VALUE"""),"No")</f>
        <v>No</v>
      </c>
      <c r="R629" s="1" t="str">
        <f>IFERROR(__xludf.DUMMYFUNCTION("""COMPUTED_VALUE"""),"NEW WALK IN")</f>
        <v>NEW WALK IN</v>
      </c>
      <c r="S629" s="1"/>
    </row>
    <row r="630">
      <c r="A630" s="2">
        <f>IFERROR(__xludf.DUMMYFUNCTION("""COMPUTED_VALUE"""),45546.83946430555)</f>
        <v>45546.83946</v>
      </c>
      <c r="B630" s="1" t="str">
        <f>IFERROR(__xludf.DUMMYFUNCTION("""COMPUTED_VALUE"""),"Viren")</f>
        <v>Viren</v>
      </c>
      <c r="C630" s="1">
        <f>IFERROR(__xludf.DUMMYFUNCTION("""COMPUTED_VALUE"""),9.999796925E9)</f>
        <v>9999796925</v>
      </c>
      <c r="D630" s="1">
        <f>IFERROR(__xludf.DUMMYFUNCTION("""COMPUTED_VALUE"""),2.0)</f>
        <v>2</v>
      </c>
      <c r="E630" s="3">
        <f>IFERROR(__xludf.DUMMYFUNCTION("""COMPUTED_VALUE"""),0.7729166666686069)</f>
        <v>0.7729166667</v>
      </c>
      <c r="F630" s="1" t="str">
        <f>IFERROR(__xludf.DUMMYFUNCTION("""COMPUTED_VALUE"""),"Antique Gold")</f>
        <v>Antique Gold</v>
      </c>
      <c r="G630" s="1" t="str">
        <f>IFERROR(__xludf.DUMMYFUNCTION("""COMPUTED_VALUE"""),"Pooja")</f>
        <v>Pooja</v>
      </c>
      <c r="H630" s="1" t="str">
        <f>IFERROR(__xludf.DUMMYFUNCTION("""COMPUTED_VALUE"""),"Gold set")</f>
        <v>Gold set</v>
      </c>
      <c r="I630" s="1"/>
      <c r="J630" s="1"/>
      <c r="K630" s="3">
        <f>IFERROR(__xludf.DUMMYFUNCTION("""COMPUTED_VALUE"""),0.8319444444423425)</f>
        <v>0.8319444444</v>
      </c>
      <c r="L630" s="1" t="str">
        <f>IFERROR(__xludf.DUMMYFUNCTION("""COMPUTED_VALUE"""),"Yes")</f>
        <v>Yes</v>
      </c>
      <c r="M630" s="1" t="str">
        <f>IFERROR(__xludf.DUMMYFUNCTION("""COMPUTED_VALUE"""),"Yes")</f>
        <v>Yes</v>
      </c>
      <c r="N630" s="1" t="str">
        <f>IFERROR(__xludf.DUMMYFUNCTION("""COMPUTED_VALUE"""),"Yes")</f>
        <v>Yes</v>
      </c>
      <c r="O630" s="1" t="str">
        <f>IFERROR(__xludf.DUMMYFUNCTION("""COMPUTED_VALUE"""),"WA ONLY, CALL")</f>
        <v>WA ONLY, CALL</v>
      </c>
      <c r="P630" s="1" t="str">
        <f>IFERROR(__xludf.DUMMYFUNCTION("""COMPUTED_VALUE"""),"Sir")</f>
        <v>Sir</v>
      </c>
      <c r="Q630" s="1" t="str">
        <f>IFERROR(__xludf.DUMMYFUNCTION("""COMPUTED_VALUE"""),"No")</f>
        <v>No</v>
      </c>
      <c r="R630" s="1" t="str">
        <f>IFERROR(__xludf.DUMMYFUNCTION("""COMPUTED_VALUE"""),"OLD")</f>
        <v>OLD</v>
      </c>
      <c r="S630" s="1"/>
    </row>
    <row r="631">
      <c r="A631" s="2">
        <f>IFERROR(__xludf.DUMMYFUNCTION("""COMPUTED_VALUE"""),45547.784561493056)</f>
        <v>45547.78456</v>
      </c>
      <c r="B631" s="1" t="str">
        <f>IFERROR(__xludf.DUMMYFUNCTION("""COMPUTED_VALUE"""),"Jatin")</f>
        <v>Jatin</v>
      </c>
      <c r="C631" s="1">
        <f>IFERROR(__xludf.DUMMYFUNCTION("""COMPUTED_VALUE"""),9.05680675E9)</f>
        <v>9056806750</v>
      </c>
      <c r="D631" s="1">
        <f>IFERROR(__xludf.DUMMYFUNCTION("""COMPUTED_VALUE"""),2.0)</f>
        <v>2</v>
      </c>
      <c r="E631" s="3">
        <f>IFERROR(__xludf.DUMMYFUNCTION("""COMPUTED_VALUE"""),0.5534722222218988)</f>
        <v>0.5534722222</v>
      </c>
      <c r="F631" s="1" t="str">
        <f>IFERROR(__xludf.DUMMYFUNCTION("""COMPUTED_VALUE"""),"Plain Gold")</f>
        <v>Plain Gold</v>
      </c>
      <c r="G631" s="1" t="str">
        <f>IFERROR(__xludf.DUMMYFUNCTION("""COMPUTED_VALUE"""),"Pooja")</f>
        <v>Pooja</v>
      </c>
      <c r="H631" s="1"/>
      <c r="I631" s="1" t="str">
        <f>IFERROR(__xludf.DUMMYFUNCTION("""COMPUTED_VALUE"""),"Want to see More Variety")</f>
        <v>Want to see More Variety</v>
      </c>
      <c r="J631" s="1"/>
      <c r="K631" s="3">
        <f>IFERROR(__xludf.DUMMYFUNCTION("""COMPUTED_VALUE"""),0.5715277777781012)</f>
        <v>0.5715277778</v>
      </c>
      <c r="L631" s="1" t="str">
        <f>IFERROR(__xludf.DUMMYFUNCTION("""COMPUTED_VALUE"""),"No")</f>
        <v>No</v>
      </c>
      <c r="M631" s="1" t="str">
        <f>IFERROR(__xludf.DUMMYFUNCTION("""COMPUTED_VALUE"""),"No")</f>
        <v>No</v>
      </c>
      <c r="N631" s="1" t="str">
        <f>IFERROR(__xludf.DUMMYFUNCTION("""COMPUTED_VALUE"""),"No")</f>
        <v>No</v>
      </c>
      <c r="O631" s="1" t="str">
        <f>IFERROR(__xludf.DUMMYFUNCTION("""COMPUTED_VALUE"""),"WA ONLY, CALL")</f>
        <v>WA ONLY, CALL</v>
      </c>
      <c r="P631" s="1" t="str">
        <f>IFERROR(__xludf.DUMMYFUNCTION("""COMPUTED_VALUE"""),"Sir")</f>
        <v>Sir</v>
      </c>
      <c r="Q631" s="1" t="str">
        <f>IFERROR(__xludf.DUMMYFUNCTION("""COMPUTED_VALUE"""),"No")</f>
        <v>No</v>
      </c>
      <c r="R631" s="1" t="str">
        <f>IFERROR(__xludf.DUMMYFUNCTION("""COMPUTED_VALUE"""),"NEW WALK IN")</f>
        <v>NEW WALK IN</v>
      </c>
      <c r="S631" s="1"/>
    </row>
    <row r="632">
      <c r="A632" s="2">
        <f>IFERROR(__xludf.DUMMYFUNCTION("""COMPUTED_VALUE"""),45547.785273078705)</f>
        <v>45547.78527</v>
      </c>
      <c r="B632" s="1" t="str">
        <f>IFERROR(__xludf.DUMMYFUNCTION("""COMPUTED_VALUE"""),"Ritu")</f>
        <v>Ritu</v>
      </c>
      <c r="C632" s="1">
        <f>IFERROR(__xludf.DUMMYFUNCTION("""COMPUTED_VALUE"""),9.891000073E9)</f>
        <v>9891000073</v>
      </c>
      <c r="D632" s="1">
        <f>IFERROR(__xludf.DUMMYFUNCTION("""COMPUTED_VALUE"""),2.0)</f>
        <v>2</v>
      </c>
      <c r="E632" s="3">
        <f>IFERROR(__xludf.DUMMYFUNCTION("""COMPUTED_VALUE"""),0.6236111111065838)</f>
        <v>0.6236111111</v>
      </c>
      <c r="F632" s="1" t="str">
        <f>IFERROR(__xludf.DUMMYFUNCTION("""COMPUTED_VALUE"""),"Diamond")</f>
        <v>Diamond</v>
      </c>
      <c r="G632" s="1" t="str">
        <f>IFERROR(__xludf.DUMMYFUNCTION("""COMPUTED_VALUE"""),"Tannu")</f>
        <v>Tannu</v>
      </c>
      <c r="H632" s="1"/>
      <c r="I632" s="1" t="str">
        <f>IFERROR(__xludf.DUMMYFUNCTION("""COMPUTED_VALUE"""),"Received jewellery ")</f>
        <v>Received jewellery </v>
      </c>
      <c r="J632" s="1"/>
      <c r="K632" s="3">
        <f>IFERROR(__xludf.DUMMYFUNCTION("""COMPUTED_VALUE"""),0.6979166666642413)</f>
        <v>0.6979166667</v>
      </c>
      <c r="L632" s="1" t="str">
        <f>IFERROR(__xludf.DUMMYFUNCTION("""COMPUTED_VALUE"""),"Yes")</f>
        <v>Yes</v>
      </c>
      <c r="M632" s="1" t="str">
        <f>IFERROR(__xludf.DUMMYFUNCTION("""COMPUTED_VALUE"""),"Already done ")</f>
        <v>Already done </v>
      </c>
      <c r="N632" s="1" t="str">
        <f>IFERROR(__xludf.DUMMYFUNCTION("""COMPUTED_VALUE"""),"Already done ")</f>
        <v>Already done </v>
      </c>
      <c r="O632" s="1" t="str">
        <f>IFERROR(__xludf.DUMMYFUNCTION("""COMPUTED_VALUE"""),"WA ONLY, CALL")</f>
        <v>WA ONLY, CALL</v>
      </c>
      <c r="P632" s="1" t="str">
        <f>IFERROR(__xludf.DUMMYFUNCTION("""COMPUTED_VALUE"""),"Madam")</f>
        <v>Madam</v>
      </c>
      <c r="Q632" s="1" t="str">
        <f>IFERROR(__xludf.DUMMYFUNCTION("""COMPUTED_VALUE"""),"No")</f>
        <v>No</v>
      </c>
      <c r="R632" s="1" t="str">
        <f>IFERROR(__xludf.DUMMYFUNCTION("""COMPUTED_VALUE"""),"OLD")</f>
        <v>OLD</v>
      </c>
      <c r="S632" s="1"/>
    </row>
    <row r="633">
      <c r="A633" s="2">
        <f>IFERROR(__xludf.DUMMYFUNCTION("""COMPUTED_VALUE"""),45548.777604386574)</f>
        <v>45548.7776</v>
      </c>
      <c r="B633" s="1" t="str">
        <f>IFERROR(__xludf.DUMMYFUNCTION("""COMPUTED_VALUE"""),"Seema chawla")</f>
        <v>Seema chawla</v>
      </c>
      <c r="C633" s="1">
        <f>IFERROR(__xludf.DUMMYFUNCTION("""COMPUTED_VALUE"""),9.818304747E9)</f>
        <v>9818304747</v>
      </c>
      <c r="D633" s="1">
        <f>IFERROR(__xludf.DUMMYFUNCTION("""COMPUTED_VALUE"""),3.0)</f>
        <v>3</v>
      </c>
      <c r="E633" s="3">
        <f>IFERROR(__xludf.DUMMYFUNCTION("""COMPUTED_VALUE"""),0.5208333333357587)</f>
        <v>0.5208333333</v>
      </c>
      <c r="F633" s="1" t="str">
        <f>IFERROR(__xludf.DUMMYFUNCTION("""COMPUTED_VALUE"""),"Diamond")</f>
        <v>Diamond</v>
      </c>
      <c r="G633" s="1" t="str">
        <f>IFERROR(__xludf.DUMMYFUNCTION("""COMPUTED_VALUE"""),"Pooja")</f>
        <v>Pooja</v>
      </c>
      <c r="H633" s="1"/>
      <c r="I633" s="1" t="str">
        <f>IFERROR(__xludf.DUMMYFUNCTION("""COMPUTED_VALUE"""),"Will ask family and come with them")</f>
        <v>Will ask family and come with them</v>
      </c>
      <c r="J633" s="1"/>
      <c r="K633" s="3">
        <f>IFERROR(__xludf.DUMMYFUNCTION("""COMPUTED_VALUE"""),0.6583333333328483)</f>
        <v>0.6583333333</v>
      </c>
      <c r="L633" s="1" t="str">
        <f>IFERROR(__xludf.DUMMYFUNCTION("""COMPUTED_VALUE"""),"Yes")</f>
        <v>Yes</v>
      </c>
      <c r="M633" s="1" t="str">
        <f>IFERROR(__xludf.DUMMYFUNCTION("""COMPUTED_VALUE"""),"Already done ")</f>
        <v>Already done </v>
      </c>
      <c r="N633" s="1" t="str">
        <f>IFERROR(__xludf.DUMMYFUNCTION("""COMPUTED_VALUE"""),"Already done ")</f>
        <v>Already done </v>
      </c>
      <c r="O633" s="1" t="str">
        <f>IFERROR(__xludf.DUMMYFUNCTION("""COMPUTED_VALUE"""),"WA ONLY, CALL")</f>
        <v>WA ONLY, CALL</v>
      </c>
      <c r="P633" s="1" t="str">
        <f>IFERROR(__xludf.DUMMYFUNCTION("""COMPUTED_VALUE"""),"Madam")</f>
        <v>Madam</v>
      </c>
      <c r="Q633" s="1" t="str">
        <f>IFERROR(__xludf.DUMMYFUNCTION("""COMPUTED_VALUE"""),"No")</f>
        <v>No</v>
      </c>
      <c r="R633" s="1" t="str">
        <f>IFERROR(__xludf.DUMMYFUNCTION("""COMPUTED_VALUE"""),"OLD")</f>
        <v>OLD</v>
      </c>
      <c r="S633" s="1"/>
    </row>
    <row r="634">
      <c r="A634" s="2">
        <f>IFERROR(__xludf.DUMMYFUNCTION("""COMPUTED_VALUE"""),45548.77927755787)</f>
        <v>45548.77928</v>
      </c>
      <c r="B634" s="1" t="str">
        <f>IFERROR(__xludf.DUMMYFUNCTION("""COMPUTED_VALUE"""),"Ashwariya")</f>
        <v>Ashwariya</v>
      </c>
      <c r="C634" s="1">
        <f>IFERROR(__xludf.DUMMYFUNCTION("""COMPUTED_VALUE"""),8.368911898E9)</f>
        <v>8368911898</v>
      </c>
      <c r="D634" s="1">
        <f>IFERROR(__xludf.DUMMYFUNCTION("""COMPUTED_VALUE"""),1.0)</f>
        <v>1</v>
      </c>
      <c r="E634" s="3">
        <f>IFERROR(__xludf.DUMMYFUNCTION("""COMPUTED_VALUE"""),0.6513888888875954)</f>
        <v>0.6513888889</v>
      </c>
      <c r="F634" s="1" t="str">
        <f>IFERROR(__xludf.DUMMYFUNCTION("""COMPUTED_VALUE"""),"Diamond")</f>
        <v>Diamond</v>
      </c>
      <c r="G634" s="1" t="str">
        <f>IFERROR(__xludf.DUMMYFUNCTION("""COMPUTED_VALUE"""),"Pooja")</f>
        <v>Pooja</v>
      </c>
      <c r="H634" s="1"/>
      <c r="I634" s="1" t="str">
        <f>IFERROR(__xludf.DUMMYFUNCTION("""COMPUTED_VALUE"""),"Customer wants chik patti in rose gold not available in the stok")</f>
        <v>Customer wants chik patti in rose gold not available in the stok</v>
      </c>
      <c r="J634" s="1"/>
      <c r="K634" s="3">
        <f>IFERROR(__xludf.DUMMYFUNCTION("""COMPUTED_VALUE"""),0.702777777776646)</f>
        <v>0.7027777778</v>
      </c>
      <c r="L634" s="1" t="str">
        <f>IFERROR(__xludf.DUMMYFUNCTION("""COMPUTED_VALUE"""),"Yes")</f>
        <v>Yes</v>
      </c>
      <c r="M634" s="1" t="str">
        <f>IFERROR(__xludf.DUMMYFUNCTION("""COMPUTED_VALUE"""),"No")</f>
        <v>No</v>
      </c>
      <c r="N634" s="1" t="str">
        <f>IFERROR(__xludf.DUMMYFUNCTION("""COMPUTED_VALUE"""),"No")</f>
        <v>No</v>
      </c>
      <c r="O634" s="1" t="str">
        <f>IFERROR(__xludf.DUMMYFUNCTION("""COMPUTED_VALUE"""),"WA ONLY, CALL")</f>
        <v>WA ONLY, CALL</v>
      </c>
      <c r="P634" s="1" t="str">
        <f>IFERROR(__xludf.DUMMYFUNCTION("""COMPUTED_VALUE"""),"Madam")</f>
        <v>Madam</v>
      </c>
      <c r="Q634" s="1" t="str">
        <f>IFERROR(__xludf.DUMMYFUNCTION("""COMPUTED_VALUE"""),"No")</f>
        <v>No</v>
      </c>
      <c r="R634" s="1" t="str">
        <f>IFERROR(__xludf.DUMMYFUNCTION("""COMPUTED_VALUE"""),"NEW WALK IN")</f>
        <v>NEW WALK IN</v>
      </c>
      <c r="S634" s="1"/>
    </row>
    <row r="635">
      <c r="A635" s="2">
        <f>IFERROR(__xludf.DUMMYFUNCTION("""COMPUTED_VALUE"""),45548.780036550925)</f>
        <v>45548.78004</v>
      </c>
      <c r="B635" s="1" t="str">
        <f>IFERROR(__xludf.DUMMYFUNCTION("""COMPUTED_VALUE"""),"Vivek gupta")</f>
        <v>Vivek gupta</v>
      </c>
      <c r="C635" s="1">
        <f>IFERROR(__xludf.DUMMYFUNCTION("""COMPUTED_VALUE"""),9.811543555E9)</f>
        <v>9811543555</v>
      </c>
      <c r="D635" s="1">
        <f>IFERROR(__xludf.DUMMYFUNCTION("""COMPUTED_VALUE"""),2.0)</f>
        <v>2</v>
      </c>
      <c r="E635" s="3">
        <f>IFERROR(__xludf.DUMMYFUNCTION("""COMPUTED_VALUE"""),0.6583333333328483)</f>
        <v>0.6583333333</v>
      </c>
      <c r="F635" s="1" t="str">
        <f>IFERROR(__xludf.DUMMYFUNCTION("""COMPUTED_VALUE"""),"Antique Gold")</f>
        <v>Antique Gold</v>
      </c>
      <c r="G635" s="1" t="str">
        <f>IFERROR(__xludf.DUMMYFUNCTION("""COMPUTED_VALUE"""),"Pooja")</f>
        <v>Pooja</v>
      </c>
      <c r="H635" s="1" t="str">
        <f>IFERROR(__xludf.DUMMYFUNCTION("""COMPUTED_VALUE"""),"Antique pendent set")</f>
        <v>Antique pendent set</v>
      </c>
      <c r="I635" s="1"/>
      <c r="J635" s="1"/>
      <c r="K635" s="3">
        <f>IFERROR(__xludf.DUMMYFUNCTION("""COMPUTED_VALUE"""),0.7152777777810115)</f>
        <v>0.7152777778</v>
      </c>
      <c r="L635" s="1" t="str">
        <f>IFERROR(__xludf.DUMMYFUNCTION("""COMPUTED_VALUE"""),"Yes")</f>
        <v>Yes</v>
      </c>
      <c r="M635" s="1" t="str">
        <f>IFERROR(__xludf.DUMMYFUNCTION("""COMPUTED_VALUE"""),"Already done ")</f>
        <v>Already done </v>
      </c>
      <c r="N635" s="1" t="str">
        <f>IFERROR(__xludf.DUMMYFUNCTION("""COMPUTED_VALUE"""),"Already done ")</f>
        <v>Already done </v>
      </c>
      <c r="O635" s="1" t="str">
        <f>IFERROR(__xludf.DUMMYFUNCTION("""COMPUTED_VALUE"""),"WA ONLY, CALL")</f>
        <v>WA ONLY, CALL</v>
      </c>
      <c r="P635" s="1" t="str">
        <f>IFERROR(__xludf.DUMMYFUNCTION("""COMPUTED_VALUE"""),"Madam")</f>
        <v>Madam</v>
      </c>
      <c r="Q635" s="1" t="str">
        <f>IFERROR(__xludf.DUMMYFUNCTION("""COMPUTED_VALUE"""),"No")</f>
        <v>No</v>
      </c>
      <c r="R635" s="1" t="str">
        <f>IFERROR(__xludf.DUMMYFUNCTION("""COMPUTED_VALUE"""),"OLD")</f>
        <v>OLD</v>
      </c>
      <c r="S635" s="1"/>
    </row>
    <row r="636">
      <c r="A636" s="2">
        <f>IFERROR(__xludf.DUMMYFUNCTION("""COMPUTED_VALUE"""),45548.78088989583)</f>
        <v>45548.78089</v>
      </c>
      <c r="B636" s="1" t="str">
        <f>IFERROR(__xludf.DUMMYFUNCTION("""COMPUTED_VALUE"""),"Mansi")</f>
        <v>Mansi</v>
      </c>
      <c r="C636" s="1">
        <f>IFERROR(__xludf.DUMMYFUNCTION("""COMPUTED_VALUE"""),9.643980196E9)</f>
        <v>9643980196</v>
      </c>
      <c r="D636" s="1">
        <f>IFERROR(__xludf.DUMMYFUNCTION("""COMPUTED_VALUE"""),3.0)</f>
        <v>3</v>
      </c>
      <c r="E636" s="3">
        <f>IFERROR(__xludf.DUMMYFUNCTION("""COMPUTED_VALUE"""),0.7152777777810115)</f>
        <v>0.7152777778</v>
      </c>
      <c r="F636" s="1" t="str">
        <f>IFERROR(__xludf.DUMMYFUNCTION("""COMPUTED_VALUE"""),"Diamond")</f>
        <v>Diamond</v>
      </c>
      <c r="G636" s="1" t="str">
        <f>IFERROR(__xludf.DUMMYFUNCTION("""COMPUTED_VALUE"""),"Pooja")</f>
        <v>Pooja</v>
      </c>
      <c r="H636" s="1"/>
      <c r="I636" s="1" t="str">
        <f>IFERROR(__xludf.DUMMYFUNCTION("""COMPUTED_VALUE"""),"Customer vist tomorrow with brother ")</f>
        <v>Customer vist tomorrow with brother </v>
      </c>
      <c r="J636" s="1"/>
      <c r="K636" s="3">
        <f>IFERROR(__xludf.DUMMYFUNCTION("""COMPUTED_VALUE"""),0.75)</f>
        <v>0.75</v>
      </c>
      <c r="L636" s="1" t="str">
        <f>IFERROR(__xludf.DUMMYFUNCTION("""COMPUTED_VALUE"""),"Yes")</f>
        <v>Yes</v>
      </c>
      <c r="M636" s="1" t="str">
        <f>IFERROR(__xludf.DUMMYFUNCTION("""COMPUTED_VALUE"""),"No")</f>
        <v>No</v>
      </c>
      <c r="N636" s="1" t="str">
        <f>IFERROR(__xludf.DUMMYFUNCTION("""COMPUTED_VALUE"""),"No")</f>
        <v>No</v>
      </c>
      <c r="O636" s="1" t="str">
        <f>IFERROR(__xludf.DUMMYFUNCTION("""COMPUTED_VALUE"""),"WA ONLY, CALL")</f>
        <v>WA ONLY, CALL</v>
      </c>
      <c r="P636" s="1" t="str">
        <f>IFERROR(__xludf.DUMMYFUNCTION("""COMPUTED_VALUE"""),"Madam")</f>
        <v>Madam</v>
      </c>
      <c r="Q636" s="1" t="str">
        <f>IFERROR(__xludf.DUMMYFUNCTION("""COMPUTED_VALUE"""),"No")</f>
        <v>No</v>
      </c>
      <c r="R636" s="1" t="str">
        <f>IFERROR(__xludf.DUMMYFUNCTION("""COMPUTED_VALUE"""),"NEW WALK IN")</f>
        <v>NEW WALK IN</v>
      </c>
      <c r="S636" s="1"/>
    </row>
    <row r="637">
      <c r="A637" s="2">
        <f>IFERROR(__xludf.DUMMYFUNCTION("""COMPUTED_VALUE"""),45549.781117164355)</f>
        <v>45549.78112</v>
      </c>
      <c r="B637" s="1" t="str">
        <f>IFERROR(__xludf.DUMMYFUNCTION("""COMPUTED_VALUE"""),"Amit ")</f>
        <v>Amit </v>
      </c>
      <c r="C637" s="1"/>
      <c r="D637" s="1">
        <f>IFERROR(__xludf.DUMMYFUNCTION("""COMPUTED_VALUE"""),2.0)</f>
        <v>2</v>
      </c>
      <c r="E637" s="3">
        <f>IFERROR(__xludf.DUMMYFUNCTION("""COMPUTED_VALUE"""),0.5763888888905058)</f>
        <v>0.5763888889</v>
      </c>
      <c r="F637" s="1" t="str">
        <f>IFERROR(__xludf.DUMMYFUNCTION("""COMPUTED_VALUE"""),"Diamond")</f>
        <v>Diamond</v>
      </c>
      <c r="G637" s="1" t="str">
        <f>IFERROR(__xludf.DUMMYFUNCTION("""COMPUTED_VALUE"""),"Pooja")</f>
        <v>Pooja</v>
      </c>
      <c r="H637" s="1"/>
      <c r="I637" s="1" t="str">
        <f>IFERROR(__xludf.DUMMYFUNCTION("""COMPUTED_VALUE"""),"Afetr discuss and choice the gold set ")</f>
        <v>Afetr discuss and choice the gold set </v>
      </c>
      <c r="J637" s="1"/>
      <c r="K637" s="3">
        <f>IFERROR(__xludf.DUMMYFUNCTION("""COMPUTED_VALUE"""),0.6652777777781012)</f>
        <v>0.6652777778</v>
      </c>
      <c r="L637" s="1" t="str">
        <f>IFERROR(__xludf.DUMMYFUNCTION("""COMPUTED_VALUE"""),"Yes")</f>
        <v>Yes</v>
      </c>
      <c r="M637" s="1" t="str">
        <f>IFERROR(__xludf.DUMMYFUNCTION("""COMPUTED_VALUE"""),"Already done ")</f>
        <v>Already done </v>
      </c>
      <c r="N637" s="1" t="str">
        <f>IFERROR(__xludf.DUMMYFUNCTION("""COMPUTED_VALUE"""),"Already done ")</f>
        <v>Already done </v>
      </c>
      <c r="O637" s="1" t="str">
        <f>IFERROR(__xludf.DUMMYFUNCTION("""COMPUTED_VALUE"""),"WA ONLY, CALL")</f>
        <v>WA ONLY, CALL</v>
      </c>
      <c r="P637" s="1" t="str">
        <f>IFERROR(__xludf.DUMMYFUNCTION("""COMPUTED_VALUE"""),"Sir")</f>
        <v>Sir</v>
      </c>
      <c r="Q637" s="1" t="str">
        <f>IFERROR(__xludf.DUMMYFUNCTION("""COMPUTED_VALUE"""),"No")</f>
        <v>No</v>
      </c>
      <c r="R637" s="1" t="str">
        <f>IFERROR(__xludf.DUMMYFUNCTION("""COMPUTED_VALUE"""),"OLD")</f>
        <v>OLD</v>
      </c>
      <c r="S637" s="1"/>
    </row>
    <row r="638">
      <c r="A638" s="2">
        <f>IFERROR(__xludf.DUMMYFUNCTION("""COMPUTED_VALUE"""),45549.781831388886)</f>
        <v>45549.78183</v>
      </c>
      <c r="B638" s="1" t="str">
        <f>IFERROR(__xludf.DUMMYFUNCTION("""COMPUTED_VALUE"""),"Shammy ")</f>
        <v>Shammy </v>
      </c>
      <c r="C638" s="1">
        <f>IFERROR(__xludf.DUMMYFUNCTION("""COMPUTED_VALUE"""),9.654591719E9)</f>
        <v>9654591719</v>
      </c>
      <c r="D638" s="1">
        <f>IFERROR(__xludf.DUMMYFUNCTION("""COMPUTED_VALUE"""),2.0)</f>
        <v>2</v>
      </c>
      <c r="E638" s="3">
        <f>IFERROR(__xludf.DUMMYFUNCTION("""COMPUTED_VALUE"""),0.5513888888890506)</f>
        <v>0.5513888889</v>
      </c>
      <c r="F638" s="1" t="str">
        <f>IFERROR(__xludf.DUMMYFUNCTION("""COMPUTED_VALUE"""),"Antique Gold")</f>
        <v>Antique Gold</v>
      </c>
      <c r="G638" s="1" t="str">
        <f>IFERROR(__xludf.DUMMYFUNCTION("""COMPUTED_VALUE"""),"Pooja")</f>
        <v>Pooja</v>
      </c>
      <c r="H638" s="1"/>
      <c r="I638" s="1" t="str">
        <f>IFERROR(__xludf.DUMMYFUNCTION("""COMPUTED_VALUE"""),"Visit Again in 1 Month")</f>
        <v>Visit Again in 1 Month</v>
      </c>
      <c r="J638" s="1"/>
      <c r="K638" s="3">
        <f>IFERROR(__xludf.DUMMYFUNCTION("""COMPUTED_VALUE"""),0.5729166666642413)</f>
        <v>0.5729166667</v>
      </c>
      <c r="L638" s="1" t="str">
        <f>IFERROR(__xludf.DUMMYFUNCTION("""COMPUTED_VALUE"""),"Yes")</f>
        <v>Yes</v>
      </c>
      <c r="M638" s="1" t="str">
        <f>IFERROR(__xludf.DUMMYFUNCTION("""COMPUTED_VALUE"""),"Already done ")</f>
        <v>Already done </v>
      </c>
      <c r="N638" s="1" t="str">
        <f>IFERROR(__xludf.DUMMYFUNCTION("""COMPUTED_VALUE"""),"Already done ")</f>
        <v>Already done </v>
      </c>
      <c r="O638" s="1" t="str">
        <f>IFERROR(__xludf.DUMMYFUNCTION("""COMPUTED_VALUE"""),"WA ONLY, CALL")</f>
        <v>WA ONLY, CALL</v>
      </c>
      <c r="P638" s="1" t="str">
        <f>IFERROR(__xludf.DUMMYFUNCTION("""COMPUTED_VALUE"""),"Sir")</f>
        <v>Sir</v>
      </c>
      <c r="Q638" s="1" t="str">
        <f>IFERROR(__xludf.DUMMYFUNCTION("""COMPUTED_VALUE"""),"No")</f>
        <v>No</v>
      </c>
      <c r="R638" s="1" t="str">
        <f>IFERROR(__xludf.DUMMYFUNCTION("""COMPUTED_VALUE"""),"OLD")</f>
        <v>OLD</v>
      </c>
      <c r="S638" s="1"/>
    </row>
    <row r="639">
      <c r="A639" s="2">
        <f>IFERROR(__xludf.DUMMYFUNCTION("""COMPUTED_VALUE"""),45549.78289826389)</f>
        <v>45549.7829</v>
      </c>
      <c r="B639" s="1" t="str">
        <f>IFERROR(__xludf.DUMMYFUNCTION("""COMPUTED_VALUE"""),"Shelja ")</f>
        <v>Shelja </v>
      </c>
      <c r="C639" s="1">
        <f>IFERROR(__xludf.DUMMYFUNCTION("""COMPUTED_VALUE"""),8.826313399E9)</f>
        <v>8826313399</v>
      </c>
      <c r="D639" s="1">
        <f>IFERROR(__xludf.DUMMYFUNCTION("""COMPUTED_VALUE"""),2.0)</f>
        <v>2</v>
      </c>
      <c r="E639" s="3">
        <f>IFERROR(__xludf.DUMMYFUNCTION("""COMPUTED_VALUE"""),0.5527777777751908)</f>
        <v>0.5527777778</v>
      </c>
      <c r="F639" s="1" t="str">
        <f>IFERROR(__xludf.DUMMYFUNCTION("""COMPUTED_VALUE"""),"Plain Gold")</f>
        <v>Plain Gold</v>
      </c>
      <c r="G639" s="1" t="str">
        <f>IFERROR(__xludf.DUMMYFUNCTION("""COMPUTED_VALUE"""),"Tannu")</f>
        <v>Tannu</v>
      </c>
      <c r="H639" s="1" t="str">
        <f>IFERROR(__xludf.DUMMYFUNCTION("""COMPUTED_VALUE"""),"Gold tops in order and advance payment done")</f>
        <v>Gold tops in order and advance payment done</v>
      </c>
      <c r="I639" s="1"/>
      <c r="J639" s="1"/>
      <c r="K639" s="3">
        <f>IFERROR(__xludf.DUMMYFUNCTION("""COMPUTED_VALUE"""),0.5763888888905058)</f>
        <v>0.5763888889</v>
      </c>
      <c r="L639" s="1" t="str">
        <f>IFERROR(__xludf.DUMMYFUNCTION("""COMPUTED_VALUE"""),"Yes")</f>
        <v>Yes</v>
      </c>
      <c r="M639" s="1" t="str">
        <f>IFERROR(__xludf.DUMMYFUNCTION("""COMPUTED_VALUE"""),"Yes")</f>
        <v>Yes</v>
      </c>
      <c r="N639" s="1" t="str">
        <f>IFERROR(__xludf.DUMMYFUNCTION("""COMPUTED_VALUE"""),"Not use")</f>
        <v>Not use</v>
      </c>
      <c r="O639" s="1" t="str">
        <f>IFERROR(__xludf.DUMMYFUNCTION("""COMPUTED_VALUE"""),"WA ONLY, CALL")</f>
        <v>WA ONLY, CALL</v>
      </c>
      <c r="P639" s="1" t="str">
        <f>IFERROR(__xludf.DUMMYFUNCTION("""COMPUTED_VALUE"""),"Sir")</f>
        <v>Sir</v>
      </c>
      <c r="Q639" s="1" t="str">
        <f>IFERROR(__xludf.DUMMYFUNCTION("""COMPUTED_VALUE"""),"No")</f>
        <v>No</v>
      </c>
      <c r="R639" s="1" t="str">
        <f>IFERROR(__xludf.DUMMYFUNCTION("""COMPUTED_VALUE"""),"NEW WALK IN")</f>
        <v>NEW WALK IN</v>
      </c>
      <c r="S639" s="1"/>
    </row>
    <row r="640">
      <c r="A640" s="2">
        <f>IFERROR(__xludf.DUMMYFUNCTION("""COMPUTED_VALUE"""),45549.78371829861)</f>
        <v>45549.78372</v>
      </c>
      <c r="B640" s="1" t="str">
        <f>IFERROR(__xludf.DUMMYFUNCTION("""COMPUTED_VALUE"""),"Shelja")</f>
        <v>Shelja</v>
      </c>
      <c r="C640" s="1">
        <f>IFERROR(__xludf.DUMMYFUNCTION("""COMPUTED_VALUE"""),8.826313399E9)</f>
        <v>8826313399</v>
      </c>
      <c r="D640" s="1">
        <f>IFERROR(__xludf.DUMMYFUNCTION("""COMPUTED_VALUE"""),3.0)</f>
        <v>3</v>
      </c>
      <c r="E640" s="3">
        <f>IFERROR(__xludf.DUMMYFUNCTION("""COMPUTED_VALUE"""),0.5708333333313931)</f>
        <v>0.5708333333</v>
      </c>
      <c r="F640" s="1" t="str">
        <f>IFERROR(__xludf.DUMMYFUNCTION("""COMPUTED_VALUE"""),"Antique Gold")</f>
        <v>Antique Gold</v>
      </c>
      <c r="G640" s="1" t="str">
        <f>IFERROR(__xludf.DUMMYFUNCTION("""COMPUTED_VALUE"""),"Pooja")</f>
        <v>Pooja</v>
      </c>
      <c r="H640" s="1"/>
      <c r="I640" s="1" t="str">
        <f>IFERROR(__xludf.DUMMYFUNCTION("""COMPUTED_VALUE"""),"Visit Again in 1 Month")</f>
        <v>Visit Again in 1 Month</v>
      </c>
      <c r="J640" s="1"/>
      <c r="K640" s="3">
        <f>IFERROR(__xludf.DUMMYFUNCTION("""COMPUTED_VALUE"""),0.5763888888905058)</f>
        <v>0.5763888889</v>
      </c>
      <c r="L640" s="1" t="str">
        <f>IFERROR(__xludf.DUMMYFUNCTION("""COMPUTED_VALUE"""),"No")</f>
        <v>No</v>
      </c>
      <c r="M640" s="1" t="str">
        <f>IFERROR(__xludf.DUMMYFUNCTION("""COMPUTED_VALUE"""),"No")</f>
        <v>No</v>
      </c>
      <c r="N640" s="1" t="str">
        <f>IFERROR(__xludf.DUMMYFUNCTION("""COMPUTED_VALUE"""),"No")</f>
        <v>No</v>
      </c>
      <c r="O640" s="1" t="str">
        <f>IFERROR(__xludf.DUMMYFUNCTION("""COMPUTED_VALUE"""),"WA ONLY, CALL")</f>
        <v>WA ONLY, CALL</v>
      </c>
      <c r="P640" s="1" t="str">
        <f>IFERROR(__xludf.DUMMYFUNCTION("""COMPUTED_VALUE"""),"Madam")</f>
        <v>Madam</v>
      </c>
      <c r="Q640" s="1" t="str">
        <f>IFERROR(__xludf.DUMMYFUNCTION("""COMPUTED_VALUE"""),"No")</f>
        <v>No</v>
      </c>
      <c r="R640" s="1" t="str">
        <f>IFERROR(__xludf.DUMMYFUNCTION("""COMPUTED_VALUE"""),"OLD")</f>
        <v>OLD</v>
      </c>
      <c r="S640" s="1"/>
    </row>
    <row r="641">
      <c r="A641" s="2">
        <f>IFERROR(__xludf.DUMMYFUNCTION("""COMPUTED_VALUE"""),45549.78462490741)</f>
        <v>45549.78462</v>
      </c>
      <c r="B641" s="1" t="str">
        <f>IFERROR(__xludf.DUMMYFUNCTION("""COMPUTED_VALUE"""),"Raj kumar")</f>
        <v>Raj kumar</v>
      </c>
      <c r="C641" s="1">
        <f>IFERROR(__xludf.DUMMYFUNCTION("""COMPUTED_VALUE"""),9.868149982E9)</f>
        <v>9868149982</v>
      </c>
      <c r="D641" s="1">
        <f>IFERROR(__xludf.DUMMYFUNCTION("""COMPUTED_VALUE"""),3.0)</f>
        <v>3</v>
      </c>
      <c r="E641" s="3">
        <f>IFERROR(__xludf.DUMMYFUNCTION("""COMPUTED_VALUE"""),0.6472222222218988)</f>
        <v>0.6472222222</v>
      </c>
      <c r="F641" s="1" t="str">
        <f>IFERROR(__xludf.DUMMYFUNCTION("""COMPUTED_VALUE"""),"Plain Gold")</f>
        <v>Plain Gold</v>
      </c>
      <c r="G641" s="1" t="str">
        <f>IFERROR(__xludf.DUMMYFUNCTION("""COMPUTED_VALUE"""),"Pooja")</f>
        <v>Pooja</v>
      </c>
      <c r="H641" s="1"/>
      <c r="I641" s="1" t="str">
        <f>IFERROR(__xludf.DUMMYFUNCTION("""COMPUTED_VALUE"""),"Gold set hall mark and huid ")</f>
        <v>Gold set hall mark and huid </v>
      </c>
      <c r="J641" s="1"/>
      <c r="K641" s="3">
        <f>IFERROR(__xludf.DUMMYFUNCTION("""COMPUTED_VALUE"""),0.6548611111065838)</f>
        <v>0.6548611111</v>
      </c>
      <c r="L641" s="1" t="str">
        <f>IFERROR(__xludf.DUMMYFUNCTION("""COMPUTED_VALUE"""),"Yes")</f>
        <v>Yes</v>
      </c>
      <c r="M641" s="1" t="str">
        <f>IFERROR(__xludf.DUMMYFUNCTION("""COMPUTED_VALUE"""),"Yes")</f>
        <v>Yes</v>
      </c>
      <c r="N641" s="1" t="str">
        <f>IFERROR(__xludf.DUMMYFUNCTION("""COMPUTED_VALUE"""),"Yes")</f>
        <v>Yes</v>
      </c>
      <c r="O641" s="1" t="str">
        <f>IFERROR(__xludf.DUMMYFUNCTION("""COMPUTED_VALUE"""),"WA ONLY, CALL")</f>
        <v>WA ONLY, CALL</v>
      </c>
      <c r="P641" s="1" t="str">
        <f>IFERROR(__xludf.DUMMYFUNCTION("""COMPUTED_VALUE"""),"Sir")</f>
        <v>Sir</v>
      </c>
      <c r="Q641" s="1" t="str">
        <f>IFERROR(__xludf.DUMMYFUNCTION("""COMPUTED_VALUE"""),"No")</f>
        <v>No</v>
      </c>
      <c r="R641" s="1" t="str">
        <f>IFERROR(__xludf.DUMMYFUNCTION("""COMPUTED_VALUE"""),"OLD")</f>
        <v>OLD</v>
      </c>
      <c r="S641" s="1"/>
    </row>
    <row r="642">
      <c r="A642" s="2">
        <f>IFERROR(__xludf.DUMMYFUNCTION("""COMPUTED_VALUE"""),45549.78662211806)</f>
        <v>45549.78662</v>
      </c>
      <c r="B642" s="1" t="str">
        <f>IFERROR(__xludf.DUMMYFUNCTION("""COMPUTED_VALUE"""),"Naydu akku")</f>
        <v>Naydu akku</v>
      </c>
      <c r="C642" s="1">
        <f>IFERROR(__xludf.DUMMYFUNCTION("""COMPUTED_VALUE"""),8.974251308E9)</f>
        <v>8974251308</v>
      </c>
      <c r="D642" s="1">
        <f>IFERROR(__xludf.DUMMYFUNCTION("""COMPUTED_VALUE"""),1.0)</f>
        <v>1</v>
      </c>
      <c r="E642" s="3">
        <f>IFERROR(__xludf.DUMMYFUNCTION("""COMPUTED_VALUE"""),0.625)</f>
        <v>0.625</v>
      </c>
      <c r="F642" s="1" t="str">
        <f>IFERROR(__xludf.DUMMYFUNCTION("""COMPUTED_VALUE"""),"Antique Gold")</f>
        <v>Antique Gold</v>
      </c>
      <c r="G642" s="1" t="str">
        <f>IFERROR(__xludf.DUMMYFUNCTION("""COMPUTED_VALUE"""),"Tannu")</f>
        <v>Tannu</v>
      </c>
      <c r="H642" s="1" t="str">
        <f>IFERROR(__xludf.DUMMYFUNCTION("""COMPUTED_VALUE"""),"Parul in tops order ")</f>
        <v>Parul in tops order </v>
      </c>
      <c r="I642" s="1"/>
      <c r="J642" s="1"/>
      <c r="K642" s="3">
        <f>IFERROR(__xludf.DUMMYFUNCTION("""COMPUTED_VALUE"""),0.6763888888890506)</f>
        <v>0.6763888889</v>
      </c>
      <c r="L642" s="1" t="str">
        <f>IFERROR(__xludf.DUMMYFUNCTION("""COMPUTED_VALUE"""),"Yes")</f>
        <v>Yes</v>
      </c>
      <c r="M642" s="1" t="str">
        <f>IFERROR(__xludf.DUMMYFUNCTION("""COMPUTED_VALUE"""),"Yes")</f>
        <v>Yes</v>
      </c>
      <c r="N642" s="1" t="str">
        <f>IFERROR(__xludf.DUMMYFUNCTION("""COMPUTED_VALUE"""),"Yes")</f>
        <v>Yes</v>
      </c>
      <c r="O642" s="1" t="str">
        <f>IFERROR(__xludf.DUMMYFUNCTION("""COMPUTED_VALUE"""),"WA ONLY, CALL")</f>
        <v>WA ONLY, CALL</v>
      </c>
      <c r="P642" s="1" t="str">
        <f>IFERROR(__xludf.DUMMYFUNCTION("""COMPUTED_VALUE"""),"Madam")</f>
        <v>Madam</v>
      </c>
      <c r="Q642" s="1" t="str">
        <f>IFERROR(__xludf.DUMMYFUNCTION("""COMPUTED_VALUE"""),"No")</f>
        <v>No</v>
      </c>
      <c r="R642" s="1" t="str">
        <f>IFERROR(__xludf.DUMMYFUNCTION("""COMPUTED_VALUE"""),"OLD")</f>
        <v>OLD</v>
      </c>
      <c r="S642" s="1"/>
    </row>
    <row r="643">
      <c r="A643" s="2">
        <f>IFERROR(__xludf.DUMMYFUNCTION("""COMPUTED_VALUE"""),45549.78887561343)</f>
        <v>45549.78888</v>
      </c>
      <c r="B643" s="1" t="str">
        <f>IFERROR(__xludf.DUMMYFUNCTION("""COMPUTED_VALUE"""),"Swati")</f>
        <v>Swati</v>
      </c>
      <c r="C643" s="1">
        <f>IFERROR(__xludf.DUMMYFUNCTION("""COMPUTED_VALUE"""),9.818104442E9)</f>
        <v>9818104442</v>
      </c>
      <c r="D643" s="1">
        <f>IFERROR(__xludf.DUMMYFUNCTION("""COMPUTED_VALUE"""),2.0)</f>
        <v>2</v>
      </c>
      <c r="E643" s="3">
        <f>IFERROR(__xludf.DUMMYFUNCTION("""COMPUTED_VALUE"""),0.7159722222204437)</f>
        <v>0.7159722222</v>
      </c>
      <c r="F643" s="1" t="str">
        <f>IFERROR(__xludf.DUMMYFUNCTION("""COMPUTED_VALUE"""),"Antique Gold")</f>
        <v>Antique Gold</v>
      </c>
      <c r="G643" s="1" t="str">
        <f>IFERROR(__xludf.DUMMYFUNCTION("""COMPUTED_VALUE"""),"Pooja")</f>
        <v>Pooja</v>
      </c>
      <c r="H643" s="1"/>
      <c r="I643" s="1" t="str">
        <f>IFERROR(__xludf.DUMMYFUNCTION("""COMPUTED_VALUE"""),"Will ask family and come with them")</f>
        <v>Will ask family and come with them</v>
      </c>
      <c r="J643" s="1"/>
      <c r="K643" s="3">
        <f>IFERROR(__xludf.DUMMYFUNCTION("""COMPUTED_VALUE"""),0.7291666666642413)</f>
        <v>0.7291666667</v>
      </c>
      <c r="L643" s="1" t="str">
        <f>IFERROR(__xludf.DUMMYFUNCTION("""COMPUTED_VALUE"""),"No")</f>
        <v>No</v>
      </c>
      <c r="M643" s="1" t="str">
        <f>IFERROR(__xludf.DUMMYFUNCTION("""COMPUTED_VALUE"""),"No")</f>
        <v>No</v>
      </c>
      <c r="N643" s="1" t="str">
        <f>IFERROR(__xludf.DUMMYFUNCTION("""COMPUTED_VALUE"""),"No")</f>
        <v>No</v>
      </c>
      <c r="O643" s="1" t="str">
        <f>IFERROR(__xludf.DUMMYFUNCTION("""COMPUTED_VALUE"""),"WA ONLY, CALL")</f>
        <v>WA ONLY, CALL</v>
      </c>
      <c r="P643" s="1" t="str">
        <f>IFERROR(__xludf.DUMMYFUNCTION("""COMPUTED_VALUE"""),"Madam")</f>
        <v>Madam</v>
      </c>
      <c r="Q643" s="1" t="str">
        <f>IFERROR(__xludf.DUMMYFUNCTION("""COMPUTED_VALUE"""),"No")</f>
        <v>No</v>
      </c>
      <c r="R643" s="1" t="str">
        <f>IFERROR(__xludf.DUMMYFUNCTION("""COMPUTED_VALUE"""),"NEW WALK IN")</f>
        <v>NEW WALK IN</v>
      </c>
      <c r="S643" s="1"/>
    </row>
    <row r="644">
      <c r="A644" s="2">
        <f>IFERROR(__xludf.DUMMYFUNCTION("""COMPUTED_VALUE"""),45549.81613864584)</f>
        <v>45549.81614</v>
      </c>
      <c r="B644" s="1" t="str">
        <f>IFERROR(__xludf.DUMMYFUNCTION("""COMPUTED_VALUE"""),"Eva")</f>
        <v>Eva</v>
      </c>
      <c r="C644" s="1">
        <f>IFERROR(__xludf.DUMMYFUNCTION("""COMPUTED_VALUE"""),9.550515549E9)</f>
        <v>9550515549</v>
      </c>
      <c r="D644" s="1">
        <f>IFERROR(__xludf.DUMMYFUNCTION("""COMPUTED_VALUE"""),2.0)</f>
        <v>2</v>
      </c>
      <c r="E644" s="3">
        <f>IFERROR(__xludf.DUMMYFUNCTION("""COMPUTED_VALUE"""),0.7756944444408873)</f>
        <v>0.7756944444</v>
      </c>
      <c r="F644" s="1" t="str">
        <f>IFERROR(__xludf.DUMMYFUNCTION("""COMPUTED_VALUE"""),"Plain Gold")</f>
        <v>Plain Gold</v>
      </c>
      <c r="G644" s="1" t="str">
        <f>IFERROR(__xludf.DUMMYFUNCTION("""COMPUTED_VALUE"""),"Tannu")</f>
        <v>Tannu</v>
      </c>
      <c r="H644" s="1" t="str">
        <f>IFERROR(__xludf.DUMMYFUNCTION("""COMPUTED_VALUE"""),"Gold chain,gold ring ")</f>
        <v>Gold chain,gold ring </v>
      </c>
      <c r="I644" s="1"/>
      <c r="J644" s="1"/>
      <c r="K644" s="3">
        <f>IFERROR(__xludf.DUMMYFUNCTION("""COMPUTED_VALUE"""),0.8333333333357587)</f>
        <v>0.8333333333</v>
      </c>
      <c r="L644" s="1" t="str">
        <f>IFERROR(__xludf.DUMMYFUNCTION("""COMPUTED_VALUE"""),"Yes")</f>
        <v>Yes</v>
      </c>
      <c r="M644" s="1" t="str">
        <f>IFERROR(__xludf.DUMMYFUNCTION("""COMPUTED_VALUE"""),"Yes")</f>
        <v>Yes</v>
      </c>
      <c r="N644" s="1" t="str">
        <f>IFERROR(__xludf.DUMMYFUNCTION("""COMPUTED_VALUE"""),"Yes")</f>
        <v>Yes</v>
      </c>
      <c r="O644" s="1" t="str">
        <f>IFERROR(__xludf.DUMMYFUNCTION("""COMPUTED_VALUE"""),"WA ONLY, CALL")</f>
        <v>WA ONLY, CALL</v>
      </c>
      <c r="P644" s="1" t="str">
        <f>IFERROR(__xludf.DUMMYFUNCTION("""COMPUTED_VALUE"""),"Madam")</f>
        <v>Madam</v>
      </c>
      <c r="Q644" s="1" t="str">
        <f>IFERROR(__xludf.DUMMYFUNCTION("""COMPUTED_VALUE"""),"No")</f>
        <v>No</v>
      </c>
      <c r="R644" s="1" t="str">
        <f>IFERROR(__xludf.DUMMYFUNCTION("""COMPUTED_VALUE"""),"NEW WALK IN")</f>
        <v>NEW WALK IN</v>
      </c>
      <c r="S644" s="1"/>
    </row>
    <row r="645">
      <c r="A645" s="2">
        <f>IFERROR(__xludf.DUMMYFUNCTION("""COMPUTED_VALUE"""),45550.81002730324)</f>
        <v>45550.81003</v>
      </c>
      <c r="B645" s="1" t="str">
        <f>IFERROR(__xludf.DUMMYFUNCTION("""COMPUTED_VALUE"""),"Sonam gupta")</f>
        <v>Sonam gupta</v>
      </c>
      <c r="C645" s="1">
        <f>IFERROR(__xludf.DUMMYFUNCTION("""COMPUTED_VALUE"""),8.375019908E9)</f>
        <v>8375019908</v>
      </c>
      <c r="D645" s="1">
        <f>IFERROR(__xludf.DUMMYFUNCTION("""COMPUTED_VALUE"""),3.0)</f>
        <v>3</v>
      </c>
      <c r="E645" s="3">
        <f>IFERROR(__xludf.DUMMYFUNCTION("""COMPUTED_VALUE"""),0.5131944444437977)</f>
        <v>0.5131944444</v>
      </c>
      <c r="F645" s="1" t="str">
        <f>IFERROR(__xludf.DUMMYFUNCTION("""COMPUTED_VALUE"""),"Diamond")</f>
        <v>Diamond</v>
      </c>
      <c r="G645" s="1" t="str">
        <f>IFERROR(__xludf.DUMMYFUNCTION("""COMPUTED_VALUE"""),"Pooja")</f>
        <v>Pooja</v>
      </c>
      <c r="H645" s="1" t="str">
        <f>IFERROR(__xludf.DUMMYFUNCTION("""COMPUTED_VALUE"""),"Order band")</f>
        <v>Order band</v>
      </c>
      <c r="I645" s="1"/>
      <c r="J645" s="1"/>
      <c r="K645" s="3">
        <f>IFERROR(__xludf.DUMMYFUNCTION("""COMPUTED_VALUE"""),0.6354166666642413)</f>
        <v>0.6354166667</v>
      </c>
      <c r="L645" s="1" t="str">
        <f>IFERROR(__xludf.DUMMYFUNCTION("""COMPUTED_VALUE"""),"Yes")</f>
        <v>Yes</v>
      </c>
      <c r="M645" s="1" t="str">
        <f>IFERROR(__xludf.DUMMYFUNCTION("""COMPUTED_VALUE"""),"Already done ")</f>
        <v>Already done </v>
      </c>
      <c r="N645" s="1" t="str">
        <f>IFERROR(__xludf.DUMMYFUNCTION("""COMPUTED_VALUE"""),"Already done ")</f>
        <v>Already done </v>
      </c>
      <c r="O645" s="1" t="str">
        <f>IFERROR(__xludf.DUMMYFUNCTION("""COMPUTED_VALUE"""),"WA ONLY, CALL")</f>
        <v>WA ONLY, CALL</v>
      </c>
      <c r="P645" s="1" t="str">
        <f>IFERROR(__xludf.DUMMYFUNCTION("""COMPUTED_VALUE"""),"Madam")</f>
        <v>Madam</v>
      </c>
      <c r="Q645" s="1" t="str">
        <f>IFERROR(__xludf.DUMMYFUNCTION("""COMPUTED_VALUE"""),"No")</f>
        <v>No</v>
      </c>
      <c r="R645" s="1" t="str">
        <f>IFERROR(__xludf.DUMMYFUNCTION("""COMPUTED_VALUE"""),"OLD")</f>
        <v>OLD</v>
      </c>
      <c r="S645" s="1"/>
    </row>
    <row r="646">
      <c r="A646" s="2">
        <f>IFERROR(__xludf.DUMMYFUNCTION("""COMPUTED_VALUE"""),45550.81095773148)</f>
        <v>45550.81096</v>
      </c>
      <c r="B646" s="1" t="str">
        <f>IFERROR(__xludf.DUMMYFUNCTION("""COMPUTED_VALUE"""),"Raj kumar")</f>
        <v>Raj kumar</v>
      </c>
      <c r="C646" s="1">
        <f>IFERROR(__xludf.DUMMYFUNCTION("""COMPUTED_VALUE"""),9.868149982E9)</f>
        <v>9868149982</v>
      </c>
      <c r="D646" s="1">
        <f>IFERROR(__xludf.DUMMYFUNCTION("""COMPUTED_VALUE"""),3.0)</f>
        <v>3</v>
      </c>
      <c r="E646" s="3">
        <f>IFERROR(__xludf.DUMMYFUNCTION("""COMPUTED_VALUE"""),0.5277777777810115)</f>
        <v>0.5277777778</v>
      </c>
      <c r="F646" s="1" t="str">
        <f>IFERROR(__xludf.DUMMYFUNCTION("""COMPUTED_VALUE"""),"Plain Gold")</f>
        <v>Plain Gold</v>
      </c>
      <c r="G646" s="1" t="str">
        <f>IFERROR(__xludf.DUMMYFUNCTION("""COMPUTED_VALUE"""),"Deepali")</f>
        <v>Deepali</v>
      </c>
      <c r="H646" s="1"/>
      <c r="I646" s="1" t="str">
        <f>IFERROR(__xludf.DUMMYFUNCTION("""COMPUTED_VALUE"""),"Revised set")</f>
        <v>Revised set</v>
      </c>
      <c r="J646" s="1"/>
      <c r="K646" s="3">
        <f>IFERROR(__xludf.DUMMYFUNCTION("""COMPUTED_VALUE"""),0.5381944444452529)</f>
        <v>0.5381944444</v>
      </c>
      <c r="L646" s="1" t="str">
        <f>IFERROR(__xludf.DUMMYFUNCTION("""COMPUTED_VALUE"""),"Yes")</f>
        <v>Yes</v>
      </c>
      <c r="M646" s="1" t="str">
        <f>IFERROR(__xludf.DUMMYFUNCTION("""COMPUTED_VALUE"""),"Already done ")</f>
        <v>Already done </v>
      </c>
      <c r="N646" s="1" t="str">
        <f>IFERROR(__xludf.DUMMYFUNCTION("""COMPUTED_VALUE"""),"Already done ")</f>
        <v>Already done </v>
      </c>
      <c r="O646" s="1" t="str">
        <f>IFERROR(__xludf.DUMMYFUNCTION("""COMPUTED_VALUE"""),"WA ONLY, CALL")</f>
        <v>WA ONLY, CALL</v>
      </c>
      <c r="P646" s="1" t="str">
        <f>IFERROR(__xludf.DUMMYFUNCTION("""COMPUTED_VALUE"""),"Sir")</f>
        <v>Sir</v>
      </c>
      <c r="Q646" s="1" t="str">
        <f>IFERROR(__xludf.DUMMYFUNCTION("""COMPUTED_VALUE"""),"No")</f>
        <v>No</v>
      </c>
      <c r="R646" s="1" t="str">
        <f>IFERROR(__xludf.DUMMYFUNCTION("""COMPUTED_VALUE"""),"OLD")</f>
        <v>OLD</v>
      </c>
      <c r="S646" s="1"/>
    </row>
    <row r="647">
      <c r="A647" s="2">
        <f>IFERROR(__xludf.DUMMYFUNCTION("""COMPUTED_VALUE"""),45550.8124965625)</f>
        <v>45550.8125</v>
      </c>
      <c r="B647" s="1" t="str">
        <f>IFERROR(__xludf.DUMMYFUNCTION("""COMPUTED_VALUE"""),"Nimish gupta")</f>
        <v>Nimish gupta</v>
      </c>
      <c r="C647" s="1">
        <f>IFERROR(__xludf.DUMMYFUNCTION("""COMPUTED_VALUE"""),9.810438688E9)</f>
        <v>9810438688</v>
      </c>
      <c r="D647" s="1">
        <f>IFERROR(__xludf.DUMMYFUNCTION("""COMPUTED_VALUE"""),2.0)</f>
        <v>2</v>
      </c>
      <c r="E647" s="3">
        <f>IFERROR(__xludf.DUMMYFUNCTION("""COMPUTED_VALUE"""),0.5604166666671517)</f>
        <v>0.5604166667</v>
      </c>
      <c r="F647" s="1" t="str">
        <f>IFERROR(__xludf.DUMMYFUNCTION("""COMPUTED_VALUE"""),"Diamond")</f>
        <v>Diamond</v>
      </c>
      <c r="G647" s="1" t="str">
        <f>IFERROR(__xludf.DUMMYFUNCTION("""COMPUTED_VALUE"""),"Pooja")</f>
        <v>Pooja</v>
      </c>
      <c r="H647" s="1" t="str">
        <f>IFERROR(__xludf.DUMMYFUNCTION("""COMPUTED_VALUE"""),"Silver lota, 4 gold bali")</f>
        <v>Silver lota, 4 gold bali</v>
      </c>
      <c r="I647" s="1"/>
      <c r="J647" s="1"/>
      <c r="K647" s="3">
        <f>IFERROR(__xludf.DUMMYFUNCTION("""COMPUTED_VALUE"""),0.6576388888934162)</f>
        <v>0.6576388889</v>
      </c>
      <c r="L647" s="1" t="str">
        <f>IFERROR(__xludf.DUMMYFUNCTION("""COMPUTED_VALUE"""),"Yes")</f>
        <v>Yes</v>
      </c>
      <c r="M647" s="1" t="str">
        <f>IFERROR(__xludf.DUMMYFUNCTION("""COMPUTED_VALUE"""),"Already done ")</f>
        <v>Already done </v>
      </c>
      <c r="N647" s="1" t="str">
        <f>IFERROR(__xludf.DUMMYFUNCTION("""COMPUTED_VALUE"""),"Already done ")</f>
        <v>Already done </v>
      </c>
      <c r="O647" s="1" t="str">
        <f>IFERROR(__xludf.DUMMYFUNCTION("""COMPUTED_VALUE"""),"WA ONLY, CALL")</f>
        <v>WA ONLY, CALL</v>
      </c>
      <c r="P647" s="1" t="str">
        <f>IFERROR(__xludf.DUMMYFUNCTION("""COMPUTED_VALUE"""),"Sir")</f>
        <v>Sir</v>
      </c>
      <c r="Q647" s="1" t="str">
        <f>IFERROR(__xludf.DUMMYFUNCTION("""COMPUTED_VALUE"""),"No")</f>
        <v>No</v>
      </c>
      <c r="R647" s="1" t="str">
        <f>IFERROR(__xludf.DUMMYFUNCTION("""COMPUTED_VALUE"""),"OLD")</f>
        <v>OLD</v>
      </c>
      <c r="S647" s="1"/>
    </row>
    <row r="648">
      <c r="A648" s="2">
        <f>IFERROR(__xludf.DUMMYFUNCTION("""COMPUTED_VALUE"""),45550.81331891204)</f>
        <v>45550.81332</v>
      </c>
      <c r="B648" s="1" t="str">
        <f>IFERROR(__xludf.DUMMYFUNCTION("""COMPUTED_VALUE"""),"Sunita vashisht")</f>
        <v>Sunita vashisht</v>
      </c>
      <c r="C648" s="1">
        <f>IFERROR(__xludf.DUMMYFUNCTION("""COMPUTED_VALUE"""),9.711367631E9)</f>
        <v>9711367631</v>
      </c>
      <c r="D648" s="1">
        <f>IFERROR(__xludf.DUMMYFUNCTION("""COMPUTED_VALUE"""),5.0)</f>
        <v>5</v>
      </c>
      <c r="E648" s="3">
        <f>IFERROR(__xludf.DUMMYFUNCTION("""COMPUTED_VALUE"""),0.65625)</f>
        <v>0.65625</v>
      </c>
      <c r="F648" s="1" t="str">
        <f>IFERROR(__xludf.DUMMYFUNCTION("""COMPUTED_VALUE"""),"Plain Gold")</f>
        <v>Plain Gold</v>
      </c>
      <c r="G648" s="1" t="str">
        <f>IFERROR(__xludf.DUMMYFUNCTION("""COMPUTED_VALUE"""),"Pooja")</f>
        <v>Pooja</v>
      </c>
      <c r="H648" s="1"/>
      <c r="I648" s="1" t="str">
        <f>IFERROR(__xludf.DUMMYFUNCTION("""COMPUTED_VALUE"""),"Visit Again in 1 Month")</f>
        <v>Visit Again in 1 Month</v>
      </c>
      <c r="J648" s="1"/>
      <c r="K648" s="3">
        <f>IFERROR(__xludf.DUMMYFUNCTION("""COMPUTED_VALUE"""),0.7118055555547471)</f>
        <v>0.7118055556</v>
      </c>
      <c r="L648" s="1" t="str">
        <f>IFERROR(__xludf.DUMMYFUNCTION("""COMPUTED_VALUE"""),"Yes")</f>
        <v>Yes</v>
      </c>
      <c r="M648" s="1" t="str">
        <f>IFERROR(__xludf.DUMMYFUNCTION("""COMPUTED_VALUE"""),"Yes")</f>
        <v>Yes</v>
      </c>
      <c r="N648" s="1" t="str">
        <f>IFERROR(__xludf.DUMMYFUNCTION("""COMPUTED_VALUE"""),"Yes")</f>
        <v>Yes</v>
      </c>
      <c r="O648" s="1" t="str">
        <f>IFERROR(__xludf.DUMMYFUNCTION("""COMPUTED_VALUE"""),"WA ONLY, CALL")</f>
        <v>WA ONLY, CALL</v>
      </c>
      <c r="P648" s="1" t="str">
        <f>IFERROR(__xludf.DUMMYFUNCTION("""COMPUTED_VALUE"""),"Madam")</f>
        <v>Madam</v>
      </c>
      <c r="Q648" s="1" t="str">
        <f>IFERROR(__xludf.DUMMYFUNCTION("""COMPUTED_VALUE"""),"No")</f>
        <v>No</v>
      </c>
      <c r="R648" s="1" t="str">
        <f>IFERROR(__xludf.DUMMYFUNCTION("""COMPUTED_VALUE"""),"OLD")</f>
        <v>OLD</v>
      </c>
      <c r="S648" s="1"/>
    </row>
    <row r="649">
      <c r="A649" s="2">
        <f>IFERROR(__xludf.DUMMYFUNCTION("""COMPUTED_VALUE"""),45550.81402425926)</f>
        <v>45550.81402</v>
      </c>
      <c r="B649" s="1" t="str">
        <f>IFERROR(__xludf.DUMMYFUNCTION("""COMPUTED_VALUE"""),"Shekhar gupta")</f>
        <v>Shekhar gupta</v>
      </c>
      <c r="C649" s="1">
        <f>IFERROR(__xludf.DUMMYFUNCTION("""COMPUTED_VALUE"""),9.818238387E9)</f>
        <v>9818238387</v>
      </c>
      <c r="D649" s="1">
        <f>IFERROR(__xludf.DUMMYFUNCTION("""COMPUTED_VALUE"""),4.0)</f>
        <v>4</v>
      </c>
      <c r="E649" s="3">
        <f>IFERROR(__xludf.DUMMYFUNCTION("""COMPUTED_VALUE"""),0.7138888888875954)</f>
        <v>0.7138888889</v>
      </c>
      <c r="F649" s="1" t="str">
        <f>IFERROR(__xludf.DUMMYFUNCTION("""COMPUTED_VALUE"""),"Antique Gold")</f>
        <v>Antique Gold</v>
      </c>
      <c r="G649" s="1" t="str">
        <f>IFERROR(__xludf.DUMMYFUNCTION("""COMPUTED_VALUE"""),"Pooja")</f>
        <v>Pooja</v>
      </c>
      <c r="H649" s="1" t="str">
        <f>IFERROR(__xludf.DUMMYFUNCTION("""COMPUTED_VALUE"""),"Diamond pendent ")</f>
        <v>Diamond pendent </v>
      </c>
      <c r="I649" s="1"/>
      <c r="J649" s="1"/>
      <c r="K649" s="3">
        <f>IFERROR(__xludf.DUMMYFUNCTION("""COMPUTED_VALUE"""),0.78125)</f>
        <v>0.78125</v>
      </c>
      <c r="L649" s="1" t="str">
        <f>IFERROR(__xludf.DUMMYFUNCTION("""COMPUTED_VALUE"""),"Yes")</f>
        <v>Yes</v>
      </c>
      <c r="M649" s="1" t="str">
        <f>IFERROR(__xludf.DUMMYFUNCTION("""COMPUTED_VALUE"""),"Already done ")</f>
        <v>Already done </v>
      </c>
      <c r="N649" s="1" t="str">
        <f>IFERROR(__xludf.DUMMYFUNCTION("""COMPUTED_VALUE"""),"Already done ")</f>
        <v>Already done </v>
      </c>
      <c r="O649" s="1" t="str">
        <f>IFERROR(__xludf.DUMMYFUNCTION("""COMPUTED_VALUE"""),"WA ONLY, CALL")</f>
        <v>WA ONLY, CALL</v>
      </c>
      <c r="P649" s="1" t="str">
        <f>IFERROR(__xludf.DUMMYFUNCTION("""COMPUTED_VALUE"""),"Sir")</f>
        <v>Sir</v>
      </c>
      <c r="Q649" s="1" t="str">
        <f>IFERROR(__xludf.DUMMYFUNCTION("""COMPUTED_VALUE"""),"No")</f>
        <v>No</v>
      </c>
      <c r="R649" s="1" t="str">
        <f>IFERROR(__xludf.DUMMYFUNCTION("""COMPUTED_VALUE"""),"OLD")</f>
        <v>OLD</v>
      </c>
      <c r="S649" s="1"/>
    </row>
    <row r="650">
      <c r="A650" s="2">
        <f>IFERROR(__xludf.DUMMYFUNCTION("""COMPUTED_VALUE"""),45550.81473694445)</f>
        <v>45550.81474</v>
      </c>
      <c r="B650" s="1" t="str">
        <f>IFERROR(__xludf.DUMMYFUNCTION("""COMPUTED_VALUE"""),"Afsana begam")</f>
        <v>Afsana begam</v>
      </c>
      <c r="C650" s="1">
        <f>IFERROR(__xludf.DUMMYFUNCTION("""COMPUTED_VALUE"""),9.711073257E9)</f>
        <v>9711073257</v>
      </c>
      <c r="D650" s="1">
        <f>IFERROR(__xludf.DUMMYFUNCTION("""COMPUTED_VALUE"""),2.0)</f>
        <v>2</v>
      </c>
      <c r="E650" s="3">
        <f>IFERROR(__xludf.DUMMYFUNCTION("""COMPUTED_VALUE"""),0.75)</f>
        <v>0.75</v>
      </c>
      <c r="F650" s="1" t="str">
        <f>IFERROR(__xludf.DUMMYFUNCTION("""COMPUTED_VALUE"""),"Plain Gold")</f>
        <v>Plain Gold</v>
      </c>
      <c r="G650" s="1" t="str">
        <f>IFERROR(__xludf.DUMMYFUNCTION("""COMPUTED_VALUE"""),"Deepali")</f>
        <v>Deepali</v>
      </c>
      <c r="H650" s="1" t="str">
        <f>IFERROR(__xludf.DUMMYFUNCTION("""COMPUTED_VALUE"""),"2 gold chain")</f>
        <v>2 gold chain</v>
      </c>
      <c r="I650" s="1"/>
      <c r="J650" s="1"/>
      <c r="K650" s="3">
        <f>IFERROR(__xludf.DUMMYFUNCTION("""COMPUTED_VALUE"""),0.8111111111065838)</f>
        <v>0.8111111111</v>
      </c>
      <c r="L650" s="1" t="str">
        <f>IFERROR(__xludf.DUMMYFUNCTION("""COMPUTED_VALUE"""),"Yes")</f>
        <v>Yes</v>
      </c>
      <c r="M650" s="1" t="str">
        <f>IFERROR(__xludf.DUMMYFUNCTION("""COMPUTED_VALUE"""),"Yes")</f>
        <v>Yes</v>
      </c>
      <c r="N650" s="1" t="str">
        <f>IFERROR(__xludf.DUMMYFUNCTION("""COMPUTED_VALUE"""),"Yes")</f>
        <v>Yes</v>
      </c>
      <c r="O650" s="1" t="str">
        <f>IFERROR(__xludf.DUMMYFUNCTION("""COMPUTED_VALUE"""),"WA ONLY, CALL")</f>
        <v>WA ONLY, CALL</v>
      </c>
      <c r="P650" s="1" t="str">
        <f>IFERROR(__xludf.DUMMYFUNCTION("""COMPUTED_VALUE"""),"Madam")</f>
        <v>Madam</v>
      </c>
      <c r="Q650" s="1" t="str">
        <f>IFERROR(__xludf.DUMMYFUNCTION("""COMPUTED_VALUE"""),"No")</f>
        <v>No</v>
      </c>
      <c r="R650" s="1" t="str">
        <f>IFERROR(__xludf.DUMMYFUNCTION("""COMPUTED_VALUE"""),"NEW WALK IN")</f>
        <v>NEW WALK IN</v>
      </c>
      <c r="S650" s="1"/>
    </row>
    <row r="651">
      <c r="A651" s="2">
        <f>IFERROR(__xludf.DUMMYFUNCTION("""COMPUTED_VALUE"""),45552.77030628472)</f>
        <v>45552.77031</v>
      </c>
      <c r="B651" s="1" t="str">
        <f>IFERROR(__xludf.DUMMYFUNCTION("""COMPUTED_VALUE"""),"Rupanki")</f>
        <v>Rupanki</v>
      </c>
      <c r="C651" s="1">
        <f>IFERROR(__xludf.DUMMYFUNCTION("""COMPUTED_VALUE"""),9.872767275E9)</f>
        <v>9872767275</v>
      </c>
      <c r="D651" s="1">
        <f>IFERROR(__xludf.DUMMYFUNCTION("""COMPUTED_VALUE"""),2.0)</f>
        <v>2</v>
      </c>
      <c r="E651" s="3">
        <f>IFERROR(__xludf.DUMMYFUNCTION("""COMPUTED_VALUE"""),0.5)</f>
        <v>0.5</v>
      </c>
      <c r="F651" s="1" t="str">
        <f>IFERROR(__xludf.DUMMYFUNCTION("""COMPUTED_VALUE"""),"Diamond")</f>
        <v>Diamond</v>
      </c>
      <c r="G651" s="1" t="str">
        <f>IFERROR(__xludf.DUMMYFUNCTION("""COMPUTED_VALUE"""),"Preeti")</f>
        <v>Preeti</v>
      </c>
      <c r="H651" s="1" t="str">
        <f>IFERROR(__xludf.DUMMYFUNCTION("""COMPUTED_VALUE"""),"2 diamond br,payment done")</f>
        <v>2 diamond br,payment done</v>
      </c>
      <c r="I651" s="1"/>
      <c r="J651" s="1"/>
      <c r="K651" s="3">
        <f>IFERROR(__xludf.DUMMYFUNCTION("""COMPUTED_VALUE"""),0.6298611111124046)</f>
        <v>0.6298611111</v>
      </c>
      <c r="L651" s="1" t="str">
        <f>IFERROR(__xludf.DUMMYFUNCTION("""COMPUTED_VALUE"""),"Yes")</f>
        <v>Yes</v>
      </c>
      <c r="M651" s="1" t="str">
        <f>IFERROR(__xludf.DUMMYFUNCTION("""COMPUTED_VALUE"""),"Already done ")</f>
        <v>Already done </v>
      </c>
      <c r="N651" s="1" t="str">
        <f>IFERROR(__xludf.DUMMYFUNCTION("""COMPUTED_VALUE"""),"Already done ")</f>
        <v>Already done </v>
      </c>
      <c r="O651" s="1" t="str">
        <f>IFERROR(__xludf.DUMMYFUNCTION("""COMPUTED_VALUE"""),"WA ONLY, CALL")</f>
        <v>WA ONLY, CALL</v>
      </c>
      <c r="P651" s="1" t="str">
        <f>IFERROR(__xludf.DUMMYFUNCTION("""COMPUTED_VALUE"""),"Madam")</f>
        <v>Madam</v>
      </c>
      <c r="Q651" s="1" t="str">
        <f>IFERROR(__xludf.DUMMYFUNCTION("""COMPUTED_VALUE"""),"No")</f>
        <v>No</v>
      </c>
      <c r="R651" s="1" t="str">
        <f>IFERROR(__xludf.DUMMYFUNCTION("""COMPUTED_VALUE"""),"OLD")</f>
        <v>OLD</v>
      </c>
      <c r="S651" s="1"/>
    </row>
    <row r="652">
      <c r="A652" s="2">
        <f>IFERROR(__xludf.DUMMYFUNCTION("""COMPUTED_VALUE"""),45552.771538113426)</f>
        <v>45552.77154</v>
      </c>
      <c r="B652" s="1" t="str">
        <f>IFERROR(__xludf.DUMMYFUNCTION("""COMPUTED_VALUE"""),"Shinu")</f>
        <v>Shinu</v>
      </c>
      <c r="C652" s="1">
        <f>IFERROR(__xludf.DUMMYFUNCTION("""COMPUTED_VALUE"""),9.81160027E9)</f>
        <v>9811600270</v>
      </c>
      <c r="D652" s="1">
        <f>IFERROR(__xludf.DUMMYFUNCTION("""COMPUTED_VALUE"""),2.0)</f>
        <v>2</v>
      </c>
      <c r="E652" s="3">
        <f>IFERROR(__xludf.DUMMYFUNCTION("""COMPUTED_VALUE"""),0.6062499999970896)</f>
        <v>0.60625</v>
      </c>
      <c r="F652" s="1" t="str">
        <f>IFERROR(__xludf.DUMMYFUNCTION("""COMPUTED_VALUE"""),"Antique Gold")</f>
        <v>Antique Gold</v>
      </c>
      <c r="G652" s="1" t="str">
        <f>IFERROR(__xludf.DUMMYFUNCTION("""COMPUTED_VALUE"""),"Pooja")</f>
        <v>Pooja</v>
      </c>
      <c r="H652" s="1"/>
      <c r="I652" s="1" t="str">
        <f>IFERROR(__xludf.DUMMYFUNCTION("""COMPUTED_VALUE"""),"Will ask family and come with them")</f>
        <v>Will ask family and come with them</v>
      </c>
      <c r="J652" s="1"/>
      <c r="K652" s="3">
        <f>IFERROR(__xludf.DUMMYFUNCTION("""COMPUTED_VALUE"""),0.6423611111094942)</f>
        <v>0.6423611111</v>
      </c>
      <c r="L652" s="1" t="str">
        <f>IFERROR(__xludf.DUMMYFUNCTION("""COMPUTED_VALUE"""),"Yes")</f>
        <v>Yes</v>
      </c>
      <c r="M652" s="1" t="str">
        <f>IFERROR(__xludf.DUMMYFUNCTION("""COMPUTED_VALUE"""),"No")</f>
        <v>No</v>
      </c>
      <c r="N652" s="1" t="str">
        <f>IFERROR(__xludf.DUMMYFUNCTION("""COMPUTED_VALUE"""),"No")</f>
        <v>No</v>
      </c>
      <c r="O652" s="1" t="str">
        <f>IFERROR(__xludf.DUMMYFUNCTION("""COMPUTED_VALUE"""),"WA ONLY, CALL")</f>
        <v>WA ONLY, CALL</v>
      </c>
      <c r="P652" s="1" t="str">
        <f>IFERROR(__xludf.DUMMYFUNCTION("""COMPUTED_VALUE"""),"Madam")</f>
        <v>Madam</v>
      </c>
      <c r="Q652" s="1" t="str">
        <f>IFERROR(__xludf.DUMMYFUNCTION("""COMPUTED_VALUE"""),"No")</f>
        <v>No</v>
      </c>
      <c r="R652" s="1" t="str">
        <f>IFERROR(__xludf.DUMMYFUNCTION("""COMPUTED_VALUE"""),"NEW WALK IN")</f>
        <v>NEW WALK IN</v>
      </c>
      <c r="S652" s="1"/>
    </row>
    <row r="653">
      <c r="A653" s="2">
        <f>IFERROR(__xludf.DUMMYFUNCTION("""COMPUTED_VALUE"""),45552.77227543981)</f>
        <v>45552.77228</v>
      </c>
      <c r="B653" s="1" t="str">
        <f>IFERROR(__xludf.DUMMYFUNCTION("""COMPUTED_VALUE"""),"Rupa kapoor")</f>
        <v>Rupa kapoor</v>
      </c>
      <c r="C653" s="1">
        <f>IFERROR(__xludf.DUMMYFUNCTION("""COMPUTED_VALUE"""),9.867684009E9)</f>
        <v>9867684009</v>
      </c>
      <c r="D653" s="1">
        <f>IFERROR(__xludf.DUMMYFUNCTION("""COMPUTED_VALUE"""),3.0)</f>
        <v>3</v>
      </c>
      <c r="E653" s="3">
        <f>IFERROR(__xludf.DUMMYFUNCTION("""COMPUTED_VALUE"""),0.6888888888934162)</f>
        <v>0.6888888889</v>
      </c>
      <c r="F653" s="1" t="str">
        <f>IFERROR(__xludf.DUMMYFUNCTION("""COMPUTED_VALUE"""),"Plain Gold")</f>
        <v>Plain Gold</v>
      </c>
      <c r="G653" s="1" t="str">
        <f>IFERROR(__xludf.DUMMYFUNCTION("""COMPUTED_VALUE"""),"Tannu")</f>
        <v>Tannu</v>
      </c>
      <c r="H653" s="1"/>
      <c r="I653" s="1" t="str">
        <f>IFERROR(__xludf.DUMMYFUNCTION("""COMPUTED_VALUE"""),"Want to see More Variety")</f>
        <v>Want to see More Variety</v>
      </c>
      <c r="J653" s="1"/>
      <c r="K653" s="3">
        <f>IFERROR(__xludf.DUMMYFUNCTION("""COMPUTED_VALUE"""),0.6979166666642413)</f>
        <v>0.6979166667</v>
      </c>
      <c r="L653" s="1" t="str">
        <f>IFERROR(__xludf.DUMMYFUNCTION("""COMPUTED_VALUE"""),"No")</f>
        <v>No</v>
      </c>
      <c r="M653" s="1" t="str">
        <f>IFERROR(__xludf.DUMMYFUNCTION("""COMPUTED_VALUE"""),"No")</f>
        <v>No</v>
      </c>
      <c r="N653" s="1" t="str">
        <f>IFERROR(__xludf.DUMMYFUNCTION("""COMPUTED_VALUE"""),"No")</f>
        <v>No</v>
      </c>
      <c r="O653" s="1" t="str">
        <f>IFERROR(__xludf.DUMMYFUNCTION("""COMPUTED_VALUE"""),"WA ONLY, CALL")</f>
        <v>WA ONLY, CALL</v>
      </c>
      <c r="P653" s="1" t="str">
        <f>IFERROR(__xludf.DUMMYFUNCTION("""COMPUTED_VALUE"""),"Madam")</f>
        <v>Madam</v>
      </c>
      <c r="Q653" s="1" t="str">
        <f>IFERROR(__xludf.DUMMYFUNCTION("""COMPUTED_VALUE"""),"No")</f>
        <v>No</v>
      </c>
      <c r="R653" s="1" t="str">
        <f>IFERROR(__xludf.DUMMYFUNCTION("""COMPUTED_VALUE"""),"NEW WALK IN")</f>
        <v>NEW WALK IN</v>
      </c>
      <c r="S653" s="1"/>
    </row>
    <row r="654">
      <c r="A654" s="2">
        <f>IFERROR(__xludf.DUMMYFUNCTION("""COMPUTED_VALUE"""),45553.78731918981)</f>
        <v>45553.78732</v>
      </c>
      <c r="B654" s="1" t="str">
        <f>IFERROR(__xludf.DUMMYFUNCTION("""COMPUTED_VALUE"""),"Vikram")</f>
        <v>Vikram</v>
      </c>
      <c r="C654" s="1">
        <f>IFERROR(__xludf.DUMMYFUNCTION("""COMPUTED_VALUE"""),9.811679671E9)</f>
        <v>9811679671</v>
      </c>
      <c r="D654" s="1">
        <f>IFERROR(__xludf.DUMMYFUNCTION("""COMPUTED_VALUE"""),1.0)</f>
        <v>1</v>
      </c>
      <c r="E654" s="3">
        <f>IFERROR(__xludf.DUMMYFUNCTION("""COMPUTED_VALUE"""),0.7666666666627862)</f>
        <v>0.7666666667</v>
      </c>
      <c r="F654" s="1" t="str">
        <f>IFERROR(__xludf.DUMMYFUNCTION("""COMPUTED_VALUE"""),"Plain Gold")</f>
        <v>Plain Gold</v>
      </c>
      <c r="G654" s="1" t="str">
        <f>IFERROR(__xludf.DUMMYFUNCTION("""COMPUTED_VALUE"""),"Pooja")</f>
        <v>Pooja</v>
      </c>
      <c r="H654" s="1"/>
      <c r="I654" s="1" t="str">
        <f>IFERROR(__xludf.DUMMYFUNCTION("""COMPUTED_VALUE"""),"Only Ask for Gold Rate")</f>
        <v>Only Ask for Gold Rate</v>
      </c>
      <c r="J654" s="1"/>
      <c r="K654" s="3">
        <f>IFERROR(__xludf.DUMMYFUNCTION("""COMPUTED_VALUE"""),0.7805555555532919)</f>
        <v>0.7805555556</v>
      </c>
      <c r="L654" s="1" t="str">
        <f>IFERROR(__xludf.DUMMYFUNCTION("""COMPUTED_VALUE"""),"No")</f>
        <v>No</v>
      </c>
      <c r="M654" s="1" t="str">
        <f>IFERROR(__xludf.DUMMYFUNCTION("""COMPUTED_VALUE"""),"No")</f>
        <v>No</v>
      </c>
      <c r="N654" s="1" t="str">
        <f>IFERROR(__xludf.DUMMYFUNCTION("""COMPUTED_VALUE"""),"No")</f>
        <v>No</v>
      </c>
      <c r="O654" s="1" t="str">
        <f>IFERROR(__xludf.DUMMYFUNCTION("""COMPUTED_VALUE"""),"WA ONLY, CALL")</f>
        <v>WA ONLY, CALL</v>
      </c>
      <c r="P654" s="1" t="str">
        <f>IFERROR(__xludf.DUMMYFUNCTION("""COMPUTED_VALUE"""),"Sir")</f>
        <v>Sir</v>
      </c>
      <c r="Q654" s="1"/>
      <c r="R654" s="1" t="str">
        <f>IFERROR(__xludf.DUMMYFUNCTION("""COMPUTED_VALUE"""),"NEW WALK IN")</f>
        <v>NEW WALK IN</v>
      </c>
      <c r="S654" s="1"/>
    </row>
    <row r="655">
      <c r="A655" s="2">
        <f>IFERROR(__xludf.DUMMYFUNCTION("""COMPUTED_VALUE"""),45554.77173814815)</f>
        <v>45554.77174</v>
      </c>
      <c r="B655" s="1" t="str">
        <f>IFERROR(__xludf.DUMMYFUNCTION("""COMPUTED_VALUE"""),"Jyoti")</f>
        <v>Jyoti</v>
      </c>
      <c r="C655" s="1">
        <f>IFERROR(__xludf.DUMMYFUNCTION("""COMPUTED_VALUE"""),9.560960946E9)</f>
        <v>9560960946</v>
      </c>
      <c r="D655" s="1">
        <f>IFERROR(__xludf.DUMMYFUNCTION("""COMPUTED_VALUE"""),2.0)</f>
        <v>2</v>
      </c>
      <c r="E655" s="3">
        <f>IFERROR(__xludf.DUMMYFUNCTION("""COMPUTED_VALUE"""),0.6847222222204437)</f>
        <v>0.6847222222</v>
      </c>
      <c r="F655" s="1" t="str">
        <f>IFERROR(__xludf.DUMMYFUNCTION("""COMPUTED_VALUE"""),"Antique Gold")</f>
        <v>Antique Gold</v>
      </c>
      <c r="G655" s="1" t="str">
        <f>IFERROR(__xludf.DUMMYFUNCTION("""COMPUTED_VALUE"""),"Pooja")</f>
        <v>Pooja</v>
      </c>
      <c r="H655" s="1"/>
      <c r="I655" s="1" t="str">
        <f>IFERROR(__xludf.DUMMYFUNCTION("""COMPUTED_VALUE"""),"Will ask family and come with them")</f>
        <v>Will ask family and come with them</v>
      </c>
      <c r="J655" s="1"/>
      <c r="K655" s="3">
        <f>IFERROR(__xludf.DUMMYFUNCTION("""COMPUTED_VALUE"""),0.7083333333357587)</f>
        <v>0.7083333333</v>
      </c>
      <c r="L655" s="1" t="str">
        <f>IFERROR(__xludf.DUMMYFUNCTION("""COMPUTED_VALUE"""),"No")</f>
        <v>No</v>
      </c>
      <c r="M655" s="1" t="str">
        <f>IFERROR(__xludf.DUMMYFUNCTION("""COMPUTED_VALUE"""),"No")</f>
        <v>No</v>
      </c>
      <c r="N655" s="1" t="str">
        <f>IFERROR(__xludf.DUMMYFUNCTION("""COMPUTED_VALUE"""),"No")</f>
        <v>No</v>
      </c>
      <c r="O655" s="1" t="str">
        <f>IFERROR(__xludf.DUMMYFUNCTION("""COMPUTED_VALUE"""),"WA ONLY, CALL")</f>
        <v>WA ONLY, CALL</v>
      </c>
      <c r="P655" s="1" t="str">
        <f>IFERROR(__xludf.DUMMYFUNCTION("""COMPUTED_VALUE"""),"Madam")</f>
        <v>Madam</v>
      </c>
      <c r="Q655" s="1" t="str">
        <f>IFERROR(__xludf.DUMMYFUNCTION("""COMPUTED_VALUE"""),"No")</f>
        <v>No</v>
      </c>
      <c r="R655" s="1" t="str">
        <f>IFERROR(__xludf.DUMMYFUNCTION("""COMPUTED_VALUE"""),"NEW WALK IN")</f>
        <v>NEW WALK IN</v>
      </c>
      <c r="S655" s="1"/>
    </row>
    <row r="656">
      <c r="A656" s="2">
        <f>IFERROR(__xludf.DUMMYFUNCTION("""COMPUTED_VALUE"""),45554.77245521991)</f>
        <v>45554.77246</v>
      </c>
      <c r="B656" s="1" t="str">
        <f>IFERROR(__xludf.DUMMYFUNCTION("""COMPUTED_VALUE"""),"Keso devi")</f>
        <v>Keso devi</v>
      </c>
      <c r="C656" s="1">
        <f>IFERROR(__xludf.DUMMYFUNCTION("""COMPUTED_VALUE"""),9.87144661E9)</f>
        <v>9871446610</v>
      </c>
      <c r="D656" s="1">
        <f>IFERROR(__xludf.DUMMYFUNCTION("""COMPUTED_VALUE"""),1.0)</f>
        <v>1</v>
      </c>
      <c r="E656" s="3">
        <f>IFERROR(__xludf.DUMMYFUNCTION("""COMPUTED_VALUE"""),0.7277777777781012)</f>
        <v>0.7277777778</v>
      </c>
      <c r="F656" s="1" t="str">
        <f>IFERROR(__xludf.DUMMYFUNCTION("""COMPUTED_VALUE"""),"Plain Gold")</f>
        <v>Plain Gold</v>
      </c>
      <c r="G656" s="1" t="str">
        <f>IFERROR(__xludf.DUMMYFUNCTION("""COMPUTED_VALUE"""),"Tannu")</f>
        <v>Tannu</v>
      </c>
      <c r="H656" s="1"/>
      <c r="I656" s="1" t="str">
        <f>IFERROR(__xludf.DUMMYFUNCTION("""COMPUTED_VALUE"""),"Gold pendent exchange and return ")</f>
        <v>Gold pendent exchange and return </v>
      </c>
      <c r="J656" s="1"/>
      <c r="K656" s="3">
        <f>IFERROR(__xludf.DUMMYFUNCTION("""COMPUTED_VALUE"""),0.7430555555547471)</f>
        <v>0.7430555556</v>
      </c>
      <c r="L656" s="1" t="str">
        <f>IFERROR(__xludf.DUMMYFUNCTION("""COMPUTED_VALUE"""),"Yes")</f>
        <v>Yes</v>
      </c>
      <c r="M656" s="1" t="str">
        <f>IFERROR(__xludf.DUMMYFUNCTION("""COMPUTED_VALUE"""),"Already done ")</f>
        <v>Already done </v>
      </c>
      <c r="N656" s="1" t="str">
        <f>IFERROR(__xludf.DUMMYFUNCTION("""COMPUTED_VALUE"""),"Already done ")</f>
        <v>Already done </v>
      </c>
      <c r="O656" s="1" t="str">
        <f>IFERROR(__xludf.DUMMYFUNCTION("""COMPUTED_VALUE"""),"WA ONLY, CALL")</f>
        <v>WA ONLY, CALL</v>
      </c>
      <c r="P656" s="1" t="str">
        <f>IFERROR(__xludf.DUMMYFUNCTION("""COMPUTED_VALUE"""),"Madam")</f>
        <v>Madam</v>
      </c>
      <c r="Q656" s="1" t="str">
        <f>IFERROR(__xludf.DUMMYFUNCTION("""COMPUTED_VALUE"""),"No")</f>
        <v>No</v>
      </c>
      <c r="R656" s="1" t="str">
        <f>IFERROR(__xludf.DUMMYFUNCTION("""COMPUTED_VALUE"""),"OLD")</f>
        <v>OLD</v>
      </c>
      <c r="S656" s="1"/>
    </row>
    <row r="657">
      <c r="A657" s="2">
        <f>IFERROR(__xludf.DUMMYFUNCTION("""COMPUTED_VALUE"""),45556.79854671296)</f>
        <v>45556.79855</v>
      </c>
      <c r="B657" s="1" t="str">
        <f>IFERROR(__xludf.DUMMYFUNCTION("""COMPUTED_VALUE"""),"Sandeep ")</f>
        <v>Sandeep </v>
      </c>
      <c r="C657" s="1">
        <f>IFERROR(__xludf.DUMMYFUNCTION("""COMPUTED_VALUE"""),8.750640078E9)</f>
        <v>8750640078</v>
      </c>
      <c r="D657" s="1">
        <f>IFERROR(__xludf.DUMMYFUNCTION("""COMPUTED_VALUE"""),2.0)</f>
        <v>2</v>
      </c>
      <c r="E657" s="3">
        <f>IFERROR(__xludf.DUMMYFUNCTION("""COMPUTED_VALUE"""),0.6187500000014552)</f>
        <v>0.61875</v>
      </c>
      <c r="F657" s="1" t="str">
        <f>IFERROR(__xludf.DUMMYFUNCTION("""COMPUTED_VALUE"""),"Plain Gold")</f>
        <v>Plain Gold</v>
      </c>
      <c r="G657" s="1" t="str">
        <f>IFERROR(__xludf.DUMMYFUNCTION("""COMPUTED_VALUE"""),"Pooja")</f>
        <v>Pooja</v>
      </c>
      <c r="H657" s="1" t="str">
        <f>IFERROR(__xludf.DUMMYFUNCTION("""COMPUTED_VALUE"""),"Gold nose pin")</f>
        <v>Gold nose pin</v>
      </c>
      <c r="I657" s="1"/>
      <c r="J657" s="1"/>
      <c r="K657" s="3">
        <f>IFERROR(__xludf.DUMMYFUNCTION("""COMPUTED_VALUE"""),0.6458333333357587)</f>
        <v>0.6458333333</v>
      </c>
      <c r="L657" s="1" t="str">
        <f>IFERROR(__xludf.DUMMYFUNCTION("""COMPUTED_VALUE"""),"Yes")</f>
        <v>Yes</v>
      </c>
      <c r="M657" s="1" t="str">
        <f>IFERROR(__xludf.DUMMYFUNCTION("""COMPUTED_VALUE"""),"Not ise")</f>
        <v>Not ise</v>
      </c>
      <c r="N657" s="1" t="str">
        <f>IFERROR(__xludf.DUMMYFUNCTION("""COMPUTED_VALUE"""),"Yes")</f>
        <v>Yes</v>
      </c>
      <c r="O657" s="1" t="str">
        <f>IFERROR(__xludf.DUMMYFUNCTION("""COMPUTED_VALUE"""),"WA ONLY, CALL")</f>
        <v>WA ONLY, CALL</v>
      </c>
      <c r="P657" s="1" t="str">
        <f>IFERROR(__xludf.DUMMYFUNCTION("""COMPUTED_VALUE"""),"Sir")</f>
        <v>Sir</v>
      </c>
      <c r="Q657" s="1" t="str">
        <f>IFERROR(__xludf.DUMMYFUNCTION("""COMPUTED_VALUE"""),"No")</f>
        <v>No</v>
      </c>
      <c r="R657" s="1" t="str">
        <f>IFERROR(__xludf.DUMMYFUNCTION("""COMPUTED_VALUE"""),"NEW WALK IN")</f>
        <v>NEW WALK IN</v>
      </c>
      <c r="S657" s="1"/>
    </row>
    <row r="658">
      <c r="A658" s="2">
        <f>IFERROR(__xludf.DUMMYFUNCTION("""COMPUTED_VALUE"""),45556.79931990741)</f>
        <v>45556.79932</v>
      </c>
      <c r="B658" s="1" t="str">
        <f>IFERROR(__xludf.DUMMYFUNCTION("""COMPUTED_VALUE"""),"Shereha")</f>
        <v>Shereha</v>
      </c>
      <c r="C658" s="1">
        <f>IFERROR(__xludf.DUMMYFUNCTION("""COMPUTED_VALUE"""),8.851312233E9)</f>
        <v>8851312233</v>
      </c>
      <c r="D658" s="1">
        <f>IFERROR(__xludf.DUMMYFUNCTION("""COMPUTED_VALUE"""),2.0)</f>
        <v>2</v>
      </c>
      <c r="E658" s="3">
        <f>IFERROR(__xludf.DUMMYFUNCTION("""COMPUTED_VALUE"""),0.7361111111094942)</f>
        <v>0.7361111111</v>
      </c>
      <c r="F658" s="1" t="str">
        <f>IFERROR(__xludf.DUMMYFUNCTION("""COMPUTED_VALUE"""),"Antique Gold")</f>
        <v>Antique Gold</v>
      </c>
      <c r="G658" s="1" t="str">
        <f>IFERROR(__xludf.DUMMYFUNCTION("""COMPUTED_VALUE"""),"Pooja")</f>
        <v>Pooja</v>
      </c>
      <c r="H658" s="1"/>
      <c r="I658" s="1" t="str">
        <f>IFERROR(__xludf.DUMMYFUNCTION("""COMPUTED_VALUE"""),"Repairing done")</f>
        <v>Repairing done</v>
      </c>
      <c r="J658" s="1"/>
      <c r="K658" s="3">
        <f>IFERROR(__xludf.DUMMYFUNCTION("""COMPUTED_VALUE"""),0.7833333333328483)</f>
        <v>0.7833333333</v>
      </c>
      <c r="L658" s="1" t="str">
        <f>IFERROR(__xludf.DUMMYFUNCTION("""COMPUTED_VALUE"""),"Yes")</f>
        <v>Yes</v>
      </c>
      <c r="M658" s="1" t="str">
        <f>IFERROR(__xludf.DUMMYFUNCTION("""COMPUTED_VALUE"""),"Yes")</f>
        <v>Yes</v>
      </c>
      <c r="N658" s="1" t="str">
        <f>IFERROR(__xludf.DUMMYFUNCTION("""COMPUTED_VALUE"""),"Yes")</f>
        <v>Yes</v>
      </c>
      <c r="O658" s="1" t="str">
        <f>IFERROR(__xludf.DUMMYFUNCTION("""COMPUTED_VALUE"""),"WA ONLY, CALL")</f>
        <v>WA ONLY, CALL</v>
      </c>
      <c r="P658" s="1" t="str">
        <f>IFERROR(__xludf.DUMMYFUNCTION("""COMPUTED_VALUE"""),"Madam")</f>
        <v>Madam</v>
      </c>
      <c r="Q658" s="1" t="str">
        <f>IFERROR(__xludf.DUMMYFUNCTION("""COMPUTED_VALUE"""),"No")</f>
        <v>No</v>
      </c>
      <c r="R658" s="1" t="str">
        <f>IFERROR(__xludf.DUMMYFUNCTION("""COMPUTED_VALUE"""),"OLD")</f>
        <v>OLD</v>
      </c>
      <c r="S658" s="1"/>
    </row>
    <row r="659">
      <c r="A659" s="2">
        <f>IFERROR(__xludf.DUMMYFUNCTION("""COMPUTED_VALUE"""),45556.82256623842)</f>
        <v>45556.82257</v>
      </c>
      <c r="B659" s="1" t="str">
        <f>IFERROR(__xludf.DUMMYFUNCTION("""COMPUTED_VALUE"""),"Seema chawla")</f>
        <v>Seema chawla</v>
      </c>
      <c r="C659" s="1">
        <f>IFERROR(__xludf.DUMMYFUNCTION("""COMPUTED_VALUE"""),9.818304747E9)</f>
        <v>9818304747</v>
      </c>
      <c r="D659" s="1">
        <f>IFERROR(__xludf.DUMMYFUNCTION("""COMPUTED_VALUE"""),4.0)</f>
        <v>4</v>
      </c>
      <c r="E659" s="3">
        <f>IFERROR(__xludf.DUMMYFUNCTION("""COMPUTED_VALUE"""),0.75)</f>
        <v>0.75</v>
      </c>
      <c r="F659" s="1" t="str">
        <f>IFERROR(__xludf.DUMMYFUNCTION("""COMPUTED_VALUE"""),"Diamond")</f>
        <v>Diamond</v>
      </c>
      <c r="G659" s="1" t="str">
        <f>IFERROR(__xludf.DUMMYFUNCTION("""COMPUTED_VALUE"""),"Preeti")</f>
        <v>Preeti</v>
      </c>
      <c r="H659" s="1"/>
      <c r="I659" s="1" t="str">
        <f>IFERROR(__xludf.DUMMYFUNCTION("""COMPUTED_VALUE"""),"Will ask family and come with them")</f>
        <v>Will ask family and come with them</v>
      </c>
      <c r="J659" s="1"/>
      <c r="K659" s="3">
        <f>IFERROR(__xludf.DUMMYFUNCTION("""COMPUTED_VALUE"""),0.8125)</f>
        <v>0.8125</v>
      </c>
      <c r="L659" s="1" t="str">
        <f>IFERROR(__xludf.DUMMYFUNCTION("""COMPUTED_VALUE"""),"Yes")</f>
        <v>Yes</v>
      </c>
      <c r="M659" s="1" t="str">
        <f>IFERROR(__xludf.DUMMYFUNCTION("""COMPUTED_VALUE"""),"Already done ")</f>
        <v>Already done </v>
      </c>
      <c r="N659" s="1" t="str">
        <f>IFERROR(__xludf.DUMMYFUNCTION("""COMPUTED_VALUE"""),"Already done ")</f>
        <v>Already done </v>
      </c>
      <c r="O659" s="1" t="str">
        <f>IFERROR(__xludf.DUMMYFUNCTION("""COMPUTED_VALUE"""),"WA ONLY, CALL")</f>
        <v>WA ONLY, CALL</v>
      </c>
      <c r="P659" s="1" t="str">
        <f>IFERROR(__xludf.DUMMYFUNCTION("""COMPUTED_VALUE"""),"Madam")</f>
        <v>Madam</v>
      </c>
      <c r="Q659" s="1" t="str">
        <f>IFERROR(__xludf.DUMMYFUNCTION("""COMPUTED_VALUE"""),"No")</f>
        <v>No</v>
      </c>
      <c r="R659" s="1" t="str">
        <f>IFERROR(__xludf.DUMMYFUNCTION("""COMPUTED_VALUE"""),"OLD")</f>
        <v>OLD</v>
      </c>
      <c r="S659" s="1"/>
    </row>
    <row r="660">
      <c r="A660" s="2">
        <f>IFERROR(__xludf.DUMMYFUNCTION("""COMPUTED_VALUE"""),45559.79226646991)</f>
        <v>45559.79227</v>
      </c>
      <c r="B660" s="1" t="str">
        <f>IFERROR(__xludf.DUMMYFUNCTION("""COMPUTED_VALUE"""),"Navya")</f>
        <v>Navya</v>
      </c>
      <c r="C660" s="1">
        <f>IFERROR(__xludf.DUMMYFUNCTION("""COMPUTED_VALUE"""),9.971035373E9)</f>
        <v>9971035373</v>
      </c>
      <c r="D660" s="1">
        <f>IFERROR(__xludf.DUMMYFUNCTION("""COMPUTED_VALUE"""),3.0)</f>
        <v>3</v>
      </c>
      <c r="E660" s="3">
        <f>IFERROR(__xludf.DUMMYFUNCTION("""COMPUTED_VALUE"""),0.6041666666642413)</f>
        <v>0.6041666667</v>
      </c>
      <c r="F660" s="1" t="str">
        <f>IFERROR(__xludf.DUMMYFUNCTION("""COMPUTED_VALUE"""),"Plain Gold")</f>
        <v>Plain Gold</v>
      </c>
      <c r="G660" s="1" t="str">
        <f>IFERROR(__xludf.DUMMYFUNCTION("""COMPUTED_VALUE"""),"Tannu")</f>
        <v>Tannu</v>
      </c>
      <c r="H660" s="1"/>
      <c r="I660" s="1" t="str">
        <f>IFERROR(__xludf.DUMMYFUNCTION("""COMPUTED_VALUE"""),"Visit Again in 1 Month")</f>
        <v>Visit Again in 1 Month</v>
      </c>
      <c r="J660" s="1"/>
      <c r="K660" s="3">
        <f>IFERROR(__xludf.DUMMYFUNCTION("""COMPUTED_VALUE"""),0.625)</f>
        <v>0.625</v>
      </c>
      <c r="L660" s="1" t="str">
        <f>IFERROR(__xludf.DUMMYFUNCTION("""COMPUTED_VALUE"""),"No")</f>
        <v>No</v>
      </c>
      <c r="M660" s="1" t="str">
        <f>IFERROR(__xludf.DUMMYFUNCTION("""COMPUTED_VALUE"""),"No")</f>
        <v>No</v>
      </c>
      <c r="N660" s="1" t="str">
        <f>IFERROR(__xludf.DUMMYFUNCTION("""COMPUTED_VALUE"""),"No")</f>
        <v>No</v>
      </c>
      <c r="O660" s="1" t="str">
        <f>IFERROR(__xludf.DUMMYFUNCTION("""COMPUTED_VALUE"""),"WA ONLY, CALL")</f>
        <v>WA ONLY, CALL</v>
      </c>
      <c r="P660" s="1" t="str">
        <f>IFERROR(__xludf.DUMMYFUNCTION("""COMPUTED_VALUE"""),"Madam")</f>
        <v>Madam</v>
      </c>
      <c r="Q660" s="1" t="str">
        <f>IFERROR(__xludf.DUMMYFUNCTION("""COMPUTED_VALUE"""),"No")</f>
        <v>No</v>
      </c>
      <c r="R660" s="1" t="str">
        <f>IFERROR(__xludf.DUMMYFUNCTION("""COMPUTED_VALUE"""),"NEW WALK IN")</f>
        <v>NEW WALK IN</v>
      </c>
      <c r="S660" s="1"/>
    </row>
    <row r="661">
      <c r="A661" s="2">
        <f>IFERROR(__xludf.DUMMYFUNCTION("""COMPUTED_VALUE"""),45559.7931859838)</f>
        <v>45559.79319</v>
      </c>
      <c r="B661" s="1" t="str">
        <f>IFERROR(__xludf.DUMMYFUNCTION("""COMPUTED_VALUE"""),"Roma gogiya")</f>
        <v>Roma gogiya</v>
      </c>
      <c r="C661" s="1">
        <f>IFERROR(__xludf.DUMMYFUNCTION("""COMPUTED_VALUE"""),9.311065176E9)</f>
        <v>9311065176</v>
      </c>
      <c r="D661" s="1">
        <f>IFERROR(__xludf.DUMMYFUNCTION("""COMPUTED_VALUE"""),2.0)</f>
        <v>2</v>
      </c>
      <c r="E661" s="3">
        <f>IFERROR(__xludf.DUMMYFUNCTION("""COMPUTED_VALUE"""),0.6666666666642413)</f>
        <v>0.6666666667</v>
      </c>
      <c r="F661" s="1" t="str">
        <f>IFERROR(__xludf.DUMMYFUNCTION("""COMPUTED_VALUE"""),"Antique Gold")</f>
        <v>Antique Gold</v>
      </c>
      <c r="G661" s="1" t="str">
        <f>IFERROR(__xludf.DUMMYFUNCTION("""COMPUTED_VALUE"""),"Preeti")</f>
        <v>Preeti</v>
      </c>
      <c r="H661" s="1" t="str">
        <f>IFERROR(__xludf.DUMMYFUNCTION("""COMPUTED_VALUE"""),"Polki set,polki ring")</f>
        <v>Polki set,polki ring</v>
      </c>
      <c r="I661" s="1"/>
      <c r="J661" s="1"/>
      <c r="K661" s="3">
        <f>IFERROR(__xludf.DUMMYFUNCTION("""COMPUTED_VALUE"""),0.7604166666642413)</f>
        <v>0.7604166667</v>
      </c>
      <c r="L661" s="1" t="str">
        <f>IFERROR(__xludf.DUMMYFUNCTION("""COMPUTED_VALUE"""),"Yes")</f>
        <v>Yes</v>
      </c>
      <c r="M661" s="1" t="str">
        <f>IFERROR(__xludf.DUMMYFUNCTION("""COMPUTED_VALUE"""),"Yes")</f>
        <v>Yes</v>
      </c>
      <c r="N661" s="1" t="str">
        <f>IFERROR(__xludf.DUMMYFUNCTION("""COMPUTED_VALUE"""),"Yes")</f>
        <v>Yes</v>
      </c>
      <c r="O661" s="1" t="str">
        <f>IFERROR(__xludf.DUMMYFUNCTION("""COMPUTED_VALUE"""),"WA ONLY, CALL")</f>
        <v>WA ONLY, CALL</v>
      </c>
      <c r="P661" s="1" t="str">
        <f>IFERROR(__xludf.DUMMYFUNCTION("""COMPUTED_VALUE"""),"Madam")</f>
        <v>Madam</v>
      </c>
      <c r="Q661" s="1" t="str">
        <f>IFERROR(__xludf.DUMMYFUNCTION("""COMPUTED_VALUE"""),"No")</f>
        <v>No</v>
      </c>
      <c r="R661" s="1" t="str">
        <f>IFERROR(__xludf.DUMMYFUNCTION("""COMPUTED_VALUE"""),"NEW WALK IN")</f>
        <v>NEW WALK IN</v>
      </c>
      <c r="S661" s="1"/>
    </row>
    <row r="662">
      <c r="A662" s="2">
        <f>IFERROR(__xludf.DUMMYFUNCTION("""COMPUTED_VALUE"""),45559.79406513889)</f>
        <v>45559.79407</v>
      </c>
      <c r="B662" s="1" t="str">
        <f>IFERROR(__xludf.DUMMYFUNCTION("""COMPUTED_VALUE"""),"Seema gupta")</f>
        <v>Seema gupta</v>
      </c>
      <c r="C662" s="1">
        <f>IFERROR(__xludf.DUMMYFUNCTION("""COMPUTED_VALUE"""),9.810413272E9)</f>
        <v>9810413272</v>
      </c>
      <c r="D662" s="1">
        <f>IFERROR(__xludf.DUMMYFUNCTION("""COMPUTED_VALUE"""),3.0)</f>
        <v>3</v>
      </c>
      <c r="E662" s="3">
        <f>IFERROR(__xludf.DUMMYFUNCTION("""COMPUTED_VALUE"""),0.6875)</f>
        <v>0.6875</v>
      </c>
      <c r="F662" s="1" t="str">
        <f>IFERROR(__xludf.DUMMYFUNCTION("""COMPUTED_VALUE"""),"Diamond")</f>
        <v>Diamond</v>
      </c>
      <c r="G662" s="1" t="str">
        <f>IFERROR(__xludf.DUMMYFUNCTION("""COMPUTED_VALUE"""),"Pooja")</f>
        <v>Pooja</v>
      </c>
      <c r="H662" s="1" t="str">
        <f>IFERROR(__xludf.DUMMYFUNCTION("""COMPUTED_VALUE"""),"Silver items and gold chain")</f>
        <v>Silver items and gold chain</v>
      </c>
      <c r="I662" s="1"/>
      <c r="J662" s="1"/>
      <c r="K662" s="3">
        <f>IFERROR(__xludf.DUMMYFUNCTION("""COMPUTED_VALUE"""),0.7986111111094942)</f>
        <v>0.7986111111</v>
      </c>
      <c r="L662" s="1" t="str">
        <f>IFERROR(__xludf.DUMMYFUNCTION("""COMPUTED_VALUE"""),"Yes")</f>
        <v>Yes</v>
      </c>
      <c r="M662" s="1" t="str">
        <f>IFERROR(__xludf.DUMMYFUNCTION("""COMPUTED_VALUE"""),"Already done ")</f>
        <v>Already done </v>
      </c>
      <c r="N662" s="1" t="str">
        <f>IFERROR(__xludf.DUMMYFUNCTION("""COMPUTED_VALUE"""),"Already done ")</f>
        <v>Already done </v>
      </c>
      <c r="O662" s="1" t="str">
        <f>IFERROR(__xludf.DUMMYFUNCTION("""COMPUTED_VALUE"""),"WA ONLY, CALL")</f>
        <v>WA ONLY, CALL</v>
      </c>
      <c r="P662" s="1" t="str">
        <f>IFERROR(__xludf.DUMMYFUNCTION("""COMPUTED_VALUE"""),"Madam")</f>
        <v>Madam</v>
      </c>
      <c r="Q662" s="1" t="str">
        <f>IFERROR(__xludf.DUMMYFUNCTION("""COMPUTED_VALUE"""),"No")</f>
        <v>No</v>
      </c>
      <c r="R662" s="1" t="str">
        <f>IFERROR(__xludf.DUMMYFUNCTION("""COMPUTED_VALUE"""),"OLD")</f>
        <v>OLD</v>
      </c>
      <c r="S662" s="1"/>
    </row>
    <row r="663">
      <c r="A663" s="2">
        <f>IFERROR(__xludf.DUMMYFUNCTION("""COMPUTED_VALUE"""),45559.79519883102)</f>
        <v>45559.7952</v>
      </c>
      <c r="B663" s="1" t="str">
        <f>IFERROR(__xludf.DUMMYFUNCTION("""COMPUTED_VALUE"""),"Nagina")</f>
        <v>Nagina</v>
      </c>
      <c r="C663" s="1"/>
      <c r="D663" s="1">
        <f>IFERROR(__xludf.DUMMYFUNCTION("""COMPUTED_VALUE"""),3.0)</f>
        <v>3</v>
      </c>
      <c r="E663" s="3">
        <f>IFERROR(__xludf.DUMMYFUNCTION("""COMPUTED_VALUE"""),0.6527777777810115)</f>
        <v>0.6527777778</v>
      </c>
      <c r="F663" s="1" t="str">
        <f>IFERROR(__xludf.DUMMYFUNCTION("""COMPUTED_VALUE"""),"Antique Gold")</f>
        <v>Antique Gold</v>
      </c>
      <c r="G663" s="1" t="str">
        <f>IFERROR(__xludf.DUMMYFUNCTION("""COMPUTED_VALUE"""),"Pooja")</f>
        <v>Pooja</v>
      </c>
      <c r="H663" s="1"/>
      <c r="I663" s="1" t="str">
        <f>IFERROR(__xludf.DUMMYFUNCTION("""COMPUTED_VALUE"""),"Will ask family and come with them")</f>
        <v>Will ask family and come with them</v>
      </c>
      <c r="J663" s="1"/>
      <c r="K663" s="3">
        <f>IFERROR(__xludf.DUMMYFUNCTION("""COMPUTED_VALUE"""),0.6666666666642413)</f>
        <v>0.6666666667</v>
      </c>
      <c r="L663" s="1" t="str">
        <f>IFERROR(__xludf.DUMMYFUNCTION("""COMPUTED_VALUE"""),"Yes")</f>
        <v>Yes</v>
      </c>
      <c r="M663" s="1" t="str">
        <f>IFERROR(__xludf.DUMMYFUNCTION("""COMPUTED_VALUE"""),"Already done ")</f>
        <v>Already done </v>
      </c>
      <c r="N663" s="1" t="str">
        <f>IFERROR(__xludf.DUMMYFUNCTION("""COMPUTED_VALUE"""),"Already done ")</f>
        <v>Already done </v>
      </c>
      <c r="O663" s="1" t="str">
        <f>IFERROR(__xludf.DUMMYFUNCTION("""COMPUTED_VALUE"""),"WA ONLY, CALL")</f>
        <v>WA ONLY, CALL</v>
      </c>
      <c r="P663" s="1" t="str">
        <f>IFERROR(__xludf.DUMMYFUNCTION("""COMPUTED_VALUE"""),"Madam")</f>
        <v>Madam</v>
      </c>
      <c r="Q663" s="1" t="str">
        <f>IFERROR(__xludf.DUMMYFUNCTION("""COMPUTED_VALUE"""),"No")</f>
        <v>No</v>
      </c>
      <c r="R663" s="1" t="str">
        <f>IFERROR(__xludf.DUMMYFUNCTION("""COMPUTED_VALUE"""),"OLD")</f>
        <v>OLD</v>
      </c>
      <c r="S663" s="1"/>
    </row>
    <row r="664">
      <c r="A664" s="2">
        <f>IFERROR(__xludf.DUMMYFUNCTION("""COMPUTED_VALUE"""),45559.79671052084)</f>
        <v>45559.79671</v>
      </c>
      <c r="B664" s="1" t="str">
        <f>IFERROR(__xludf.DUMMYFUNCTION("""COMPUTED_VALUE"""),"Monika")</f>
        <v>Monika</v>
      </c>
      <c r="C664" s="1">
        <f>IFERROR(__xludf.DUMMYFUNCTION("""COMPUTED_VALUE"""),8.44745154E9)</f>
        <v>8447451540</v>
      </c>
      <c r="D664" s="1">
        <f>IFERROR(__xludf.DUMMYFUNCTION("""COMPUTED_VALUE"""),2.0)</f>
        <v>2</v>
      </c>
      <c r="E664" s="3">
        <f>IFERROR(__xludf.DUMMYFUNCTION("""COMPUTED_VALUE"""),0.6569444444467081)</f>
        <v>0.6569444444</v>
      </c>
      <c r="F664" s="1" t="str">
        <f>IFERROR(__xludf.DUMMYFUNCTION("""COMPUTED_VALUE"""),"Plain Gold")</f>
        <v>Plain Gold</v>
      </c>
      <c r="G664" s="1" t="str">
        <f>IFERROR(__xludf.DUMMYFUNCTION("""COMPUTED_VALUE"""),"Tannu")</f>
        <v>Tannu</v>
      </c>
      <c r="H664" s="1" t="str">
        <f>IFERROR(__xludf.DUMMYFUNCTION("""COMPUTED_VALUE"""),"Gold set,ring ,chain")</f>
        <v>Gold set,ring ,chain</v>
      </c>
      <c r="I664" s="1"/>
      <c r="J664" s="1"/>
      <c r="K664" s="3">
        <f>IFERROR(__xludf.DUMMYFUNCTION("""COMPUTED_VALUE"""),0.7569444444452529)</f>
        <v>0.7569444444</v>
      </c>
      <c r="L664" s="1" t="str">
        <f>IFERROR(__xludf.DUMMYFUNCTION("""COMPUTED_VALUE"""),"Yes")</f>
        <v>Yes</v>
      </c>
      <c r="M664" s="1" t="str">
        <f>IFERROR(__xludf.DUMMYFUNCTION("""COMPUTED_VALUE"""),"Yes")</f>
        <v>Yes</v>
      </c>
      <c r="N664" s="1" t="str">
        <f>IFERROR(__xludf.DUMMYFUNCTION("""COMPUTED_VALUE"""),"Yes")</f>
        <v>Yes</v>
      </c>
      <c r="O664" s="1" t="str">
        <f>IFERROR(__xludf.DUMMYFUNCTION("""COMPUTED_VALUE"""),"WA ONLY, CALL")</f>
        <v>WA ONLY, CALL</v>
      </c>
      <c r="P664" s="1" t="str">
        <f>IFERROR(__xludf.DUMMYFUNCTION("""COMPUTED_VALUE"""),"Madam")</f>
        <v>Madam</v>
      </c>
      <c r="Q664" s="1" t="str">
        <f>IFERROR(__xludf.DUMMYFUNCTION("""COMPUTED_VALUE"""),"No")</f>
        <v>No</v>
      </c>
      <c r="R664" s="1" t="str">
        <f>IFERROR(__xludf.DUMMYFUNCTION("""COMPUTED_VALUE"""),"OLD")</f>
        <v>OLD</v>
      </c>
      <c r="S664" s="1"/>
    </row>
    <row r="665">
      <c r="A665" s="2">
        <f>IFERROR(__xludf.DUMMYFUNCTION("""COMPUTED_VALUE"""),45559.7975725)</f>
        <v>45559.79757</v>
      </c>
      <c r="B665" s="1" t="str">
        <f>IFERROR(__xludf.DUMMYFUNCTION("""COMPUTED_VALUE"""),"Shelza")</f>
        <v>Shelza</v>
      </c>
      <c r="C665" s="1">
        <f>IFERROR(__xludf.DUMMYFUNCTION("""COMPUTED_VALUE"""),7.83884982E9)</f>
        <v>7838849820</v>
      </c>
      <c r="D665" s="1">
        <f>IFERROR(__xludf.DUMMYFUNCTION("""COMPUTED_VALUE"""),4.0)</f>
        <v>4</v>
      </c>
      <c r="E665" s="3">
        <f>IFERROR(__xludf.DUMMYFUNCTION("""COMPUTED_VALUE"""),0.6673611111109494)</f>
        <v>0.6673611111</v>
      </c>
      <c r="F665" s="1" t="str">
        <f>IFERROR(__xludf.DUMMYFUNCTION("""COMPUTED_VALUE"""),"Diamond")</f>
        <v>Diamond</v>
      </c>
      <c r="G665" s="1" t="str">
        <f>IFERROR(__xludf.DUMMYFUNCTION("""COMPUTED_VALUE"""),"Preeti")</f>
        <v>Preeti</v>
      </c>
      <c r="H665" s="1"/>
      <c r="I665" s="1" t="str">
        <f>IFERROR(__xludf.DUMMYFUNCTION("""COMPUTED_VALUE"""),"Designs Not Liked")</f>
        <v>Designs Not Liked</v>
      </c>
      <c r="J665" s="1"/>
      <c r="K665" s="3">
        <f>IFERROR(__xludf.DUMMYFUNCTION("""COMPUTED_VALUE"""),0.6875)</f>
        <v>0.6875</v>
      </c>
      <c r="L665" s="1" t="str">
        <f>IFERROR(__xludf.DUMMYFUNCTION("""COMPUTED_VALUE"""),"No")</f>
        <v>No</v>
      </c>
      <c r="M665" s="1" t="str">
        <f>IFERROR(__xludf.DUMMYFUNCTION("""COMPUTED_VALUE"""),"No")</f>
        <v>No</v>
      </c>
      <c r="N665" s="1" t="str">
        <f>IFERROR(__xludf.DUMMYFUNCTION("""COMPUTED_VALUE"""),"No")</f>
        <v>No</v>
      </c>
      <c r="O665" s="1" t="str">
        <f>IFERROR(__xludf.DUMMYFUNCTION("""COMPUTED_VALUE"""),"WA ONLY, CALL")</f>
        <v>WA ONLY, CALL</v>
      </c>
      <c r="P665" s="1" t="str">
        <f>IFERROR(__xludf.DUMMYFUNCTION("""COMPUTED_VALUE"""),"Madam")</f>
        <v>Madam</v>
      </c>
      <c r="Q665" s="1" t="str">
        <f>IFERROR(__xludf.DUMMYFUNCTION("""COMPUTED_VALUE"""),"No")</f>
        <v>No</v>
      </c>
      <c r="R665" s="1" t="str">
        <f>IFERROR(__xludf.DUMMYFUNCTION("""COMPUTED_VALUE"""),"NEW WALK IN")</f>
        <v>NEW WALK IN</v>
      </c>
      <c r="S665" s="1"/>
    </row>
    <row r="666">
      <c r="A666" s="2">
        <f>IFERROR(__xludf.DUMMYFUNCTION("""COMPUTED_VALUE"""),45559.79846797454)</f>
        <v>45559.79847</v>
      </c>
      <c r="B666" s="1" t="str">
        <f>IFERROR(__xludf.DUMMYFUNCTION("""COMPUTED_VALUE"""),"Jarrey")</f>
        <v>Jarrey</v>
      </c>
      <c r="C666" s="1">
        <f>IFERROR(__xludf.DUMMYFUNCTION("""COMPUTED_VALUE"""),9.266546477E9)</f>
        <v>9266546477</v>
      </c>
      <c r="D666" s="1">
        <f>IFERROR(__xludf.DUMMYFUNCTION("""COMPUTED_VALUE"""),2.0)</f>
        <v>2</v>
      </c>
      <c r="E666" s="3">
        <f>IFERROR(__xludf.DUMMYFUNCTION("""COMPUTED_VALUE"""),0.695138888884685)</f>
        <v>0.6951388889</v>
      </c>
      <c r="F666" s="1" t="str">
        <f>IFERROR(__xludf.DUMMYFUNCTION("""COMPUTED_VALUE"""),"Diamond")</f>
        <v>Diamond</v>
      </c>
      <c r="G666" s="1" t="str">
        <f>IFERROR(__xludf.DUMMYFUNCTION("""COMPUTED_VALUE"""),"Preeti")</f>
        <v>Preeti</v>
      </c>
      <c r="H666" s="1" t="str">
        <f>IFERROR(__xludf.DUMMYFUNCTION("""COMPUTED_VALUE"""),"Gold manglsutr ")</f>
        <v>Gold manglsutr </v>
      </c>
      <c r="I666" s="1"/>
      <c r="J666" s="1"/>
      <c r="K666" s="3">
        <f>IFERROR(__xludf.DUMMYFUNCTION("""COMPUTED_VALUE"""),0.71875)</f>
        <v>0.71875</v>
      </c>
      <c r="L666" s="1" t="str">
        <f>IFERROR(__xludf.DUMMYFUNCTION("""COMPUTED_VALUE"""),"Yes")</f>
        <v>Yes</v>
      </c>
      <c r="M666" s="1" t="str">
        <f>IFERROR(__xludf.DUMMYFUNCTION("""COMPUTED_VALUE"""),"Not use")</f>
        <v>Not use</v>
      </c>
      <c r="N666" s="1" t="str">
        <f>IFERROR(__xludf.DUMMYFUNCTION("""COMPUTED_VALUE"""),"Not use")</f>
        <v>Not use</v>
      </c>
      <c r="O666" s="1" t="str">
        <f>IFERROR(__xludf.DUMMYFUNCTION("""COMPUTED_VALUE"""),"WA ONLY, CALL")</f>
        <v>WA ONLY, CALL</v>
      </c>
      <c r="P666" s="1" t="str">
        <f>IFERROR(__xludf.DUMMYFUNCTION("""COMPUTED_VALUE"""),"Sir")</f>
        <v>Sir</v>
      </c>
      <c r="Q666" s="1" t="str">
        <f>IFERROR(__xludf.DUMMYFUNCTION("""COMPUTED_VALUE"""),"No")</f>
        <v>No</v>
      </c>
      <c r="R666" s="1" t="str">
        <f>IFERROR(__xludf.DUMMYFUNCTION("""COMPUTED_VALUE"""),"NEW WALK IN")</f>
        <v>NEW WALK IN</v>
      </c>
      <c r="S666" s="1"/>
    </row>
    <row r="667">
      <c r="A667" s="2">
        <f>IFERROR(__xludf.DUMMYFUNCTION("""COMPUTED_VALUE"""),45559.799110555556)</f>
        <v>45559.79911</v>
      </c>
      <c r="B667" s="1" t="str">
        <f>IFERROR(__xludf.DUMMYFUNCTION("""COMPUTED_VALUE"""),"Monika")</f>
        <v>Monika</v>
      </c>
      <c r="C667" s="1">
        <f>IFERROR(__xludf.DUMMYFUNCTION("""COMPUTED_VALUE"""),9.456284878E9)</f>
        <v>9456284878</v>
      </c>
      <c r="D667" s="1">
        <f>IFERROR(__xludf.DUMMYFUNCTION("""COMPUTED_VALUE"""),2.0)</f>
        <v>2</v>
      </c>
      <c r="E667" s="3">
        <f>IFERROR(__xludf.DUMMYFUNCTION("""COMPUTED_VALUE"""),0.7638888888905058)</f>
        <v>0.7638888889</v>
      </c>
      <c r="F667" s="1" t="str">
        <f>IFERROR(__xludf.DUMMYFUNCTION("""COMPUTED_VALUE"""),"Plain Gold")</f>
        <v>Plain Gold</v>
      </c>
      <c r="G667" s="1" t="str">
        <f>IFERROR(__xludf.DUMMYFUNCTION("""COMPUTED_VALUE"""),"Deepali")</f>
        <v>Deepali</v>
      </c>
      <c r="H667" s="1"/>
      <c r="I667" s="1" t="str">
        <f>IFERROR(__xludf.DUMMYFUNCTION("""COMPUTED_VALUE"""),"Give Payment")</f>
        <v>Give Payment</v>
      </c>
      <c r="J667" s="1"/>
      <c r="K667" s="3">
        <f>IFERROR(__xludf.DUMMYFUNCTION("""COMPUTED_VALUE"""),0.7777777777810115)</f>
        <v>0.7777777778</v>
      </c>
      <c r="L667" s="1" t="str">
        <f>IFERROR(__xludf.DUMMYFUNCTION("""COMPUTED_VALUE"""),"Yes")</f>
        <v>Yes</v>
      </c>
      <c r="M667" s="1" t="str">
        <f>IFERROR(__xludf.DUMMYFUNCTION("""COMPUTED_VALUE"""),"Already done ")</f>
        <v>Already done </v>
      </c>
      <c r="N667" s="1" t="str">
        <f>IFERROR(__xludf.DUMMYFUNCTION("""COMPUTED_VALUE"""),"Already done ")</f>
        <v>Already done </v>
      </c>
      <c r="O667" s="1" t="str">
        <f>IFERROR(__xludf.DUMMYFUNCTION("""COMPUTED_VALUE"""),"WA ONLY, CALL")</f>
        <v>WA ONLY, CALL</v>
      </c>
      <c r="P667" s="1" t="str">
        <f>IFERROR(__xludf.DUMMYFUNCTION("""COMPUTED_VALUE"""),"Madam")</f>
        <v>Madam</v>
      </c>
      <c r="Q667" s="1" t="str">
        <f>IFERROR(__xludf.DUMMYFUNCTION("""COMPUTED_VALUE"""),"No")</f>
        <v>No</v>
      </c>
      <c r="R667" s="1" t="str">
        <f>IFERROR(__xludf.DUMMYFUNCTION("""COMPUTED_VALUE"""),"OLD")</f>
        <v>OLD</v>
      </c>
      <c r="S667" s="1"/>
    </row>
    <row r="668">
      <c r="A668" s="2">
        <f>IFERROR(__xludf.DUMMYFUNCTION("""COMPUTED_VALUE"""),45559.833073761576)</f>
        <v>45559.83307</v>
      </c>
      <c r="B668" s="1" t="str">
        <f>IFERROR(__xludf.DUMMYFUNCTION("""COMPUTED_VALUE"""),"Sandhaya")</f>
        <v>Sandhaya</v>
      </c>
      <c r="C668" s="1">
        <f>IFERROR(__xludf.DUMMYFUNCTION("""COMPUTED_VALUE"""),8.839885774E9)</f>
        <v>8839885774</v>
      </c>
      <c r="D668" s="1">
        <f>IFERROR(__xludf.DUMMYFUNCTION("""COMPUTED_VALUE"""),2.0)</f>
        <v>2</v>
      </c>
      <c r="E668" s="3">
        <f>IFERROR(__xludf.DUMMYFUNCTION("""COMPUTED_VALUE"""),0.8125)</f>
        <v>0.8125</v>
      </c>
      <c r="F668" s="1" t="str">
        <f>IFERROR(__xludf.DUMMYFUNCTION("""COMPUTED_VALUE"""),"Plain Gold")</f>
        <v>Plain Gold</v>
      </c>
      <c r="G668" s="1" t="str">
        <f>IFERROR(__xludf.DUMMYFUNCTION("""COMPUTED_VALUE"""),"Tannu")</f>
        <v>Tannu</v>
      </c>
      <c r="H668" s="1" t="str">
        <f>IFERROR(__xludf.DUMMYFUNCTION("""COMPUTED_VALUE"""),"Return og and nose pin")</f>
        <v>Return og and nose pin</v>
      </c>
      <c r="I668" s="1"/>
      <c r="J668" s="1"/>
      <c r="K668" s="3">
        <f>IFERROR(__xludf.DUMMYFUNCTION("""COMPUTED_VALUE"""),0.8291666666627862)</f>
        <v>0.8291666667</v>
      </c>
      <c r="L668" s="1" t="str">
        <f>IFERROR(__xludf.DUMMYFUNCTION("""COMPUTED_VALUE"""),"Yes")</f>
        <v>Yes</v>
      </c>
      <c r="M668" s="1" t="str">
        <f>IFERROR(__xludf.DUMMYFUNCTION("""COMPUTED_VALUE"""),"Already done ")</f>
        <v>Already done </v>
      </c>
      <c r="N668" s="1" t="str">
        <f>IFERROR(__xludf.DUMMYFUNCTION("""COMPUTED_VALUE"""),"Already done ")</f>
        <v>Already done </v>
      </c>
      <c r="O668" s="1" t="str">
        <f>IFERROR(__xludf.DUMMYFUNCTION("""COMPUTED_VALUE"""),"WA ONLY, CALL")</f>
        <v>WA ONLY, CALL</v>
      </c>
      <c r="P668" s="1" t="str">
        <f>IFERROR(__xludf.DUMMYFUNCTION("""COMPUTED_VALUE"""),"Madam")</f>
        <v>Madam</v>
      </c>
      <c r="Q668" s="1" t="str">
        <f>IFERROR(__xludf.DUMMYFUNCTION("""COMPUTED_VALUE"""),"No")</f>
        <v>No</v>
      </c>
      <c r="R668" s="1" t="str">
        <f>IFERROR(__xludf.DUMMYFUNCTION("""COMPUTED_VALUE"""),"OLD")</f>
        <v>OLD</v>
      </c>
      <c r="S668" s="1"/>
    </row>
    <row r="669">
      <c r="A669" s="2">
        <f>IFERROR(__xludf.DUMMYFUNCTION("""COMPUTED_VALUE"""),45560.7179740625)</f>
        <v>45560.71797</v>
      </c>
      <c r="B669" s="1" t="str">
        <f>IFERROR(__xludf.DUMMYFUNCTION("""COMPUTED_VALUE"""),"Harsh")</f>
        <v>Harsh</v>
      </c>
      <c r="C669" s="1">
        <f>IFERROR(__xludf.DUMMYFUNCTION("""COMPUTED_VALUE"""),9.313961881E9)</f>
        <v>9313961881</v>
      </c>
      <c r="D669" s="1">
        <f>IFERROR(__xludf.DUMMYFUNCTION("""COMPUTED_VALUE"""),4.0)</f>
        <v>4</v>
      </c>
      <c r="E669" s="3">
        <f>IFERROR(__xludf.DUMMYFUNCTION("""COMPUTED_VALUE"""),0.5729166666642413)</f>
        <v>0.5729166667</v>
      </c>
      <c r="F669" s="1" t="str">
        <f>IFERROR(__xludf.DUMMYFUNCTION("""COMPUTED_VALUE"""),"Antique Gold")</f>
        <v>Antique Gold</v>
      </c>
      <c r="G669" s="1" t="str">
        <f>IFERROR(__xludf.DUMMYFUNCTION("""COMPUTED_VALUE"""),"Tannu")</f>
        <v>Tannu</v>
      </c>
      <c r="H669" s="1"/>
      <c r="I669" s="1" t="str">
        <f>IFERROR(__xludf.DUMMYFUNCTION("""COMPUTED_VALUE"""),"Designs Not Liked")</f>
        <v>Designs Not Liked</v>
      </c>
      <c r="J669" s="1"/>
      <c r="K669" s="3">
        <f>IFERROR(__xludf.DUMMYFUNCTION("""COMPUTED_VALUE"""),0.59375)</f>
        <v>0.59375</v>
      </c>
      <c r="L669" s="1" t="str">
        <f>IFERROR(__xludf.DUMMYFUNCTION("""COMPUTED_VALUE"""),"No")</f>
        <v>No</v>
      </c>
      <c r="M669" s="1" t="str">
        <f>IFERROR(__xludf.DUMMYFUNCTION("""COMPUTED_VALUE"""),"No")</f>
        <v>No</v>
      </c>
      <c r="N669" s="1" t="str">
        <f>IFERROR(__xludf.DUMMYFUNCTION("""COMPUTED_VALUE"""),"No")</f>
        <v>No</v>
      </c>
      <c r="O669" s="1" t="str">
        <f>IFERROR(__xludf.DUMMYFUNCTION("""COMPUTED_VALUE"""),"WA ONLY, CALL")</f>
        <v>WA ONLY, CALL</v>
      </c>
      <c r="P669" s="1" t="str">
        <f>IFERROR(__xludf.DUMMYFUNCTION("""COMPUTED_VALUE"""),"Sir")</f>
        <v>Sir</v>
      </c>
      <c r="Q669" s="1" t="str">
        <f>IFERROR(__xludf.DUMMYFUNCTION("""COMPUTED_VALUE"""),"No")</f>
        <v>No</v>
      </c>
      <c r="R669" s="1" t="str">
        <f>IFERROR(__xludf.DUMMYFUNCTION("""COMPUTED_VALUE"""),"NEW WALK IN")</f>
        <v>NEW WALK IN</v>
      </c>
      <c r="S669" s="1"/>
    </row>
    <row r="670">
      <c r="A670" s="2">
        <f>IFERROR(__xludf.DUMMYFUNCTION("""COMPUTED_VALUE"""),45560.719390983795)</f>
        <v>45560.71939</v>
      </c>
      <c r="B670" s="1" t="str">
        <f>IFERROR(__xludf.DUMMYFUNCTION("""COMPUTED_VALUE"""),"Geeta")</f>
        <v>Geeta</v>
      </c>
      <c r="C670" s="1">
        <f>IFERROR(__xludf.DUMMYFUNCTION("""COMPUTED_VALUE"""),8.130477446E9)</f>
        <v>8130477446</v>
      </c>
      <c r="D670" s="1">
        <f>IFERROR(__xludf.DUMMYFUNCTION("""COMPUTED_VALUE"""),2.0)</f>
        <v>2</v>
      </c>
      <c r="E670" s="3">
        <f>IFERROR(__xludf.DUMMYFUNCTION("""COMPUTED_VALUE"""),0.625)</f>
        <v>0.625</v>
      </c>
      <c r="F670" s="1" t="str">
        <f>IFERROR(__xludf.DUMMYFUNCTION("""COMPUTED_VALUE"""),"Antique Gold")</f>
        <v>Antique Gold</v>
      </c>
      <c r="G670" s="1" t="str">
        <f>IFERROR(__xludf.DUMMYFUNCTION("""COMPUTED_VALUE"""),"Pooja")</f>
        <v>Pooja</v>
      </c>
      <c r="H670" s="1" t="str">
        <f>IFERROR(__xludf.DUMMYFUNCTION("""COMPUTED_VALUE"""),"Antique bangles,advance payment done")</f>
        <v>Antique bangles,advance payment done</v>
      </c>
      <c r="I670" s="1"/>
      <c r="J670" s="1"/>
      <c r="K670" s="3">
        <f>IFERROR(__xludf.DUMMYFUNCTION("""COMPUTED_VALUE"""),0.6458333333357587)</f>
        <v>0.6458333333</v>
      </c>
      <c r="L670" s="1" t="str">
        <f>IFERROR(__xludf.DUMMYFUNCTION("""COMPUTED_VALUE"""),"Yes")</f>
        <v>Yes</v>
      </c>
      <c r="M670" s="1" t="str">
        <f>IFERROR(__xludf.DUMMYFUNCTION("""COMPUTED_VALUE"""),"Already done ")</f>
        <v>Already done </v>
      </c>
      <c r="N670" s="1" t="str">
        <f>IFERROR(__xludf.DUMMYFUNCTION("""COMPUTED_VALUE"""),"Already done ")</f>
        <v>Already done </v>
      </c>
      <c r="O670" s="1" t="str">
        <f>IFERROR(__xludf.DUMMYFUNCTION("""COMPUTED_VALUE"""),"WA ONLY, CALL")</f>
        <v>WA ONLY, CALL</v>
      </c>
      <c r="P670" s="1" t="str">
        <f>IFERROR(__xludf.DUMMYFUNCTION("""COMPUTED_VALUE"""),"Madam")</f>
        <v>Madam</v>
      </c>
      <c r="Q670" s="1" t="str">
        <f>IFERROR(__xludf.DUMMYFUNCTION("""COMPUTED_VALUE"""),"No")</f>
        <v>No</v>
      </c>
      <c r="R670" s="1" t="str">
        <f>IFERROR(__xludf.DUMMYFUNCTION("""COMPUTED_VALUE"""),"OLD")</f>
        <v>OLD</v>
      </c>
      <c r="S670" s="1"/>
    </row>
    <row r="671">
      <c r="A671" s="2">
        <f>IFERROR(__xludf.DUMMYFUNCTION("""COMPUTED_VALUE"""),45560.77479628472)</f>
        <v>45560.7748</v>
      </c>
      <c r="B671" s="1" t="str">
        <f>IFERROR(__xludf.DUMMYFUNCTION("""COMPUTED_VALUE"""),"Roma gogiya")</f>
        <v>Roma gogiya</v>
      </c>
      <c r="C671" s="1">
        <f>IFERROR(__xludf.DUMMYFUNCTION("""COMPUTED_VALUE"""),9.311065176E9)</f>
        <v>9311065176</v>
      </c>
      <c r="D671" s="1">
        <f>IFERROR(__xludf.DUMMYFUNCTION("""COMPUTED_VALUE"""),2.0)</f>
        <v>2</v>
      </c>
      <c r="E671" s="3">
        <f>IFERROR(__xludf.DUMMYFUNCTION("""COMPUTED_VALUE"""),0.7326388888905058)</f>
        <v>0.7326388889</v>
      </c>
      <c r="F671" s="1" t="str">
        <f>IFERROR(__xludf.DUMMYFUNCTION("""COMPUTED_VALUE"""),"Diamond")</f>
        <v>Diamond</v>
      </c>
      <c r="G671" s="1" t="str">
        <f>IFERROR(__xludf.DUMMYFUNCTION("""COMPUTED_VALUE"""),"Preeti")</f>
        <v>Preeti</v>
      </c>
      <c r="H671" s="1"/>
      <c r="I671" s="1" t="str">
        <f>IFERROR(__xludf.DUMMYFUNCTION("""COMPUTED_VALUE"""),"Will ask family and come with them")</f>
        <v>Will ask family and come with them</v>
      </c>
      <c r="J671" s="1"/>
      <c r="K671" s="3">
        <f>IFERROR(__xludf.DUMMYFUNCTION("""COMPUTED_VALUE"""),0.7645833333372138)</f>
        <v>0.7645833333</v>
      </c>
      <c r="L671" s="1" t="str">
        <f>IFERROR(__xludf.DUMMYFUNCTION("""COMPUTED_VALUE"""),"No")</f>
        <v>No</v>
      </c>
      <c r="M671" s="1" t="str">
        <f>IFERROR(__xludf.DUMMYFUNCTION("""COMPUTED_VALUE"""),"No")</f>
        <v>No</v>
      </c>
      <c r="N671" s="1" t="str">
        <f>IFERROR(__xludf.DUMMYFUNCTION("""COMPUTED_VALUE"""),"No")</f>
        <v>No</v>
      </c>
      <c r="O671" s="1" t="str">
        <f>IFERROR(__xludf.DUMMYFUNCTION("""COMPUTED_VALUE"""),"WA ONLY, CALL")</f>
        <v>WA ONLY, CALL</v>
      </c>
      <c r="P671" s="1" t="str">
        <f>IFERROR(__xludf.DUMMYFUNCTION("""COMPUTED_VALUE"""),"Madam")</f>
        <v>Madam</v>
      </c>
      <c r="Q671" s="1" t="str">
        <f>IFERROR(__xludf.DUMMYFUNCTION("""COMPUTED_VALUE"""),"No")</f>
        <v>No</v>
      </c>
      <c r="R671" s="1" t="str">
        <f>IFERROR(__xludf.DUMMYFUNCTION("""COMPUTED_VALUE"""),"NEW WALK IN")</f>
        <v>NEW WALK IN</v>
      </c>
      <c r="S671" s="1"/>
    </row>
    <row r="672">
      <c r="A672" s="2">
        <f>IFERROR(__xludf.DUMMYFUNCTION("""COMPUTED_VALUE"""),45560.7754556713)</f>
        <v>45560.77546</v>
      </c>
      <c r="B672" s="1" t="str">
        <f>IFERROR(__xludf.DUMMYFUNCTION("""COMPUTED_VALUE"""),"Mukesh")</f>
        <v>Mukesh</v>
      </c>
      <c r="C672" s="1">
        <f>IFERROR(__xludf.DUMMYFUNCTION("""COMPUTED_VALUE"""),9.999406451E9)</f>
        <v>9999406451</v>
      </c>
      <c r="D672" s="1">
        <f>IFERROR(__xludf.DUMMYFUNCTION("""COMPUTED_VALUE"""),1.0)</f>
        <v>1</v>
      </c>
      <c r="E672" s="3">
        <f>IFERROR(__xludf.DUMMYFUNCTION("""COMPUTED_VALUE"""),0.75)</f>
        <v>0.75</v>
      </c>
      <c r="F672" s="1" t="str">
        <f>IFERROR(__xludf.DUMMYFUNCTION("""COMPUTED_VALUE"""),"Plain Gold")</f>
        <v>Plain Gold</v>
      </c>
      <c r="G672" s="1" t="str">
        <f>IFERROR(__xludf.DUMMYFUNCTION("""COMPUTED_VALUE"""),"Tannu")</f>
        <v>Tannu</v>
      </c>
      <c r="H672" s="1"/>
      <c r="I672" s="1" t="str">
        <f>IFERROR(__xludf.DUMMYFUNCTION("""COMPUTED_VALUE"""),"Designs Not Liked")</f>
        <v>Designs Not Liked</v>
      </c>
      <c r="J672" s="1"/>
      <c r="K672" s="3">
        <f>IFERROR(__xludf.DUMMYFUNCTION("""COMPUTED_VALUE"""),0.7541666666656965)</f>
        <v>0.7541666667</v>
      </c>
      <c r="L672" s="1" t="str">
        <f>IFERROR(__xludf.DUMMYFUNCTION("""COMPUTED_VALUE"""),"No")</f>
        <v>No</v>
      </c>
      <c r="M672" s="1" t="str">
        <f>IFERROR(__xludf.DUMMYFUNCTION("""COMPUTED_VALUE"""),"No")</f>
        <v>No</v>
      </c>
      <c r="N672" s="1" t="str">
        <f>IFERROR(__xludf.DUMMYFUNCTION("""COMPUTED_VALUE"""),"No")</f>
        <v>No</v>
      </c>
      <c r="O672" s="1" t="str">
        <f>IFERROR(__xludf.DUMMYFUNCTION("""COMPUTED_VALUE"""),"WA ONLY, CALL")</f>
        <v>WA ONLY, CALL</v>
      </c>
      <c r="P672" s="1" t="str">
        <f>IFERROR(__xludf.DUMMYFUNCTION("""COMPUTED_VALUE"""),"Sir")</f>
        <v>Sir</v>
      </c>
      <c r="Q672" s="1" t="str">
        <f>IFERROR(__xludf.DUMMYFUNCTION("""COMPUTED_VALUE"""),"No")</f>
        <v>No</v>
      </c>
      <c r="R672" s="1" t="str">
        <f>IFERROR(__xludf.DUMMYFUNCTION("""COMPUTED_VALUE"""),"NEW WALK IN")</f>
        <v>NEW WALK IN</v>
      </c>
      <c r="S672" s="1"/>
    </row>
    <row r="673">
      <c r="A673" s="2">
        <f>IFERROR(__xludf.DUMMYFUNCTION("""COMPUTED_VALUE"""),45560.78873606482)</f>
        <v>45560.78874</v>
      </c>
      <c r="B673" s="1" t="str">
        <f>IFERROR(__xludf.DUMMYFUNCTION("""COMPUTED_VALUE"""),"H.rehman")</f>
        <v>H.rehman</v>
      </c>
      <c r="C673" s="1">
        <f>IFERROR(__xludf.DUMMYFUNCTION("""COMPUTED_VALUE"""),9.810414043E9)</f>
        <v>9810414043</v>
      </c>
      <c r="D673" s="1">
        <f>IFERROR(__xludf.DUMMYFUNCTION("""COMPUTED_VALUE"""),2.0)</f>
        <v>2</v>
      </c>
      <c r="E673" s="3">
        <f>IFERROR(__xludf.DUMMYFUNCTION("""COMPUTED_VALUE"""),0.7777777777810115)</f>
        <v>0.7777777778</v>
      </c>
      <c r="F673" s="1" t="str">
        <f>IFERROR(__xludf.DUMMYFUNCTION("""COMPUTED_VALUE"""),"Diamond")</f>
        <v>Diamond</v>
      </c>
      <c r="G673" s="1" t="str">
        <f>IFERROR(__xludf.DUMMYFUNCTION("""COMPUTED_VALUE"""),"Preeti")</f>
        <v>Preeti</v>
      </c>
      <c r="H673" s="1"/>
      <c r="I673" s="1" t="str">
        <f>IFERROR(__xludf.DUMMYFUNCTION("""COMPUTED_VALUE"""),"Customer range 45k in Diamond set so thats why not like Diamond set design ")</f>
        <v>Customer range 45k in Diamond set so thats why not like Diamond set design </v>
      </c>
      <c r="J673" s="1"/>
      <c r="K673" s="3">
        <f>IFERROR(__xludf.DUMMYFUNCTION("""COMPUTED_VALUE"""),0.7861111111124046)</f>
        <v>0.7861111111</v>
      </c>
      <c r="L673" s="1" t="str">
        <f>IFERROR(__xludf.DUMMYFUNCTION("""COMPUTED_VALUE"""),"No")</f>
        <v>No</v>
      </c>
      <c r="M673" s="1" t="str">
        <f>IFERROR(__xludf.DUMMYFUNCTION("""COMPUTED_VALUE"""),"No")</f>
        <v>No</v>
      </c>
      <c r="N673" s="1" t="str">
        <f>IFERROR(__xludf.DUMMYFUNCTION("""COMPUTED_VALUE"""),"No")</f>
        <v>No</v>
      </c>
      <c r="O673" s="1" t="str">
        <f>IFERROR(__xludf.DUMMYFUNCTION("""COMPUTED_VALUE"""),"WA ONLY, CALL")</f>
        <v>WA ONLY, CALL</v>
      </c>
      <c r="P673" s="1" t="str">
        <f>IFERROR(__xludf.DUMMYFUNCTION("""COMPUTED_VALUE"""),"Sir")</f>
        <v>Sir</v>
      </c>
      <c r="Q673" s="1" t="str">
        <f>IFERROR(__xludf.DUMMYFUNCTION("""COMPUTED_VALUE"""),"No")</f>
        <v>No</v>
      </c>
      <c r="R673" s="1" t="str">
        <f>IFERROR(__xludf.DUMMYFUNCTION("""COMPUTED_VALUE"""),"NEW WALK IN")</f>
        <v>NEW WALK IN</v>
      </c>
      <c r="S673" s="1"/>
    </row>
    <row r="674">
      <c r="A674" s="2">
        <f>IFERROR(__xludf.DUMMYFUNCTION("""COMPUTED_VALUE"""),45561.791885115745)</f>
        <v>45561.79189</v>
      </c>
      <c r="B674" s="1" t="str">
        <f>IFERROR(__xludf.DUMMYFUNCTION("""COMPUTED_VALUE"""),"Jyanti")</f>
        <v>Jyanti</v>
      </c>
      <c r="C674" s="1">
        <f>IFERROR(__xludf.DUMMYFUNCTION("""COMPUTED_VALUE"""),9.810629311E9)</f>
        <v>9810629311</v>
      </c>
      <c r="D674" s="1">
        <f>IFERROR(__xludf.DUMMYFUNCTION("""COMPUTED_VALUE"""),1.0)</f>
        <v>1</v>
      </c>
      <c r="E674" s="3">
        <f>IFERROR(__xludf.DUMMYFUNCTION("""COMPUTED_VALUE"""),0.577777777776646)</f>
        <v>0.5777777778</v>
      </c>
      <c r="F674" s="1" t="str">
        <f>IFERROR(__xludf.DUMMYFUNCTION("""COMPUTED_VALUE"""),"Diamond")</f>
        <v>Diamond</v>
      </c>
      <c r="G674" s="1" t="str">
        <f>IFERROR(__xludf.DUMMYFUNCTION("""COMPUTED_VALUE"""),"Preeti")</f>
        <v>Preeti</v>
      </c>
      <c r="H674" s="1" t="str">
        <f>IFERROR(__xludf.DUMMYFUNCTION("""COMPUTED_VALUE"""),"Gold set,pendent set,diamond chain")</f>
        <v>Gold set,pendent set,diamond chain</v>
      </c>
      <c r="I674" s="1"/>
      <c r="J674" s="1"/>
      <c r="K674" s="3">
        <f>IFERROR(__xludf.DUMMYFUNCTION("""COMPUTED_VALUE"""),0.6763888888890506)</f>
        <v>0.6763888889</v>
      </c>
      <c r="L674" s="1" t="str">
        <f>IFERROR(__xludf.DUMMYFUNCTION("""COMPUTED_VALUE"""),"Yes")</f>
        <v>Yes</v>
      </c>
      <c r="M674" s="1" t="str">
        <f>IFERROR(__xludf.DUMMYFUNCTION("""COMPUTED_VALUE"""),"Already done ")</f>
        <v>Already done </v>
      </c>
      <c r="N674" s="1" t="str">
        <f>IFERROR(__xludf.DUMMYFUNCTION("""COMPUTED_VALUE"""),"Already done ")</f>
        <v>Already done </v>
      </c>
      <c r="O674" s="1" t="str">
        <f>IFERROR(__xludf.DUMMYFUNCTION("""COMPUTED_VALUE"""),"WA ONLY, CALL")</f>
        <v>WA ONLY, CALL</v>
      </c>
      <c r="P674" s="1" t="str">
        <f>IFERROR(__xludf.DUMMYFUNCTION("""COMPUTED_VALUE"""),"Madam")</f>
        <v>Madam</v>
      </c>
      <c r="Q674" s="1" t="str">
        <f>IFERROR(__xludf.DUMMYFUNCTION("""COMPUTED_VALUE"""),"No")</f>
        <v>No</v>
      </c>
      <c r="R674" s="1" t="str">
        <f>IFERROR(__xludf.DUMMYFUNCTION("""COMPUTED_VALUE"""),"OLD")</f>
        <v>OLD</v>
      </c>
      <c r="S674" s="1"/>
    </row>
    <row r="675">
      <c r="A675" s="2">
        <f>IFERROR(__xludf.DUMMYFUNCTION("""COMPUTED_VALUE"""),45561.797518148145)</f>
        <v>45561.79752</v>
      </c>
      <c r="B675" s="1" t="str">
        <f>IFERROR(__xludf.DUMMYFUNCTION("""COMPUTED_VALUE"""),"Manik")</f>
        <v>Manik</v>
      </c>
      <c r="C675" s="1">
        <f>IFERROR(__xludf.DUMMYFUNCTION("""COMPUTED_VALUE"""),9.899978327E9)</f>
        <v>9899978327</v>
      </c>
      <c r="D675" s="1">
        <f>IFERROR(__xludf.DUMMYFUNCTION("""COMPUTED_VALUE"""),4.0)</f>
        <v>4</v>
      </c>
      <c r="E675" s="3">
        <f>IFERROR(__xludf.DUMMYFUNCTION("""COMPUTED_VALUE"""),0.5944444444467081)</f>
        <v>0.5944444444</v>
      </c>
      <c r="F675" s="1" t="str">
        <f>IFERROR(__xludf.DUMMYFUNCTION("""COMPUTED_VALUE"""),"Diamond")</f>
        <v>Diamond</v>
      </c>
      <c r="G675" s="1" t="str">
        <f>IFERROR(__xludf.DUMMYFUNCTION("""COMPUTED_VALUE"""),"Preeti")</f>
        <v>Preeti</v>
      </c>
      <c r="H675" s="1" t="str">
        <f>IFERROR(__xludf.DUMMYFUNCTION("""COMPUTED_VALUE"""),"3 pc lose diamond,3 ghat final ")</f>
        <v>3 pc lose diamond,3 ghat final </v>
      </c>
      <c r="I675" s="1"/>
      <c r="J675" s="1"/>
      <c r="K675" s="3">
        <f>IFERROR(__xludf.DUMMYFUNCTION("""COMPUTED_VALUE"""),0.6763888888890506)</f>
        <v>0.6763888889</v>
      </c>
      <c r="L675" s="1" t="str">
        <f>IFERROR(__xludf.DUMMYFUNCTION("""COMPUTED_VALUE"""),"Yes")</f>
        <v>Yes</v>
      </c>
      <c r="M675" s="1" t="str">
        <f>IFERROR(__xludf.DUMMYFUNCTION("""COMPUTED_VALUE"""),"Already done ")</f>
        <v>Already done </v>
      </c>
      <c r="N675" s="1" t="str">
        <f>IFERROR(__xludf.DUMMYFUNCTION("""COMPUTED_VALUE"""),"Already done ")</f>
        <v>Already done </v>
      </c>
      <c r="O675" s="1" t="str">
        <f>IFERROR(__xludf.DUMMYFUNCTION("""COMPUTED_VALUE"""),"WA ONLY, CALL")</f>
        <v>WA ONLY, CALL</v>
      </c>
      <c r="P675" s="1" t="str">
        <f>IFERROR(__xludf.DUMMYFUNCTION("""COMPUTED_VALUE"""),"Sir")</f>
        <v>Sir</v>
      </c>
      <c r="Q675" s="1" t="str">
        <f>IFERROR(__xludf.DUMMYFUNCTION("""COMPUTED_VALUE"""),"No")</f>
        <v>No</v>
      </c>
      <c r="R675" s="1" t="str">
        <f>IFERROR(__xludf.DUMMYFUNCTION("""COMPUTED_VALUE"""),"OLD")</f>
        <v>OLD</v>
      </c>
      <c r="S675" s="1"/>
    </row>
    <row r="676">
      <c r="A676" s="2">
        <f>IFERROR(__xludf.DUMMYFUNCTION("""COMPUTED_VALUE"""),45561.79824903935)</f>
        <v>45561.79825</v>
      </c>
      <c r="B676" s="1" t="str">
        <f>IFERROR(__xludf.DUMMYFUNCTION("""COMPUTED_VALUE"""),"Aku naydu")</f>
        <v>Aku naydu</v>
      </c>
      <c r="C676" s="1">
        <f>IFERROR(__xludf.DUMMYFUNCTION("""COMPUTED_VALUE"""),8.974251308E9)</f>
        <v>8974251308</v>
      </c>
      <c r="D676" s="1">
        <f>IFERROR(__xludf.DUMMYFUNCTION("""COMPUTED_VALUE"""),1.0)</f>
        <v>1</v>
      </c>
      <c r="E676" s="3">
        <f>IFERROR(__xludf.DUMMYFUNCTION("""COMPUTED_VALUE"""),0.7083333333357587)</f>
        <v>0.7083333333</v>
      </c>
      <c r="F676" s="1" t="str">
        <f>IFERROR(__xludf.DUMMYFUNCTION("""COMPUTED_VALUE"""),"Antique Gold")</f>
        <v>Antique Gold</v>
      </c>
      <c r="G676" s="1" t="str">
        <f>IFERROR(__xludf.DUMMYFUNCTION("""COMPUTED_VALUE"""),"Pooja")</f>
        <v>Pooja</v>
      </c>
      <c r="H676" s="1"/>
      <c r="I676" s="1" t="str">
        <f>IFERROR(__xludf.DUMMYFUNCTION("""COMPUTED_VALUE"""),"Pick up Order")</f>
        <v>Pick up Order</v>
      </c>
      <c r="J676" s="1"/>
      <c r="K676" s="3">
        <f>IFERROR(__xludf.DUMMYFUNCTION("""COMPUTED_VALUE"""),0.75)</f>
        <v>0.75</v>
      </c>
      <c r="L676" s="1" t="str">
        <f>IFERROR(__xludf.DUMMYFUNCTION("""COMPUTED_VALUE"""),"Yes")</f>
        <v>Yes</v>
      </c>
      <c r="M676" s="1" t="str">
        <f>IFERROR(__xludf.DUMMYFUNCTION("""COMPUTED_VALUE"""),"Already done ")</f>
        <v>Already done </v>
      </c>
      <c r="N676" s="1" t="str">
        <f>IFERROR(__xludf.DUMMYFUNCTION("""COMPUTED_VALUE"""),"Already done ")</f>
        <v>Already done </v>
      </c>
      <c r="O676" s="1" t="str">
        <f>IFERROR(__xludf.DUMMYFUNCTION("""COMPUTED_VALUE"""),"WA ONLY, CALL")</f>
        <v>WA ONLY, CALL</v>
      </c>
      <c r="P676" s="1" t="str">
        <f>IFERROR(__xludf.DUMMYFUNCTION("""COMPUTED_VALUE"""),"Madam")</f>
        <v>Madam</v>
      </c>
      <c r="Q676" s="1" t="str">
        <f>IFERROR(__xludf.DUMMYFUNCTION("""COMPUTED_VALUE"""),"No")</f>
        <v>No</v>
      </c>
      <c r="R676" s="1" t="str">
        <f>IFERROR(__xludf.DUMMYFUNCTION("""COMPUTED_VALUE"""),"OLD")</f>
        <v>OLD</v>
      </c>
      <c r="S676" s="1"/>
    </row>
    <row r="677">
      <c r="A677" s="2">
        <f>IFERROR(__xludf.DUMMYFUNCTION("""COMPUTED_VALUE"""),45562.76564405093)</f>
        <v>45562.76564</v>
      </c>
      <c r="B677" s="1" t="str">
        <f>IFERROR(__xludf.DUMMYFUNCTION("""COMPUTED_VALUE"""),"Sunita")</f>
        <v>Sunita</v>
      </c>
      <c r="C677" s="1">
        <f>IFERROR(__xludf.DUMMYFUNCTION("""COMPUTED_VALUE"""),9.419116616E9)</f>
        <v>9419116616</v>
      </c>
      <c r="D677" s="1">
        <f>IFERROR(__xludf.DUMMYFUNCTION("""COMPUTED_VALUE"""),2.0)</f>
        <v>2</v>
      </c>
      <c r="E677" s="3">
        <f>IFERROR(__xludf.DUMMYFUNCTION("""COMPUTED_VALUE"""),0.5208333333357587)</f>
        <v>0.5208333333</v>
      </c>
      <c r="F677" s="1" t="str">
        <f>IFERROR(__xludf.DUMMYFUNCTION("""COMPUTED_VALUE"""),"Diamond")</f>
        <v>Diamond</v>
      </c>
      <c r="G677" s="1" t="str">
        <f>IFERROR(__xludf.DUMMYFUNCTION("""COMPUTED_VALUE"""),"Preeti")</f>
        <v>Preeti</v>
      </c>
      <c r="H677" s="1" t="str">
        <f>IFERROR(__xludf.DUMMYFUNCTION("""COMPUTED_VALUE"""),"3 ruby ring,1 lose diamond ")</f>
        <v>3 ruby ring,1 lose diamond </v>
      </c>
      <c r="I677" s="1"/>
      <c r="J677" s="1"/>
      <c r="K677" s="3">
        <f>IFERROR(__xludf.DUMMYFUNCTION("""COMPUTED_VALUE"""),0.6145833333357587)</f>
        <v>0.6145833333</v>
      </c>
      <c r="L677" s="1" t="str">
        <f>IFERROR(__xludf.DUMMYFUNCTION("""COMPUTED_VALUE"""),"Yes")</f>
        <v>Yes</v>
      </c>
      <c r="M677" s="1" t="str">
        <f>IFERROR(__xludf.DUMMYFUNCTION("""COMPUTED_VALUE"""),"Yes")</f>
        <v>Yes</v>
      </c>
      <c r="N677" s="1" t="str">
        <f>IFERROR(__xludf.DUMMYFUNCTION("""COMPUTED_VALUE"""),"Yes")</f>
        <v>Yes</v>
      </c>
      <c r="O677" s="1" t="str">
        <f>IFERROR(__xludf.DUMMYFUNCTION("""COMPUTED_VALUE"""),"WA ONLY, CALL")</f>
        <v>WA ONLY, CALL</v>
      </c>
      <c r="P677" s="1" t="str">
        <f>IFERROR(__xludf.DUMMYFUNCTION("""COMPUTED_VALUE"""),"Madam")</f>
        <v>Madam</v>
      </c>
      <c r="Q677" s="1" t="str">
        <f>IFERROR(__xludf.DUMMYFUNCTION("""COMPUTED_VALUE"""),"No")</f>
        <v>No</v>
      </c>
      <c r="R677" s="1" t="str">
        <f>IFERROR(__xludf.DUMMYFUNCTION("""COMPUTED_VALUE"""),"OLD")</f>
        <v>OLD</v>
      </c>
      <c r="S677" s="1"/>
    </row>
    <row r="678">
      <c r="A678" s="2">
        <f>IFERROR(__xludf.DUMMYFUNCTION("""COMPUTED_VALUE"""),45562.767791562495)</f>
        <v>45562.76779</v>
      </c>
      <c r="B678" s="1" t="str">
        <f>IFERROR(__xludf.DUMMYFUNCTION("""COMPUTED_VALUE"""),"Jasmin")</f>
        <v>Jasmin</v>
      </c>
      <c r="C678" s="1">
        <f>IFERROR(__xludf.DUMMYFUNCTION("""COMPUTED_VALUE"""),9.811526877E9)</f>
        <v>9811526877</v>
      </c>
      <c r="D678" s="1">
        <f>IFERROR(__xludf.DUMMYFUNCTION("""COMPUTED_VALUE"""),2.0)</f>
        <v>2</v>
      </c>
      <c r="E678" s="3">
        <f>IFERROR(__xludf.DUMMYFUNCTION("""COMPUTED_VALUE"""),0.625)</f>
        <v>0.625</v>
      </c>
      <c r="F678" s="1" t="str">
        <f>IFERROR(__xludf.DUMMYFUNCTION("""COMPUTED_VALUE"""),"Diamond")</f>
        <v>Diamond</v>
      </c>
      <c r="G678" s="1" t="str">
        <f>IFERROR(__xludf.DUMMYFUNCTION("""COMPUTED_VALUE"""),"Preeti")</f>
        <v>Preeti</v>
      </c>
      <c r="H678" s="1" t="str">
        <f>IFERROR(__xludf.DUMMYFUNCTION("""COMPUTED_VALUE"""),"Diamond breslet ")</f>
        <v>Diamond breslet </v>
      </c>
      <c r="I678" s="1"/>
      <c r="J678" s="1"/>
      <c r="K678" s="3">
        <f>IFERROR(__xludf.DUMMYFUNCTION("""COMPUTED_VALUE"""),0.6979166666642413)</f>
        <v>0.6979166667</v>
      </c>
      <c r="L678" s="1" t="str">
        <f>IFERROR(__xludf.DUMMYFUNCTION("""COMPUTED_VALUE"""),"Yes")</f>
        <v>Yes</v>
      </c>
      <c r="M678" s="1" t="str">
        <f>IFERROR(__xludf.DUMMYFUNCTION("""COMPUTED_VALUE"""),"Yes")</f>
        <v>Yes</v>
      </c>
      <c r="N678" s="1" t="str">
        <f>IFERROR(__xludf.DUMMYFUNCTION("""COMPUTED_VALUE"""),"Yes")</f>
        <v>Yes</v>
      </c>
      <c r="O678" s="1" t="str">
        <f>IFERROR(__xludf.DUMMYFUNCTION("""COMPUTED_VALUE"""),"WA ONLY, CALL")</f>
        <v>WA ONLY, CALL</v>
      </c>
      <c r="P678" s="1" t="str">
        <f>IFERROR(__xludf.DUMMYFUNCTION("""COMPUTED_VALUE"""),"Madam")</f>
        <v>Madam</v>
      </c>
      <c r="Q678" s="1" t="str">
        <f>IFERROR(__xludf.DUMMYFUNCTION("""COMPUTED_VALUE"""),"No")</f>
        <v>No</v>
      </c>
      <c r="R678" s="1" t="str">
        <f>IFERROR(__xludf.DUMMYFUNCTION("""COMPUTED_VALUE"""),"OLD")</f>
        <v>OLD</v>
      </c>
      <c r="S678" s="1"/>
    </row>
    <row r="679">
      <c r="A679" s="2">
        <f>IFERROR(__xludf.DUMMYFUNCTION("""COMPUTED_VALUE"""),45562.76928409722)</f>
        <v>45562.76928</v>
      </c>
      <c r="B679" s="1" t="str">
        <f>IFERROR(__xludf.DUMMYFUNCTION("""COMPUTED_VALUE"""),"Md.musheer")</f>
        <v>Md.musheer</v>
      </c>
      <c r="C679" s="1">
        <f>IFERROR(__xludf.DUMMYFUNCTION("""COMPUTED_VALUE"""),9.312886562E9)</f>
        <v>9312886562</v>
      </c>
      <c r="D679" s="1">
        <f>IFERROR(__xludf.DUMMYFUNCTION("""COMPUTED_VALUE"""),2.0)</f>
        <v>2</v>
      </c>
      <c r="E679" s="3">
        <f>IFERROR(__xludf.DUMMYFUNCTION("""COMPUTED_VALUE"""),0.6666666666642413)</f>
        <v>0.6666666667</v>
      </c>
      <c r="F679" s="1" t="str">
        <f>IFERROR(__xludf.DUMMYFUNCTION("""COMPUTED_VALUE"""),"Plain Gold")</f>
        <v>Plain Gold</v>
      </c>
      <c r="G679" s="1" t="str">
        <f>IFERROR(__xludf.DUMMYFUNCTION("""COMPUTED_VALUE"""),"Pooja")</f>
        <v>Pooja</v>
      </c>
      <c r="H679" s="1" t="str">
        <f>IFERROR(__xludf.DUMMYFUNCTION("""COMPUTED_VALUE"""),"1 gold tops sui dhaga")</f>
        <v>1 gold tops sui dhaga</v>
      </c>
      <c r="I679" s="1"/>
      <c r="J679" s="1"/>
      <c r="K679" s="3">
        <f>IFERROR(__xludf.DUMMYFUNCTION("""COMPUTED_VALUE"""),0.75)</f>
        <v>0.75</v>
      </c>
      <c r="L679" s="1" t="str">
        <f>IFERROR(__xludf.DUMMYFUNCTION("""COMPUTED_VALUE"""),"Yes")</f>
        <v>Yes</v>
      </c>
      <c r="M679" s="1" t="str">
        <f>IFERROR(__xludf.DUMMYFUNCTION("""COMPUTED_VALUE"""),"Already done ")</f>
        <v>Already done </v>
      </c>
      <c r="N679" s="1" t="str">
        <f>IFERROR(__xludf.DUMMYFUNCTION("""COMPUTED_VALUE"""),"Not use")</f>
        <v>Not use</v>
      </c>
      <c r="O679" s="1" t="str">
        <f>IFERROR(__xludf.DUMMYFUNCTION("""COMPUTED_VALUE"""),"WA ONLY, CALL")</f>
        <v>WA ONLY, CALL</v>
      </c>
      <c r="P679" s="1" t="str">
        <f>IFERROR(__xludf.DUMMYFUNCTION("""COMPUTED_VALUE"""),"Sir")</f>
        <v>Sir</v>
      </c>
      <c r="Q679" s="1" t="str">
        <f>IFERROR(__xludf.DUMMYFUNCTION("""COMPUTED_VALUE"""),"No")</f>
        <v>No</v>
      </c>
      <c r="R679" s="1" t="str">
        <f>IFERROR(__xludf.DUMMYFUNCTION("""COMPUTED_VALUE"""),"OLD")</f>
        <v>OLD</v>
      </c>
      <c r="S679" s="1"/>
    </row>
    <row r="680">
      <c r="A680" s="2">
        <f>IFERROR(__xludf.DUMMYFUNCTION("""COMPUTED_VALUE"""),45563.80349086806)</f>
        <v>45563.80349</v>
      </c>
      <c r="B680" s="1" t="str">
        <f>IFERROR(__xludf.DUMMYFUNCTION("""COMPUTED_VALUE"""),"Setu agarwal ")</f>
        <v>Setu agarwal </v>
      </c>
      <c r="C680" s="1">
        <f>IFERROR(__xludf.DUMMYFUNCTION("""COMPUTED_VALUE"""),9.911958928E9)</f>
        <v>9911958928</v>
      </c>
      <c r="D680" s="1">
        <f>IFERROR(__xludf.DUMMYFUNCTION("""COMPUTED_VALUE"""),2.0)</f>
        <v>2</v>
      </c>
      <c r="E680" s="3">
        <f>IFERROR(__xludf.DUMMYFUNCTION("""COMPUTED_VALUE"""),0.6583333333328483)</f>
        <v>0.6583333333</v>
      </c>
      <c r="F680" s="1" t="str">
        <f>IFERROR(__xludf.DUMMYFUNCTION("""COMPUTED_VALUE"""),"Diamond")</f>
        <v>Diamond</v>
      </c>
      <c r="G680" s="1" t="str">
        <f>IFERROR(__xludf.DUMMYFUNCTION("""COMPUTED_VALUE"""),"Preeti")</f>
        <v>Preeti</v>
      </c>
      <c r="H680" s="1" t="str">
        <f>IFERROR(__xludf.DUMMYFUNCTION("""COMPUTED_VALUE"""),"Give og,received order diamond bangle,diamond breslet")</f>
        <v>Give og,received order diamond bangle,diamond breslet</v>
      </c>
      <c r="I680" s="1"/>
      <c r="J680" s="1"/>
      <c r="K680" s="3">
        <f>IFERROR(__xludf.DUMMYFUNCTION("""COMPUTED_VALUE"""),0.7513888888934162)</f>
        <v>0.7513888889</v>
      </c>
      <c r="L680" s="1" t="str">
        <f>IFERROR(__xludf.DUMMYFUNCTION("""COMPUTED_VALUE"""),"Yes")</f>
        <v>Yes</v>
      </c>
      <c r="M680" s="1" t="str">
        <f>IFERROR(__xludf.DUMMYFUNCTION("""COMPUTED_VALUE"""),"Already done ")</f>
        <v>Already done </v>
      </c>
      <c r="N680" s="1" t="str">
        <f>IFERROR(__xludf.DUMMYFUNCTION("""COMPUTED_VALUE"""),"Already done ")</f>
        <v>Already done </v>
      </c>
      <c r="O680" s="1" t="str">
        <f>IFERROR(__xludf.DUMMYFUNCTION("""COMPUTED_VALUE"""),"WA ONLY, CALL")</f>
        <v>WA ONLY, CALL</v>
      </c>
      <c r="P680" s="1" t="str">
        <f>IFERROR(__xludf.DUMMYFUNCTION("""COMPUTED_VALUE"""),"Madam")</f>
        <v>Madam</v>
      </c>
      <c r="Q680" s="1" t="str">
        <f>IFERROR(__xludf.DUMMYFUNCTION("""COMPUTED_VALUE"""),"No")</f>
        <v>No</v>
      </c>
      <c r="R680" s="1" t="str">
        <f>IFERROR(__xludf.DUMMYFUNCTION("""COMPUTED_VALUE"""),"OLD")</f>
        <v>OLD</v>
      </c>
      <c r="S680" s="1"/>
    </row>
    <row r="681">
      <c r="A681" s="2">
        <f>IFERROR(__xludf.DUMMYFUNCTION("""COMPUTED_VALUE"""),45563.80466576389)</f>
        <v>45563.80467</v>
      </c>
      <c r="B681" s="1" t="str">
        <f>IFERROR(__xludf.DUMMYFUNCTION("""COMPUTED_VALUE"""),"Bina rawal")</f>
        <v>Bina rawal</v>
      </c>
      <c r="C681" s="1">
        <f>IFERROR(__xludf.DUMMYFUNCTION("""COMPUTED_VALUE"""),8.800939462E9)</f>
        <v>8800939462</v>
      </c>
      <c r="D681" s="1">
        <f>IFERROR(__xludf.DUMMYFUNCTION("""COMPUTED_VALUE"""),2.0)</f>
        <v>2</v>
      </c>
      <c r="E681" s="3">
        <f>IFERROR(__xludf.DUMMYFUNCTION("""COMPUTED_VALUE"""),0.6666666666642413)</f>
        <v>0.6666666667</v>
      </c>
      <c r="F681" s="1" t="str">
        <f>IFERROR(__xludf.DUMMYFUNCTION("""COMPUTED_VALUE"""),"Antique Gold")</f>
        <v>Antique Gold</v>
      </c>
      <c r="G681" s="1" t="str">
        <f>IFERROR(__xludf.DUMMYFUNCTION("""COMPUTED_VALUE"""),"Pooja")</f>
        <v>Pooja</v>
      </c>
      <c r="H681" s="1" t="str">
        <f>IFERROR(__xludf.DUMMYFUNCTION("""COMPUTED_VALUE"""),"2 pair polki tops,1 diamond breslet ")</f>
        <v>2 pair polki tops,1 diamond breslet </v>
      </c>
      <c r="I681" s="1"/>
      <c r="J681" s="1"/>
      <c r="K681" s="3">
        <f>IFERROR(__xludf.DUMMYFUNCTION("""COMPUTED_VALUE"""),0.7951388888905058)</f>
        <v>0.7951388889</v>
      </c>
      <c r="L681" s="1" t="str">
        <f>IFERROR(__xludf.DUMMYFUNCTION("""COMPUTED_VALUE"""),"Yes")</f>
        <v>Yes</v>
      </c>
      <c r="M681" s="1" t="str">
        <f>IFERROR(__xludf.DUMMYFUNCTION("""COMPUTED_VALUE"""),"Already done ")</f>
        <v>Already done </v>
      </c>
      <c r="N681" s="1" t="str">
        <f>IFERROR(__xludf.DUMMYFUNCTION("""COMPUTED_VALUE"""),"Already done ")</f>
        <v>Already done </v>
      </c>
      <c r="O681" s="1" t="str">
        <f>IFERROR(__xludf.DUMMYFUNCTION("""COMPUTED_VALUE"""),"WA ONLY, CALL")</f>
        <v>WA ONLY, CALL</v>
      </c>
      <c r="P681" s="1" t="str">
        <f>IFERROR(__xludf.DUMMYFUNCTION("""COMPUTED_VALUE"""),"Madam")</f>
        <v>Madam</v>
      </c>
      <c r="Q681" s="1" t="str">
        <f>IFERROR(__xludf.DUMMYFUNCTION("""COMPUTED_VALUE"""),"No")</f>
        <v>No</v>
      </c>
      <c r="R681" s="1" t="str">
        <f>IFERROR(__xludf.DUMMYFUNCTION("""COMPUTED_VALUE"""),"OLD")</f>
        <v>OLD</v>
      </c>
      <c r="S681" s="1"/>
    </row>
    <row r="682">
      <c r="A682" s="2">
        <f>IFERROR(__xludf.DUMMYFUNCTION("""COMPUTED_VALUE"""),45563.83054836806)</f>
        <v>45563.83055</v>
      </c>
      <c r="B682" s="1" t="str">
        <f>IFERROR(__xludf.DUMMYFUNCTION("""COMPUTED_VALUE"""),"Anjana")</f>
        <v>Anjana</v>
      </c>
      <c r="C682" s="1">
        <f>IFERROR(__xludf.DUMMYFUNCTION("""COMPUTED_VALUE"""),9.811451013E9)</f>
        <v>9811451013</v>
      </c>
      <c r="D682" s="1">
        <f>IFERROR(__xludf.DUMMYFUNCTION("""COMPUTED_VALUE"""),4.0)</f>
        <v>4</v>
      </c>
      <c r="E682" s="3">
        <f>IFERROR(__xludf.DUMMYFUNCTION("""COMPUTED_VALUE"""),0.6597222222189885)</f>
        <v>0.6597222222</v>
      </c>
      <c r="F682" s="1" t="str">
        <f>IFERROR(__xludf.DUMMYFUNCTION("""COMPUTED_VALUE"""),"Diamond")</f>
        <v>Diamond</v>
      </c>
      <c r="G682" s="1" t="str">
        <f>IFERROR(__xludf.DUMMYFUNCTION("""COMPUTED_VALUE"""),"Preeti")</f>
        <v>Preeti</v>
      </c>
      <c r="H682" s="1"/>
      <c r="I682" s="1" t="str">
        <f>IFERROR(__xludf.DUMMYFUNCTION("""COMPUTED_VALUE"""),"Will ask family and come with them")</f>
        <v>Will ask family and come with them</v>
      </c>
      <c r="J682" s="1"/>
      <c r="K682" s="3">
        <f>IFERROR(__xludf.DUMMYFUNCTION("""COMPUTED_VALUE"""),0.8229166666642413)</f>
        <v>0.8229166667</v>
      </c>
      <c r="L682" s="1" t="str">
        <f>IFERROR(__xludf.DUMMYFUNCTION("""COMPUTED_VALUE"""),"Yes")</f>
        <v>Yes</v>
      </c>
      <c r="M682" s="1" t="str">
        <f>IFERROR(__xludf.DUMMYFUNCTION("""COMPUTED_VALUE"""),"Already done ")</f>
        <v>Already done </v>
      </c>
      <c r="N682" s="1" t="str">
        <f>IFERROR(__xludf.DUMMYFUNCTION("""COMPUTED_VALUE"""),"Already done ")</f>
        <v>Already done </v>
      </c>
      <c r="O682" s="1" t="str">
        <f>IFERROR(__xludf.DUMMYFUNCTION("""COMPUTED_VALUE"""),"WA ONLY, CALL")</f>
        <v>WA ONLY, CALL</v>
      </c>
      <c r="P682" s="1" t="str">
        <f>IFERROR(__xludf.DUMMYFUNCTION("""COMPUTED_VALUE"""),"Madam")</f>
        <v>Madam</v>
      </c>
      <c r="Q682" s="1" t="str">
        <f>IFERROR(__xludf.DUMMYFUNCTION("""COMPUTED_VALUE"""),"No")</f>
        <v>No</v>
      </c>
      <c r="R682" s="1" t="str">
        <f>IFERROR(__xludf.DUMMYFUNCTION("""COMPUTED_VALUE"""),"OLD")</f>
        <v>OLD</v>
      </c>
      <c r="S682" s="1"/>
    </row>
    <row r="683">
      <c r="A683" s="2">
        <f>IFERROR(__xludf.DUMMYFUNCTION("""COMPUTED_VALUE"""),45564.66987442129)</f>
        <v>45564.66987</v>
      </c>
      <c r="B683" s="1" t="str">
        <f>IFERROR(__xludf.DUMMYFUNCTION("""COMPUTED_VALUE"""),"Jaspreet")</f>
        <v>Jaspreet</v>
      </c>
      <c r="C683" s="1">
        <f>IFERROR(__xludf.DUMMYFUNCTION("""COMPUTED_VALUE"""),9.81037529E9)</f>
        <v>9810375290</v>
      </c>
      <c r="D683" s="1">
        <f>IFERROR(__xludf.DUMMYFUNCTION("""COMPUTED_VALUE"""),5.0)</f>
        <v>5</v>
      </c>
      <c r="E683" s="3">
        <f>IFERROR(__xludf.DUMMYFUNCTION("""COMPUTED_VALUE"""),0.8180555555591127)</f>
        <v>0.8180555556</v>
      </c>
      <c r="F683" s="1" t="str">
        <f>IFERROR(__xludf.DUMMYFUNCTION("""COMPUTED_VALUE"""),"Plain Gold")</f>
        <v>Plain Gold</v>
      </c>
      <c r="G683" s="1" t="str">
        <f>IFERROR(__xludf.DUMMYFUNCTION("""COMPUTED_VALUE"""),"Pooja")</f>
        <v>Pooja</v>
      </c>
      <c r="H683" s="1" t="str">
        <f>IFERROR(__xludf.DUMMYFUNCTION("""COMPUTED_VALUE"""),"2 gold bangles in order,1 chain ")</f>
        <v>2 gold bangles in order,1 chain </v>
      </c>
      <c r="I683" s="1"/>
      <c r="J683" s="1"/>
      <c r="K683" s="3">
        <f>IFERROR(__xludf.DUMMYFUNCTION("""COMPUTED_VALUE"""),0.6319444444452529)</f>
        <v>0.6319444444</v>
      </c>
      <c r="L683" s="1" t="str">
        <f>IFERROR(__xludf.DUMMYFUNCTION("""COMPUTED_VALUE"""),"Yes")</f>
        <v>Yes</v>
      </c>
      <c r="M683" s="1" t="str">
        <f>IFERROR(__xludf.DUMMYFUNCTION("""COMPUTED_VALUE"""),"Already done ")</f>
        <v>Already done </v>
      </c>
      <c r="N683" s="1" t="str">
        <f>IFERROR(__xludf.DUMMYFUNCTION("""COMPUTED_VALUE"""),"Already done ")</f>
        <v>Already done </v>
      </c>
      <c r="O683" s="1" t="str">
        <f>IFERROR(__xludf.DUMMYFUNCTION("""COMPUTED_VALUE"""),"WA ONLY, CALL")</f>
        <v>WA ONLY, CALL</v>
      </c>
      <c r="P683" s="1" t="str">
        <f>IFERROR(__xludf.DUMMYFUNCTION("""COMPUTED_VALUE"""),"Sir")</f>
        <v>Sir</v>
      </c>
      <c r="Q683" s="1" t="str">
        <f>IFERROR(__xludf.DUMMYFUNCTION("""COMPUTED_VALUE"""),"No")</f>
        <v>No</v>
      </c>
      <c r="R683" s="1" t="str">
        <f>IFERROR(__xludf.DUMMYFUNCTION("""COMPUTED_VALUE"""),"OLD")</f>
        <v>OLD</v>
      </c>
      <c r="S683" s="1"/>
    </row>
    <row r="684">
      <c r="A684" s="2">
        <f>IFERROR(__xludf.DUMMYFUNCTION("""COMPUTED_VALUE"""),45564.671296342596)</f>
        <v>45564.6713</v>
      </c>
      <c r="B684" s="1" t="str">
        <f>IFERROR(__xludf.DUMMYFUNCTION("""COMPUTED_VALUE"""),"Upendra ")</f>
        <v>Upendra </v>
      </c>
      <c r="C684" s="1">
        <f>IFERROR(__xludf.DUMMYFUNCTION("""COMPUTED_VALUE"""),9.555184701E9)</f>
        <v>9555184701</v>
      </c>
      <c r="D684" s="1">
        <f>IFERROR(__xludf.DUMMYFUNCTION("""COMPUTED_VALUE"""),2.0)</f>
        <v>2</v>
      </c>
      <c r="E684" s="3">
        <f>IFERROR(__xludf.DUMMYFUNCTION("""COMPUTED_VALUE"""),0.5833333333357587)</f>
        <v>0.5833333333</v>
      </c>
      <c r="F684" s="1" t="str">
        <f>IFERROR(__xludf.DUMMYFUNCTION("""COMPUTED_VALUE"""),"Plain Gold")</f>
        <v>Plain Gold</v>
      </c>
      <c r="G684" s="1" t="str">
        <f>IFERROR(__xludf.DUMMYFUNCTION("""COMPUTED_VALUE"""),"Bala")</f>
        <v>Bala</v>
      </c>
      <c r="H684" s="1" t="str">
        <f>IFERROR(__xludf.DUMMYFUNCTION("""COMPUTED_VALUE"""),"Gold manglsutr ")</f>
        <v>Gold manglsutr </v>
      </c>
      <c r="I684" s="1"/>
      <c r="J684" s="1"/>
      <c r="K684" s="3">
        <f>IFERROR(__xludf.DUMMYFUNCTION("""COMPUTED_VALUE"""),0.6319444444452529)</f>
        <v>0.6319444444</v>
      </c>
      <c r="L684" s="1" t="str">
        <f>IFERROR(__xludf.DUMMYFUNCTION("""COMPUTED_VALUE"""),"Yes")</f>
        <v>Yes</v>
      </c>
      <c r="M684" s="1" t="str">
        <f>IFERROR(__xludf.DUMMYFUNCTION("""COMPUTED_VALUE"""),"Already done ")</f>
        <v>Already done </v>
      </c>
      <c r="N684" s="1" t="str">
        <f>IFERROR(__xludf.DUMMYFUNCTION("""COMPUTED_VALUE"""),"Not use")</f>
        <v>Not use</v>
      </c>
      <c r="O684" s="1" t="str">
        <f>IFERROR(__xludf.DUMMYFUNCTION("""COMPUTED_VALUE"""),"WA ONLY, CALL")</f>
        <v>WA ONLY, CALL</v>
      </c>
      <c r="P684" s="1" t="str">
        <f>IFERROR(__xludf.DUMMYFUNCTION("""COMPUTED_VALUE"""),"Sir")</f>
        <v>Sir</v>
      </c>
      <c r="Q684" s="1" t="str">
        <f>IFERROR(__xludf.DUMMYFUNCTION("""COMPUTED_VALUE"""),"No")</f>
        <v>No</v>
      </c>
      <c r="R684" s="1" t="str">
        <f>IFERROR(__xludf.DUMMYFUNCTION("""COMPUTED_VALUE"""),"OLD")</f>
        <v>OLD</v>
      </c>
      <c r="S684" s="1"/>
    </row>
    <row r="685">
      <c r="A685" s="2">
        <f>IFERROR(__xludf.DUMMYFUNCTION("""COMPUTED_VALUE"""),45564.7741581713)</f>
        <v>45564.77416</v>
      </c>
      <c r="B685" s="1" t="str">
        <f>IFERROR(__xludf.DUMMYFUNCTION("""COMPUTED_VALUE"""),"Aksnsha")</f>
        <v>Aksnsha</v>
      </c>
      <c r="C685" s="1">
        <f>IFERROR(__xludf.DUMMYFUNCTION("""COMPUTED_VALUE"""),7.303158154E9)</f>
        <v>7303158154</v>
      </c>
      <c r="D685" s="1">
        <f>IFERROR(__xludf.DUMMYFUNCTION("""COMPUTED_VALUE"""),2.0)</f>
        <v>2</v>
      </c>
      <c r="E685" s="3">
        <f>IFERROR(__xludf.DUMMYFUNCTION("""COMPUTED_VALUE"""),0.65625)</f>
        <v>0.65625</v>
      </c>
      <c r="F685" s="1" t="str">
        <f>IFERROR(__xludf.DUMMYFUNCTION("""COMPUTED_VALUE"""),"Diamond")</f>
        <v>Diamond</v>
      </c>
      <c r="G685" s="1" t="str">
        <f>IFERROR(__xludf.DUMMYFUNCTION("""COMPUTED_VALUE"""),"Bala")</f>
        <v>Bala</v>
      </c>
      <c r="H685" s="1"/>
      <c r="I685" s="1" t="str">
        <f>IFERROR(__xludf.DUMMYFUNCTION("""COMPUTED_VALUE"""),"Will ask family and come with them")</f>
        <v>Will ask family and come with them</v>
      </c>
      <c r="J685" s="1"/>
      <c r="K685" s="3">
        <f>IFERROR(__xludf.DUMMYFUNCTION("""COMPUTED_VALUE"""),0.7013888888905058)</f>
        <v>0.7013888889</v>
      </c>
      <c r="L685" s="1" t="str">
        <f>IFERROR(__xludf.DUMMYFUNCTION("""COMPUTED_VALUE"""),"Yes")</f>
        <v>Yes</v>
      </c>
      <c r="M685" s="1" t="str">
        <f>IFERROR(__xludf.DUMMYFUNCTION("""COMPUTED_VALUE"""),"Already done ")</f>
        <v>Already done </v>
      </c>
      <c r="N685" s="1" t="str">
        <f>IFERROR(__xludf.DUMMYFUNCTION("""COMPUTED_VALUE"""),"Already done ")</f>
        <v>Already done </v>
      </c>
      <c r="O685" s="1" t="str">
        <f>IFERROR(__xludf.DUMMYFUNCTION("""COMPUTED_VALUE"""),"WA ONLY, CALL")</f>
        <v>WA ONLY, CALL</v>
      </c>
      <c r="P685" s="1" t="str">
        <f>IFERROR(__xludf.DUMMYFUNCTION("""COMPUTED_VALUE"""),"Madam")</f>
        <v>Madam</v>
      </c>
      <c r="Q685" s="1" t="str">
        <f>IFERROR(__xludf.DUMMYFUNCTION("""COMPUTED_VALUE"""),"No")</f>
        <v>No</v>
      </c>
      <c r="R685" s="1" t="str">
        <f>IFERROR(__xludf.DUMMYFUNCTION("""COMPUTED_VALUE"""),"OLD")</f>
        <v>OLD</v>
      </c>
      <c r="S685" s="1"/>
    </row>
    <row r="686">
      <c r="A686" s="2">
        <f>IFERROR(__xludf.DUMMYFUNCTION("""COMPUTED_VALUE"""),45564.77518152777)</f>
        <v>45564.77518</v>
      </c>
      <c r="B686" s="1" t="str">
        <f>IFERROR(__xludf.DUMMYFUNCTION("""COMPUTED_VALUE"""),"Eram naaz")</f>
        <v>Eram naaz</v>
      </c>
      <c r="C686" s="1">
        <f>IFERROR(__xludf.DUMMYFUNCTION("""COMPUTED_VALUE"""),9.582724231E9)</f>
        <v>9582724231</v>
      </c>
      <c r="D686" s="1">
        <f>IFERROR(__xludf.DUMMYFUNCTION("""COMPUTED_VALUE"""),2.0)</f>
        <v>2</v>
      </c>
      <c r="E686" s="3">
        <f>IFERROR(__xludf.DUMMYFUNCTION("""COMPUTED_VALUE"""),0.7083333333357587)</f>
        <v>0.7083333333</v>
      </c>
      <c r="F686" s="1" t="str">
        <f>IFERROR(__xludf.DUMMYFUNCTION("""COMPUTED_VALUE"""),"Diamond")</f>
        <v>Diamond</v>
      </c>
      <c r="G686" s="1" t="str">
        <f>IFERROR(__xludf.DUMMYFUNCTION("""COMPUTED_VALUE"""),"Pooja")</f>
        <v>Pooja</v>
      </c>
      <c r="H686" s="1" t="str">
        <f>IFERROR(__xludf.DUMMYFUNCTION("""COMPUTED_VALUE"""),"Tops order ")</f>
        <v>Tops order </v>
      </c>
      <c r="I686" s="1"/>
      <c r="J686" s="1"/>
      <c r="K686" s="3">
        <f>IFERROR(__xludf.DUMMYFUNCTION("""COMPUTED_VALUE"""),0.75)</f>
        <v>0.75</v>
      </c>
      <c r="L686" s="1" t="str">
        <f>IFERROR(__xludf.DUMMYFUNCTION("""COMPUTED_VALUE"""),"No")</f>
        <v>No</v>
      </c>
      <c r="M686" s="1" t="str">
        <f>IFERROR(__xludf.DUMMYFUNCTION("""COMPUTED_VALUE"""),"No")</f>
        <v>No</v>
      </c>
      <c r="N686" s="1" t="str">
        <f>IFERROR(__xludf.DUMMYFUNCTION("""COMPUTED_VALUE"""),"No")</f>
        <v>No</v>
      </c>
      <c r="O686" s="1" t="str">
        <f>IFERROR(__xludf.DUMMYFUNCTION("""COMPUTED_VALUE"""),"WA ONLY, CALL")</f>
        <v>WA ONLY, CALL</v>
      </c>
      <c r="P686" s="1" t="str">
        <f>IFERROR(__xludf.DUMMYFUNCTION("""COMPUTED_VALUE"""),"Madam")</f>
        <v>Madam</v>
      </c>
      <c r="Q686" s="1" t="str">
        <f>IFERROR(__xludf.DUMMYFUNCTION("""COMPUTED_VALUE"""),"No")</f>
        <v>No</v>
      </c>
      <c r="R686" s="1" t="str">
        <f>IFERROR(__xludf.DUMMYFUNCTION("""COMPUTED_VALUE"""),"NEW WALK IN")</f>
        <v>NEW WALK IN</v>
      </c>
      <c r="S686" s="1"/>
    </row>
    <row r="687">
      <c r="A687" s="2">
        <f>IFERROR(__xludf.DUMMYFUNCTION("""COMPUTED_VALUE"""),45564.775972337964)</f>
        <v>45564.77597</v>
      </c>
      <c r="B687" s="1" t="str">
        <f>IFERROR(__xludf.DUMMYFUNCTION("""COMPUTED_VALUE"""),"Monika")</f>
        <v>Monika</v>
      </c>
      <c r="C687" s="1">
        <f>IFERROR(__xludf.DUMMYFUNCTION("""COMPUTED_VALUE"""),8.588956935E9)</f>
        <v>8588956935</v>
      </c>
      <c r="D687" s="1">
        <f>IFERROR(__xludf.DUMMYFUNCTION("""COMPUTED_VALUE"""),3.0)</f>
        <v>3</v>
      </c>
      <c r="E687" s="3">
        <f>IFERROR(__xludf.DUMMYFUNCTION("""COMPUTED_VALUE"""),0.7152777777810115)</f>
        <v>0.7152777778</v>
      </c>
      <c r="F687" s="1" t="str">
        <f>IFERROR(__xludf.DUMMYFUNCTION("""COMPUTED_VALUE"""),"Antique Gold")</f>
        <v>Antique Gold</v>
      </c>
      <c r="G687" s="1" t="str">
        <f>IFERROR(__xludf.DUMMYFUNCTION("""COMPUTED_VALUE"""),"Preeti")</f>
        <v>Preeti</v>
      </c>
      <c r="H687" s="1"/>
      <c r="I687" s="1" t="str">
        <f>IFERROR(__xludf.DUMMYFUNCTION("""COMPUTED_VALUE"""),"Will ask family and come with them")</f>
        <v>Will ask family and come with them</v>
      </c>
      <c r="J687" s="1"/>
      <c r="K687" s="3">
        <f>IFERROR(__xludf.DUMMYFUNCTION("""COMPUTED_VALUE"""),0.7708333333357587)</f>
        <v>0.7708333333</v>
      </c>
      <c r="L687" s="1" t="str">
        <f>IFERROR(__xludf.DUMMYFUNCTION("""COMPUTED_VALUE"""),"No")</f>
        <v>No</v>
      </c>
      <c r="M687" s="1" t="str">
        <f>IFERROR(__xludf.DUMMYFUNCTION("""COMPUTED_VALUE"""),"No")</f>
        <v>No</v>
      </c>
      <c r="N687" s="1" t="str">
        <f>IFERROR(__xludf.DUMMYFUNCTION("""COMPUTED_VALUE"""),"No")</f>
        <v>No</v>
      </c>
      <c r="O687" s="1" t="str">
        <f>IFERROR(__xludf.DUMMYFUNCTION("""COMPUTED_VALUE"""),"WA ONLY, CALL")</f>
        <v>WA ONLY, CALL</v>
      </c>
      <c r="P687" s="1" t="str">
        <f>IFERROR(__xludf.DUMMYFUNCTION("""COMPUTED_VALUE"""),"Madam")</f>
        <v>Madam</v>
      </c>
      <c r="Q687" s="1" t="str">
        <f>IFERROR(__xludf.DUMMYFUNCTION("""COMPUTED_VALUE"""),"No")</f>
        <v>No</v>
      </c>
      <c r="R687" s="1" t="str">
        <f>IFERROR(__xludf.DUMMYFUNCTION("""COMPUTED_VALUE"""),"NEW WALK IN")</f>
        <v>NEW WALK IN</v>
      </c>
      <c r="S687" s="1"/>
    </row>
    <row r="688">
      <c r="A688" s="2">
        <f>IFERROR(__xludf.DUMMYFUNCTION("""COMPUTED_VALUE"""),45564.77718806713)</f>
        <v>45564.77719</v>
      </c>
      <c r="B688" s="1" t="str">
        <f>IFERROR(__xludf.DUMMYFUNCTION("""COMPUTED_VALUE"""),"Zaved hussein ")</f>
        <v>Zaved hussein </v>
      </c>
      <c r="C688" s="1">
        <f>IFERROR(__xludf.DUMMYFUNCTION("""COMPUTED_VALUE"""),9.971744837E9)</f>
        <v>9971744837</v>
      </c>
      <c r="D688" s="1">
        <f>IFERROR(__xludf.DUMMYFUNCTION("""COMPUTED_VALUE"""),2.0)</f>
        <v>2</v>
      </c>
      <c r="E688" s="3">
        <f>IFERROR(__xludf.DUMMYFUNCTION("""COMPUTED_VALUE"""),0.7513888888934162)</f>
        <v>0.7513888889</v>
      </c>
      <c r="F688" s="1" t="str">
        <f>IFERROR(__xludf.DUMMYFUNCTION("""COMPUTED_VALUE"""),"Plain Gold")</f>
        <v>Plain Gold</v>
      </c>
      <c r="G688" s="1" t="str">
        <f>IFERROR(__xludf.DUMMYFUNCTION("""COMPUTED_VALUE"""),"Bala")</f>
        <v>Bala</v>
      </c>
      <c r="H688" s="1" t="str">
        <f>IFERROR(__xludf.DUMMYFUNCTION("""COMPUTED_VALUE"""),"Gold nose pin")</f>
        <v>Gold nose pin</v>
      </c>
      <c r="I688" s="1"/>
      <c r="J688" s="1"/>
      <c r="K688" s="3">
        <f>IFERROR(__xludf.DUMMYFUNCTION("""COMPUTED_VALUE"""),0.7729166666686069)</f>
        <v>0.7729166667</v>
      </c>
      <c r="L688" s="1" t="str">
        <f>IFERROR(__xludf.DUMMYFUNCTION("""COMPUTED_VALUE"""),"No")</f>
        <v>No</v>
      </c>
      <c r="M688" s="1" t="str">
        <f>IFERROR(__xludf.DUMMYFUNCTION("""COMPUTED_VALUE"""),"Yes")</f>
        <v>Yes</v>
      </c>
      <c r="N688" s="1" t="str">
        <f>IFERROR(__xludf.DUMMYFUNCTION("""COMPUTED_VALUE"""),"Yes")</f>
        <v>Yes</v>
      </c>
      <c r="O688" s="1" t="str">
        <f>IFERROR(__xludf.DUMMYFUNCTION("""COMPUTED_VALUE"""),"WA ONLY, CALL")</f>
        <v>WA ONLY, CALL</v>
      </c>
      <c r="P688" s="1" t="str">
        <f>IFERROR(__xludf.DUMMYFUNCTION("""COMPUTED_VALUE"""),"Sir")</f>
        <v>Sir</v>
      </c>
      <c r="Q688" s="1" t="str">
        <f>IFERROR(__xludf.DUMMYFUNCTION("""COMPUTED_VALUE"""),"No")</f>
        <v>No</v>
      </c>
      <c r="R688" s="1" t="str">
        <f>IFERROR(__xludf.DUMMYFUNCTION("""COMPUTED_VALUE"""),"NEW WALK IN")</f>
        <v>NEW WALK IN</v>
      </c>
      <c r="S688" s="1"/>
    </row>
    <row r="689">
      <c r="A689" s="2">
        <f>IFERROR(__xludf.DUMMYFUNCTION("""COMPUTED_VALUE"""),45564.78823824074)</f>
        <v>45564.78824</v>
      </c>
      <c r="B689" s="1" t="str">
        <f>IFERROR(__xludf.DUMMYFUNCTION("""COMPUTED_VALUE"""),"Z.tech constrshou")</f>
        <v>Z.tech constrshou</v>
      </c>
      <c r="C689" s="1">
        <f>IFERROR(__xludf.DUMMYFUNCTION("""COMPUTED_VALUE"""),9.811575861E9)</f>
        <v>9811575861</v>
      </c>
      <c r="D689" s="1">
        <f>IFERROR(__xludf.DUMMYFUNCTION("""COMPUTED_VALUE"""),2.0)</f>
        <v>2</v>
      </c>
      <c r="E689" s="3">
        <f>IFERROR(__xludf.DUMMYFUNCTION("""COMPUTED_VALUE"""),0.7152777777810115)</f>
        <v>0.7152777778</v>
      </c>
      <c r="F689" s="1" t="str">
        <f>IFERROR(__xludf.DUMMYFUNCTION("""COMPUTED_VALUE"""),"Diamond")</f>
        <v>Diamond</v>
      </c>
      <c r="G689" s="1" t="str">
        <f>IFERROR(__xludf.DUMMYFUNCTION("""COMPUTED_VALUE"""),"Tannu")</f>
        <v>Tannu</v>
      </c>
      <c r="H689" s="1" t="str">
        <f>IFERROR(__xludf.DUMMYFUNCTION("""COMPUTED_VALUE"""),"1 gents diamond ring")</f>
        <v>1 gents diamond ring</v>
      </c>
      <c r="I689" s="1"/>
      <c r="J689" s="1"/>
      <c r="K689" s="3">
        <f>IFERROR(__xludf.DUMMYFUNCTION("""COMPUTED_VALUE"""),0.7881944444452529)</f>
        <v>0.7881944444</v>
      </c>
      <c r="L689" s="1" t="str">
        <f>IFERROR(__xludf.DUMMYFUNCTION("""COMPUTED_VALUE"""),"Yes")</f>
        <v>Yes</v>
      </c>
      <c r="M689" s="1" t="str">
        <f>IFERROR(__xludf.DUMMYFUNCTION("""COMPUTED_VALUE"""),"Already done ")</f>
        <v>Already done </v>
      </c>
      <c r="N689" s="1" t="str">
        <f>IFERROR(__xludf.DUMMYFUNCTION("""COMPUTED_VALUE"""),"Already done ")</f>
        <v>Already done </v>
      </c>
      <c r="O689" s="1" t="str">
        <f>IFERROR(__xludf.DUMMYFUNCTION("""COMPUTED_VALUE"""),"WA ONLY, CALL")</f>
        <v>WA ONLY, CALL</v>
      </c>
      <c r="P689" s="1" t="str">
        <f>IFERROR(__xludf.DUMMYFUNCTION("""COMPUTED_VALUE"""),"Sir")</f>
        <v>Sir</v>
      </c>
      <c r="Q689" s="1" t="str">
        <f>IFERROR(__xludf.DUMMYFUNCTION("""COMPUTED_VALUE"""),"No")</f>
        <v>No</v>
      </c>
      <c r="R689" s="1" t="str">
        <f>IFERROR(__xludf.DUMMYFUNCTION("""COMPUTED_VALUE"""),"OLD")</f>
        <v>OLD</v>
      </c>
      <c r="S689" s="1"/>
    </row>
    <row r="690">
      <c r="A690" s="2">
        <f>IFERROR(__xludf.DUMMYFUNCTION("""COMPUTED_VALUE"""),45568.767374999996)</f>
        <v>45568.76738</v>
      </c>
      <c r="B690" s="1" t="str">
        <f>IFERROR(__xludf.DUMMYFUNCTION("""COMPUTED_VALUE"""),"Neha")</f>
        <v>Neha</v>
      </c>
      <c r="C690" s="1">
        <f>IFERROR(__xludf.DUMMYFUNCTION("""COMPUTED_VALUE"""),9.098649418E9)</f>
        <v>9098649418</v>
      </c>
      <c r="D690" s="1">
        <f>IFERROR(__xludf.DUMMYFUNCTION("""COMPUTED_VALUE"""),2.0)</f>
        <v>2</v>
      </c>
      <c r="E690" s="3">
        <f>IFERROR(__xludf.DUMMYFUNCTION("""COMPUTED_VALUE"""),0.5631944444467081)</f>
        <v>0.5631944444</v>
      </c>
      <c r="F690" s="1" t="str">
        <f>IFERROR(__xludf.DUMMYFUNCTION("""COMPUTED_VALUE"""),"Plain Gold")</f>
        <v>Plain Gold</v>
      </c>
      <c r="G690" s="1" t="str">
        <f>IFERROR(__xludf.DUMMYFUNCTION("""COMPUTED_VALUE"""),"Tannu")</f>
        <v>Tannu</v>
      </c>
      <c r="H690" s="1"/>
      <c r="I690" s="1" t="str">
        <f>IFERROR(__xludf.DUMMYFUNCTION("""COMPUTED_VALUE"""),"Want to see More Variety")</f>
        <v>Want to see More Variety</v>
      </c>
      <c r="J690" s="1"/>
      <c r="K690" s="3">
        <f>IFERROR(__xludf.DUMMYFUNCTION("""COMPUTED_VALUE"""),0.59375)</f>
        <v>0.59375</v>
      </c>
      <c r="L690" s="1" t="str">
        <f>IFERROR(__xludf.DUMMYFUNCTION("""COMPUTED_VALUE"""),"Yes")</f>
        <v>Yes</v>
      </c>
      <c r="M690" s="1" t="str">
        <f>IFERROR(__xludf.DUMMYFUNCTION("""COMPUTED_VALUE"""),"Already done ")</f>
        <v>Already done </v>
      </c>
      <c r="N690" s="1" t="str">
        <f>IFERROR(__xludf.DUMMYFUNCTION("""COMPUTED_VALUE"""),"Already done ")</f>
        <v>Already done </v>
      </c>
      <c r="O690" s="1" t="str">
        <f>IFERROR(__xludf.DUMMYFUNCTION("""COMPUTED_VALUE"""),"WA ONLY, CALL")</f>
        <v>WA ONLY, CALL</v>
      </c>
      <c r="P690" s="1" t="str">
        <f>IFERROR(__xludf.DUMMYFUNCTION("""COMPUTED_VALUE"""),"Madam")</f>
        <v>Madam</v>
      </c>
      <c r="Q690" s="1" t="str">
        <f>IFERROR(__xludf.DUMMYFUNCTION("""COMPUTED_VALUE"""),"No")</f>
        <v>No</v>
      </c>
      <c r="R690" s="1" t="str">
        <f>IFERROR(__xludf.DUMMYFUNCTION("""COMPUTED_VALUE"""),"OLD")</f>
        <v>OLD</v>
      </c>
      <c r="S690" s="1"/>
    </row>
    <row r="691">
      <c r="A691" s="2">
        <f>IFERROR(__xludf.DUMMYFUNCTION("""COMPUTED_VALUE"""),45568.76837361111)</f>
        <v>45568.76837</v>
      </c>
      <c r="B691" s="1" t="str">
        <f>IFERROR(__xludf.DUMMYFUNCTION("""COMPUTED_VALUE"""),"Ambika")</f>
        <v>Ambika</v>
      </c>
      <c r="C691" s="1">
        <f>IFERROR(__xludf.DUMMYFUNCTION("""COMPUTED_VALUE"""),9.810795882E9)</f>
        <v>9810795882</v>
      </c>
      <c r="D691" s="1">
        <f>IFERROR(__xludf.DUMMYFUNCTION("""COMPUTED_VALUE"""),2.0)</f>
        <v>2</v>
      </c>
      <c r="E691" s="3">
        <f>IFERROR(__xludf.DUMMYFUNCTION("""COMPUTED_VALUE"""),0.5972222222189885)</f>
        <v>0.5972222222</v>
      </c>
      <c r="F691" s="1" t="str">
        <f>IFERROR(__xludf.DUMMYFUNCTION("""COMPUTED_VALUE"""),"Diamond")</f>
        <v>Diamond</v>
      </c>
      <c r="G691" s="1" t="str">
        <f>IFERROR(__xludf.DUMMYFUNCTION("""COMPUTED_VALUE"""),"Preeti")</f>
        <v>Preeti</v>
      </c>
      <c r="H691" s="1" t="str">
        <f>IFERROR(__xludf.DUMMYFUNCTION("""COMPUTED_VALUE"""),"2 polki set,2 diamond breslet ")</f>
        <v>2 polki set,2 diamond breslet </v>
      </c>
      <c r="I691" s="1"/>
      <c r="J691" s="1"/>
      <c r="K691" s="3">
        <f>IFERROR(__xludf.DUMMYFUNCTION("""COMPUTED_VALUE"""),0.6680555555576575)</f>
        <v>0.6680555556</v>
      </c>
      <c r="L691" s="1" t="str">
        <f>IFERROR(__xludf.DUMMYFUNCTION("""COMPUTED_VALUE"""),"Yes")</f>
        <v>Yes</v>
      </c>
      <c r="M691" s="1" t="str">
        <f>IFERROR(__xludf.DUMMYFUNCTION("""COMPUTED_VALUE"""),"Already done ")</f>
        <v>Already done </v>
      </c>
      <c r="N691" s="1" t="str">
        <f>IFERROR(__xludf.DUMMYFUNCTION("""COMPUTED_VALUE"""),"Already done ")</f>
        <v>Already done </v>
      </c>
      <c r="O691" s="1" t="str">
        <f>IFERROR(__xludf.DUMMYFUNCTION("""COMPUTED_VALUE"""),"WA ONLY, CALL")</f>
        <v>WA ONLY, CALL</v>
      </c>
      <c r="P691" s="1" t="str">
        <f>IFERROR(__xludf.DUMMYFUNCTION("""COMPUTED_VALUE"""),"Madam")</f>
        <v>Madam</v>
      </c>
      <c r="Q691" s="1" t="str">
        <f>IFERROR(__xludf.DUMMYFUNCTION("""COMPUTED_VALUE"""),"No")</f>
        <v>No</v>
      </c>
      <c r="R691" s="1" t="str">
        <f>IFERROR(__xludf.DUMMYFUNCTION("""COMPUTED_VALUE"""),"OLD")</f>
        <v>OLD</v>
      </c>
      <c r="S691" s="1"/>
    </row>
    <row r="692">
      <c r="A692" s="2">
        <f>IFERROR(__xludf.DUMMYFUNCTION("""COMPUTED_VALUE"""),45568.769099363424)</f>
        <v>45568.7691</v>
      </c>
      <c r="B692" s="1" t="str">
        <f>IFERROR(__xludf.DUMMYFUNCTION("""COMPUTED_VALUE"""),"Priya")</f>
        <v>Priya</v>
      </c>
      <c r="C692" s="1">
        <f>IFERROR(__xludf.DUMMYFUNCTION("""COMPUTED_VALUE"""),8.278802684E9)</f>
        <v>8278802684</v>
      </c>
      <c r="D692" s="1">
        <f>IFERROR(__xludf.DUMMYFUNCTION("""COMPUTED_VALUE"""),2.0)</f>
        <v>2</v>
      </c>
      <c r="E692" s="3">
        <f>IFERROR(__xludf.DUMMYFUNCTION("""COMPUTED_VALUE"""),0.7222222222189885)</f>
        <v>0.7222222222</v>
      </c>
      <c r="F692" s="1" t="str">
        <f>IFERROR(__xludf.DUMMYFUNCTION("""COMPUTED_VALUE"""),"Antique Gold")</f>
        <v>Antique Gold</v>
      </c>
      <c r="G692" s="1" t="str">
        <f>IFERROR(__xludf.DUMMYFUNCTION("""COMPUTED_VALUE"""),"Deepali")</f>
        <v>Deepali</v>
      </c>
      <c r="H692" s="1"/>
      <c r="I692" s="1" t="str">
        <f>IFERROR(__xludf.DUMMYFUNCTION("""COMPUTED_VALUE"""),"Visit tomorrow ")</f>
        <v>Visit tomorrow </v>
      </c>
      <c r="J692" s="1"/>
      <c r="K692" s="3">
        <f>IFERROR(__xludf.DUMMYFUNCTION("""COMPUTED_VALUE"""),0.7548611111124046)</f>
        <v>0.7548611111</v>
      </c>
      <c r="L692" s="1" t="str">
        <f>IFERROR(__xludf.DUMMYFUNCTION("""COMPUTED_VALUE"""),"No")</f>
        <v>No</v>
      </c>
      <c r="M692" s="1" t="str">
        <f>IFERROR(__xludf.DUMMYFUNCTION("""COMPUTED_VALUE"""),"No")</f>
        <v>No</v>
      </c>
      <c r="N692" s="1" t="str">
        <f>IFERROR(__xludf.DUMMYFUNCTION("""COMPUTED_VALUE"""),"No")</f>
        <v>No</v>
      </c>
      <c r="O692" s="1" t="str">
        <f>IFERROR(__xludf.DUMMYFUNCTION("""COMPUTED_VALUE"""),"WA ONLY, CALL")</f>
        <v>WA ONLY, CALL</v>
      </c>
      <c r="P692" s="1" t="str">
        <f>IFERROR(__xludf.DUMMYFUNCTION("""COMPUTED_VALUE"""),"Madam")</f>
        <v>Madam</v>
      </c>
      <c r="Q692" s="1" t="str">
        <f>IFERROR(__xludf.DUMMYFUNCTION("""COMPUTED_VALUE"""),"No")</f>
        <v>No</v>
      </c>
      <c r="R692" s="1" t="str">
        <f>IFERROR(__xludf.DUMMYFUNCTION("""COMPUTED_VALUE"""),"OLD")</f>
        <v>OLD</v>
      </c>
      <c r="S692" s="1"/>
    </row>
    <row r="693">
      <c r="A693" s="2">
        <f>IFERROR(__xludf.DUMMYFUNCTION("""COMPUTED_VALUE"""),45568.769968368055)</f>
        <v>45568.76997</v>
      </c>
      <c r="B693" s="1" t="str">
        <f>IFERROR(__xludf.DUMMYFUNCTION("""COMPUTED_VALUE"""),"Dipti")</f>
        <v>Dipti</v>
      </c>
      <c r="C693" s="1">
        <f>IFERROR(__xludf.DUMMYFUNCTION("""COMPUTED_VALUE"""),9.818104462E9)</f>
        <v>9818104462</v>
      </c>
      <c r="D693" s="1">
        <f>IFERROR(__xludf.DUMMYFUNCTION("""COMPUTED_VALUE"""),2.0)</f>
        <v>2</v>
      </c>
      <c r="E693" s="3">
        <f>IFERROR(__xludf.DUMMYFUNCTION("""COMPUTED_VALUE"""),0.7083333333357587)</f>
        <v>0.7083333333</v>
      </c>
      <c r="F693" s="1" t="str">
        <f>IFERROR(__xludf.DUMMYFUNCTION("""COMPUTED_VALUE"""),"Diamond")</f>
        <v>Diamond</v>
      </c>
      <c r="G693" s="1" t="str">
        <f>IFERROR(__xludf.DUMMYFUNCTION("""COMPUTED_VALUE"""),"Tannu")</f>
        <v>Tannu</v>
      </c>
      <c r="H693" s="1" t="str">
        <f>IFERROR(__xludf.DUMMYFUNCTION("""COMPUTED_VALUE"""),"2 stone breslet ")</f>
        <v>2 stone breslet </v>
      </c>
      <c r="I693" s="1"/>
      <c r="J693" s="1"/>
      <c r="K693" s="3">
        <f>IFERROR(__xludf.DUMMYFUNCTION("""COMPUTED_VALUE"""),0.7624999999970896)</f>
        <v>0.7625</v>
      </c>
      <c r="L693" s="1" t="str">
        <f>IFERROR(__xludf.DUMMYFUNCTION("""COMPUTED_VALUE"""),"Yes")</f>
        <v>Yes</v>
      </c>
      <c r="M693" s="1" t="str">
        <f>IFERROR(__xludf.DUMMYFUNCTION("""COMPUTED_VALUE"""),"Already done ")</f>
        <v>Already done </v>
      </c>
      <c r="N693" s="1" t="str">
        <f>IFERROR(__xludf.DUMMYFUNCTION("""COMPUTED_VALUE"""),"Already done ")</f>
        <v>Already done </v>
      </c>
      <c r="O693" s="1" t="str">
        <f>IFERROR(__xludf.DUMMYFUNCTION("""COMPUTED_VALUE"""),"WA ONLY, CALL")</f>
        <v>WA ONLY, CALL</v>
      </c>
      <c r="P693" s="1" t="str">
        <f>IFERROR(__xludf.DUMMYFUNCTION("""COMPUTED_VALUE"""),"Madam")</f>
        <v>Madam</v>
      </c>
      <c r="Q693" s="1" t="str">
        <f>IFERROR(__xludf.DUMMYFUNCTION("""COMPUTED_VALUE"""),"No")</f>
        <v>No</v>
      </c>
      <c r="R693" s="1" t="str">
        <f>IFERROR(__xludf.DUMMYFUNCTION("""COMPUTED_VALUE"""),"OLD")</f>
        <v>OLD</v>
      </c>
      <c r="S693" s="1"/>
    </row>
    <row r="694">
      <c r="A694" s="2">
        <f>IFERROR(__xludf.DUMMYFUNCTION("""COMPUTED_VALUE"""),45568.79870697917)</f>
        <v>45568.79871</v>
      </c>
      <c r="B694" s="1" t="str">
        <f>IFERROR(__xludf.DUMMYFUNCTION("""COMPUTED_VALUE"""),"Viren")</f>
        <v>Viren</v>
      </c>
      <c r="C694" s="1">
        <f>IFERROR(__xludf.DUMMYFUNCTION("""COMPUTED_VALUE"""),9.99976925E8)</f>
        <v>999976925</v>
      </c>
      <c r="D694" s="1">
        <f>IFERROR(__xludf.DUMMYFUNCTION("""COMPUTED_VALUE"""),3.0)</f>
        <v>3</v>
      </c>
      <c r="E694" s="3">
        <f>IFERROR(__xludf.DUMMYFUNCTION("""COMPUTED_VALUE"""),0.6708333333372138)</f>
        <v>0.6708333333</v>
      </c>
      <c r="F694" s="1" t="str">
        <f>IFERROR(__xludf.DUMMYFUNCTION("""COMPUTED_VALUE"""),"Antique Gold")</f>
        <v>Antique Gold</v>
      </c>
      <c r="G694" s="1" t="str">
        <f>IFERROR(__xludf.DUMMYFUNCTION("""COMPUTED_VALUE"""),"Pooja")</f>
        <v>Pooja</v>
      </c>
      <c r="H694" s="1" t="str">
        <f>IFERROR(__xludf.DUMMYFUNCTION("""COMPUTED_VALUE"""),"2 antique set")</f>
        <v>2 antique set</v>
      </c>
      <c r="I694" s="1"/>
      <c r="J694" s="1"/>
      <c r="K694" s="3">
        <f>IFERROR(__xludf.DUMMYFUNCTION("""COMPUTED_VALUE"""),0.7916666666642413)</f>
        <v>0.7916666667</v>
      </c>
      <c r="L694" s="1" t="str">
        <f>IFERROR(__xludf.DUMMYFUNCTION("""COMPUTED_VALUE"""),"Yes")</f>
        <v>Yes</v>
      </c>
      <c r="M694" s="1" t="str">
        <f>IFERROR(__xludf.DUMMYFUNCTION("""COMPUTED_VALUE"""),"Already done ")</f>
        <v>Already done </v>
      </c>
      <c r="N694" s="1" t="str">
        <f>IFERROR(__xludf.DUMMYFUNCTION("""COMPUTED_VALUE"""),"Already done ")</f>
        <v>Already done </v>
      </c>
      <c r="O694" s="1" t="str">
        <f>IFERROR(__xludf.DUMMYFUNCTION("""COMPUTED_VALUE"""),"WA ONLY, CALL")</f>
        <v>WA ONLY, CALL</v>
      </c>
      <c r="P694" s="1" t="str">
        <f>IFERROR(__xludf.DUMMYFUNCTION("""COMPUTED_VALUE"""),"Sir")</f>
        <v>Sir</v>
      </c>
      <c r="Q694" s="1" t="str">
        <f>IFERROR(__xludf.DUMMYFUNCTION("""COMPUTED_VALUE"""),"No")</f>
        <v>No</v>
      </c>
      <c r="R694" s="1" t="str">
        <f>IFERROR(__xludf.DUMMYFUNCTION("""COMPUTED_VALUE"""),"OLD")</f>
        <v>OLD</v>
      </c>
      <c r="S694" s="1"/>
    </row>
    <row r="695">
      <c r="A695" s="2">
        <f>IFERROR(__xludf.DUMMYFUNCTION("""COMPUTED_VALUE"""),45569.76913072917)</f>
        <v>45569.76913</v>
      </c>
      <c r="B695" s="1" t="str">
        <f>IFERROR(__xludf.DUMMYFUNCTION("""COMPUTED_VALUE"""),"Kamal gupta")</f>
        <v>Kamal gupta</v>
      </c>
      <c r="C695" s="1">
        <f>IFERROR(__xludf.DUMMYFUNCTION("""COMPUTED_VALUE"""),9.799497509E9)</f>
        <v>9799497509</v>
      </c>
      <c r="D695" s="1">
        <f>IFERROR(__xludf.DUMMYFUNCTION("""COMPUTED_VALUE"""),1.0)</f>
        <v>1</v>
      </c>
      <c r="E695" s="3">
        <f>IFERROR(__xludf.DUMMYFUNCTION("""COMPUTED_VALUE"""),0.6041666666642413)</f>
        <v>0.6041666667</v>
      </c>
      <c r="F695" s="1" t="str">
        <f>IFERROR(__xludf.DUMMYFUNCTION("""COMPUTED_VALUE"""),"Diamond")</f>
        <v>Diamond</v>
      </c>
      <c r="G695" s="1" t="str">
        <f>IFERROR(__xludf.DUMMYFUNCTION("""COMPUTED_VALUE"""),"Preeti")</f>
        <v>Preeti</v>
      </c>
      <c r="H695" s="1"/>
      <c r="I695" s="1" t="str">
        <f>IFERROR(__xludf.DUMMYFUNCTION("""COMPUTED_VALUE"""),"Pick up Order")</f>
        <v>Pick up Order</v>
      </c>
      <c r="J695" s="1"/>
      <c r="K695" s="3">
        <f>IFERROR(__xludf.DUMMYFUNCTION("""COMPUTED_VALUE"""),0.6666666666642413)</f>
        <v>0.6666666667</v>
      </c>
      <c r="L695" s="1" t="str">
        <f>IFERROR(__xludf.DUMMYFUNCTION("""COMPUTED_VALUE"""),"Yes")</f>
        <v>Yes</v>
      </c>
      <c r="M695" s="1" t="str">
        <f>IFERROR(__xludf.DUMMYFUNCTION("""COMPUTED_VALUE"""),"Already done ")</f>
        <v>Already done </v>
      </c>
      <c r="N695" s="1" t="str">
        <f>IFERROR(__xludf.DUMMYFUNCTION("""COMPUTED_VALUE"""),"Not use")</f>
        <v>Not use</v>
      </c>
      <c r="O695" s="1" t="str">
        <f>IFERROR(__xludf.DUMMYFUNCTION("""COMPUTED_VALUE"""),"WA ONLY, CALL")</f>
        <v>WA ONLY, CALL</v>
      </c>
      <c r="P695" s="1" t="str">
        <f>IFERROR(__xludf.DUMMYFUNCTION("""COMPUTED_VALUE"""),"Sir")</f>
        <v>Sir</v>
      </c>
      <c r="Q695" s="1" t="str">
        <f>IFERROR(__xludf.DUMMYFUNCTION("""COMPUTED_VALUE"""),"No")</f>
        <v>No</v>
      </c>
      <c r="R695" s="1" t="str">
        <f>IFERROR(__xludf.DUMMYFUNCTION("""COMPUTED_VALUE"""),"OLD")</f>
        <v>OLD</v>
      </c>
      <c r="S695" s="1"/>
    </row>
    <row r="696">
      <c r="A696" s="2">
        <f>IFERROR(__xludf.DUMMYFUNCTION("""COMPUTED_VALUE"""),45569.796205624996)</f>
        <v>45569.79621</v>
      </c>
      <c r="B696" s="1" t="str">
        <f>IFERROR(__xludf.DUMMYFUNCTION("""COMPUTED_VALUE"""),"Yusuf")</f>
        <v>Yusuf</v>
      </c>
      <c r="C696" s="1">
        <f>IFERROR(__xludf.DUMMYFUNCTION("""COMPUTED_VALUE"""),8.807648771E9)</f>
        <v>8807648771</v>
      </c>
      <c r="D696" s="1">
        <f>IFERROR(__xludf.DUMMYFUNCTION("""COMPUTED_VALUE"""),3.0)</f>
        <v>3</v>
      </c>
      <c r="E696" s="3">
        <f>IFERROR(__xludf.DUMMYFUNCTION("""COMPUTED_VALUE"""),0.7777777777810115)</f>
        <v>0.7777777778</v>
      </c>
      <c r="F696" s="1" t="str">
        <f>IFERROR(__xludf.DUMMYFUNCTION("""COMPUTED_VALUE"""),"Antique Gold")</f>
        <v>Antique Gold</v>
      </c>
      <c r="G696" s="1" t="str">
        <f>IFERROR(__xludf.DUMMYFUNCTION("""COMPUTED_VALUE"""),"Deepali")</f>
        <v>Deepali</v>
      </c>
      <c r="H696" s="1"/>
      <c r="I696" s="1" t="str">
        <f>IFERROR(__xludf.DUMMYFUNCTION("""COMPUTED_VALUE"""),"Want to see More Variety")</f>
        <v>Want to see More Variety</v>
      </c>
      <c r="J696" s="1"/>
      <c r="K696" s="3">
        <f>IFERROR(__xludf.DUMMYFUNCTION("""COMPUTED_VALUE"""),0.7777777777810115)</f>
        <v>0.7777777778</v>
      </c>
      <c r="L696" s="1" t="str">
        <f>IFERROR(__xludf.DUMMYFUNCTION("""COMPUTED_VALUE"""),"No")</f>
        <v>No</v>
      </c>
      <c r="M696" s="1" t="str">
        <f>IFERROR(__xludf.DUMMYFUNCTION("""COMPUTED_VALUE"""),"No")</f>
        <v>No</v>
      </c>
      <c r="N696" s="1" t="str">
        <f>IFERROR(__xludf.DUMMYFUNCTION("""COMPUTED_VALUE"""),"N0")</f>
        <v>N0</v>
      </c>
      <c r="O696" s="1" t="str">
        <f>IFERROR(__xludf.DUMMYFUNCTION("""COMPUTED_VALUE"""),"WA ONLY, CALL")</f>
        <v>WA ONLY, CALL</v>
      </c>
      <c r="P696" s="1" t="str">
        <f>IFERROR(__xludf.DUMMYFUNCTION("""COMPUTED_VALUE"""),"Sir")</f>
        <v>Sir</v>
      </c>
      <c r="Q696" s="1" t="str">
        <f>IFERROR(__xludf.DUMMYFUNCTION("""COMPUTED_VALUE"""),"No")</f>
        <v>No</v>
      </c>
      <c r="R696" s="1" t="str">
        <f>IFERROR(__xludf.DUMMYFUNCTION("""COMPUTED_VALUE"""),"NEW WALK IN")</f>
        <v>NEW WALK IN</v>
      </c>
      <c r="S696" s="1"/>
    </row>
    <row r="697">
      <c r="A697" s="2">
        <f>IFERROR(__xludf.DUMMYFUNCTION("""COMPUTED_VALUE"""),45570.796039085646)</f>
        <v>45570.79604</v>
      </c>
      <c r="B697" s="1" t="str">
        <f>IFERROR(__xludf.DUMMYFUNCTION("""COMPUTED_VALUE"""),"Savita")</f>
        <v>Savita</v>
      </c>
      <c r="C697" s="1">
        <f>IFERROR(__xludf.DUMMYFUNCTION("""COMPUTED_VALUE"""),8.368002854E9)</f>
        <v>8368002854</v>
      </c>
      <c r="D697" s="1">
        <f>IFERROR(__xludf.DUMMYFUNCTION("""COMPUTED_VALUE"""),1.0)</f>
        <v>1</v>
      </c>
      <c r="E697" s="3">
        <f>IFERROR(__xludf.DUMMYFUNCTION("""COMPUTED_VALUE"""),0.5645833333328483)</f>
        <v>0.5645833333</v>
      </c>
      <c r="F697" s="1" t="str">
        <f>IFERROR(__xludf.DUMMYFUNCTION("""COMPUTED_VALUE"""),"Plain Gold")</f>
        <v>Plain Gold</v>
      </c>
      <c r="G697" s="1" t="str">
        <f>IFERROR(__xludf.DUMMYFUNCTION("""COMPUTED_VALUE"""),"Tannu")</f>
        <v>Tannu</v>
      </c>
      <c r="H697" s="1" t="str">
        <f>IFERROR(__xludf.DUMMYFUNCTION("""COMPUTED_VALUE"""),"Gold gents breslet ")</f>
        <v>Gold gents breslet </v>
      </c>
      <c r="I697" s="1"/>
      <c r="J697" s="1"/>
      <c r="K697" s="3">
        <f>IFERROR(__xludf.DUMMYFUNCTION("""COMPUTED_VALUE"""),0.5958333333328483)</f>
        <v>0.5958333333</v>
      </c>
      <c r="L697" s="1" t="str">
        <f>IFERROR(__xludf.DUMMYFUNCTION("""COMPUTED_VALUE"""),"No")</f>
        <v>No</v>
      </c>
      <c r="M697" s="1" t="str">
        <f>IFERROR(__xludf.DUMMYFUNCTION("""COMPUTED_VALUE"""),"Not use")</f>
        <v>Not use</v>
      </c>
      <c r="N697" s="1" t="str">
        <f>IFERROR(__xludf.DUMMYFUNCTION("""COMPUTED_VALUE"""),"Not use")</f>
        <v>Not use</v>
      </c>
      <c r="O697" s="1" t="str">
        <f>IFERROR(__xludf.DUMMYFUNCTION("""COMPUTED_VALUE"""),"WA ONLY, CALL")</f>
        <v>WA ONLY, CALL</v>
      </c>
      <c r="P697" s="1" t="str">
        <f>IFERROR(__xludf.DUMMYFUNCTION("""COMPUTED_VALUE"""),"Madam")</f>
        <v>Madam</v>
      </c>
      <c r="Q697" s="1" t="str">
        <f>IFERROR(__xludf.DUMMYFUNCTION("""COMPUTED_VALUE"""),"No")</f>
        <v>No</v>
      </c>
      <c r="R697" s="1" t="str">
        <f>IFERROR(__xludf.DUMMYFUNCTION("""COMPUTED_VALUE"""),"NEW WALK IN")</f>
        <v>NEW WALK IN</v>
      </c>
      <c r="S697" s="1"/>
    </row>
    <row r="698">
      <c r="A698" s="2">
        <f>IFERROR(__xludf.DUMMYFUNCTION("""COMPUTED_VALUE"""),45570.79758046297)</f>
        <v>45570.79758</v>
      </c>
      <c r="B698" s="1" t="str">
        <f>IFERROR(__xludf.DUMMYFUNCTION("""COMPUTED_VALUE"""),"Alina")</f>
        <v>Alina</v>
      </c>
      <c r="C698" s="1">
        <f>IFERROR(__xludf.DUMMYFUNCTION("""COMPUTED_VALUE"""),7.982560879E9)</f>
        <v>7982560879</v>
      </c>
      <c r="D698" s="1">
        <f>IFERROR(__xludf.DUMMYFUNCTION("""COMPUTED_VALUE"""),4.0)</f>
        <v>4</v>
      </c>
      <c r="E698" s="3">
        <f>IFERROR(__xludf.DUMMYFUNCTION("""COMPUTED_VALUE"""),0.7472222222204437)</f>
        <v>0.7472222222</v>
      </c>
      <c r="F698" s="1" t="str">
        <f>IFERROR(__xludf.DUMMYFUNCTION("""COMPUTED_VALUE"""),"Antique Gold")</f>
        <v>Antique Gold</v>
      </c>
      <c r="G698" s="1" t="str">
        <f>IFERROR(__xludf.DUMMYFUNCTION("""COMPUTED_VALUE"""),"Preeti")</f>
        <v>Preeti</v>
      </c>
      <c r="H698" s="1"/>
      <c r="I698" s="1" t="str">
        <f>IFERROR(__xludf.DUMMYFUNCTION("""COMPUTED_VALUE"""),"Visit Again in 1 Month")</f>
        <v>Visit Again in 1 Month</v>
      </c>
      <c r="J698" s="1"/>
      <c r="K698" s="3">
        <f>IFERROR(__xludf.DUMMYFUNCTION("""COMPUTED_VALUE"""),0.7472222222204437)</f>
        <v>0.7472222222</v>
      </c>
      <c r="L698" s="1" t="str">
        <f>IFERROR(__xludf.DUMMYFUNCTION("""COMPUTED_VALUE"""),"No")</f>
        <v>No</v>
      </c>
      <c r="M698" s="1" t="str">
        <f>IFERROR(__xludf.DUMMYFUNCTION("""COMPUTED_VALUE"""),"No")</f>
        <v>No</v>
      </c>
      <c r="N698" s="1" t="str">
        <f>IFERROR(__xludf.DUMMYFUNCTION("""COMPUTED_VALUE"""),"No")</f>
        <v>No</v>
      </c>
      <c r="O698" s="1" t="str">
        <f>IFERROR(__xludf.DUMMYFUNCTION("""COMPUTED_VALUE"""),"WA ONLY, CALL")</f>
        <v>WA ONLY, CALL</v>
      </c>
      <c r="P698" s="1" t="str">
        <f>IFERROR(__xludf.DUMMYFUNCTION("""COMPUTED_VALUE"""),"Madam")</f>
        <v>Madam</v>
      </c>
      <c r="Q698" s="1" t="str">
        <f>IFERROR(__xludf.DUMMYFUNCTION("""COMPUTED_VALUE"""),"No")</f>
        <v>No</v>
      </c>
      <c r="R698" s="1" t="str">
        <f>IFERROR(__xludf.DUMMYFUNCTION("""COMPUTED_VALUE"""),"NEW WALK IN")</f>
        <v>NEW WALK IN</v>
      </c>
      <c r="S698" s="1"/>
    </row>
    <row r="699">
      <c r="A699" s="2">
        <f>IFERROR(__xludf.DUMMYFUNCTION("""COMPUTED_VALUE"""),45570.79866326389)</f>
        <v>45570.79866</v>
      </c>
      <c r="B699" s="1" t="str">
        <f>IFERROR(__xludf.DUMMYFUNCTION("""COMPUTED_VALUE"""),"Rakesh")</f>
        <v>Rakesh</v>
      </c>
      <c r="C699" s="1">
        <f>IFERROR(__xludf.DUMMYFUNCTION("""COMPUTED_VALUE"""),9.811011258E9)</f>
        <v>9811011258</v>
      </c>
      <c r="D699" s="1">
        <f>IFERROR(__xludf.DUMMYFUNCTION("""COMPUTED_VALUE"""),2.0)</f>
        <v>2</v>
      </c>
      <c r="E699" s="3">
        <f>IFERROR(__xludf.DUMMYFUNCTION("""COMPUTED_VALUE"""),0.6458333333357587)</f>
        <v>0.6458333333</v>
      </c>
      <c r="F699" s="1" t="str">
        <f>IFERROR(__xludf.DUMMYFUNCTION("""COMPUTED_VALUE"""),"Diamond")</f>
        <v>Diamond</v>
      </c>
      <c r="G699" s="1" t="str">
        <f>IFERROR(__xludf.DUMMYFUNCTION("""COMPUTED_VALUE"""),"Bala")</f>
        <v>Bala</v>
      </c>
      <c r="H699" s="1" t="str">
        <f>IFERROR(__xludf.DUMMYFUNCTION("""COMPUTED_VALUE"""),"Polki set,diamond ring")</f>
        <v>Polki set,diamond ring</v>
      </c>
      <c r="I699" s="1"/>
      <c r="J699" s="1"/>
      <c r="K699" s="3">
        <f>IFERROR(__xludf.DUMMYFUNCTION("""COMPUTED_VALUE"""),0.6979166666642413)</f>
        <v>0.6979166667</v>
      </c>
      <c r="L699" s="1" t="str">
        <f>IFERROR(__xludf.DUMMYFUNCTION("""COMPUTED_VALUE"""),"Yes")</f>
        <v>Yes</v>
      </c>
      <c r="M699" s="1" t="str">
        <f>IFERROR(__xludf.DUMMYFUNCTION("""COMPUTED_VALUE"""),"Yes")</f>
        <v>Yes</v>
      </c>
      <c r="N699" s="1" t="str">
        <f>IFERROR(__xludf.DUMMYFUNCTION("""COMPUTED_VALUE"""),"Yes")</f>
        <v>Yes</v>
      </c>
      <c r="O699" s="1" t="str">
        <f>IFERROR(__xludf.DUMMYFUNCTION("""COMPUTED_VALUE"""),"WA ONLY, CALL")</f>
        <v>WA ONLY, CALL</v>
      </c>
      <c r="P699" s="1" t="str">
        <f>IFERROR(__xludf.DUMMYFUNCTION("""COMPUTED_VALUE"""),"Sir")</f>
        <v>Sir</v>
      </c>
      <c r="Q699" s="1" t="str">
        <f>IFERROR(__xludf.DUMMYFUNCTION("""COMPUTED_VALUE"""),"No")</f>
        <v>No</v>
      </c>
      <c r="R699" s="1" t="str">
        <f>IFERROR(__xludf.DUMMYFUNCTION("""COMPUTED_VALUE"""),"OLD")</f>
        <v>OLD</v>
      </c>
      <c r="S699" s="1"/>
    </row>
    <row r="700">
      <c r="A700" s="2">
        <f>IFERROR(__xludf.DUMMYFUNCTION("""COMPUTED_VALUE"""),45570.80009866898)</f>
        <v>45570.8001</v>
      </c>
      <c r="B700" s="1" t="str">
        <f>IFERROR(__xludf.DUMMYFUNCTION("""COMPUTED_VALUE"""),"Gurdimran")</f>
        <v>Gurdimran</v>
      </c>
      <c r="C700" s="1">
        <f>IFERROR(__xludf.DUMMYFUNCTION("""COMPUTED_VALUE"""),9.717201147E9)</f>
        <v>9717201147</v>
      </c>
      <c r="D700" s="1">
        <f>IFERROR(__xludf.DUMMYFUNCTION("""COMPUTED_VALUE"""),2.0)</f>
        <v>2</v>
      </c>
      <c r="E700" s="3">
        <f>IFERROR(__xludf.DUMMYFUNCTION("""COMPUTED_VALUE"""),0.6666666666642413)</f>
        <v>0.6666666667</v>
      </c>
      <c r="F700" s="1" t="str">
        <f>IFERROR(__xludf.DUMMYFUNCTION("""COMPUTED_VALUE"""),"Diamond")</f>
        <v>Diamond</v>
      </c>
      <c r="G700" s="1" t="str">
        <f>IFERROR(__xludf.DUMMYFUNCTION("""COMPUTED_VALUE"""),"Bala")</f>
        <v>Bala</v>
      </c>
      <c r="H700" s="1" t="str">
        <f>IFERROR(__xludf.DUMMYFUNCTION("""COMPUTED_VALUE"""),"1 diamond ring,1 diamond tops")</f>
        <v>1 diamond ring,1 diamond tops</v>
      </c>
      <c r="I700" s="1"/>
      <c r="J700" s="1"/>
      <c r="K700" s="3">
        <f>IFERROR(__xludf.DUMMYFUNCTION("""COMPUTED_VALUE"""),0.7722222222218988)</f>
        <v>0.7722222222</v>
      </c>
      <c r="L700" s="1" t="str">
        <f>IFERROR(__xludf.DUMMYFUNCTION("""COMPUTED_VALUE"""),"Yes")</f>
        <v>Yes</v>
      </c>
      <c r="M700" s="1" t="str">
        <f>IFERROR(__xludf.DUMMYFUNCTION("""COMPUTED_VALUE"""),"Already done ")</f>
        <v>Already done </v>
      </c>
      <c r="N700" s="1" t="str">
        <f>IFERROR(__xludf.DUMMYFUNCTION("""COMPUTED_VALUE"""),"Already done ")</f>
        <v>Already done </v>
      </c>
      <c r="O700" s="1" t="str">
        <f>IFERROR(__xludf.DUMMYFUNCTION("""COMPUTED_VALUE"""),"WA ONLY, CALL")</f>
        <v>WA ONLY, CALL</v>
      </c>
      <c r="P700" s="1" t="str">
        <f>IFERROR(__xludf.DUMMYFUNCTION("""COMPUTED_VALUE"""),"Sir")</f>
        <v>Sir</v>
      </c>
      <c r="Q700" s="1" t="str">
        <f>IFERROR(__xludf.DUMMYFUNCTION("""COMPUTED_VALUE"""),"No")</f>
        <v>No</v>
      </c>
      <c r="R700" s="1" t="str">
        <f>IFERROR(__xludf.DUMMYFUNCTION("""COMPUTED_VALUE"""),"OLD")</f>
        <v>OLD</v>
      </c>
      <c r="S700" s="1"/>
    </row>
    <row r="701">
      <c r="A701" s="2">
        <f>IFERROR(__xludf.DUMMYFUNCTION("""COMPUTED_VALUE"""),45570.8014546412)</f>
        <v>45570.80145</v>
      </c>
      <c r="B701" s="1" t="str">
        <f>IFERROR(__xludf.DUMMYFUNCTION("""COMPUTED_VALUE"""),"Shiv")</f>
        <v>Shiv</v>
      </c>
      <c r="C701" s="1">
        <f>IFERROR(__xludf.DUMMYFUNCTION("""COMPUTED_VALUE"""),9.953950419E9)</f>
        <v>9953950419</v>
      </c>
      <c r="D701" s="1">
        <f>IFERROR(__xludf.DUMMYFUNCTION("""COMPUTED_VALUE"""),2.0)</f>
        <v>2</v>
      </c>
      <c r="E701" s="3">
        <f>IFERROR(__xludf.DUMMYFUNCTION("""COMPUTED_VALUE"""),0.71875)</f>
        <v>0.71875</v>
      </c>
      <c r="F701" s="1" t="str">
        <f>IFERROR(__xludf.DUMMYFUNCTION("""COMPUTED_VALUE"""),"Plain Gold")</f>
        <v>Plain Gold</v>
      </c>
      <c r="G701" s="1" t="str">
        <f>IFERROR(__xludf.DUMMYFUNCTION("""COMPUTED_VALUE"""),"Pooja")</f>
        <v>Pooja</v>
      </c>
      <c r="H701" s="1" t="str">
        <f>IFERROR(__xludf.DUMMYFUNCTION("""COMPUTED_VALUE"""),"2 Italian breslet ")</f>
        <v>2 Italian breslet </v>
      </c>
      <c r="I701" s="1"/>
      <c r="J701" s="1"/>
      <c r="K701" s="3">
        <f>IFERROR(__xludf.DUMMYFUNCTION("""COMPUTED_VALUE"""),0.7624999999970896)</f>
        <v>0.7625</v>
      </c>
      <c r="L701" s="1" t="str">
        <f>IFERROR(__xludf.DUMMYFUNCTION("""COMPUTED_VALUE"""),"Yes")</f>
        <v>Yes</v>
      </c>
      <c r="M701" s="1" t="str">
        <f>IFERROR(__xludf.DUMMYFUNCTION("""COMPUTED_VALUE"""),"Already done")</f>
        <v>Already done</v>
      </c>
      <c r="N701" s="1" t="str">
        <f>IFERROR(__xludf.DUMMYFUNCTION("""COMPUTED_VALUE"""),"Already done ")</f>
        <v>Already done </v>
      </c>
      <c r="O701" s="1" t="str">
        <f>IFERROR(__xludf.DUMMYFUNCTION("""COMPUTED_VALUE"""),"WA ONLY, CALL")</f>
        <v>WA ONLY, CALL</v>
      </c>
      <c r="P701" s="1" t="str">
        <f>IFERROR(__xludf.DUMMYFUNCTION("""COMPUTED_VALUE"""),"Sir")</f>
        <v>Sir</v>
      </c>
      <c r="Q701" s="1" t="str">
        <f>IFERROR(__xludf.DUMMYFUNCTION("""COMPUTED_VALUE"""),"No")</f>
        <v>No</v>
      </c>
      <c r="R701" s="1" t="str">
        <f>IFERROR(__xludf.DUMMYFUNCTION("""COMPUTED_VALUE"""),"OLD")</f>
        <v>OLD</v>
      </c>
      <c r="S701" s="1"/>
    </row>
    <row r="702">
      <c r="A702" s="2">
        <f>IFERROR(__xludf.DUMMYFUNCTION("""COMPUTED_VALUE"""),45570.80232203704)</f>
        <v>45570.80232</v>
      </c>
      <c r="B702" s="1" t="str">
        <f>IFERROR(__xludf.DUMMYFUNCTION("""COMPUTED_VALUE"""),"Aryan arya")</f>
        <v>Aryan arya</v>
      </c>
      <c r="C702" s="1">
        <f>IFERROR(__xludf.DUMMYFUNCTION("""COMPUTED_VALUE"""),9.711027972E9)</f>
        <v>9711027972</v>
      </c>
      <c r="D702" s="1">
        <f>IFERROR(__xludf.DUMMYFUNCTION("""COMPUTED_VALUE"""),4.0)</f>
        <v>4</v>
      </c>
      <c r="E702" s="3">
        <f>IFERROR(__xludf.DUMMYFUNCTION("""COMPUTED_VALUE"""),0.75)</f>
        <v>0.75</v>
      </c>
      <c r="F702" s="1" t="str">
        <f>IFERROR(__xludf.DUMMYFUNCTION("""COMPUTED_VALUE"""),"Antique Gold")</f>
        <v>Antique Gold</v>
      </c>
      <c r="G702" s="1" t="str">
        <f>IFERROR(__xludf.DUMMYFUNCTION("""COMPUTED_VALUE"""),"Preeti")</f>
        <v>Preeti</v>
      </c>
      <c r="H702" s="1"/>
      <c r="I702" s="1" t="str">
        <f>IFERROR(__xludf.DUMMYFUNCTION("""COMPUTED_VALUE"""),"Visit Again in 1 Month")</f>
        <v>Visit Again in 1 Month</v>
      </c>
      <c r="J702" s="1"/>
      <c r="K702" s="3">
        <f>IFERROR(__xludf.DUMMYFUNCTION("""COMPUTED_VALUE"""),0.7673611111094942)</f>
        <v>0.7673611111</v>
      </c>
      <c r="L702" s="1" t="str">
        <f>IFERROR(__xludf.DUMMYFUNCTION("""COMPUTED_VALUE"""),"No")</f>
        <v>No</v>
      </c>
      <c r="M702" s="1" t="str">
        <f>IFERROR(__xludf.DUMMYFUNCTION("""COMPUTED_VALUE"""),"No")</f>
        <v>No</v>
      </c>
      <c r="N702" s="1" t="str">
        <f>IFERROR(__xludf.DUMMYFUNCTION("""COMPUTED_VALUE"""),"No")</f>
        <v>No</v>
      </c>
      <c r="O702" s="1" t="str">
        <f>IFERROR(__xludf.DUMMYFUNCTION("""COMPUTED_VALUE"""),"WA ONLY, CALL")</f>
        <v>WA ONLY, CALL</v>
      </c>
      <c r="P702" s="1" t="str">
        <f>IFERROR(__xludf.DUMMYFUNCTION("""COMPUTED_VALUE"""),"Sir")</f>
        <v>Sir</v>
      </c>
      <c r="Q702" s="1" t="str">
        <f>IFERROR(__xludf.DUMMYFUNCTION("""COMPUTED_VALUE"""),"No")</f>
        <v>No</v>
      </c>
      <c r="R702" s="1" t="str">
        <f>IFERROR(__xludf.DUMMYFUNCTION("""COMPUTED_VALUE"""),"NEW WALK IN")</f>
        <v>NEW WALK IN</v>
      </c>
      <c r="S702" s="1"/>
    </row>
    <row r="703">
      <c r="A703" s="2">
        <f>IFERROR(__xludf.DUMMYFUNCTION("""COMPUTED_VALUE"""),45571.76199075232)</f>
        <v>45571.76199</v>
      </c>
      <c r="B703" s="1" t="str">
        <f>IFERROR(__xludf.DUMMYFUNCTION("""COMPUTED_VALUE"""),"Jai shree")</f>
        <v>Jai shree</v>
      </c>
      <c r="C703" s="1">
        <f>IFERROR(__xludf.DUMMYFUNCTION("""COMPUTED_VALUE"""),7.022026702E9)</f>
        <v>7022026702</v>
      </c>
      <c r="D703" s="1">
        <f>IFERROR(__xludf.DUMMYFUNCTION("""COMPUTED_VALUE"""),3.0)</f>
        <v>3</v>
      </c>
      <c r="E703" s="3">
        <f>IFERROR(__xludf.DUMMYFUNCTION("""COMPUTED_VALUE"""),0.6041666666642413)</f>
        <v>0.6041666667</v>
      </c>
      <c r="F703" s="1" t="str">
        <f>IFERROR(__xludf.DUMMYFUNCTION("""COMPUTED_VALUE"""),"Plain Gold")</f>
        <v>Plain Gold</v>
      </c>
      <c r="G703" s="1" t="str">
        <f>IFERROR(__xludf.DUMMYFUNCTION("""COMPUTED_VALUE"""),"Pooja")</f>
        <v>Pooja</v>
      </c>
      <c r="H703" s="1" t="str">
        <f>IFERROR(__xludf.DUMMYFUNCTION("""COMPUTED_VALUE"""),"2 pair gold tops")</f>
        <v>2 pair gold tops</v>
      </c>
      <c r="I703" s="1"/>
      <c r="J703" s="1"/>
      <c r="K703" s="3">
        <f>IFERROR(__xludf.DUMMYFUNCTION("""COMPUTED_VALUE"""),0.6770833333357587)</f>
        <v>0.6770833333</v>
      </c>
      <c r="L703" s="1" t="str">
        <f>IFERROR(__xludf.DUMMYFUNCTION("""COMPUTED_VALUE"""),"Yes")</f>
        <v>Yes</v>
      </c>
      <c r="M703" s="1" t="str">
        <f>IFERROR(__xludf.DUMMYFUNCTION("""COMPUTED_VALUE"""),"Yes")</f>
        <v>Yes</v>
      </c>
      <c r="N703" s="1" t="str">
        <f>IFERROR(__xludf.DUMMYFUNCTION("""COMPUTED_VALUE"""),"Yes")</f>
        <v>Yes</v>
      </c>
      <c r="O703" s="1" t="str">
        <f>IFERROR(__xludf.DUMMYFUNCTION("""COMPUTED_VALUE"""),"WA ONLY, CALL")</f>
        <v>WA ONLY, CALL</v>
      </c>
      <c r="P703" s="1" t="str">
        <f>IFERROR(__xludf.DUMMYFUNCTION("""COMPUTED_VALUE"""),"Madam")</f>
        <v>Madam</v>
      </c>
      <c r="Q703" s="1" t="str">
        <f>IFERROR(__xludf.DUMMYFUNCTION("""COMPUTED_VALUE"""),"No")</f>
        <v>No</v>
      </c>
      <c r="R703" s="1" t="str">
        <f>IFERROR(__xludf.DUMMYFUNCTION("""COMPUTED_VALUE"""),"NEW WALK IN")</f>
        <v>NEW WALK IN</v>
      </c>
      <c r="S703" s="1"/>
    </row>
    <row r="704">
      <c r="A704" s="2">
        <f>IFERROR(__xludf.DUMMYFUNCTION("""COMPUTED_VALUE"""),45571.76524179398)</f>
        <v>45571.76524</v>
      </c>
      <c r="B704" s="1" t="str">
        <f>IFERROR(__xludf.DUMMYFUNCTION("""COMPUTED_VALUE"""),"Danish")</f>
        <v>Danish</v>
      </c>
      <c r="C704" s="1">
        <f>IFERROR(__xludf.DUMMYFUNCTION("""COMPUTED_VALUE"""),9.899226225E9)</f>
        <v>9899226225</v>
      </c>
      <c r="D704" s="1">
        <f>IFERROR(__xludf.DUMMYFUNCTION("""COMPUTED_VALUE"""),1.0)</f>
        <v>1</v>
      </c>
      <c r="E704" s="3">
        <f>IFERROR(__xludf.DUMMYFUNCTION("""COMPUTED_VALUE"""),0.5347222222189885)</f>
        <v>0.5347222222</v>
      </c>
      <c r="F704" s="1" t="str">
        <f>IFERROR(__xludf.DUMMYFUNCTION("""COMPUTED_VALUE"""),"Diamond")</f>
        <v>Diamond</v>
      </c>
      <c r="G704" s="1" t="str">
        <f>IFERROR(__xludf.DUMMYFUNCTION("""COMPUTED_VALUE"""),"Bala")</f>
        <v>Bala</v>
      </c>
      <c r="H704" s="1" t="str">
        <f>IFERROR(__xludf.DUMMYFUNCTION("""COMPUTED_VALUE"""),"1 diamond ring")</f>
        <v>1 diamond ring</v>
      </c>
      <c r="I704" s="1"/>
      <c r="J704" s="1"/>
      <c r="K704" s="3">
        <f>IFERROR(__xludf.DUMMYFUNCTION("""COMPUTED_VALUE"""),0.625)</f>
        <v>0.625</v>
      </c>
      <c r="L704" s="1" t="str">
        <f>IFERROR(__xludf.DUMMYFUNCTION("""COMPUTED_VALUE"""),"Yes")</f>
        <v>Yes</v>
      </c>
      <c r="M704" s="1" t="str">
        <f>IFERROR(__xludf.DUMMYFUNCTION("""COMPUTED_VALUE"""),"Already done ")</f>
        <v>Already done </v>
      </c>
      <c r="N704" s="1" t="str">
        <f>IFERROR(__xludf.DUMMYFUNCTION("""COMPUTED_VALUE"""),"Already done ")</f>
        <v>Already done </v>
      </c>
      <c r="O704" s="1" t="str">
        <f>IFERROR(__xludf.DUMMYFUNCTION("""COMPUTED_VALUE"""),"WA ONLY, CALL")</f>
        <v>WA ONLY, CALL</v>
      </c>
      <c r="P704" s="1" t="str">
        <f>IFERROR(__xludf.DUMMYFUNCTION("""COMPUTED_VALUE"""),"Sir")</f>
        <v>Sir</v>
      </c>
      <c r="Q704" s="1" t="str">
        <f>IFERROR(__xludf.DUMMYFUNCTION("""COMPUTED_VALUE"""),"No")</f>
        <v>No</v>
      </c>
      <c r="R704" s="1" t="str">
        <f>IFERROR(__xludf.DUMMYFUNCTION("""COMPUTED_VALUE"""),"OLD")</f>
        <v>OLD</v>
      </c>
      <c r="S704" s="1"/>
    </row>
    <row r="705">
      <c r="A705" s="2">
        <f>IFERROR(__xludf.DUMMYFUNCTION("""COMPUTED_VALUE"""),45571.766096956024)</f>
        <v>45571.7661</v>
      </c>
      <c r="B705" s="1" t="str">
        <f>IFERROR(__xludf.DUMMYFUNCTION("""COMPUTED_VALUE"""),"Parmod")</f>
        <v>Parmod</v>
      </c>
      <c r="C705" s="1">
        <f>IFERROR(__xludf.DUMMYFUNCTION("""COMPUTED_VALUE"""),9.65191327E9)</f>
        <v>9651913270</v>
      </c>
      <c r="D705" s="1">
        <f>IFERROR(__xludf.DUMMYFUNCTION("""COMPUTED_VALUE"""),2.0)</f>
        <v>2</v>
      </c>
      <c r="E705" s="3">
        <f>IFERROR(__xludf.DUMMYFUNCTION("""COMPUTED_VALUE"""),0.6680555555576575)</f>
        <v>0.6680555556</v>
      </c>
      <c r="F705" s="1" t="str">
        <f>IFERROR(__xludf.DUMMYFUNCTION("""COMPUTED_VALUE"""),"Antique Gold")</f>
        <v>Antique Gold</v>
      </c>
      <c r="G705" s="1" t="str">
        <f>IFERROR(__xludf.DUMMYFUNCTION("""COMPUTED_VALUE"""),"Preeti")</f>
        <v>Preeti</v>
      </c>
      <c r="H705" s="1"/>
      <c r="I705" s="1" t="str">
        <f>IFERROR(__xludf.DUMMYFUNCTION("""COMPUTED_VALUE"""),"Visit Again in 1 Month")</f>
        <v>Visit Again in 1 Month</v>
      </c>
      <c r="J705" s="1"/>
      <c r="K705" s="3">
        <f>IFERROR(__xludf.DUMMYFUNCTION("""COMPUTED_VALUE"""),0.7041666666627862)</f>
        <v>0.7041666667</v>
      </c>
      <c r="L705" s="1" t="str">
        <f>IFERROR(__xludf.DUMMYFUNCTION("""COMPUTED_VALUE"""),"No")</f>
        <v>No</v>
      </c>
      <c r="M705" s="1" t="str">
        <f>IFERROR(__xludf.DUMMYFUNCTION("""COMPUTED_VALUE"""),"No")</f>
        <v>No</v>
      </c>
      <c r="N705" s="1" t="str">
        <f>IFERROR(__xludf.DUMMYFUNCTION("""COMPUTED_VALUE"""),"No")</f>
        <v>No</v>
      </c>
      <c r="O705" s="1" t="str">
        <f>IFERROR(__xludf.DUMMYFUNCTION("""COMPUTED_VALUE"""),"WA ONLY, CALL")</f>
        <v>WA ONLY, CALL</v>
      </c>
      <c r="P705" s="1" t="str">
        <f>IFERROR(__xludf.DUMMYFUNCTION("""COMPUTED_VALUE"""),"Sir")</f>
        <v>Sir</v>
      </c>
      <c r="Q705" s="1" t="str">
        <f>IFERROR(__xludf.DUMMYFUNCTION("""COMPUTED_VALUE"""),"No")</f>
        <v>No</v>
      </c>
      <c r="R705" s="1" t="str">
        <f>IFERROR(__xludf.DUMMYFUNCTION("""COMPUTED_VALUE"""),"NEW WALK IN")</f>
        <v>NEW WALK IN</v>
      </c>
      <c r="S705" s="1"/>
    </row>
    <row r="706">
      <c r="A706" s="2">
        <f>IFERROR(__xludf.DUMMYFUNCTION("""COMPUTED_VALUE"""),45571.7677865625)</f>
        <v>45571.76779</v>
      </c>
      <c r="B706" s="1" t="str">
        <f>IFERROR(__xludf.DUMMYFUNCTION("""COMPUTED_VALUE"""),"Anjana ")</f>
        <v>Anjana </v>
      </c>
      <c r="C706" s="1">
        <f>IFERROR(__xludf.DUMMYFUNCTION("""COMPUTED_VALUE"""),9.811451013E9)</f>
        <v>9811451013</v>
      </c>
      <c r="D706" s="1">
        <f>IFERROR(__xludf.DUMMYFUNCTION("""COMPUTED_VALUE"""),4.0)</f>
        <v>4</v>
      </c>
      <c r="E706" s="3">
        <f>IFERROR(__xludf.DUMMYFUNCTION("""COMPUTED_VALUE"""),0.6763888888890506)</f>
        <v>0.6763888889</v>
      </c>
      <c r="F706" s="1" t="str">
        <f>IFERROR(__xludf.DUMMYFUNCTION("""COMPUTED_VALUE"""),"Diamond")</f>
        <v>Diamond</v>
      </c>
      <c r="G706" s="1" t="str">
        <f>IFERROR(__xludf.DUMMYFUNCTION("""COMPUTED_VALUE"""),"Bala")</f>
        <v>Bala</v>
      </c>
      <c r="H706" s="1" t="str">
        <f>IFERROR(__xludf.DUMMYFUNCTION("""COMPUTED_VALUE"""),"1 diamond tops,1 diamond set")</f>
        <v>1 diamond tops,1 diamond set</v>
      </c>
      <c r="I706" s="1"/>
      <c r="J706" s="1"/>
      <c r="K706" s="3">
        <f>IFERROR(__xludf.DUMMYFUNCTION("""COMPUTED_VALUE"""),0.7326388888905058)</f>
        <v>0.7326388889</v>
      </c>
      <c r="L706" s="1" t="str">
        <f>IFERROR(__xludf.DUMMYFUNCTION("""COMPUTED_VALUE"""),"No")</f>
        <v>No</v>
      </c>
      <c r="M706" s="1" t="str">
        <f>IFERROR(__xludf.DUMMYFUNCTION("""COMPUTED_VALUE"""),"Already done ")</f>
        <v>Already done </v>
      </c>
      <c r="N706" s="1" t="str">
        <f>IFERROR(__xludf.DUMMYFUNCTION("""COMPUTED_VALUE"""),"Already done ")</f>
        <v>Already done </v>
      </c>
      <c r="O706" s="1" t="str">
        <f>IFERROR(__xludf.DUMMYFUNCTION("""COMPUTED_VALUE"""),"WA ONLY, CALL")</f>
        <v>WA ONLY, CALL</v>
      </c>
      <c r="P706" s="1" t="str">
        <f>IFERROR(__xludf.DUMMYFUNCTION("""COMPUTED_VALUE"""),"Madam")</f>
        <v>Madam</v>
      </c>
      <c r="Q706" s="1" t="str">
        <f>IFERROR(__xludf.DUMMYFUNCTION("""COMPUTED_VALUE"""),"No")</f>
        <v>No</v>
      </c>
      <c r="R706" s="1" t="str">
        <f>IFERROR(__xludf.DUMMYFUNCTION("""COMPUTED_VALUE"""),"OLD")</f>
        <v>OLD</v>
      </c>
      <c r="S706" s="1"/>
    </row>
    <row r="707">
      <c r="A707" s="2">
        <f>IFERROR(__xludf.DUMMYFUNCTION("""COMPUTED_VALUE"""),45571.768440266205)</f>
        <v>45571.76844</v>
      </c>
      <c r="B707" s="1" t="str">
        <f>IFERROR(__xludf.DUMMYFUNCTION("""COMPUTED_VALUE"""),"Rupal")</f>
        <v>Rupal</v>
      </c>
      <c r="C707" s="1">
        <f>IFERROR(__xludf.DUMMYFUNCTION("""COMPUTED_VALUE"""),9.873224748E9)</f>
        <v>9873224748</v>
      </c>
      <c r="D707" s="1">
        <f>IFERROR(__xludf.DUMMYFUNCTION("""COMPUTED_VALUE"""),2.0)</f>
        <v>2</v>
      </c>
      <c r="E707" s="3">
        <f>IFERROR(__xludf.DUMMYFUNCTION("""COMPUTED_VALUE"""),0.734722222223354)</f>
        <v>0.7347222222</v>
      </c>
      <c r="F707" s="1" t="str">
        <f>IFERROR(__xludf.DUMMYFUNCTION("""COMPUTED_VALUE"""),"Plain Gold")</f>
        <v>Plain Gold</v>
      </c>
      <c r="G707" s="1" t="str">
        <f>IFERROR(__xludf.DUMMYFUNCTION("""COMPUTED_VALUE"""),"Tannu")</f>
        <v>Tannu</v>
      </c>
      <c r="H707" s="1"/>
      <c r="I707" s="1" t="str">
        <f>IFERROR(__xludf.DUMMYFUNCTION("""COMPUTED_VALUE"""),"Visit Again in 1 Month")</f>
        <v>Visit Again in 1 Month</v>
      </c>
      <c r="J707" s="1"/>
      <c r="K707" s="3">
        <f>IFERROR(__xludf.DUMMYFUNCTION("""COMPUTED_VALUE"""),0.7375000000029104)</f>
        <v>0.7375</v>
      </c>
      <c r="L707" s="1" t="str">
        <f>IFERROR(__xludf.DUMMYFUNCTION("""COMPUTED_VALUE"""),"No")</f>
        <v>No</v>
      </c>
      <c r="M707" s="1" t="str">
        <f>IFERROR(__xludf.DUMMYFUNCTION("""COMPUTED_VALUE"""),"No")</f>
        <v>No</v>
      </c>
      <c r="N707" s="1" t="str">
        <f>IFERROR(__xludf.DUMMYFUNCTION("""COMPUTED_VALUE"""),"No")</f>
        <v>No</v>
      </c>
      <c r="O707" s="1" t="str">
        <f>IFERROR(__xludf.DUMMYFUNCTION("""COMPUTED_VALUE"""),"WA ONLY, CALL")</f>
        <v>WA ONLY, CALL</v>
      </c>
      <c r="P707" s="1" t="str">
        <f>IFERROR(__xludf.DUMMYFUNCTION("""COMPUTED_VALUE"""),"Madam")</f>
        <v>Madam</v>
      </c>
      <c r="Q707" s="1" t="str">
        <f>IFERROR(__xludf.DUMMYFUNCTION("""COMPUTED_VALUE"""),"No")</f>
        <v>No</v>
      </c>
      <c r="R707" s="1" t="str">
        <f>IFERROR(__xludf.DUMMYFUNCTION("""COMPUTED_VALUE"""),"NEW WALK IN")</f>
        <v>NEW WALK IN</v>
      </c>
      <c r="S707" s="1"/>
    </row>
    <row r="708">
      <c r="A708" s="2">
        <f>IFERROR(__xludf.DUMMYFUNCTION("""COMPUTED_VALUE"""),45571.77042003472)</f>
        <v>45571.77042</v>
      </c>
      <c r="B708" s="1" t="str">
        <f>IFERROR(__xludf.DUMMYFUNCTION("""COMPUTED_VALUE"""),"Jaspreet singh")</f>
        <v>Jaspreet singh</v>
      </c>
      <c r="C708" s="1">
        <f>IFERROR(__xludf.DUMMYFUNCTION("""COMPUTED_VALUE"""),9.1367814E9)</f>
        <v>9136781400</v>
      </c>
      <c r="D708" s="1">
        <f>IFERROR(__xludf.DUMMYFUNCTION("""COMPUTED_VALUE"""),2.0)</f>
        <v>2</v>
      </c>
      <c r="E708" s="3">
        <f>IFERROR(__xludf.DUMMYFUNCTION("""COMPUTED_VALUE"""),0.711111111115315)</f>
        <v>0.7111111111</v>
      </c>
      <c r="F708" s="1" t="str">
        <f>IFERROR(__xludf.DUMMYFUNCTION("""COMPUTED_VALUE"""),"Antique Gold")</f>
        <v>Antique Gold</v>
      </c>
      <c r="G708" s="1" t="str">
        <f>IFERROR(__xludf.DUMMYFUNCTION("""COMPUTED_VALUE"""),"Pooja")</f>
        <v>Pooja</v>
      </c>
      <c r="H708" s="1" t="str">
        <f>IFERROR(__xludf.DUMMYFUNCTION("""COMPUTED_VALUE"""),"2 gents gold kade,1 gold chain,1gold ring")</f>
        <v>2 gents gold kade,1 gold chain,1gold ring</v>
      </c>
      <c r="I708" s="1"/>
      <c r="J708" s="1"/>
      <c r="K708" s="3">
        <f>IFERROR(__xludf.DUMMYFUNCTION("""COMPUTED_VALUE"""),0.7708333333357587)</f>
        <v>0.7708333333</v>
      </c>
      <c r="L708" s="1" t="str">
        <f>IFERROR(__xludf.DUMMYFUNCTION("""COMPUTED_VALUE"""),"Yes")</f>
        <v>Yes</v>
      </c>
      <c r="M708" s="1" t="str">
        <f>IFERROR(__xludf.DUMMYFUNCTION("""COMPUTED_VALUE"""),"Already done ")</f>
        <v>Already done </v>
      </c>
      <c r="N708" s="1" t="str">
        <f>IFERROR(__xludf.DUMMYFUNCTION("""COMPUTED_VALUE"""),"Already done ")</f>
        <v>Already done </v>
      </c>
      <c r="O708" s="1" t="str">
        <f>IFERROR(__xludf.DUMMYFUNCTION("""COMPUTED_VALUE"""),"WA ONLY, CALL")</f>
        <v>WA ONLY, CALL</v>
      </c>
      <c r="P708" s="1" t="str">
        <f>IFERROR(__xludf.DUMMYFUNCTION("""COMPUTED_VALUE"""),"Sir")</f>
        <v>Sir</v>
      </c>
      <c r="Q708" s="1" t="str">
        <f>IFERROR(__xludf.DUMMYFUNCTION("""COMPUTED_VALUE"""),"No")</f>
        <v>No</v>
      </c>
      <c r="R708" s="1" t="str">
        <f>IFERROR(__xludf.DUMMYFUNCTION("""COMPUTED_VALUE"""),"OLD")</f>
        <v>OLD</v>
      </c>
      <c r="S708" s="1"/>
    </row>
    <row r="709">
      <c r="A709" s="2">
        <f>IFERROR(__xludf.DUMMYFUNCTION("""COMPUTED_VALUE"""),45573.77578655093)</f>
        <v>45573.77579</v>
      </c>
      <c r="B709" s="1" t="str">
        <f>IFERROR(__xludf.DUMMYFUNCTION("""COMPUTED_VALUE"""),"Gitanjali ")</f>
        <v>Gitanjali </v>
      </c>
      <c r="C709" s="1">
        <f>IFERROR(__xludf.DUMMYFUNCTION("""COMPUTED_VALUE"""),9.873041853E9)</f>
        <v>9873041853</v>
      </c>
      <c r="D709" s="1">
        <f>IFERROR(__xludf.DUMMYFUNCTION("""COMPUTED_VALUE"""),1.0)</f>
        <v>1</v>
      </c>
      <c r="E709" s="3">
        <f>IFERROR(__xludf.DUMMYFUNCTION("""COMPUTED_VALUE"""),0.5347222222189885)</f>
        <v>0.5347222222</v>
      </c>
      <c r="F709" s="1" t="str">
        <f>IFERROR(__xludf.DUMMYFUNCTION("""COMPUTED_VALUE"""),"Antique Gold")</f>
        <v>Antique Gold</v>
      </c>
      <c r="G709" s="1" t="str">
        <f>IFERROR(__xludf.DUMMYFUNCTION("""COMPUTED_VALUE"""),"Pooja")</f>
        <v>Pooja</v>
      </c>
      <c r="H709" s="1" t="str">
        <f>IFERROR(__xludf.DUMMYFUNCTION("""COMPUTED_VALUE"""),"Silver payal,silver bichhue,set")</f>
        <v>Silver payal,silver bichhue,set</v>
      </c>
      <c r="I709" s="1" t="str">
        <f>IFERROR(__xludf.DUMMYFUNCTION("""COMPUTED_VALUE"""),"Pick up Order")</f>
        <v>Pick up Order</v>
      </c>
      <c r="J709" s="1"/>
      <c r="K709" s="3">
        <f>IFERROR(__xludf.DUMMYFUNCTION("""COMPUTED_VALUE"""),0.5847222222218988)</f>
        <v>0.5847222222</v>
      </c>
      <c r="L709" s="1" t="str">
        <f>IFERROR(__xludf.DUMMYFUNCTION("""COMPUTED_VALUE"""),"Yes")</f>
        <v>Yes</v>
      </c>
      <c r="M709" s="1" t="str">
        <f>IFERROR(__xludf.DUMMYFUNCTION("""COMPUTED_VALUE"""),"Already done ")</f>
        <v>Already done </v>
      </c>
      <c r="N709" s="1" t="str">
        <f>IFERROR(__xludf.DUMMYFUNCTION("""COMPUTED_VALUE"""),"Already done ")</f>
        <v>Already done </v>
      </c>
      <c r="O709" s="1" t="str">
        <f>IFERROR(__xludf.DUMMYFUNCTION("""COMPUTED_VALUE"""),"WA ONLY, CALL")</f>
        <v>WA ONLY, CALL</v>
      </c>
      <c r="P709" s="1" t="str">
        <f>IFERROR(__xludf.DUMMYFUNCTION("""COMPUTED_VALUE"""),"Madam")</f>
        <v>Madam</v>
      </c>
      <c r="Q709" s="1" t="str">
        <f>IFERROR(__xludf.DUMMYFUNCTION("""COMPUTED_VALUE"""),"No")</f>
        <v>No</v>
      </c>
      <c r="R709" s="1" t="str">
        <f>IFERROR(__xludf.DUMMYFUNCTION("""COMPUTED_VALUE"""),"OLD")</f>
        <v>OLD</v>
      </c>
      <c r="S709" s="1"/>
    </row>
    <row r="710">
      <c r="A710" s="2">
        <f>IFERROR(__xludf.DUMMYFUNCTION("""COMPUTED_VALUE"""),45573.776626481485)</f>
        <v>45573.77663</v>
      </c>
      <c r="B710" s="1" t="str">
        <f>IFERROR(__xludf.DUMMYFUNCTION("""COMPUTED_VALUE"""),"Sumit kumar")</f>
        <v>Sumit kumar</v>
      </c>
      <c r="C710" s="1">
        <f>IFERROR(__xludf.DUMMYFUNCTION("""COMPUTED_VALUE"""),9.643403539E9)</f>
        <v>9643403539</v>
      </c>
      <c r="D710" s="1">
        <f>IFERROR(__xludf.DUMMYFUNCTION("""COMPUTED_VALUE"""),2.0)</f>
        <v>2</v>
      </c>
      <c r="E710" s="3">
        <f>IFERROR(__xludf.DUMMYFUNCTION("""COMPUTED_VALUE"""),0.6388888888905058)</f>
        <v>0.6388888889</v>
      </c>
      <c r="F710" s="1" t="str">
        <f>IFERROR(__xludf.DUMMYFUNCTION("""COMPUTED_VALUE"""),"Plain Gold")</f>
        <v>Plain Gold</v>
      </c>
      <c r="G710" s="1" t="str">
        <f>IFERROR(__xludf.DUMMYFUNCTION("""COMPUTED_VALUE"""),"Pooja")</f>
        <v>Pooja</v>
      </c>
      <c r="H710" s="1"/>
      <c r="I710" s="1" t="str">
        <f>IFERROR(__xludf.DUMMYFUNCTION("""COMPUTED_VALUE"""),"Making High or Wants Discount")</f>
        <v>Making High or Wants Discount</v>
      </c>
      <c r="J710" s="1"/>
      <c r="K710" s="3">
        <f>IFERROR(__xludf.DUMMYFUNCTION("""COMPUTED_VALUE"""),0.6513888888875954)</f>
        <v>0.6513888889</v>
      </c>
      <c r="L710" s="1" t="str">
        <f>IFERROR(__xludf.DUMMYFUNCTION("""COMPUTED_VALUE"""),"No")</f>
        <v>No</v>
      </c>
      <c r="M710" s="1" t="str">
        <f>IFERROR(__xludf.DUMMYFUNCTION("""COMPUTED_VALUE"""),"No")</f>
        <v>No</v>
      </c>
      <c r="N710" s="1" t="str">
        <f>IFERROR(__xludf.DUMMYFUNCTION("""COMPUTED_VALUE"""),"No")</f>
        <v>No</v>
      </c>
      <c r="O710" s="1" t="str">
        <f>IFERROR(__xludf.DUMMYFUNCTION("""COMPUTED_VALUE"""),"WA ONLY, CALL")</f>
        <v>WA ONLY, CALL</v>
      </c>
      <c r="P710" s="1" t="str">
        <f>IFERROR(__xludf.DUMMYFUNCTION("""COMPUTED_VALUE"""),"Sir")</f>
        <v>Sir</v>
      </c>
      <c r="Q710" s="1" t="str">
        <f>IFERROR(__xludf.DUMMYFUNCTION("""COMPUTED_VALUE"""),"No")</f>
        <v>No</v>
      </c>
      <c r="R710" s="1" t="str">
        <f>IFERROR(__xludf.DUMMYFUNCTION("""COMPUTED_VALUE"""),"NEW WALK IN")</f>
        <v>NEW WALK IN</v>
      </c>
      <c r="S710" s="1"/>
    </row>
    <row r="711">
      <c r="A711" s="2">
        <f>IFERROR(__xludf.DUMMYFUNCTION("""COMPUTED_VALUE"""),45573.77755324074)</f>
        <v>45573.77755</v>
      </c>
      <c r="B711" s="1" t="str">
        <f>IFERROR(__xludf.DUMMYFUNCTION("""COMPUTED_VALUE"""),"Seema")</f>
        <v>Seema</v>
      </c>
      <c r="C711" s="1">
        <f>IFERROR(__xludf.DUMMYFUNCTION("""COMPUTED_VALUE"""),9.205750464E9)</f>
        <v>9205750464</v>
      </c>
      <c r="D711" s="1">
        <f>IFERROR(__xludf.DUMMYFUNCTION("""COMPUTED_VALUE"""),2.0)</f>
        <v>2</v>
      </c>
      <c r="E711" s="3">
        <f>IFERROR(__xludf.DUMMYFUNCTION("""COMPUTED_VALUE"""),0.6993055555576575)</f>
        <v>0.6993055556</v>
      </c>
      <c r="F711" s="1" t="str">
        <f>IFERROR(__xludf.DUMMYFUNCTION("""COMPUTED_VALUE"""),"Antique Gold")</f>
        <v>Antique Gold</v>
      </c>
      <c r="G711" s="1" t="str">
        <f>IFERROR(__xludf.DUMMYFUNCTION("""COMPUTED_VALUE"""),"Pooja")</f>
        <v>Pooja</v>
      </c>
      <c r="H711" s="1"/>
      <c r="I711" s="1" t="str">
        <f>IFERROR(__xludf.DUMMYFUNCTION("""COMPUTED_VALUE"""),"Designs Not Liked")</f>
        <v>Designs Not Liked</v>
      </c>
      <c r="J711" s="1"/>
      <c r="K711" s="3">
        <f>IFERROR(__xludf.DUMMYFUNCTION("""COMPUTED_VALUE"""),0.702777777776646)</f>
        <v>0.7027777778</v>
      </c>
      <c r="L711" s="1" t="str">
        <f>IFERROR(__xludf.DUMMYFUNCTION("""COMPUTED_VALUE"""),"No")</f>
        <v>No</v>
      </c>
      <c r="M711" s="1" t="str">
        <f>IFERROR(__xludf.DUMMYFUNCTION("""COMPUTED_VALUE"""),"No")</f>
        <v>No</v>
      </c>
      <c r="N711" s="1" t="str">
        <f>IFERROR(__xludf.DUMMYFUNCTION("""COMPUTED_VALUE"""),"No")</f>
        <v>No</v>
      </c>
      <c r="O711" s="1" t="str">
        <f>IFERROR(__xludf.DUMMYFUNCTION("""COMPUTED_VALUE"""),"WA ONLY, CALL")</f>
        <v>WA ONLY, CALL</v>
      </c>
      <c r="P711" s="1" t="str">
        <f>IFERROR(__xludf.DUMMYFUNCTION("""COMPUTED_VALUE"""),"Madam")</f>
        <v>Madam</v>
      </c>
      <c r="Q711" s="1" t="str">
        <f>IFERROR(__xludf.DUMMYFUNCTION("""COMPUTED_VALUE"""),"No")</f>
        <v>No</v>
      </c>
      <c r="R711" s="1" t="str">
        <f>IFERROR(__xludf.DUMMYFUNCTION("""COMPUTED_VALUE"""),"NEW WALK IN")</f>
        <v>NEW WALK IN</v>
      </c>
      <c r="S711" s="1"/>
    </row>
    <row r="712">
      <c r="A712" s="2">
        <f>IFERROR(__xludf.DUMMYFUNCTION("""COMPUTED_VALUE"""),45574.78613652778)</f>
        <v>45574.78614</v>
      </c>
      <c r="B712" s="1" t="str">
        <f>IFERROR(__xludf.DUMMYFUNCTION("""COMPUTED_VALUE"""),"Fareen")</f>
        <v>Fareen</v>
      </c>
      <c r="C712" s="1">
        <f>IFERROR(__xludf.DUMMYFUNCTION("""COMPUTED_VALUE"""),9.211144183E9)</f>
        <v>9211144183</v>
      </c>
      <c r="D712" s="1">
        <f>IFERROR(__xludf.DUMMYFUNCTION("""COMPUTED_VALUE"""),3.0)</f>
        <v>3</v>
      </c>
      <c r="E712" s="3">
        <f>IFERROR(__xludf.DUMMYFUNCTION("""COMPUTED_VALUE"""),0.6506944444408873)</f>
        <v>0.6506944444</v>
      </c>
      <c r="F712" s="1" t="str">
        <f>IFERROR(__xludf.DUMMYFUNCTION("""COMPUTED_VALUE"""),"Plain Gold")</f>
        <v>Plain Gold</v>
      </c>
      <c r="G712" s="1" t="str">
        <f>IFERROR(__xludf.DUMMYFUNCTION("""COMPUTED_VALUE"""),"Pooja")</f>
        <v>Pooja</v>
      </c>
      <c r="H712" s="1"/>
      <c r="I712" s="1" t="str">
        <f>IFERROR(__xludf.DUMMYFUNCTION("""COMPUTED_VALUE"""),"Designs Not Liked")</f>
        <v>Designs Not Liked</v>
      </c>
      <c r="J712" s="1"/>
      <c r="K712" s="3">
        <f>IFERROR(__xludf.DUMMYFUNCTION("""COMPUTED_VALUE"""),0.6590277777795563)</f>
        <v>0.6590277778</v>
      </c>
      <c r="L712" s="1" t="str">
        <f>IFERROR(__xludf.DUMMYFUNCTION("""COMPUTED_VALUE"""),"No")</f>
        <v>No</v>
      </c>
      <c r="M712" s="1" t="str">
        <f>IFERROR(__xludf.DUMMYFUNCTION("""COMPUTED_VALUE"""),"No")</f>
        <v>No</v>
      </c>
      <c r="N712" s="1" t="str">
        <f>IFERROR(__xludf.DUMMYFUNCTION("""COMPUTED_VALUE"""),"No")</f>
        <v>No</v>
      </c>
      <c r="O712" s="1" t="str">
        <f>IFERROR(__xludf.DUMMYFUNCTION("""COMPUTED_VALUE"""),"WA ONLY, CALL")</f>
        <v>WA ONLY, CALL</v>
      </c>
      <c r="P712" s="1" t="str">
        <f>IFERROR(__xludf.DUMMYFUNCTION("""COMPUTED_VALUE"""),"Madam")</f>
        <v>Madam</v>
      </c>
      <c r="Q712" s="1" t="str">
        <f>IFERROR(__xludf.DUMMYFUNCTION("""COMPUTED_VALUE"""),"No")</f>
        <v>No</v>
      </c>
      <c r="R712" s="1" t="str">
        <f>IFERROR(__xludf.DUMMYFUNCTION("""COMPUTED_VALUE"""),"NEW WALK IN")</f>
        <v>NEW WALK IN</v>
      </c>
      <c r="S712" s="1"/>
    </row>
    <row r="713">
      <c r="A713" s="2">
        <f>IFERROR(__xludf.DUMMYFUNCTION("""COMPUTED_VALUE"""),45574.787780706014)</f>
        <v>45574.78778</v>
      </c>
      <c r="B713" s="1" t="str">
        <f>IFERROR(__xludf.DUMMYFUNCTION("""COMPUTED_VALUE"""),"Setu aggarwal ")</f>
        <v>Setu aggarwal </v>
      </c>
      <c r="C713" s="1">
        <f>IFERROR(__xludf.DUMMYFUNCTION("""COMPUTED_VALUE"""),9.911958928E9)</f>
        <v>9911958928</v>
      </c>
      <c r="D713" s="1">
        <f>IFERROR(__xludf.DUMMYFUNCTION("""COMPUTED_VALUE"""),3.0)</f>
        <v>3</v>
      </c>
      <c r="E713" s="3">
        <f>IFERROR(__xludf.DUMMYFUNCTION("""COMPUTED_VALUE"""),0.6527777777810115)</f>
        <v>0.6527777778</v>
      </c>
      <c r="F713" s="1" t="str">
        <f>IFERROR(__xludf.DUMMYFUNCTION("""COMPUTED_VALUE"""),"Diamond")</f>
        <v>Diamond</v>
      </c>
      <c r="G713" s="1" t="str">
        <f>IFERROR(__xludf.DUMMYFUNCTION("""COMPUTED_VALUE"""),"Preeti")</f>
        <v>Preeti</v>
      </c>
      <c r="H713" s="1"/>
      <c r="I713" s="1" t="str">
        <f>IFERROR(__xludf.DUMMYFUNCTION("""COMPUTED_VALUE"""),"Visit Again in 1 Month")</f>
        <v>Visit Again in 1 Month</v>
      </c>
      <c r="J713" s="1"/>
      <c r="K713" s="3">
        <f>IFERROR(__xludf.DUMMYFUNCTION("""COMPUTED_VALUE"""),0.75)</f>
        <v>0.75</v>
      </c>
      <c r="L713" s="1" t="str">
        <f>IFERROR(__xludf.DUMMYFUNCTION("""COMPUTED_VALUE"""),"Yes")</f>
        <v>Yes</v>
      </c>
      <c r="M713" s="1" t="str">
        <f>IFERROR(__xludf.DUMMYFUNCTION("""COMPUTED_VALUE"""),"Already done ")</f>
        <v>Already done </v>
      </c>
      <c r="N713" s="1" t="str">
        <f>IFERROR(__xludf.DUMMYFUNCTION("""COMPUTED_VALUE"""),"Already done ")</f>
        <v>Already done </v>
      </c>
      <c r="O713" s="1" t="str">
        <f>IFERROR(__xludf.DUMMYFUNCTION("""COMPUTED_VALUE"""),"WA ONLY, CALL")</f>
        <v>WA ONLY, CALL</v>
      </c>
      <c r="P713" s="1" t="str">
        <f>IFERROR(__xludf.DUMMYFUNCTION("""COMPUTED_VALUE"""),"Madam")</f>
        <v>Madam</v>
      </c>
      <c r="Q713" s="1" t="str">
        <f>IFERROR(__xludf.DUMMYFUNCTION("""COMPUTED_VALUE"""),"No")</f>
        <v>No</v>
      </c>
      <c r="R713" s="1" t="str">
        <f>IFERROR(__xludf.DUMMYFUNCTION("""COMPUTED_VALUE"""),"OLD")</f>
        <v>OLD</v>
      </c>
      <c r="S713" s="1"/>
    </row>
    <row r="714">
      <c r="A714" s="2">
        <f>IFERROR(__xludf.DUMMYFUNCTION("""COMPUTED_VALUE"""),45574.78866210648)</f>
        <v>45574.78866</v>
      </c>
      <c r="B714" s="1" t="str">
        <f>IFERROR(__xludf.DUMMYFUNCTION("""COMPUTED_VALUE"""),"Meeru")</f>
        <v>Meeru</v>
      </c>
      <c r="C714" s="1">
        <f>IFERROR(__xludf.DUMMYFUNCTION("""COMPUTED_VALUE"""),9.871024292E9)</f>
        <v>9871024292</v>
      </c>
      <c r="D714" s="1">
        <f>IFERROR(__xludf.DUMMYFUNCTION("""COMPUTED_VALUE"""),1.0)</f>
        <v>1</v>
      </c>
      <c r="E714" s="3">
        <f>IFERROR(__xludf.DUMMYFUNCTION("""COMPUTED_VALUE"""),0.7472222222204437)</f>
        <v>0.7472222222</v>
      </c>
      <c r="F714" s="1" t="str">
        <f>IFERROR(__xludf.DUMMYFUNCTION("""COMPUTED_VALUE"""),"Plain Gold")</f>
        <v>Plain Gold</v>
      </c>
      <c r="G714" s="1" t="str">
        <f>IFERROR(__xludf.DUMMYFUNCTION("""COMPUTED_VALUE"""),"Tannu")</f>
        <v>Tannu</v>
      </c>
      <c r="H714" s="1" t="str">
        <f>IFERROR(__xludf.DUMMYFUNCTION("""COMPUTED_VALUE"""),"Diamond tops,gold nose pin")</f>
        <v>Diamond tops,gold nose pin</v>
      </c>
      <c r="I714" s="1"/>
      <c r="J714" s="1"/>
      <c r="K714" s="3">
        <f>IFERROR(__xludf.DUMMYFUNCTION("""COMPUTED_VALUE"""),0.7819444444467081)</f>
        <v>0.7819444444</v>
      </c>
      <c r="L714" s="1" t="str">
        <f>IFERROR(__xludf.DUMMYFUNCTION("""COMPUTED_VALUE"""),"Yes")</f>
        <v>Yes</v>
      </c>
      <c r="M714" s="1" t="str">
        <f>IFERROR(__xludf.DUMMYFUNCTION("""COMPUTED_VALUE"""),"Already done ")</f>
        <v>Already done </v>
      </c>
      <c r="N714" s="1" t="str">
        <f>IFERROR(__xludf.DUMMYFUNCTION("""COMPUTED_VALUE"""),"Already done ")</f>
        <v>Already done </v>
      </c>
      <c r="O714" s="1" t="str">
        <f>IFERROR(__xludf.DUMMYFUNCTION("""COMPUTED_VALUE"""),"WA ONLY, CALL")</f>
        <v>WA ONLY, CALL</v>
      </c>
      <c r="P714" s="1" t="str">
        <f>IFERROR(__xludf.DUMMYFUNCTION("""COMPUTED_VALUE"""),"Madam")</f>
        <v>Madam</v>
      </c>
      <c r="Q714" s="1" t="str">
        <f>IFERROR(__xludf.DUMMYFUNCTION("""COMPUTED_VALUE"""),"No")</f>
        <v>No</v>
      </c>
      <c r="R714" s="1" t="str">
        <f>IFERROR(__xludf.DUMMYFUNCTION("""COMPUTED_VALUE"""),"OLD")</f>
        <v>OLD</v>
      </c>
      <c r="S714" s="1"/>
    </row>
    <row r="715">
      <c r="A715" s="2">
        <f>IFERROR(__xludf.DUMMYFUNCTION("""COMPUTED_VALUE"""),45574.78927034722)</f>
        <v>45574.78927</v>
      </c>
      <c r="B715" s="1" t="str">
        <f>IFERROR(__xludf.DUMMYFUNCTION("""COMPUTED_VALUE"""),"Rajnesh")</f>
        <v>Rajnesh</v>
      </c>
      <c r="C715" s="1">
        <f>IFERROR(__xludf.DUMMYFUNCTION("""COMPUTED_VALUE"""),9.541084376E9)</f>
        <v>9541084376</v>
      </c>
      <c r="D715" s="1">
        <f>IFERROR(__xludf.DUMMYFUNCTION("""COMPUTED_VALUE"""),2.0)</f>
        <v>2</v>
      </c>
      <c r="E715" s="3">
        <f>IFERROR(__xludf.DUMMYFUNCTION("""COMPUTED_VALUE"""),0.75)</f>
        <v>0.75</v>
      </c>
      <c r="F715" s="1" t="str">
        <f>IFERROR(__xludf.DUMMYFUNCTION("""COMPUTED_VALUE"""),"Diamond")</f>
        <v>Diamond</v>
      </c>
      <c r="G715" s="1" t="str">
        <f>IFERROR(__xludf.DUMMYFUNCTION("""COMPUTED_VALUE"""),"Preeti")</f>
        <v>Preeti</v>
      </c>
      <c r="H715" s="1"/>
      <c r="I715" s="1" t="str">
        <f>IFERROR(__xludf.DUMMYFUNCTION("""COMPUTED_VALUE"""),"Making High or Wants Discount")</f>
        <v>Making High or Wants Discount</v>
      </c>
      <c r="J715" s="1"/>
      <c r="K715" s="3">
        <f>IFERROR(__xludf.DUMMYFUNCTION("""COMPUTED_VALUE"""),0.773611111115315)</f>
        <v>0.7736111111</v>
      </c>
      <c r="L715" s="1" t="str">
        <f>IFERROR(__xludf.DUMMYFUNCTION("""COMPUTED_VALUE"""),"No")</f>
        <v>No</v>
      </c>
      <c r="M715" s="1" t="str">
        <f>IFERROR(__xludf.DUMMYFUNCTION("""COMPUTED_VALUE"""),"No")</f>
        <v>No</v>
      </c>
      <c r="N715" s="1" t="str">
        <f>IFERROR(__xludf.DUMMYFUNCTION("""COMPUTED_VALUE"""),"No")</f>
        <v>No</v>
      </c>
      <c r="O715" s="1" t="str">
        <f>IFERROR(__xludf.DUMMYFUNCTION("""COMPUTED_VALUE"""),"WA ONLY, CALL")</f>
        <v>WA ONLY, CALL</v>
      </c>
      <c r="P715" s="1" t="str">
        <f>IFERROR(__xludf.DUMMYFUNCTION("""COMPUTED_VALUE"""),"Sir")</f>
        <v>Sir</v>
      </c>
      <c r="Q715" s="1" t="str">
        <f>IFERROR(__xludf.DUMMYFUNCTION("""COMPUTED_VALUE"""),"No")</f>
        <v>No</v>
      </c>
      <c r="R715" s="1" t="str">
        <f>IFERROR(__xludf.DUMMYFUNCTION("""COMPUTED_VALUE"""),"NEW WALK IN")</f>
        <v>NEW WALK IN</v>
      </c>
      <c r="S715" s="1"/>
    </row>
    <row r="716">
      <c r="A716" s="2">
        <f>IFERROR(__xludf.DUMMYFUNCTION("""COMPUTED_VALUE"""),45575.78096899306)</f>
        <v>45575.78097</v>
      </c>
      <c r="B716" s="1" t="str">
        <f>IFERROR(__xludf.DUMMYFUNCTION("""COMPUTED_VALUE"""),"Seema gupta")</f>
        <v>Seema gupta</v>
      </c>
      <c r="C716" s="1">
        <f>IFERROR(__xludf.DUMMYFUNCTION("""COMPUTED_VALUE"""),9.810413272E9)</f>
        <v>9810413272</v>
      </c>
      <c r="D716" s="1">
        <f>IFERROR(__xludf.DUMMYFUNCTION("""COMPUTED_VALUE"""),2.0)</f>
        <v>2</v>
      </c>
      <c r="E716" s="3">
        <f>IFERROR(__xludf.DUMMYFUNCTION("""COMPUTED_VALUE"""),0.5409722222248092)</f>
        <v>0.5409722222</v>
      </c>
      <c r="F716" s="1" t="str">
        <f>IFERROR(__xludf.DUMMYFUNCTION("""COMPUTED_VALUE"""),"Antique Gold")</f>
        <v>Antique Gold</v>
      </c>
      <c r="G716" s="1" t="str">
        <f>IFERROR(__xludf.DUMMYFUNCTION("""COMPUTED_VALUE"""),"Pooja")</f>
        <v>Pooja</v>
      </c>
      <c r="H716" s="1" t="str">
        <f>IFERROR(__xludf.DUMMYFUNCTION("""COMPUTED_VALUE"""),"Diamond ring and pickup order")</f>
        <v>Diamond ring and pickup order</v>
      </c>
      <c r="I716" s="1"/>
      <c r="J716" s="1"/>
      <c r="K716" s="3">
        <f>IFERROR(__xludf.DUMMYFUNCTION("""COMPUTED_VALUE"""),0.6458333333357587)</f>
        <v>0.6458333333</v>
      </c>
      <c r="L716" s="1" t="str">
        <f>IFERROR(__xludf.DUMMYFUNCTION("""COMPUTED_VALUE"""),"Yes")</f>
        <v>Yes</v>
      </c>
      <c r="M716" s="1" t="str">
        <f>IFERROR(__xludf.DUMMYFUNCTION("""COMPUTED_VALUE"""),"Already done ")</f>
        <v>Already done </v>
      </c>
      <c r="N716" s="1" t="str">
        <f>IFERROR(__xludf.DUMMYFUNCTION("""COMPUTED_VALUE"""),"Already done ")</f>
        <v>Already done </v>
      </c>
      <c r="O716" s="1" t="str">
        <f>IFERROR(__xludf.DUMMYFUNCTION("""COMPUTED_VALUE"""),"WA ONLY, CALL")</f>
        <v>WA ONLY, CALL</v>
      </c>
      <c r="P716" s="1" t="str">
        <f>IFERROR(__xludf.DUMMYFUNCTION("""COMPUTED_VALUE"""),"Madam")</f>
        <v>Madam</v>
      </c>
      <c r="Q716" s="1" t="str">
        <f>IFERROR(__xludf.DUMMYFUNCTION("""COMPUTED_VALUE"""),"No")</f>
        <v>No</v>
      </c>
      <c r="R716" s="1" t="str">
        <f>IFERROR(__xludf.DUMMYFUNCTION("""COMPUTED_VALUE"""),"OLD")</f>
        <v>OLD</v>
      </c>
      <c r="S716" s="1"/>
    </row>
    <row r="717">
      <c r="A717" s="2">
        <f>IFERROR(__xludf.DUMMYFUNCTION("""COMPUTED_VALUE"""),45575.782179305555)</f>
        <v>45575.78218</v>
      </c>
      <c r="B717" s="1" t="str">
        <f>IFERROR(__xludf.DUMMYFUNCTION("""COMPUTED_VALUE"""),"M.d suhail")</f>
        <v>M.d suhail</v>
      </c>
      <c r="C717" s="1">
        <f>IFERROR(__xludf.DUMMYFUNCTION("""COMPUTED_VALUE"""),9.891203082E9)</f>
        <v>9891203082</v>
      </c>
      <c r="D717" s="1">
        <f>IFERROR(__xludf.DUMMYFUNCTION("""COMPUTED_VALUE"""),2.0)</f>
        <v>2</v>
      </c>
      <c r="E717" s="3">
        <f>IFERROR(__xludf.DUMMYFUNCTION("""COMPUTED_VALUE"""),0.5430555555576575)</f>
        <v>0.5430555556</v>
      </c>
      <c r="F717" s="1" t="str">
        <f>IFERROR(__xludf.DUMMYFUNCTION("""COMPUTED_VALUE"""),"Diamond")</f>
        <v>Diamond</v>
      </c>
      <c r="G717" s="1" t="str">
        <f>IFERROR(__xludf.DUMMYFUNCTION("""COMPUTED_VALUE"""),"Tannu")</f>
        <v>Tannu</v>
      </c>
      <c r="H717" s="1"/>
      <c r="I717" s="1" t="str">
        <f>IFERROR(__xludf.DUMMYFUNCTION("""COMPUTED_VALUE"""),"Repair pendent set")</f>
        <v>Repair pendent set</v>
      </c>
      <c r="J717" s="1"/>
      <c r="K717" s="3">
        <f>IFERROR(__xludf.DUMMYFUNCTION("""COMPUTED_VALUE"""),0.5506944444423425)</f>
        <v>0.5506944444</v>
      </c>
      <c r="L717" s="1" t="str">
        <f>IFERROR(__xludf.DUMMYFUNCTION("""COMPUTED_VALUE"""),"Yes")</f>
        <v>Yes</v>
      </c>
      <c r="M717" s="1" t="str">
        <f>IFERROR(__xludf.DUMMYFUNCTION("""COMPUTED_VALUE"""),"Already done ")</f>
        <v>Already done </v>
      </c>
      <c r="N717" s="1" t="str">
        <f>IFERROR(__xludf.DUMMYFUNCTION("""COMPUTED_VALUE"""),"Already done ")</f>
        <v>Already done </v>
      </c>
      <c r="O717" s="1" t="str">
        <f>IFERROR(__xludf.DUMMYFUNCTION("""COMPUTED_VALUE"""),"WA ONLY, CALL")</f>
        <v>WA ONLY, CALL</v>
      </c>
      <c r="P717" s="1" t="str">
        <f>IFERROR(__xludf.DUMMYFUNCTION("""COMPUTED_VALUE"""),"Sir")</f>
        <v>Sir</v>
      </c>
      <c r="Q717" s="1" t="str">
        <f>IFERROR(__xludf.DUMMYFUNCTION("""COMPUTED_VALUE"""),"Yes")</f>
        <v>Yes</v>
      </c>
      <c r="R717" s="1" t="str">
        <f>IFERROR(__xludf.DUMMYFUNCTION("""COMPUTED_VALUE"""),"OLD")</f>
        <v>OLD</v>
      </c>
      <c r="S717" s="1"/>
    </row>
    <row r="718">
      <c r="A718" s="2">
        <f>IFERROR(__xludf.DUMMYFUNCTION("""COMPUTED_VALUE"""),45575.78309518519)</f>
        <v>45575.7831</v>
      </c>
      <c r="B718" s="1" t="str">
        <f>IFERROR(__xludf.DUMMYFUNCTION("""COMPUTED_VALUE"""),"Revan upmany")</f>
        <v>Revan upmany</v>
      </c>
      <c r="C718" s="1">
        <f>IFERROR(__xludf.DUMMYFUNCTION("""COMPUTED_VALUE"""),9.312515414E9)</f>
        <v>9312515414</v>
      </c>
      <c r="D718" s="1">
        <f>IFERROR(__xludf.DUMMYFUNCTION("""COMPUTED_VALUE"""),1.0)</f>
        <v>1</v>
      </c>
      <c r="E718" s="3">
        <f>IFERROR(__xludf.DUMMYFUNCTION("""COMPUTED_VALUE"""),0.5833333333357587)</f>
        <v>0.5833333333</v>
      </c>
      <c r="F718" s="1" t="str">
        <f>IFERROR(__xludf.DUMMYFUNCTION("""COMPUTED_VALUE"""),"Plain Gold")</f>
        <v>Plain Gold</v>
      </c>
      <c r="G718" s="1" t="str">
        <f>IFERROR(__xludf.DUMMYFUNCTION("""COMPUTED_VALUE"""),"Preeti")</f>
        <v>Preeti</v>
      </c>
      <c r="H718" s="1"/>
      <c r="I718" s="1" t="str">
        <f>IFERROR(__xludf.DUMMYFUNCTION("""COMPUTED_VALUE"""),"Customer wants gold gents bali but gold bali lock not like")</f>
        <v>Customer wants gold gents bali but gold bali lock not like</v>
      </c>
      <c r="J718" s="1"/>
      <c r="K718" s="3">
        <f>IFERROR(__xludf.DUMMYFUNCTION("""COMPUTED_VALUE"""),0.5875000000014552)</f>
        <v>0.5875</v>
      </c>
      <c r="L718" s="1" t="str">
        <f>IFERROR(__xludf.DUMMYFUNCTION("""COMPUTED_VALUE"""),"No")</f>
        <v>No</v>
      </c>
      <c r="M718" s="1" t="str">
        <f>IFERROR(__xludf.DUMMYFUNCTION("""COMPUTED_VALUE"""),"No")</f>
        <v>No</v>
      </c>
      <c r="N718" s="1" t="str">
        <f>IFERROR(__xludf.DUMMYFUNCTION("""COMPUTED_VALUE"""),"No")</f>
        <v>No</v>
      </c>
      <c r="O718" s="1" t="str">
        <f>IFERROR(__xludf.DUMMYFUNCTION("""COMPUTED_VALUE"""),"WA ONLY, CALL")</f>
        <v>WA ONLY, CALL</v>
      </c>
      <c r="P718" s="1" t="str">
        <f>IFERROR(__xludf.DUMMYFUNCTION("""COMPUTED_VALUE"""),"Sir")</f>
        <v>Sir</v>
      </c>
      <c r="Q718" s="1" t="str">
        <f>IFERROR(__xludf.DUMMYFUNCTION("""COMPUTED_VALUE"""),"No")</f>
        <v>No</v>
      </c>
      <c r="R718" s="1" t="str">
        <f>IFERROR(__xludf.DUMMYFUNCTION("""COMPUTED_VALUE"""),"NEW WALK IN")</f>
        <v>NEW WALK IN</v>
      </c>
      <c r="S718" s="1"/>
    </row>
    <row r="719">
      <c r="A719" s="2">
        <f>IFERROR(__xludf.DUMMYFUNCTION("""COMPUTED_VALUE"""),45575.78403876157)</f>
        <v>45575.78404</v>
      </c>
      <c r="B719" s="1" t="str">
        <f>IFERROR(__xludf.DUMMYFUNCTION("""COMPUTED_VALUE"""),"Mithlesh")</f>
        <v>Mithlesh</v>
      </c>
      <c r="C719" s="1">
        <f>IFERROR(__xludf.DUMMYFUNCTION("""COMPUTED_VALUE"""),9.999242584E9)</f>
        <v>9999242584</v>
      </c>
      <c r="D719" s="1">
        <f>IFERROR(__xludf.DUMMYFUNCTION("""COMPUTED_VALUE"""),1.0)</f>
        <v>1</v>
      </c>
      <c r="E719" s="3">
        <f>IFERROR(__xludf.DUMMYFUNCTION("""COMPUTED_VALUE"""),0.625)</f>
        <v>0.625</v>
      </c>
      <c r="F719" s="1" t="str">
        <f>IFERROR(__xludf.DUMMYFUNCTION("""COMPUTED_VALUE"""),"Plain Gold")</f>
        <v>Plain Gold</v>
      </c>
      <c r="G719" s="1" t="str">
        <f>IFERROR(__xludf.DUMMYFUNCTION("""COMPUTED_VALUE"""),"Deepali")</f>
        <v>Deepali</v>
      </c>
      <c r="H719" s="1" t="str">
        <f>IFERROR(__xludf.DUMMYFUNCTION("""COMPUTED_VALUE"""),"Gold band")</f>
        <v>Gold band</v>
      </c>
      <c r="I719" s="1"/>
      <c r="J719" s="1"/>
      <c r="K719" s="3">
        <f>IFERROR(__xludf.DUMMYFUNCTION("""COMPUTED_VALUE"""),0.671527777776646)</f>
        <v>0.6715277778</v>
      </c>
      <c r="L719" s="1" t="str">
        <f>IFERROR(__xludf.DUMMYFUNCTION("""COMPUTED_VALUE"""),"Yes")</f>
        <v>Yes</v>
      </c>
      <c r="M719" s="1" t="str">
        <f>IFERROR(__xludf.DUMMYFUNCTION("""COMPUTED_VALUE"""),"Yes")</f>
        <v>Yes</v>
      </c>
      <c r="N719" s="1" t="str">
        <f>IFERROR(__xludf.DUMMYFUNCTION("""COMPUTED_VALUE"""),"Yes")</f>
        <v>Yes</v>
      </c>
      <c r="O719" s="1" t="str">
        <f>IFERROR(__xludf.DUMMYFUNCTION("""COMPUTED_VALUE"""),"WA ONLY, CALL")</f>
        <v>WA ONLY, CALL</v>
      </c>
      <c r="P719" s="1" t="str">
        <f>IFERROR(__xludf.DUMMYFUNCTION("""COMPUTED_VALUE"""),"Madam")</f>
        <v>Madam</v>
      </c>
      <c r="Q719" s="1" t="str">
        <f>IFERROR(__xludf.DUMMYFUNCTION("""COMPUTED_VALUE"""),"Yes")</f>
        <v>Yes</v>
      </c>
      <c r="R719" s="1" t="str">
        <f>IFERROR(__xludf.DUMMYFUNCTION("""COMPUTED_VALUE"""),"NEW WALK IN")</f>
        <v>NEW WALK IN</v>
      </c>
      <c r="S719" s="1"/>
    </row>
    <row r="720">
      <c r="A720" s="2">
        <f>IFERROR(__xludf.DUMMYFUNCTION("""COMPUTED_VALUE"""),45575.784694814814)</f>
        <v>45575.78469</v>
      </c>
      <c r="B720" s="1" t="str">
        <f>IFERROR(__xludf.DUMMYFUNCTION("""COMPUTED_VALUE"""),"Subha")</f>
        <v>Subha</v>
      </c>
      <c r="C720" s="1">
        <f>IFERROR(__xludf.DUMMYFUNCTION("""COMPUTED_VALUE"""),9.899226225E9)</f>
        <v>9899226225</v>
      </c>
      <c r="D720" s="1">
        <f>IFERROR(__xludf.DUMMYFUNCTION("""COMPUTED_VALUE"""),1.0)</f>
        <v>1</v>
      </c>
      <c r="E720" s="3">
        <f>IFERROR(__xludf.DUMMYFUNCTION("""COMPUTED_VALUE"""),0.625)</f>
        <v>0.625</v>
      </c>
      <c r="F720" s="1" t="str">
        <f>IFERROR(__xludf.DUMMYFUNCTION("""COMPUTED_VALUE"""),"Plain Gold")</f>
        <v>Plain Gold</v>
      </c>
      <c r="G720" s="1" t="str">
        <f>IFERROR(__xludf.DUMMYFUNCTION("""COMPUTED_VALUE"""),"Tannu")</f>
        <v>Tannu</v>
      </c>
      <c r="H720" s="1" t="str">
        <f>IFERROR(__xludf.DUMMYFUNCTION("""COMPUTED_VALUE"""),"Gold bangle")</f>
        <v>Gold bangle</v>
      </c>
      <c r="I720" s="1"/>
      <c r="J720" s="1"/>
      <c r="K720" s="3">
        <f>IFERROR(__xludf.DUMMYFUNCTION("""COMPUTED_VALUE"""),0.671527777776646)</f>
        <v>0.6715277778</v>
      </c>
      <c r="L720" s="1" t="str">
        <f>IFERROR(__xludf.DUMMYFUNCTION("""COMPUTED_VALUE"""),"Yes")</f>
        <v>Yes</v>
      </c>
      <c r="M720" s="1" t="str">
        <f>IFERROR(__xludf.DUMMYFUNCTION("""COMPUTED_VALUE"""),"Yes")</f>
        <v>Yes</v>
      </c>
      <c r="N720" s="1" t="str">
        <f>IFERROR(__xludf.DUMMYFUNCTION("""COMPUTED_VALUE"""),"Not use ")</f>
        <v>Not use </v>
      </c>
      <c r="O720" s="1" t="str">
        <f>IFERROR(__xludf.DUMMYFUNCTION("""COMPUTED_VALUE"""),"WA ONLY, CALL")</f>
        <v>WA ONLY, CALL</v>
      </c>
      <c r="P720" s="1" t="str">
        <f>IFERROR(__xludf.DUMMYFUNCTION("""COMPUTED_VALUE"""),"Madam")</f>
        <v>Madam</v>
      </c>
      <c r="Q720" s="1" t="str">
        <f>IFERROR(__xludf.DUMMYFUNCTION("""COMPUTED_VALUE"""),"No")</f>
        <v>No</v>
      </c>
      <c r="R720" s="1" t="str">
        <f>IFERROR(__xludf.DUMMYFUNCTION("""COMPUTED_VALUE"""),"NEW WALK IN")</f>
        <v>NEW WALK IN</v>
      </c>
      <c r="S720" s="1"/>
    </row>
    <row r="721">
      <c r="A721" s="2">
        <f>IFERROR(__xludf.DUMMYFUNCTION("""COMPUTED_VALUE"""),45575.7860244676)</f>
        <v>45575.78602</v>
      </c>
      <c r="B721" s="1" t="str">
        <f>IFERROR(__xludf.DUMMYFUNCTION("""COMPUTED_VALUE"""),"Sanchal reddy")</f>
        <v>Sanchal reddy</v>
      </c>
      <c r="C721" s="1">
        <f>IFERROR(__xludf.DUMMYFUNCTION("""COMPUTED_VALUE"""),8.383004492E9)</f>
        <v>8383004492</v>
      </c>
      <c r="D721" s="1">
        <f>IFERROR(__xludf.DUMMYFUNCTION("""COMPUTED_VALUE"""),2.0)</f>
        <v>2</v>
      </c>
      <c r="E721" s="3">
        <f>IFERROR(__xludf.DUMMYFUNCTION("""COMPUTED_VALUE"""),0.6527777777810115)</f>
        <v>0.6527777778</v>
      </c>
      <c r="F721" s="1" t="str">
        <f>IFERROR(__xludf.DUMMYFUNCTION("""COMPUTED_VALUE"""),"Diamond")</f>
        <v>Diamond</v>
      </c>
      <c r="G721" s="1" t="str">
        <f>IFERROR(__xludf.DUMMYFUNCTION("""COMPUTED_VALUE"""),"Preeti")</f>
        <v>Preeti</v>
      </c>
      <c r="H721" s="1" t="str">
        <f>IFERROR(__xludf.DUMMYFUNCTION("""COMPUTED_VALUE"""),"Gold kids ring")</f>
        <v>Gold kids ring</v>
      </c>
      <c r="I721" s="1"/>
      <c r="J721" s="1"/>
      <c r="K721" s="3">
        <f>IFERROR(__xludf.DUMMYFUNCTION("""COMPUTED_VALUE"""),0.6736111111094942)</f>
        <v>0.6736111111</v>
      </c>
      <c r="L721" s="1" t="str">
        <f>IFERROR(__xludf.DUMMYFUNCTION("""COMPUTED_VALUE"""),"Yes")</f>
        <v>Yes</v>
      </c>
      <c r="M721" s="1" t="str">
        <f>IFERROR(__xludf.DUMMYFUNCTION("""COMPUTED_VALUE"""),"Yes")</f>
        <v>Yes</v>
      </c>
      <c r="N721" s="1" t="str">
        <f>IFERROR(__xludf.DUMMYFUNCTION("""COMPUTED_VALUE"""),"Yes")</f>
        <v>Yes</v>
      </c>
      <c r="O721" s="1" t="str">
        <f>IFERROR(__xludf.DUMMYFUNCTION("""COMPUTED_VALUE"""),"WA ONLY, CALL")</f>
        <v>WA ONLY, CALL</v>
      </c>
      <c r="P721" s="1" t="str">
        <f>IFERROR(__xludf.DUMMYFUNCTION("""COMPUTED_VALUE"""),"Madam")</f>
        <v>Madam</v>
      </c>
      <c r="Q721" s="1" t="str">
        <f>IFERROR(__xludf.DUMMYFUNCTION("""COMPUTED_VALUE"""),"No")</f>
        <v>No</v>
      </c>
      <c r="R721" s="1" t="str">
        <f>IFERROR(__xludf.DUMMYFUNCTION("""COMPUTED_VALUE"""),"NEW WALK IN")</f>
        <v>NEW WALK IN</v>
      </c>
      <c r="S721" s="1"/>
    </row>
    <row r="722">
      <c r="A722" s="2">
        <f>IFERROR(__xludf.DUMMYFUNCTION("""COMPUTED_VALUE"""),45576.75737107639)</f>
        <v>45576.75737</v>
      </c>
      <c r="B722" s="1" t="str">
        <f>IFERROR(__xludf.DUMMYFUNCTION("""COMPUTED_VALUE"""),"Rahul")</f>
        <v>Rahul</v>
      </c>
      <c r="C722" s="1">
        <f>IFERROR(__xludf.DUMMYFUNCTION("""COMPUTED_VALUE"""),7.071463534E9)</f>
        <v>7071463534</v>
      </c>
      <c r="D722" s="1">
        <f>IFERROR(__xludf.DUMMYFUNCTION("""COMPUTED_VALUE"""),2.0)</f>
        <v>2</v>
      </c>
      <c r="E722" s="3">
        <f>IFERROR(__xludf.DUMMYFUNCTION("""COMPUTED_VALUE"""),0.625)</f>
        <v>0.625</v>
      </c>
      <c r="F722" s="1" t="str">
        <f>IFERROR(__xludf.DUMMYFUNCTION("""COMPUTED_VALUE"""),"Plain Gold")</f>
        <v>Plain Gold</v>
      </c>
      <c r="G722" s="1" t="str">
        <f>IFERROR(__xludf.DUMMYFUNCTION("""COMPUTED_VALUE"""),"Tannu")</f>
        <v>Tannu</v>
      </c>
      <c r="H722" s="1" t="str">
        <f>IFERROR(__xludf.DUMMYFUNCTION("""COMPUTED_VALUE"""),"1 gm gold coin ")</f>
        <v>1 gm gold coin </v>
      </c>
      <c r="I722" s="1"/>
      <c r="J722" s="1"/>
      <c r="K722" s="3">
        <f>IFERROR(__xludf.DUMMYFUNCTION("""COMPUTED_VALUE"""),0.6458333333357587)</f>
        <v>0.6458333333</v>
      </c>
      <c r="L722" s="1" t="str">
        <f>IFERROR(__xludf.DUMMYFUNCTION("""COMPUTED_VALUE"""),"Yes")</f>
        <v>Yes</v>
      </c>
      <c r="M722" s="1" t="str">
        <f>IFERROR(__xludf.DUMMYFUNCTION("""COMPUTED_VALUE"""),"Yes")</f>
        <v>Yes</v>
      </c>
      <c r="N722" s="1" t="str">
        <f>IFERROR(__xludf.DUMMYFUNCTION("""COMPUTED_VALUE"""),"Yes")</f>
        <v>Yes</v>
      </c>
      <c r="O722" s="1" t="str">
        <f>IFERROR(__xludf.DUMMYFUNCTION("""COMPUTED_VALUE"""),"WA ONLY, CALL")</f>
        <v>WA ONLY, CALL</v>
      </c>
      <c r="P722" s="1" t="str">
        <f>IFERROR(__xludf.DUMMYFUNCTION("""COMPUTED_VALUE"""),"Sir")</f>
        <v>Sir</v>
      </c>
      <c r="Q722" s="1" t="str">
        <f>IFERROR(__xludf.DUMMYFUNCTION("""COMPUTED_VALUE"""),"No")</f>
        <v>No</v>
      </c>
      <c r="R722" s="1" t="str">
        <f>IFERROR(__xludf.DUMMYFUNCTION("""COMPUTED_VALUE"""),"NEW WALK IN")</f>
        <v>NEW WALK IN</v>
      </c>
      <c r="S722" s="1"/>
    </row>
    <row r="723">
      <c r="A723" s="2">
        <f>IFERROR(__xludf.DUMMYFUNCTION("""COMPUTED_VALUE"""),45576.758352488425)</f>
        <v>45576.75835</v>
      </c>
      <c r="B723" s="1" t="str">
        <f>IFERROR(__xludf.DUMMYFUNCTION("""COMPUTED_VALUE"""),"Aarohi")</f>
        <v>Aarohi</v>
      </c>
      <c r="C723" s="1">
        <f>IFERROR(__xludf.DUMMYFUNCTION("""COMPUTED_VALUE"""),7.982443155E9)</f>
        <v>7982443155</v>
      </c>
      <c r="D723" s="1">
        <f>IFERROR(__xludf.DUMMYFUNCTION("""COMPUTED_VALUE"""),1.0)</f>
        <v>1</v>
      </c>
      <c r="E723" s="3">
        <f>IFERROR(__xludf.DUMMYFUNCTION("""COMPUTED_VALUE"""),0.6805555555547471)</f>
        <v>0.6805555556</v>
      </c>
      <c r="F723" s="1" t="str">
        <f>IFERROR(__xludf.DUMMYFUNCTION("""COMPUTED_VALUE"""),"Plain Gold")</f>
        <v>Plain Gold</v>
      </c>
      <c r="G723" s="1" t="str">
        <f>IFERROR(__xludf.DUMMYFUNCTION("""COMPUTED_VALUE"""),"Preeti")</f>
        <v>Preeti</v>
      </c>
      <c r="H723" s="1"/>
      <c r="I723" s="1" t="str">
        <f>IFERROR(__xludf.DUMMYFUNCTION("""COMPUTED_VALUE"""),"Send the polki set pic and select the pic and visit ")</f>
        <v>Send the polki set pic and select the pic and visit </v>
      </c>
      <c r="J723" s="1"/>
      <c r="K723" s="3">
        <f>IFERROR(__xludf.DUMMYFUNCTION("""COMPUTED_VALUE"""),0.7152777777810115)</f>
        <v>0.7152777778</v>
      </c>
      <c r="L723" s="1" t="str">
        <f>IFERROR(__xludf.DUMMYFUNCTION("""COMPUTED_VALUE"""),"Yes")</f>
        <v>Yes</v>
      </c>
      <c r="M723" s="1" t="str">
        <f>IFERROR(__xludf.DUMMYFUNCTION("""COMPUTED_VALUE"""),"Already done ")</f>
        <v>Already done </v>
      </c>
      <c r="N723" s="1" t="str">
        <f>IFERROR(__xludf.DUMMYFUNCTION("""COMPUTED_VALUE"""),"Already done ")</f>
        <v>Already done </v>
      </c>
      <c r="O723" s="1" t="str">
        <f>IFERROR(__xludf.DUMMYFUNCTION("""COMPUTED_VALUE"""),"WA ONLY, CALL")</f>
        <v>WA ONLY, CALL</v>
      </c>
      <c r="P723" s="1" t="str">
        <f>IFERROR(__xludf.DUMMYFUNCTION("""COMPUTED_VALUE"""),"Madam")</f>
        <v>Madam</v>
      </c>
      <c r="Q723" s="1" t="str">
        <f>IFERROR(__xludf.DUMMYFUNCTION("""COMPUTED_VALUE"""),"No")</f>
        <v>No</v>
      </c>
      <c r="R723" s="1" t="str">
        <f>IFERROR(__xludf.DUMMYFUNCTION("""COMPUTED_VALUE"""),"OLD")</f>
        <v>OLD</v>
      </c>
      <c r="S723" s="1"/>
    </row>
    <row r="724">
      <c r="A724" s="2">
        <f>IFERROR(__xludf.DUMMYFUNCTION("""COMPUTED_VALUE"""),45576.759181898145)</f>
        <v>45576.75918</v>
      </c>
      <c r="B724" s="1" t="str">
        <f>IFERROR(__xludf.DUMMYFUNCTION("""COMPUTED_VALUE"""),"Neha")</f>
        <v>Neha</v>
      </c>
      <c r="C724" s="1">
        <f>IFERROR(__xludf.DUMMYFUNCTION("""COMPUTED_VALUE"""),9.899973808E9)</f>
        <v>9899973808</v>
      </c>
      <c r="D724" s="1">
        <f>IFERROR(__xludf.DUMMYFUNCTION("""COMPUTED_VALUE"""),2.0)</f>
        <v>2</v>
      </c>
      <c r="E724" s="3">
        <f>IFERROR(__xludf.DUMMYFUNCTION("""COMPUTED_VALUE"""),0.7312499999970896)</f>
        <v>0.73125</v>
      </c>
      <c r="F724" s="1" t="str">
        <f>IFERROR(__xludf.DUMMYFUNCTION("""COMPUTED_VALUE"""),"Antique Gold")</f>
        <v>Antique Gold</v>
      </c>
      <c r="G724" s="1" t="str">
        <f>IFERROR(__xludf.DUMMYFUNCTION("""COMPUTED_VALUE"""),"Pooja")</f>
        <v>Pooja</v>
      </c>
      <c r="H724" s="1"/>
      <c r="I724" s="1" t="str">
        <f>IFERROR(__xludf.DUMMYFUNCTION("""COMPUTED_VALUE"""),"Explore the shos pand visit again")</f>
        <v>Explore the shos pand visit again</v>
      </c>
      <c r="J724" s="1"/>
      <c r="K724" s="3">
        <f>IFERROR(__xludf.DUMMYFUNCTION("""COMPUTED_VALUE"""),0.7354166666627862)</f>
        <v>0.7354166667</v>
      </c>
      <c r="L724" s="1" t="str">
        <f>IFERROR(__xludf.DUMMYFUNCTION("""COMPUTED_VALUE"""),"No")</f>
        <v>No</v>
      </c>
      <c r="M724" s="1" t="str">
        <f>IFERROR(__xludf.DUMMYFUNCTION("""COMPUTED_VALUE"""),"No")</f>
        <v>No</v>
      </c>
      <c r="N724" s="1" t="str">
        <f>IFERROR(__xludf.DUMMYFUNCTION("""COMPUTED_VALUE"""),"No")</f>
        <v>No</v>
      </c>
      <c r="O724" s="1" t="str">
        <f>IFERROR(__xludf.DUMMYFUNCTION("""COMPUTED_VALUE"""),"WA ONLY, CALL")</f>
        <v>WA ONLY, CALL</v>
      </c>
      <c r="P724" s="1" t="str">
        <f>IFERROR(__xludf.DUMMYFUNCTION("""COMPUTED_VALUE"""),"Madam")</f>
        <v>Madam</v>
      </c>
      <c r="Q724" s="1" t="str">
        <f>IFERROR(__xludf.DUMMYFUNCTION("""COMPUTED_VALUE"""),"No")</f>
        <v>No</v>
      </c>
      <c r="R724" s="1" t="str">
        <f>IFERROR(__xludf.DUMMYFUNCTION("""COMPUTED_VALUE"""),"NEW WALK IN")</f>
        <v>NEW WALK IN</v>
      </c>
      <c r="S724" s="1"/>
    </row>
    <row r="725">
      <c r="A725" s="2">
        <f>IFERROR(__xludf.DUMMYFUNCTION("""COMPUTED_VALUE"""),45576.761404502315)</f>
        <v>45576.7614</v>
      </c>
      <c r="B725" s="1" t="str">
        <f>IFERROR(__xludf.DUMMYFUNCTION("""COMPUTED_VALUE"""),"Rajeev")</f>
        <v>Rajeev</v>
      </c>
      <c r="C725" s="1">
        <f>IFERROR(__xludf.DUMMYFUNCTION("""COMPUTED_VALUE"""),9.31268844E9)</f>
        <v>9312688440</v>
      </c>
      <c r="D725" s="1">
        <f>IFERROR(__xludf.DUMMYFUNCTION("""COMPUTED_VALUE"""),2.0)</f>
        <v>2</v>
      </c>
      <c r="E725" s="3">
        <f>IFERROR(__xludf.DUMMYFUNCTION("""COMPUTED_VALUE"""),0.7451388888875954)</f>
        <v>0.7451388889</v>
      </c>
      <c r="F725" s="1" t="str">
        <f>IFERROR(__xludf.DUMMYFUNCTION("""COMPUTED_VALUE"""),"Diamond")</f>
        <v>Diamond</v>
      </c>
      <c r="G725" s="1" t="str">
        <f>IFERROR(__xludf.DUMMYFUNCTION("""COMPUTED_VALUE"""),"Pooja")</f>
        <v>Pooja</v>
      </c>
      <c r="H725" s="1"/>
      <c r="I725" s="1" t="str">
        <f>IFERROR(__xludf.DUMMYFUNCTION("""COMPUTED_VALUE"""),"Silver nandi is not avaliable in the stok")</f>
        <v>Silver nandi is not avaliable in the stok</v>
      </c>
      <c r="J725" s="1"/>
      <c r="K725" s="3">
        <f>IFERROR(__xludf.DUMMYFUNCTION("""COMPUTED_VALUE"""),0.7562499999985448)</f>
        <v>0.75625</v>
      </c>
      <c r="L725" s="1" t="str">
        <f>IFERROR(__xludf.DUMMYFUNCTION("""COMPUTED_VALUE"""),"No")</f>
        <v>No</v>
      </c>
      <c r="M725" s="1" t="str">
        <f>IFERROR(__xludf.DUMMYFUNCTION("""COMPUTED_VALUE"""),"No")</f>
        <v>No</v>
      </c>
      <c r="N725" s="1" t="str">
        <f>IFERROR(__xludf.DUMMYFUNCTION("""COMPUTED_VALUE"""),"No")</f>
        <v>No</v>
      </c>
      <c r="O725" s="1" t="str">
        <f>IFERROR(__xludf.DUMMYFUNCTION("""COMPUTED_VALUE"""),"WA ONLY, CALL")</f>
        <v>WA ONLY, CALL</v>
      </c>
      <c r="P725" s="1" t="str">
        <f>IFERROR(__xludf.DUMMYFUNCTION("""COMPUTED_VALUE"""),"Sir")</f>
        <v>Sir</v>
      </c>
      <c r="Q725" s="1" t="str">
        <f>IFERROR(__xludf.DUMMYFUNCTION("""COMPUTED_VALUE"""),"Yes")</f>
        <v>Yes</v>
      </c>
      <c r="R725" s="1" t="str">
        <f>IFERROR(__xludf.DUMMYFUNCTION("""COMPUTED_VALUE"""),"NEW WALK IN")</f>
        <v>NEW WALK IN</v>
      </c>
      <c r="S725" s="1"/>
    </row>
    <row r="726">
      <c r="A726" s="2">
        <f>IFERROR(__xludf.DUMMYFUNCTION("""COMPUTED_VALUE"""),45576.8287552199)</f>
        <v>45576.82876</v>
      </c>
      <c r="B726" s="1" t="str">
        <f>IFERROR(__xludf.DUMMYFUNCTION("""COMPUTED_VALUE"""),"Saima")</f>
        <v>Saima</v>
      </c>
      <c r="C726" s="1">
        <f>IFERROR(__xludf.DUMMYFUNCTION("""COMPUTED_VALUE"""),9.971250049E9)</f>
        <v>9971250049</v>
      </c>
      <c r="D726" s="1">
        <f>IFERROR(__xludf.DUMMYFUNCTION("""COMPUTED_VALUE"""),3.0)</f>
        <v>3</v>
      </c>
      <c r="E726" s="3">
        <f>IFERROR(__xludf.DUMMYFUNCTION("""COMPUTED_VALUE"""),0.7798611111065838)</f>
        <v>0.7798611111</v>
      </c>
      <c r="F726" s="1" t="str">
        <f>IFERROR(__xludf.DUMMYFUNCTION("""COMPUTED_VALUE"""),"Antique Gold")</f>
        <v>Antique Gold</v>
      </c>
      <c r="G726" s="1" t="str">
        <f>IFERROR(__xludf.DUMMYFUNCTION("""COMPUTED_VALUE"""),"Pooja")</f>
        <v>Pooja</v>
      </c>
      <c r="H726" s="1" t="str">
        <f>IFERROR(__xludf.DUMMYFUNCTION("""COMPUTED_VALUE"""),"Gold tops ")</f>
        <v>Gold tops </v>
      </c>
      <c r="I726" s="1"/>
      <c r="J726" s="1"/>
      <c r="K726" s="3">
        <f>IFERROR(__xludf.DUMMYFUNCTION("""COMPUTED_VALUE"""),0.8249999999970896)</f>
        <v>0.825</v>
      </c>
      <c r="L726" s="1" t="str">
        <f>IFERROR(__xludf.DUMMYFUNCTION("""COMPUTED_VALUE"""),"Yes")</f>
        <v>Yes</v>
      </c>
      <c r="M726" s="1" t="str">
        <f>IFERROR(__xludf.DUMMYFUNCTION("""COMPUTED_VALUE"""),"Already done ")</f>
        <v>Already done </v>
      </c>
      <c r="N726" s="1" t="str">
        <f>IFERROR(__xludf.DUMMYFUNCTION("""COMPUTED_VALUE"""),"Already done ")</f>
        <v>Already done </v>
      </c>
      <c r="O726" s="1" t="str">
        <f>IFERROR(__xludf.DUMMYFUNCTION("""COMPUTED_VALUE"""),"WA ONLY, CALL")</f>
        <v>WA ONLY, CALL</v>
      </c>
      <c r="P726" s="1" t="str">
        <f>IFERROR(__xludf.DUMMYFUNCTION("""COMPUTED_VALUE"""),"Madam")</f>
        <v>Madam</v>
      </c>
      <c r="Q726" s="1" t="str">
        <f>IFERROR(__xludf.DUMMYFUNCTION("""COMPUTED_VALUE"""),"Yes")</f>
        <v>Yes</v>
      </c>
      <c r="R726" s="1" t="str">
        <f>IFERROR(__xludf.DUMMYFUNCTION("""COMPUTED_VALUE"""),"OLD")</f>
        <v>OLD</v>
      </c>
      <c r="S726" s="1"/>
    </row>
    <row r="727">
      <c r="A727" s="2">
        <f>IFERROR(__xludf.DUMMYFUNCTION("""COMPUTED_VALUE"""),45576.82986653935)</f>
        <v>45576.82987</v>
      </c>
      <c r="B727" s="1" t="str">
        <f>IFERROR(__xludf.DUMMYFUNCTION("""COMPUTED_VALUE"""),"Akhil")</f>
        <v>Akhil</v>
      </c>
      <c r="C727" s="1">
        <f>IFERROR(__xludf.DUMMYFUNCTION("""COMPUTED_VALUE"""),9.99966365E9)</f>
        <v>9999663650</v>
      </c>
      <c r="D727" s="1">
        <f>IFERROR(__xludf.DUMMYFUNCTION("""COMPUTED_VALUE"""),2.0)</f>
        <v>2</v>
      </c>
      <c r="E727" s="3">
        <f>IFERROR(__xludf.DUMMYFUNCTION("""COMPUTED_VALUE"""),0.8208333333313931)</f>
        <v>0.8208333333</v>
      </c>
      <c r="F727" s="1" t="str">
        <f>IFERROR(__xludf.DUMMYFUNCTION("""COMPUTED_VALUE"""),"Diamond")</f>
        <v>Diamond</v>
      </c>
      <c r="G727" s="1" t="str">
        <f>IFERROR(__xludf.DUMMYFUNCTION("""COMPUTED_VALUE"""),"Preeti")</f>
        <v>Preeti</v>
      </c>
      <c r="H727" s="1"/>
      <c r="I727" s="1" t="str">
        <f>IFERROR(__xludf.DUMMYFUNCTION("""COMPUTED_VALUE"""),"Making High or Wants Discount")</f>
        <v>Making High or Wants Discount</v>
      </c>
      <c r="J727" s="1"/>
      <c r="K727" s="3">
        <f>IFERROR(__xludf.DUMMYFUNCTION("""COMPUTED_VALUE"""),0.8243055555576575)</f>
        <v>0.8243055556</v>
      </c>
      <c r="L727" s="1" t="str">
        <f>IFERROR(__xludf.DUMMYFUNCTION("""COMPUTED_VALUE"""),"No")</f>
        <v>No</v>
      </c>
      <c r="M727" s="1" t="str">
        <f>IFERROR(__xludf.DUMMYFUNCTION("""COMPUTED_VALUE"""),"No")</f>
        <v>No</v>
      </c>
      <c r="N727" s="1" t="str">
        <f>IFERROR(__xludf.DUMMYFUNCTION("""COMPUTED_VALUE"""),"No")</f>
        <v>No</v>
      </c>
      <c r="O727" s="1" t="str">
        <f>IFERROR(__xludf.DUMMYFUNCTION("""COMPUTED_VALUE"""),"WA ONLY, CALL")</f>
        <v>WA ONLY, CALL</v>
      </c>
      <c r="P727" s="1" t="str">
        <f>IFERROR(__xludf.DUMMYFUNCTION("""COMPUTED_VALUE"""),"Sir")</f>
        <v>Sir</v>
      </c>
      <c r="Q727" s="1" t="str">
        <f>IFERROR(__xludf.DUMMYFUNCTION("""COMPUTED_VALUE"""),"No")</f>
        <v>No</v>
      </c>
      <c r="R727" s="1" t="str">
        <f>IFERROR(__xludf.DUMMYFUNCTION("""COMPUTED_VALUE"""),"NEW WALK IN")</f>
        <v>NEW WALK IN</v>
      </c>
      <c r="S727" s="1"/>
    </row>
    <row r="728">
      <c r="A728" s="2">
        <f>IFERROR(__xludf.DUMMYFUNCTION("""COMPUTED_VALUE"""),45577.68545123843)</f>
        <v>45577.68545</v>
      </c>
      <c r="B728" s="1" t="str">
        <f>IFERROR(__xludf.DUMMYFUNCTION("""COMPUTED_VALUE"""),"Ritika")</f>
        <v>Ritika</v>
      </c>
      <c r="C728" s="1">
        <f>IFERROR(__xludf.DUMMYFUNCTION("""COMPUTED_VALUE"""),8.287915548E9)</f>
        <v>8287915548</v>
      </c>
      <c r="D728" s="1">
        <f>IFERROR(__xludf.DUMMYFUNCTION("""COMPUTED_VALUE"""),1.0)</f>
        <v>1</v>
      </c>
      <c r="E728" s="3">
        <f>IFERROR(__xludf.DUMMYFUNCTION("""COMPUTED_VALUE"""),0.6041666666642413)</f>
        <v>0.6041666667</v>
      </c>
      <c r="F728" s="1" t="str">
        <f>IFERROR(__xludf.DUMMYFUNCTION("""COMPUTED_VALUE"""),"Plain Gold")</f>
        <v>Plain Gold</v>
      </c>
      <c r="G728" s="1" t="str">
        <f>IFERROR(__xludf.DUMMYFUNCTION("""COMPUTED_VALUE"""),"Tannu")</f>
        <v>Tannu</v>
      </c>
      <c r="H728" s="1" t="str">
        <f>IFERROR(__xludf.DUMMYFUNCTION("""COMPUTED_VALUE"""),"Gold ring,gold nose pin")</f>
        <v>Gold ring,gold nose pin</v>
      </c>
      <c r="I728" s="1"/>
      <c r="J728" s="1"/>
      <c r="K728" s="3">
        <f>IFERROR(__xludf.DUMMYFUNCTION("""COMPUTED_VALUE"""),0.6805555555547471)</f>
        <v>0.6805555556</v>
      </c>
      <c r="L728" s="1" t="str">
        <f>IFERROR(__xludf.DUMMYFUNCTION("""COMPUTED_VALUE"""),"Yes")</f>
        <v>Yes</v>
      </c>
      <c r="M728" s="1" t="str">
        <f>IFERROR(__xludf.DUMMYFUNCTION("""COMPUTED_VALUE"""),"Yes")</f>
        <v>Yes</v>
      </c>
      <c r="N728" s="1" t="str">
        <f>IFERROR(__xludf.DUMMYFUNCTION("""COMPUTED_VALUE"""),"Yes")</f>
        <v>Yes</v>
      </c>
      <c r="O728" s="1" t="str">
        <f>IFERROR(__xludf.DUMMYFUNCTION("""COMPUTED_VALUE"""),"WA ONLY, CALL")</f>
        <v>WA ONLY, CALL</v>
      </c>
      <c r="P728" s="1" t="str">
        <f>IFERROR(__xludf.DUMMYFUNCTION("""COMPUTED_VALUE"""),"Madam")</f>
        <v>Madam</v>
      </c>
      <c r="Q728" s="1" t="str">
        <f>IFERROR(__xludf.DUMMYFUNCTION("""COMPUTED_VALUE"""),"No")</f>
        <v>No</v>
      </c>
      <c r="R728" s="1" t="str">
        <f>IFERROR(__xludf.DUMMYFUNCTION("""COMPUTED_VALUE"""),"NEW WALK IN")</f>
        <v>NEW WALK IN</v>
      </c>
      <c r="S728" s="1" t="str">
        <f>IFERROR(__xludf.DUMMYFUNCTION("""COMPUTED_VALUE"""),"Ritika")</f>
        <v>Ritika</v>
      </c>
    </row>
    <row r="729">
      <c r="A729" s="2">
        <f>IFERROR(__xludf.DUMMYFUNCTION("""COMPUTED_VALUE"""),45577.68641178241)</f>
        <v>45577.68641</v>
      </c>
      <c r="B729" s="1" t="str">
        <f>IFERROR(__xludf.DUMMYFUNCTION("""COMPUTED_VALUE"""),"Naman")</f>
        <v>Naman</v>
      </c>
      <c r="C729" s="1">
        <f>IFERROR(__xludf.DUMMYFUNCTION("""COMPUTED_VALUE"""),9.89999281E9)</f>
        <v>9899992810</v>
      </c>
      <c r="D729" s="1">
        <f>IFERROR(__xludf.DUMMYFUNCTION("""COMPUTED_VALUE"""),2.0)</f>
        <v>2</v>
      </c>
      <c r="E729" s="3">
        <f>IFERROR(__xludf.DUMMYFUNCTION("""COMPUTED_VALUE"""),0.6194444444408873)</f>
        <v>0.6194444444</v>
      </c>
      <c r="F729" s="1" t="str">
        <f>IFERROR(__xludf.DUMMYFUNCTION("""COMPUTED_VALUE"""),"Diamond")</f>
        <v>Diamond</v>
      </c>
      <c r="G729" s="1" t="str">
        <f>IFERROR(__xludf.DUMMYFUNCTION("""COMPUTED_VALUE"""),"Deepali")</f>
        <v>Deepali</v>
      </c>
      <c r="H729" s="1"/>
      <c r="I729" s="1" t="str">
        <f>IFERROR(__xludf.DUMMYFUNCTION("""COMPUTED_VALUE"""),"God eyes is not available in the stok")</f>
        <v>God eyes is not available in the stok</v>
      </c>
      <c r="J729" s="1"/>
      <c r="K729" s="3">
        <f>IFERROR(__xludf.DUMMYFUNCTION("""COMPUTED_VALUE"""),0.6208333333343035)</f>
        <v>0.6208333333</v>
      </c>
      <c r="L729" s="1" t="str">
        <f>IFERROR(__xludf.DUMMYFUNCTION("""COMPUTED_VALUE"""),"No")</f>
        <v>No</v>
      </c>
      <c r="M729" s="1" t="str">
        <f>IFERROR(__xludf.DUMMYFUNCTION("""COMPUTED_VALUE"""),"No")</f>
        <v>No</v>
      </c>
      <c r="N729" s="1" t="str">
        <f>IFERROR(__xludf.DUMMYFUNCTION("""COMPUTED_VALUE"""),"No")</f>
        <v>No</v>
      </c>
      <c r="O729" s="1" t="str">
        <f>IFERROR(__xludf.DUMMYFUNCTION("""COMPUTED_VALUE"""),"WA ONLY, CALL")</f>
        <v>WA ONLY, CALL</v>
      </c>
      <c r="P729" s="1" t="str">
        <f>IFERROR(__xludf.DUMMYFUNCTION("""COMPUTED_VALUE"""),"Sir")</f>
        <v>Sir</v>
      </c>
      <c r="Q729" s="1" t="str">
        <f>IFERROR(__xludf.DUMMYFUNCTION("""COMPUTED_VALUE"""),"No")</f>
        <v>No</v>
      </c>
      <c r="R729" s="1" t="str">
        <f>IFERROR(__xludf.DUMMYFUNCTION("""COMPUTED_VALUE"""),"NEW WALK IN")</f>
        <v>NEW WALK IN</v>
      </c>
      <c r="S729" s="1"/>
    </row>
    <row r="730">
      <c r="A730" s="2">
        <f>IFERROR(__xludf.DUMMYFUNCTION("""COMPUTED_VALUE"""),45578.77203450231)</f>
        <v>45578.77203</v>
      </c>
      <c r="B730" s="1" t="str">
        <f>IFERROR(__xludf.DUMMYFUNCTION("""COMPUTED_VALUE"""),"Partyakshi")</f>
        <v>Partyakshi</v>
      </c>
      <c r="C730" s="1">
        <f>IFERROR(__xludf.DUMMYFUNCTION("""COMPUTED_VALUE"""),9.350934841E9)</f>
        <v>9350934841</v>
      </c>
      <c r="D730" s="1">
        <f>IFERROR(__xludf.DUMMYFUNCTION("""COMPUTED_VALUE"""),2.0)</f>
        <v>2</v>
      </c>
      <c r="E730" s="3">
        <f>IFERROR(__xludf.DUMMYFUNCTION("""COMPUTED_VALUE"""),0.5625)</f>
        <v>0.5625</v>
      </c>
      <c r="F730" s="1" t="str">
        <f>IFERROR(__xludf.DUMMYFUNCTION("""COMPUTED_VALUE"""),"Plain Gold")</f>
        <v>Plain Gold</v>
      </c>
      <c r="G730" s="1" t="str">
        <f>IFERROR(__xludf.DUMMYFUNCTION("""COMPUTED_VALUE"""),"Tannu")</f>
        <v>Tannu</v>
      </c>
      <c r="H730" s="1" t="str">
        <f>IFERROR(__xludf.DUMMYFUNCTION("""COMPUTED_VALUE"""),"Silver payal")</f>
        <v>Silver payal</v>
      </c>
      <c r="I730" s="1"/>
      <c r="J730" s="1"/>
      <c r="K730" s="3">
        <f>IFERROR(__xludf.DUMMYFUNCTION("""COMPUTED_VALUE"""),0.5840277777751908)</f>
        <v>0.5840277778</v>
      </c>
      <c r="L730" s="1" t="str">
        <f>IFERROR(__xludf.DUMMYFUNCTION("""COMPUTED_VALUE"""),"Yes")</f>
        <v>Yes</v>
      </c>
      <c r="M730" s="1" t="str">
        <f>IFERROR(__xludf.DUMMYFUNCTION("""COMPUTED_VALUE"""),"Yes")</f>
        <v>Yes</v>
      </c>
      <c r="N730" s="1" t="str">
        <f>IFERROR(__xludf.DUMMYFUNCTION("""COMPUTED_VALUE"""),"Yes ")</f>
        <v>Yes </v>
      </c>
      <c r="O730" s="1" t="str">
        <f>IFERROR(__xludf.DUMMYFUNCTION("""COMPUTED_VALUE"""),"WA ONLY, CALL")</f>
        <v>WA ONLY, CALL</v>
      </c>
      <c r="P730" s="1" t="str">
        <f>IFERROR(__xludf.DUMMYFUNCTION("""COMPUTED_VALUE"""),"Sir")</f>
        <v>Sir</v>
      </c>
      <c r="Q730" s="1" t="str">
        <f>IFERROR(__xludf.DUMMYFUNCTION("""COMPUTED_VALUE"""),"No")</f>
        <v>No</v>
      </c>
      <c r="R730" s="1" t="str">
        <f>IFERROR(__xludf.DUMMYFUNCTION("""COMPUTED_VALUE"""),"NEW WALK IN")</f>
        <v>NEW WALK IN</v>
      </c>
      <c r="S730" s="1"/>
    </row>
    <row r="731">
      <c r="A731" s="2">
        <f>IFERROR(__xludf.DUMMYFUNCTION("""COMPUTED_VALUE"""),45578.77321731481)</f>
        <v>45578.77322</v>
      </c>
      <c r="B731" s="1" t="str">
        <f>IFERROR(__xludf.DUMMYFUNCTION("""COMPUTED_VALUE"""),"M.d tohib")</f>
        <v>M.d tohib</v>
      </c>
      <c r="C731" s="1">
        <f>IFERROR(__xludf.DUMMYFUNCTION("""COMPUTED_VALUE"""),9.911070398E9)</f>
        <v>9911070398</v>
      </c>
      <c r="D731" s="1">
        <f>IFERROR(__xludf.DUMMYFUNCTION("""COMPUTED_VALUE"""),3.0)</f>
        <v>3</v>
      </c>
      <c r="E731" s="3">
        <f>IFERROR(__xludf.DUMMYFUNCTION("""COMPUTED_VALUE"""),0.663888888884685)</f>
        <v>0.6638888889</v>
      </c>
      <c r="F731" s="1" t="str">
        <f>IFERROR(__xludf.DUMMYFUNCTION("""COMPUTED_VALUE"""),"Plain Gold")</f>
        <v>Plain Gold</v>
      </c>
      <c r="G731" s="1" t="str">
        <f>IFERROR(__xludf.DUMMYFUNCTION("""COMPUTED_VALUE"""),"Deepali")</f>
        <v>Deepali</v>
      </c>
      <c r="H731" s="1"/>
      <c r="I731" s="1" t="str">
        <f>IFERROR(__xludf.DUMMYFUNCTION("""COMPUTED_VALUE"""),"Only Ask for Gold Rate")</f>
        <v>Only Ask for Gold Rate</v>
      </c>
      <c r="J731" s="1"/>
      <c r="K731" s="3">
        <f>IFERROR(__xludf.DUMMYFUNCTION("""COMPUTED_VALUE"""),0.6701388888905058)</f>
        <v>0.6701388889</v>
      </c>
      <c r="L731" s="1" t="str">
        <f>IFERROR(__xludf.DUMMYFUNCTION("""COMPUTED_VALUE"""),"No")</f>
        <v>No</v>
      </c>
      <c r="M731" s="1" t="str">
        <f>IFERROR(__xludf.DUMMYFUNCTION("""COMPUTED_VALUE"""),"No")</f>
        <v>No</v>
      </c>
      <c r="N731" s="1" t="str">
        <f>IFERROR(__xludf.DUMMYFUNCTION("""COMPUTED_VALUE"""),"No")</f>
        <v>No</v>
      </c>
      <c r="O731" s="1" t="str">
        <f>IFERROR(__xludf.DUMMYFUNCTION("""COMPUTED_VALUE"""),"WA ONLY, CALL")</f>
        <v>WA ONLY, CALL</v>
      </c>
      <c r="P731" s="1" t="str">
        <f>IFERROR(__xludf.DUMMYFUNCTION("""COMPUTED_VALUE"""),"Sir")</f>
        <v>Sir</v>
      </c>
      <c r="Q731" s="1" t="str">
        <f>IFERROR(__xludf.DUMMYFUNCTION("""COMPUTED_VALUE"""),"No")</f>
        <v>No</v>
      </c>
      <c r="R731" s="1" t="str">
        <f>IFERROR(__xludf.DUMMYFUNCTION("""COMPUTED_VALUE"""),"NEW WALK IN")</f>
        <v>NEW WALK IN</v>
      </c>
      <c r="S731" s="1"/>
    </row>
    <row r="732">
      <c r="A732" s="2">
        <f>IFERROR(__xludf.DUMMYFUNCTION("""COMPUTED_VALUE"""),45578.77487033565)</f>
        <v>45578.77487</v>
      </c>
      <c r="B732" s="1" t="str">
        <f>IFERROR(__xludf.DUMMYFUNCTION("""COMPUTED_VALUE"""),"Swapnarai rath")</f>
        <v>Swapnarai rath</v>
      </c>
      <c r="C732" s="1">
        <f>IFERROR(__xludf.DUMMYFUNCTION("""COMPUTED_VALUE"""),8.368494008E9)</f>
        <v>8368494008</v>
      </c>
      <c r="D732" s="1">
        <f>IFERROR(__xludf.DUMMYFUNCTION("""COMPUTED_VALUE"""),2.0)</f>
        <v>2</v>
      </c>
      <c r="E732" s="3">
        <f>IFERROR(__xludf.DUMMYFUNCTION("""COMPUTED_VALUE"""),0.6770833333357587)</f>
        <v>0.6770833333</v>
      </c>
      <c r="F732" s="1" t="str">
        <f>IFERROR(__xludf.DUMMYFUNCTION("""COMPUTED_VALUE"""),"Antique Gold")</f>
        <v>Antique Gold</v>
      </c>
      <c r="G732" s="1" t="str">
        <f>IFERROR(__xludf.DUMMYFUNCTION("""COMPUTED_VALUE"""),"Pooja")</f>
        <v>Pooja</v>
      </c>
      <c r="H732" s="1" t="str">
        <f>IFERROR(__xludf.DUMMYFUNCTION("""COMPUTED_VALUE"""),"Gold nat,tika,bangle,pendent advance payment done ")</f>
        <v>Gold nat,tika,bangle,pendent advance payment done </v>
      </c>
      <c r="I732" s="1"/>
      <c r="J732" s="1"/>
      <c r="K732" s="3">
        <f>IFERROR(__xludf.DUMMYFUNCTION("""COMPUTED_VALUE"""),0.7604166666642413)</f>
        <v>0.7604166667</v>
      </c>
      <c r="L732" s="1" t="str">
        <f>IFERROR(__xludf.DUMMYFUNCTION("""COMPUTED_VALUE"""),"Yes")</f>
        <v>Yes</v>
      </c>
      <c r="M732" s="1" t="str">
        <f>IFERROR(__xludf.DUMMYFUNCTION("""COMPUTED_VALUE"""),"Already done ")</f>
        <v>Already done </v>
      </c>
      <c r="N732" s="1" t="str">
        <f>IFERROR(__xludf.DUMMYFUNCTION("""COMPUTED_VALUE"""),"Already done ")</f>
        <v>Already done </v>
      </c>
      <c r="O732" s="1" t="str">
        <f>IFERROR(__xludf.DUMMYFUNCTION("""COMPUTED_VALUE"""),"WA ONLY, CALL")</f>
        <v>WA ONLY, CALL</v>
      </c>
      <c r="P732" s="1" t="str">
        <f>IFERROR(__xludf.DUMMYFUNCTION("""COMPUTED_VALUE"""),"Madam")</f>
        <v>Madam</v>
      </c>
      <c r="Q732" s="1" t="str">
        <f>IFERROR(__xludf.DUMMYFUNCTION("""COMPUTED_VALUE"""),"No")</f>
        <v>No</v>
      </c>
      <c r="R732" s="1" t="str">
        <f>IFERROR(__xludf.DUMMYFUNCTION("""COMPUTED_VALUE"""),"OLD")</f>
        <v>OLD</v>
      </c>
      <c r="S732" s="1"/>
    </row>
    <row r="733">
      <c r="A733" s="2">
        <f>IFERROR(__xludf.DUMMYFUNCTION("""COMPUTED_VALUE"""),45578.81618203704)</f>
        <v>45578.81618</v>
      </c>
      <c r="B733" s="1" t="str">
        <f>IFERROR(__xludf.DUMMYFUNCTION("""COMPUTED_VALUE"""),"Rakesh")</f>
        <v>Rakesh</v>
      </c>
      <c r="C733" s="1">
        <f>IFERROR(__xludf.DUMMYFUNCTION("""COMPUTED_VALUE"""),9.650513789E9)</f>
        <v>9650513789</v>
      </c>
      <c r="D733" s="1">
        <f>IFERROR(__xludf.DUMMYFUNCTION("""COMPUTED_VALUE"""),3.0)</f>
        <v>3</v>
      </c>
      <c r="E733" s="3">
        <f>IFERROR(__xludf.DUMMYFUNCTION("""COMPUTED_VALUE"""),0.7465277777810115)</f>
        <v>0.7465277778</v>
      </c>
      <c r="F733" s="1" t="str">
        <f>IFERROR(__xludf.DUMMYFUNCTION("""COMPUTED_VALUE"""),"Diamond")</f>
        <v>Diamond</v>
      </c>
      <c r="G733" s="1" t="str">
        <f>IFERROR(__xludf.DUMMYFUNCTION("""COMPUTED_VALUE"""),"Pooja")</f>
        <v>Pooja</v>
      </c>
      <c r="H733" s="1" t="str">
        <f>IFERROR(__xludf.DUMMYFUNCTION("""COMPUTED_VALUE"""),"Antique gold ring ")</f>
        <v>Antique gold ring </v>
      </c>
      <c r="I733" s="1"/>
      <c r="J733" s="1"/>
      <c r="K733" s="3">
        <f>IFERROR(__xludf.DUMMYFUNCTION("""COMPUTED_VALUE"""),0.8194444444452529)</f>
        <v>0.8194444444</v>
      </c>
      <c r="L733" s="1" t="str">
        <f>IFERROR(__xludf.DUMMYFUNCTION("""COMPUTED_VALUE"""),"Yes")</f>
        <v>Yes</v>
      </c>
      <c r="M733" s="1" t="str">
        <f>IFERROR(__xludf.DUMMYFUNCTION("""COMPUTED_VALUE"""),"Yes")</f>
        <v>Yes</v>
      </c>
      <c r="N733" s="1" t="str">
        <f>IFERROR(__xludf.DUMMYFUNCTION("""COMPUTED_VALUE"""),"Yes")</f>
        <v>Yes</v>
      </c>
      <c r="O733" s="1" t="str">
        <f>IFERROR(__xludf.DUMMYFUNCTION("""COMPUTED_VALUE"""),"WA ONLY, CALL")</f>
        <v>WA ONLY, CALL</v>
      </c>
      <c r="P733" s="1" t="str">
        <f>IFERROR(__xludf.DUMMYFUNCTION("""COMPUTED_VALUE"""),"Sir")</f>
        <v>Sir</v>
      </c>
      <c r="Q733" s="1" t="str">
        <f>IFERROR(__xludf.DUMMYFUNCTION("""COMPUTED_VALUE"""),"No")</f>
        <v>No</v>
      </c>
      <c r="R733" s="1" t="str">
        <f>IFERROR(__xludf.DUMMYFUNCTION("""COMPUTED_VALUE"""),"NEW WALK IN")</f>
        <v>NEW WALK IN</v>
      </c>
      <c r="S733" s="1"/>
    </row>
    <row r="734">
      <c r="A734" s="2">
        <f>IFERROR(__xludf.DUMMYFUNCTION("""COMPUTED_VALUE"""),45578.8288278588)</f>
        <v>45578.82883</v>
      </c>
      <c r="B734" s="1" t="str">
        <f>IFERROR(__xludf.DUMMYFUNCTION("""COMPUTED_VALUE"""),"Geeta")</f>
        <v>Geeta</v>
      </c>
      <c r="C734" s="1">
        <f>IFERROR(__xludf.DUMMYFUNCTION("""COMPUTED_VALUE"""),9.868164348E9)</f>
        <v>9868164348</v>
      </c>
      <c r="D734" s="1">
        <f>IFERROR(__xludf.DUMMYFUNCTION("""COMPUTED_VALUE"""),1.0)</f>
        <v>1</v>
      </c>
      <c r="E734" s="3">
        <f>IFERROR(__xludf.DUMMYFUNCTION("""COMPUTED_VALUE"""),0.8215277777781012)</f>
        <v>0.8215277778</v>
      </c>
      <c r="F734" s="1" t="str">
        <f>IFERROR(__xludf.DUMMYFUNCTION("""COMPUTED_VALUE"""),"Diamond")</f>
        <v>Diamond</v>
      </c>
      <c r="G734" s="1" t="str">
        <f>IFERROR(__xludf.DUMMYFUNCTION("""COMPUTED_VALUE"""),"Preeti")</f>
        <v>Preeti</v>
      </c>
      <c r="H734" s="1" t="str">
        <f>IFERROR(__xludf.DUMMYFUNCTION("""COMPUTED_VALUE"""),"Silver bichhue")</f>
        <v>Silver bichhue</v>
      </c>
      <c r="I734" s="1"/>
      <c r="J734" s="1"/>
      <c r="K734" s="3">
        <f>IFERROR(__xludf.DUMMYFUNCTION("""COMPUTED_VALUE"""),0.8333333333357587)</f>
        <v>0.8333333333</v>
      </c>
      <c r="L734" s="1" t="str">
        <f>IFERROR(__xludf.DUMMYFUNCTION("""COMPUTED_VALUE"""),"Yes")</f>
        <v>Yes</v>
      </c>
      <c r="M734" s="1" t="str">
        <f>IFERROR(__xludf.DUMMYFUNCTION("""COMPUTED_VALUE"""),"Yes")</f>
        <v>Yes</v>
      </c>
      <c r="N734" s="1" t="str">
        <f>IFERROR(__xludf.DUMMYFUNCTION("""COMPUTED_VALUE"""),"Yes")</f>
        <v>Yes</v>
      </c>
      <c r="O734" s="1" t="str">
        <f>IFERROR(__xludf.DUMMYFUNCTION("""COMPUTED_VALUE"""),"WA ONLY, CALL")</f>
        <v>WA ONLY, CALL</v>
      </c>
      <c r="P734" s="1" t="str">
        <f>IFERROR(__xludf.DUMMYFUNCTION("""COMPUTED_VALUE"""),"Madam")</f>
        <v>Madam</v>
      </c>
      <c r="Q734" s="1" t="str">
        <f>IFERROR(__xludf.DUMMYFUNCTION("""COMPUTED_VALUE"""),"No")</f>
        <v>No</v>
      </c>
      <c r="R734" s="1" t="str">
        <f>IFERROR(__xludf.DUMMYFUNCTION("""COMPUTED_VALUE"""),"NEW WALK IN")</f>
        <v>NEW WALK IN</v>
      </c>
      <c r="S734" s="1"/>
    </row>
    <row r="735">
      <c r="A735" s="2">
        <f>IFERROR(__xludf.DUMMYFUNCTION("""COMPUTED_VALUE"""),45580.83672871528)</f>
        <v>45580.83673</v>
      </c>
      <c r="B735" s="1" t="str">
        <f>IFERROR(__xludf.DUMMYFUNCTION("""COMPUTED_VALUE"""),"Seema")</f>
        <v>Seema</v>
      </c>
      <c r="C735" s="1">
        <f>IFERROR(__xludf.DUMMYFUNCTION("""COMPUTED_VALUE"""),9.814811848E9)</f>
        <v>9814811848</v>
      </c>
      <c r="D735" s="1">
        <f>IFERROR(__xludf.DUMMYFUNCTION("""COMPUTED_VALUE"""),1.0)</f>
        <v>1</v>
      </c>
      <c r="E735" s="3">
        <f>IFERROR(__xludf.DUMMYFUNCTION("""COMPUTED_VALUE"""),0.5798611111094942)</f>
        <v>0.5798611111</v>
      </c>
      <c r="F735" s="1" t="str">
        <f>IFERROR(__xludf.DUMMYFUNCTION("""COMPUTED_VALUE"""),"Diamond")</f>
        <v>Diamond</v>
      </c>
      <c r="G735" s="1" t="str">
        <f>IFERROR(__xludf.DUMMYFUNCTION("""COMPUTED_VALUE"""),"Preeti")</f>
        <v>Preeti</v>
      </c>
      <c r="H735" s="1"/>
      <c r="I735" s="1" t="str">
        <f>IFERROR(__xludf.DUMMYFUNCTION("""COMPUTED_VALUE"""),"Visit Again in 1 Month")</f>
        <v>Visit Again in 1 Month</v>
      </c>
      <c r="J735" s="1"/>
      <c r="K735" s="3">
        <f>IFERROR(__xludf.DUMMYFUNCTION("""COMPUTED_VALUE"""),0.5875000000014552)</f>
        <v>0.5875</v>
      </c>
      <c r="L735" s="1" t="str">
        <f>IFERROR(__xludf.DUMMYFUNCTION("""COMPUTED_VALUE"""),"Yes")</f>
        <v>Yes</v>
      </c>
      <c r="M735" s="1" t="str">
        <f>IFERROR(__xludf.DUMMYFUNCTION("""COMPUTED_VALUE"""),"No")</f>
        <v>No</v>
      </c>
      <c r="N735" s="1" t="str">
        <f>IFERROR(__xludf.DUMMYFUNCTION("""COMPUTED_VALUE"""),"No")</f>
        <v>No</v>
      </c>
      <c r="O735" s="1" t="str">
        <f>IFERROR(__xludf.DUMMYFUNCTION("""COMPUTED_VALUE"""),"WA ONLY, CALL")</f>
        <v>WA ONLY, CALL</v>
      </c>
      <c r="P735" s="1" t="str">
        <f>IFERROR(__xludf.DUMMYFUNCTION("""COMPUTED_VALUE"""),"Madam")</f>
        <v>Madam</v>
      </c>
      <c r="Q735" s="1" t="str">
        <f>IFERROR(__xludf.DUMMYFUNCTION("""COMPUTED_VALUE"""),"No")</f>
        <v>No</v>
      </c>
      <c r="R735" s="1" t="str">
        <f>IFERROR(__xludf.DUMMYFUNCTION("""COMPUTED_VALUE"""),"NEW WALK IN")</f>
        <v>NEW WALK IN</v>
      </c>
      <c r="S735" s="1"/>
    </row>
    <row r="736">
      <c r="A736" s="2">
        <f>IFERROR(__xludf.DUMMYFUNCTION("""COMPUTED_VALUE"""),45580.83762342593)</f>
        <v>45580.83762</v>
      </c>
      <c r="B736" s="1" t="str">
        <f>IFERROR(__xludf.DUMMYFUNCTION("""COMPUTED_VALUE"""),"Sarita")</f>
        <v>Sarita</v>
      </c>
      <c r="C736" s="1">
        <f>IFERROR(__xludf.DUMMYFUNCTION("""COMPUTED_VALUE"""),9.818333029E9)</f>
        <v>9818333029</v>
      </c>
      <c r="D736" s="1">
        <f>IFERROR(__xludf.DUMMYFUNCTION("""COMPUTED_VALUE"""),2.0)</f>
        <v>2</v>
      </c>
      <c r="E736" s="3">
        <f>IFERROR(__xludf.DUMMYFUNCTION("""COMPUTED_VALUE"""),0.5916666666671517)</f>
        <v>0.5916666667</v>
      </c>
      <c r="F736" s="1" t="str">
        <f>IFERROR(__xludf.DUMMYFUNCTION("""COMPUTED_VALUE"""),"Diamond")</f>
        <v>Diamond</v>
      </c>
      <c r="G736" s="1" t="str">
        <f>IFERROR(__xludf.DUMMYFUNCTION("""COMPUTED_VALUE"""),"Preeti")</f>
        <v>Preeti</v>
      </c>
      <c r="H736" s="1"/>
      <c r="I736" s="1" t="str">
        <f>IFERROR(__xludf.DUMMYFUNCTION("""COMPUTED_VALUE"""),"Repair gold set")</f>
        <v>Repair gold set</v>
      </c>
      <c r="J736" s="1"/>
      <c r="K736" s="3">
        <f>IFERROR(__xludf.DUMMYFUNCTION("""COMPUTED_VALUE"""),0.6180555555547471)</f>
        <v>0.6180555556</v>
      </c>
      <c r="L736" s="1" t="str">
        <f>IFERROR(__xludf.DUMMYFUNCTION("""COMPUTED_VALUE"""),"Yes")</f>
        <v>Yes</v>
      </c>
      <c r="M736" s="1" t="str">
        <f>IFERROR(__xludf.DUMMYFUNCTION("""COMPUTED_VALUE"""),"Yes")</f>
        <v>Yes</v>
      </c>
      <c r="N736" s="1" t="str">
        <f>IFERROR(__xludf.DUMMYFUNCTION("""COMPUTED_VALUE"""),"Yes")</f>
        <v>Yes</v>
      </c>
      <c r="O736" s="1" t="str">
        <f>IFERROR(__xludf.DUMMYFUNCTION("""COMPUTED_VALUE"""),"WA ONLY, CALL")</f>
        <v>WA ONLY, CALL</v>
      </c>
      <c r="P736" s="1" t="str">
        <f>IFERROR(__xludf.DUMMYFUNCTION("""COMPUTED_VALUE"""),"Madam")</f>
        <v>Madam</v>
      </c>
      <c r="Q736" s="1" t="str">
        <f>IFERROR(__xludf.DUMMYFUNCTION("""COMPUTED_VALUE"""),"No")</f>
        <v>No</v>
      </c>
      <c r="R736" s="1" t="str">
        <f>IFERROR(__xludf.DUMMYFUNCTION("""COMPUTED_VALUE"""),"NEW WALK IN")</f>
        <v>NEW WALK IN</v>
      </c>
      <c r="S736" s="1" t="str">
        <f>IFERROR(__xludf.DUMMYFUNCTION("""COMPUTED_VALUE"""),"Online ")</f>
        <v>Online </v>
      </c>
    </row>
    <row r="737">
      <c r="A737" s="2">
        <f>IFERROR(__xludf.DUMMYFUNCTION("""COMPUTED_VALUE"""),45580.83869979167)</f>
        <v>45580.8387</v>
      </c>
      <c r="B737" s="1" t="str">
        <f>IFERROR(__xludf.DUMMYFUNCTION("""COMPUTED_VALUE"""),"Pardeep")</f>
        <v>Pardeep</v>
      </c>
      <c r="C737" s="1">
        <f>IFERROR(__xludf.DUMMYFUNCTION("""COMPUTED_VALUE"""),9.873127884E9)</f>
        <v>9873127884</v>
      </c>
      <c r="D737" s="1">
        <f>IFERROR(__xludf.DUMMYFUNCTION("""COMPUTED_VALUE"""),4.0)</f>
        <v>4</v>
      </c>
      <c r="E737" s="3">
        <f>IFERROR(__xludf.DUMMYFUNCTION("""COMPUTED_VALUE"""),0.6277777777795563)</f>
        <v>0.6277777778</v>
      </c>
      <c r="F737" s="1" t="str">
        <f>IFERROR(__xludf.DUMMYFUNCTION("""COMPUTED_VALUE"""),"Plain Gold")</f>
        <v>Plain Gold</v>
      </c>
      <c r="G737" s="1" t="str">
        <f>IFERROR(__xludf.DUMMYFUNCTION("""COMPUTED_VALUE"""),"Preeti")</f>
        <v>Preeti</v>
      </c>
      <c r="H737" s="1"/>
      <c r="I737" s="1" t="str">
        <f>IFERROR(__xludf.DUMMYFUNCTION("""COMPUTED_VALUE"""),"Give Payment")</f>
        <v>Give Payment</v>
      </c>
      <c r="J737" s="1"/>
      <c r="K737" s="3">
        <f>IFERROR(__xludf.DUMMYFUNCTION("""COMPUTED_VALUE"""),0.8125)</f>
        <v>0.8125</v>
      </c>
      <c r="L737" s="1" t="str">
        <f>IFERROR(__xludf.DUMMYFUNCTION("""COMPUTED_VALUE"""),"Yes")</f>
        <v>Yes</v>
      </c>
      <c r="M737" s="1" t="str">
        <f>IFERROR(__xludf.DUMMYFUNCTION("""COMPUTED_VALUE"""),"Already done ")</f>
        <v>Already done </v>
      </c>
      <c r="N737" s="1" t="str">
        <f>IFERROR(__xludf.DUMMYFUNCTION("""COMPUTED_VALUE"""),"Already done ")</f>
        <v>Already done </v>
      </c>
      <c r="O737" s="1" t="str">
        <f>IFERROR(__xludf.DUMMYFUNCTION("""COMPUTED_VALUE"""),"WA ONLY, CALL")</f>
        <v>WA ONLY, CALL</v>
      </c>
      <c r="P737" s="1" t="str">
        <f>IFERROR(__xludf.DUMMYFUNCTION("""COMPUTED_VALUE"""),"Sir")</f>
        <v>Sir</v>
      </c>
      <c r="Q737" s="1" t="str">
        <f>IFERROR(__xludf.DUMMYFUNCTION("""COMPUTED_VALUE"""),"No")</f>
        <v>No</v>
      </c>
      <c r="R737" s="1" t="str">
        <f>IFERROR(__xludf.DUMMYFUNCTION("""COMPUTED_VALUE"""),"OLD")</f>
        <v>OLD</v>
      </c>
      <c r="S737" s="1"/>
    </row>
    <row r="738">
      <c r="A738" s="2">
        <f>IFERROR(__xludf.DUMMYFUNCTION("""COMPUTED_VALUE"""),45580.83935435185)</f>
        <v>45580.83935</v>
      </c>
      <c r="B738" s="1" t="str">
        <f>IFERROR(__xludf.DUMMYFUNCTION("""COMPUTED_VALUE"""),"Gaurav ")</f>
        <v>Gaurav </v>
      </c>
      <c r="C738" s="1">
        <f>IFERROR(__xludf.DUMMYFUNCTION("""COMPUTED_VALUE"""),9.891283408E9)</f>
        <v>9891283408</v>
      </c>
      <c r="D738" s="1">
        <f>IFERROR(__xludf.DUMMYFUNCTION("""COMPUTED_VALUE"""),1.0)</f>
        <v>1</v>
      </c>
      <c r="E738" s="3">
        <f>IFERROR(__xludf.DUMMYFUNCTION("""COMPUTED_VALUE"""),0.6736111111094942)</f>
        <v>0.6736111111</v>
      </c>
      <c r="F738" s="1" t="str">
        <f>IFERROR(__xludf.DUMMYFUNCTION("""COMPUTED_VALUE"""),"Antique Gold")</f>
        <v>Antique Gold</v>
      </c>
      <c r="G738" s="1" t="str">
        <f>IFERROR(__xludf.DUMMYFUNCTION("""COMPUTED_VALUE"""),"Tannu")</f>
        <v>Tannu</v>
      </c>
      <c r="H738" s="1" t="str">
        <f>IFERROR(__xludf.DUMMYFUNCTION("""COMPUTED_VALUE"""),"Silver ring")</f>
        <v>Silver ring</v>
      </c>
      <c r="I738" s="1"/>
      <c r="J738" s="1"/>
      <c r="K738" s="3">
        <f>IFERROR(__xludf.DUMMYFUNCTION("""COMPUTED_VALUE"""),0.6826388888875954)</f>
        <v>0.6826388889</v>
      </c>
      <c r="L738" s="1" t="str">
        <f>IFERROR(__xludf.DUMMYFUNCTION("""COMPUTED_VALUE"""),"Yes")</f>
        <v>Yes</v>
      </c>
      <c r="M738" s="1" t="str">
        <f>IFERROR(__xludf.DUMMYFUNCTION("""COMPUTED_VALUE"""),"Yes")</f>
        <v>Yes</v>
      </c>
      <c r="N738" s="1" t="str">
        <f>IFERROR(__xludf.DUMMYFUNCTION("""COMPUTED_VALUE"""),"Yez")</f>
        <v>Yez</v>
      </c>
      <c r="O738" s="1" t="str">
        <f>IFERROR(__xludf.DUMMYFUNCTION("""COMPUTED_VALUE"""),"WA ONLY, CALL")</f>
        <v>WA ONLY, CALL</v>
      </c>
      <c r="P738" s="1" t="str">
        <f>IFERROR(__xludf.DUMMYFUNCTION("""COMPUTED_VALUE"""),"Sir")</f>
        <v>Sir</v>
      </c>
      <c r="Q738" s="1" t="str">
        <f>IFERROR(__xludf.DUMMYFUNCTION("""COMPUTED_VALUE"""),"No")</f>
        <v>No</v>
      </c>
      <c r="R738" s="1" t="str">
        <f>IFERROR(__xludf.DUMMYFUNCTION("""COMPUTED_VALUE"""),"NEW WALK IN")</f>
        <v>NEW WALK IN</v>
      </c>
      <c r="S738" s="1"/>
    </row>
    <row r="739">
      <c r="A739" s="2">
        <f>IFERROR(__xludf.DUMMYFUNCTION("""COMPUTED_VALUE"""),45581.52156599537)</f>
        <v>45581.52157</v>
      </c>
      <c r="B739" s="1" t="str">
        <f>IFERROR(__xludf.DUMMYFUNCTION("""COMPUTED_VALUE"""),"Meenakshi ")</f>
        <v>Meenakshi </v>
      </c>
      <c r="C739" s="1">
        <f>IFERROR(__xludf.DUMMYFUNCTION("""COMPUTED_VALUE"""),9.654632324E9)</f>
        <v>9654632324</v>
      </c>
      <c r="D739" s="1">
        <f>IFERROR(__xludf.DUMMYFUNCTION("""COMPUTED_VALUE"""),1.0)</f>
        <v>1</v>
      </c>
      <c r="E739" s="3">
        <f>IFERROR(__xludf.DUMMYFUNCTION("""COMPUTED_VALUE"""),0.6437500000029104)</f>
        <v>0.64375</v>
      </c>
      <c r="F739" s="1" t="str">
        <f>IFERROR(__xludf.DUMMYFUNCTION("""COMPUTED_VALUE"""),"Antique Gold")</f>
        <v>Antique Gold</v>
      </c>
      <c r="G739" s="1" t="str">
        <f>IFERROR(__xludf.DUMMYFUNCTION("""COMPUTED_VALUE"""),"Pooja")</f>
        <v>Pooja</v>
      </c>
      <c r="H739" s="1"/>
      <c r="I739" s="1" t="str">
        <f>IFERROR(__xludf.DUMMYFUNCTION("""COMPUTED_VALUE"""),"Order ")</f>
        <v>Order </v>
      </c>
      <c r="J739" s="1"/>
      <c r="K739" s="3">
        <f>IFERROR(__xludf.DUMMYFUNCTION("""COMPUTED_VALUE"""),0.6666666666642413)</f>
        <v>0.6666666667</v>
      </c>
      <c r="L739" s="1" t="str">
        <f>IFERROR(__xludf.DUMMYFUNCTION("""COMPUTED_VALUE"""),"Yes")</f>
        <v>Yes</v>
      </c>
      <c r="M739" s="1" t="str">
        <f>IFERROR(__xludf.DUMMYFUNCTION("""COMPUTED_VALUE"""),"Already done ")</f>
        <v>Already done </v>
      </c>
      <c r="N739" s="1" t="str">
        <f>IFERROR(__xludf.DUMMYFUNCTION("""COMPUTED_VALUE"""),"Already done ")</f>
        <v>Already done </v>
      </c>
      <c r="O739" s="1" t="str">
        <f>IFERROR(__xludf.DUMMYFUNCTION("""COMPUTED_VALUE"""),"WA ONLY, OWNER CONTACT ONLY, CALL")</f>
        <v>WA ONLY, OWNER CONTACT ONLY, CALL</v>
      </c>
      <c r="P739" s="1" t="str">
        <f>IFERROR(__xludf.DUMMYFUNCTION("""COMPUTED_VALUE"""),"Madam")</f>
        <v>Madam</v>
      </c>
      <c r="Q739" s="1" t="str">
        <f>IFERROR(__xludf.DUMMYFUNCTION("""COMPUTED_VALUE"""),"No")</f>
        <v>No</v>
      </c>
      <c r="R739" s="1" t="str">
        <f>IFERROR(__xludf.DUMMYFUNCTION("""COMPUTED_VALUE"""),"OLD")</f>
        <v>OLD</v>
      </c>
      <c r="S739" s="1" t="str">
        <f>IFERROR(__xludf.DUMMYFUNCTION("""COMPUTED_VALUE"""),"Radhu mam")</f>
        <v>Radhu mam</v>
      </c>
    </row>
    <row r="740">
      <c r="A740" s="2">
        <f>IFERROR(__xludf.DUMMYFUNCTION("""COMPUTED_VALUE"""),45581.5263880787)</f>
        <v>45581.52639</v>
      </c>
      <c r="B740" s="1" t="str">
        <f>IFERROR(__xludf.DUMMYFUNCTION("""COMPUTED_VALUE"""),"Deepak")</f>
        <v>Deepak</v>
      </c>
      <c r="C740" s="1">
        <f>IFERROR(__xludf.DUMMYFUNCTION("""COMPUTED_VALUE"""),9.95841483E8)</f>
        <v>995841483</v>
      </c>
      <c r="D740" s="1">
        <f>IFERROR(__xludf.DUMMYFUNCTION("""COMPUTED_VALUE"""),2.0)</f>
        <v>2</v>
      </c>
      <c r="E740" s="3">
        <f>IFERROR(__xludf.DUMMYFUNCTION("""COMPUTED_VALUE"""),0.7555555555591127)</f>
        <v>0.7555555556</v>
      </c>
      <c r="F740" s="1" t="str">
        <f>IFERROR(__xludf.DUMMYFUNCTION("""COMPUTED_VALUE"""),"Plain Gold")</f>
        <v>Plain Gold</v>
      </c>
      <c r="G740" s="1" t="str">
        <f>IFERROR(__xludf.DUMMYFUNCTION("""COMPUTED_VALUE"""),"Tannu")</f>
        <v>Tannu</v>
      </c>
      <c r="H740" s="1" t="str">
        <f>IFERROR(__xludf.DUMMYFUNCTION("""COMPUTED_VALUE"""),"Gold nose pin,gold ring")</f>
        <v>Gold nose pin,gold ring</v>
      </c>
      <c r="I740" s="1"/>
      <c r="J740" s="1"/>
      <c r="K740" s="3">
        <f>IFERROR(__xludf.DUMMYFUNCTION("""COMPUTED_VALUE"""),0.8020833333357587)</f>
        <v>0.8020833333</v>
      </c>
      <c r="L740" s="1" t="str">
        <f>IFERROR(__xludf.DUMMYFUNCTION("""COMPUTED_VALUE"""),"Yes")</f>
        <v>Yes</v>
      </c>
      <c r="M740" s="1" t="str">
        <f>IFERROR(__xludf.DUMMYFUNCTION("""COMPUTED_VALUE"""),"Already done ")</f>
        <v>Already done </v>
      </c>
      <c r="N740" s="1" t="str">
        <f>IFERROR(__xludf.DUMMYFUNCTION("""COMPUTED_VALUE"""),"Already done ")</f>
        <v>Already done </v>
      </c>
      <c r="O740" s="1" t="str">
        <f>IFERROR(__xludf.DUMMYFUNCTION("""COMPUTED_VALUE"""),"WA ONLY, CALL")</f>
        <v>WA ONLY, CALL</v>
      </c>
      <c r="P740" s="1" t="str">
        <f>IFERROR(__xludf.DUMMYFUNCTION("""COMPUTED_VALUE"""),"Sir")</f>
        <v>Sir</v>
      </c>
      <c r="Q740" s="1" t="str">
        <f>IFERROR(__xludf.DUMMYFUNCTION("""COMPUTED_VALUE"""),"No")</f>
        <v>No</v>
      </c>
      <c r="R740" s="1" t="str">
        <f>IFERROR(__xludf.DUMMYFUNCTION("""COMPUTED_VALUE"""),"OLD")</f>
        <v>OLD</v>
      </c>
      <c r="S740" s="1"/>
    </row>
    <row r="741">
      <c r="A741" s="2">
        <f>IFERROR(__xludf.DUMMYFUNCTION("""COMPUTED_VALUE"""),45581.52706828703)</f>
        <v>45581.52707</v>
      </c>
      <c r="B741" s="1" t="str">
        <f>IFERROR(__xludf.DUMMYFUNCTION("""COMPUTED_VALUE"""),"Saima")</f>
        <v>Saima</v>
      </c>
      <c r="C741" s="1">
        <f>IFERROR(__xludf.DUMMYFUNCTION("""COMPUTED_VALUE"""),9.971250049E9)</f>
        <v>9971250049</v>
      </c>
      <c r="D741" s="1">
        <f>IFERROR(__xludf.DUMMYFUNCTION("""COMPUTED_VALUE"""),4.0)</f>
        <v>4</v>
      </c>
      <c r="E741" s="3">
        <f>IFERROR(__xludf.DUMMYFUNCTION("""COMPUTED_VALUE"""),0.7743055555547471)</f>
        <v>0.7743055556</v>
      </c>
      <c r="F741" s="1" t="str">
        <f>IFERROR(__xludf.DUMMYFUNCTION("""COMPUTED_VALUE"""),"Antique Gold")</f>
        <v>Antique Gold</v>
      </c>
      <c r="G741" s="1" t="str">
        <f>IFERROR(__xludf.DUMMYFUNCTION("""COMPUTED_VALUE"""),"Pooja")</f>
        <v>Pooja</v>
      </c>
      <c r="H741" s="1" t="str">
        <f>IFERROR(__xludf.DUMMYFUNCTION("""COMPUTED_VALUE"""),"Gold bali")</f>
        <v>Gold bali</v>
      </c>
      <c r="I741" s="1"/>
      <c r="J741" s="1"/>
      <c r="K741" s="3">
        <f>IFERROR(__xludf.DUMMYFUNCTION("""COMPUTED_VALUE"""),0.8222222222248092)</f>
        <v>0.8222222222</v>
      </c>
      <c r="L741" s="1" t="str">
        <f>IFERROR(__xludf.DUMMYFUNCTION("""COMPUTED_VALUE"""),"Yes")</f>
        <v>Yes</v>
      </c>
      <c r="M741" s="1" t="str">
        <f>IFERROR(__xludf.DUMMYFUNCTION("""COMPUTED_VALUE"""),"Already done ")</f>
        <v>Already done </v>
      </c>
      <c r="N741" s="1" t="str">
        <f>IFERROR(__xludf.DUMMYFUNCTION("""COMPUTED_VALUE"""),"Already done ")</f>
        <v>Already done </v>
      </c>
      <c r="O741" s="1" t="str">
        <f>IFERROR(__xludf.DUMMYFUNCTION("""COMPUTED_VALUE"""),"WA ONLY, CALL")</f>
        <v>WA ONLY, CALL</v>
      </c>
      <c r="P741" s="1" t="str">
        <f>IFERROR(__xludf.DUMMYFUNCTION("""COMPUTED_VALUE"""),"Madam")</f>
        <v>Madam</v>
      </c>
      <c r="Q741" s="1" t="str">
        <f>IFERROR(__xludf.DUMMYFUNCTION("""COMPUTED_VALUE"""),"No")</f>
        <v>No</v>
      </c>
      <c r="R741" s="1" t="str">
        <f>IFERROR(__xludf.DUMMYFUNCTION("""COMPUTED_VALUE"""),"OLD")</f>
        <v>OLD</v>
      </c>
      <c r="S741" s="1"/>
    </row>
    <row r="742">
      <c r="A742" s="2">
        <f>IFERROR(__xludf.DUMMYFUNCTION("""COMPUTED_VALUE"""),45581.528057233794)</f>
        <v>45581.52806</v>
      </c>
      <c r="B742" s="1" t="str">
        <f>IFERROR(__xludf.DUMMYFUNCTION("""COMPUTED_VALUE"""),"Anjana")</f>
        <v>Anjana</v>
      </c>
      <c r="C742" s="1">
        <f>IFERROR(__xludf.DUMMYFUNCTION("""COMPUTED_VALUE"""),9.811451013E9)</f>
        <v>9811451013</v>
      </c>
      <c r="D742" s="1">
        <f>IFERROR(__xludf.DUMMYFUNCTION("""COMPUTED_VALUE"""),3.0)</f>
        <v>3</v>
      </c>
      <c r="E742" s="3">
        <f>IFERROR(__xludf.DUMMYFUNCTION("""COMPUTED_VALUE"""),0.7743055555547471)</f>
        <v>0.7743055556</v>
      </c>
      <c r="F742" s="1" t="str">
        <f>IFERROR(__xludf.DUMMYFUNCTION("""COMPUTED_VALUE"""),"Diamond")</f>
        <v>Diamond</v>
      </c>
      <c r="G742" s="1" t="str">
        <f>IFERROR(__xludf.DUMMYFUNCTION("""COMPUTED_VALUE"""),"Preeti")</f>
        <v>Preeti</v>
      </c>
      <c r="H742" s="1"/>
      <c r="I742" s="1" t="str">
        <f>IFERROR(__xludf.DUMMYFUNCTION("""COMPUTED_VALUE"""),"Pick up Order")</f>
        <v>Pick up Order</v>
      </c>
      <c r="J742" s="1"/>
      <c r="K742" s="3">
        <f>IFERROR(__xludf.DUMMYFUNCTION("""COMPUTED_VALUE"""),0.8319444444423425)</f>
        <v>0.8319444444</v>
      </c>
      <c r="L742" s="1" t="str">
        <f>IFERROR(__xludf.DUMMYFUNCTION("""COMPUTED_VALUE"""),"Yes")</f>
        <v>Yes</v>
      </c>
      <c r="M742" s="1" t="str">
        <f>IFERROR(__xludf.DUMMYFUNCTION("""COMPUTED_VALUE"""),"Already done ")</f>
        <v>Already done </v>
      </c>
      <c r="N742" s="1" t="str">
        <f>IFERROR(__xludf.DUMMYFUNCTION("""COMPUTED_VALUE"""),"Already done ")</f>
        <v>Already done </v>
      </c>
      <c r="O742" s="1" t="str">
        <f>IFERROR(__xludf.DUMMYFUNCTION("""COMPUTED_VALUE"""),"WA ONLY, CALL")</f>
        <v>WA ONLY, CALL</v>
      </c>
      <c r="P742" s="1" t="str">
        <f>IFERROR(__xludf.DUMMYFUNCTION("""COMPUTED_VALUE"""),"Madam")</f>
        <v>Madam</v>
      </c>
      <c r="Q742" s="1" t="str">
        <f>IFERROR(__xludf.DUMMYFUNCTION("""COMPUTED_VALUE"""),"No")</f>
        <v>No</v>
      </c>
      <c r="R742" s="1" t="str">
        <f>IFERROR(__xludf.DUMMYFUNCTION("""COMPUTED_VALUE"""),"OLD")</f>
        <v>OLD</v>
      </c>
      <c r="S742" s="1"/>
    </row>
    <row r="743">
      <c r="A743" s="2">
        <f>IFERROR(__xludf.DUMMYFUNCTION("""COMPUTED_VALUE"""),45581.528653726855)</f>
        <v>45581.52865</v>
      </c>
      <c r="B743" s="1" t="str">
        <f>IFERROR(__xludf.DUMMYFUNCTION("""COMPUTED_VALUE"""),"Mehvish")</f>
        <v>Mehvish</v>
      </c>
      <c r="C743" s="1">
        <f>IFERROR(__xludf.DUMMYFUNCTION("""COMPUTED_VALUE"""),8.860980806E9)</f>
        <v>8860980806</v>
      </c>
      <c r="D743" s="1">
        <f>IFERROR(__xludf.DUMMYFUNCTION("""COMPUTED_VALUE"""),1.0)</f>
        <v>1</v>
      </c>
      <c r="E743" s="3">
        <f>IFERROR(__xludf.DUMMYFUNCTION("""COMPUTED_VALUE"""),0.7916666666642413)</f>
        <v>0.7916666667</v>
      </c>
      <c r="F743" s="1" t="str">
        <f>IFERROR(__xludf.DUMMYFUNCTION("""COMPUTED_VALUE"""),"Antique Gold")</f>
        <v>Antique Gold</v>
      </c>
      <c r="G743" s="1" t="str">
        <f>IFERROR(__xludf.DUMMYFUNCTION("""COMPUTED_VALUE"""),"Deepali")</f>
        <v>Deepali</v>
      </c>
      <c r="H743" s="1"/>
      <c r="I743" s="1" t="str">
        <f>IFERROR(__xludf.DUMMYFUNCTION("""COMPUTED_VALUE"""),"Visit Again in 1 Month")</f>
        <v>Visit Again in 1 Month</v>
      </c>
      <c r="J743" s="1"/>
      <c r="K743" s="3">
        <f>IFERROR(__xludf.DUMMYFUNCTION("""COMPUTED_VALUE"""),0.8243055555576575)</f>
        <v>0.8243055556</v>
      </c>
      <c r="L743" s="1" t="str">
        <f>IFERROR(__xludf.DUMMYFUNCTION("""COMPUTED_VALUE"""),"Yes")</f>
        <v>Yes</v>
      </c>
      <c r="M743" s="1" t="str">
        <f>IFERROR(__xludf.DUMMYFUNCTION("""COMPUTED_VALUE"""),"Already done ")</f>
        <v>Already done </v>
      </c>
      <c r="N743" s="1" t="str">
        <f>IFERROR(__xludf.DUMMYFUNCTION("""COMPUTED_VALUE"""),"Already done ")</f>
        <v>Already done </v>
      </c>
      <c r="O743" s="1" t="str">
        <f>IFERROR(__xludf.DUMMYFUNCTION("""COMPUTED_VALUE"""),"WA ONLY, CALL")</f>
        <v>WA ONLY, CALL</v>
      </c>
      <c r="P743" s="1" t="str">
        <f>IFERROR(__xludf.DUMMYFUNCTION("""COMPUTED_VALUE"""),"Madam")</f>
        <v>Madam</v>
      </c>
      <c r="Q743" s="1" t="str">
        <f>IFERROR(__xludf.DUMMYFUNCTION("""COMPUTED_VALUE"""),"No")</f>
        <v>No</v>
      </c>
      <c r="R743" s="1" t="str">
        <f>IFERROR(__xludf.DUMMYFUNCTION("""COMPUTED_VALUE"""),"OLD")</f>
        <v>OLD</v>
      </c>
      <c r="S743" s="1"/>
    </row>
    <row r="744">
      <c r="A744" s="2">
        <f>IFERROR(__xludf.DUMMYFUNCTION("""COMPUTED_VALUE"""),45581.76389278936)</f>
        <v>45581.76389</v>
      </c>
      <c r="B744" s="1" t="str">
        <f>IFERROR(__xludf.DUMMYFUNCTION("""COMPUTED_VALUE"""),"K.k ratra")</f>
        <v>K.k ratra</v>
      </c>
      <c r="C744" s="1">
        <f>IFERROR(__xludf.DUMMYFUNCTION("""COMPUTED_VALUE"""),9.810262026E9)</f>
        <v>9810262026</v>
      </c>
      <c r="D744" s="1">
        <f>IFERROR(__xludf.DUMMYFUNCTION("""COMPUTED_VALUE"""),1.0)</f>
        <v>1</v>
      </c>
      <c r="E744" s="3">
        <f>IFERROR(__xludf.DUMMYFUNCTION("""COMPUTED_VALUE"""),0.5416666666642413)</f>
        <v>0.5416666667</v>
      </c>
      <c r="F744" s="1" t="str">
        <f>IFERROR(__xludf.DUMMYFUNCTION("""COMPUTED_VALUE"""),"Plain Gold")</f>
        <v>Plain Gold</v>
      </c>
      <c r="G744" s="1" t="str">
        <f>IFERROR(__xludf.DUMMYFUNCTION("""COMPUTED_VALUE"""),"Pooja")</f>
        <v>Pooja</v>
      </c>
      <c r="H744" s="1" t="str">
        <f>IFERROR(__xludf.DUMMYFUNCTION("""COMPUTED_VALUE"""),"Dilver Lakshmi or ganesh ji ")</f>
        <v>Dilver Lakshmi or ganesh ji </v>
      </c>
      <c r="I744" s="1"/>
      <c r="J744" s="1"/>
      <c r="K744" s="3">
        <f>IFERROR(__xludf.DUMMYFUNCTION("""COMPUTED_VALUE"""),0.625)</f>
        <v>0.625</v>
      </c>
      <c r="L744" s="1" t="str">
        <f>IFERROR(__xludf.DUMMYFUNCTION("""COMPUTED_VALUE"""),"Yes")</f>
        <v>Yes</v>
      </c>
      <c r="M744" s="1" t="str">
        <f>IFERROR(__xludf.DUMMYFUNCTION("""COMPUTED_VALUE"""),"Yes")</f>
        <v>Yes</v>
      </c>
      <c r="N744" s="1" t="str">
        <f>IFERROR(__xludf.DUMMYFUNCTION("""COMPUTED_VALUE"""),"Not use")</f>
        <v>Not use</v>
      </c>
      <c r="O744" s="1" t="str">
        <f>IFERROR(__xludf.DUMMYFUNCTION("""COMPUTED_VALUE"""),"WA ONLY, CALL")</f>
        <v>WA ONLY, CALL</v>
      </c>
      <c r="P744" s="1" t="str">
        <f>IFERROR(__xludf.DUMMYFUNCTION("""COMPUTED_VALUE"""),"Madam")</f>
        <v>Madam</v>
      </c>
      <c r="Q744" s="1" t="str">
        <f>IFERROR(__xludf.DUMMYFUNCTION("""COMPUTED_VALUE"""),"No")</f>
        <v>No</v>
      </c>
      <c r="R744" s="1" t="str">
        <f>IFERROR(__xludf.DUMMYFUNCTION("""COMPUTED_VALUE"""),"NEW WALK IN")</f>
        <v>NEW WALK IN</v>
      </c>
      <c r="S744" s="1"/>
    </row>
    <row r="745">
      <c r="A745" s="2">
        <f>IFERROR(__xludf.DUMMYFUNCTION("""COMPUTED_VALUE"""),45581.76739841435)</f>
        <v>45581.7674</v>
      </c>
      <c r="B745" s="1" t="str">
        <f>IFERROR(__xludf.DUMMYFUNCTION("""COMPUTED_VALUE"""),"Sadiya zahid")</f>
        <v>Sadiya zahid</v>
      </c>
      <c r="C745" s="1">
        <f>IFERROR(__xludf.DUMMYFUNCTION("""COMPUTED_VALUE"""),9.911338801E9)</f>
        <v>9911338801</v>
      </c>
      <c r="D745" s="1">
        <f>IFERROR(__xludf.DUMMYFUNCTION("""COMPUTED_VALUE"""),2.0)</f>
        <v>2</v>
      </c>
      <c r="E745" s="3">
        <f>IFERROR(__xludf.DUMMYFUNCTION("""COMPUTED_VALUE"""),0.5729166666642413)</f>
        <v>0.5729166667</v>
      </c>
      <c r="F745" s="1" t="str">
        <f>IFERROR(__xludf.DUMMYFUNCTION("""COMPUTED_VALUE"""),"Diamond")</f>
        <v>Diamond</v>
      </c>
      <c r="G745" s="1" t="str">
        <f>IFERROR(__xludf.DUMMYFUNCTION("""COMPUTED_VALUE"""),"Preeti")</f>
        <v>Preeti</v>
      </c>
      <c r="H745" s="1" t="str">
        <f>IFERROR(__xludf.DUMMYFUNCTION("""COMPUTED_VALUE"""),"Godl chain,gold ring,one gold ring order ")</f>
        <v>Godl chain,gold ring,one gold ring order </v>
      </c>
      <c r="I745" s="1"/>
      <c r="J745" s="1"/>
      <c r="K745" s="3">
        <f>IFERROR(__xludf.DUMMYFUNCTION("""COMPUTED_VALUE"""),0.6138888888890506)</f>
        <v>0.6138888889</v>
      </c>
      <c r="L745" s="1" t="str">
        <f>IFERROR(__xludf.DUMMYFUNCTION("""COMPUTED_VALUE"""),"Yes")</f>
        <v>Yes</v>
      </c>
      <c r="M745" s="1" t="str">
        <f>IFERROR(__xludf.DUMMYFUNCTION("""COMPUTED_VALUE"""),"Already done ")</f>
        <v>Already done </v>
      </c>
      <c r="N745" s="1" t="str">
        <f>IFERROR(__xludf.DUMMYFUNCTION("""COMPUTED_VALUE"""),"Already done ")</f>
        <v>Already done </v>
      </c>
      <c r="O745" s="1" t="str">
        <f>IFERROR(__xludf.DUMMYFUNCTION("""COMPUTED_VALUE"""),"WA ONLY, CALL")</f>
        <v>WA ONLY, CALL</v>
      </c>
      <c r="P745" s="1" t="str">
        <f>IFERROR(__xludf.DUMMYFUNCTION("""COMPUTED_VALUE"""),"Madam")</f>
        <v>Madam</v>
      </c>
      <c r="Q745" s="1" t="str">
        <f>IFERROR(__xludf.DUMMYFUNCTION("""COMPUTED_VALUE"""),"No")</f>
        <v>No</v>
      </c>
      <c r="R745" s="1" t="str">
        <f>IFERROR(__xludf.DUMMYFUNCTION("""COMPUTED_VALUE"""),"OLD")</f>
        <v>OLD</v>
      </c>
      <c r="S745" s="1"/>
    </row>
    <row r="746">
      <c r="A746" s="2">
        <f>IFERROR(__xludf.DUMMYFUNCTION("""COMPUTED_VALUE"""),45582.742801053246)</f>
        <v>45582.7428</v>
      </c>
      <c r="B746" s="1" t="str">
        <f>IFERROR(__xludf.DUMMYFUNCTION("""COMPUTED_VALUE"""),"Manoj kumar")</f>
        <v>Manoj kumar</v>
      </c>
      <c r="C746" s="1">
        <f>IFERROR(__xludf.DUMMYFUNCTION("""COMPUTED_VALUE"""),8.287813542E9)</f>
        <v>8287813542</v>
      </c>
      <c r="D746" s="1">
        <f>IFERROR(__xludf.DUMMYFUNCTION("""COMPUTED_VALUE"""),1.0)</f>
        <v>1</v>
      </c>
      <c r="E746" s="3">
        <f>IFERROR(__xludf.DUMMYFUNCTION("""COMPUTED_VALUE"""),0.5694444444452529)</f>
        <v>0.5694444444</v>
      </c>
      <c r="F746" s="1" t="str">
        <f>IFERROR(__xludf.DUMMYFUNCTION("""COMPUTED_VALUE"""),"Plain Gold")</f>
        <v>Plain Gold</v>
      </c>
      <c r="G746" s="1" t="str">
        <f>IFERROR(__xludf.DUMMYFUNCTION("""COMPUTED_VALUE"""),"Tannu")</f>
        <v>Tannu</v>
      </c>
      <c r="H746" s="1"/>
      <c r="I746" s="1" t="str">
        <f>IFERROR(__xludf.DUMMYFUNCTION("""COMPUTED_VALUE"""),"Will ask family and come with them")</f>
        <v>Will ask family and come with them</v>
      </c>
      <c r="J746" s="1"/>
      <c r="K746" s="3">
        <f>IFERROR(__xludf.DUMMYFUNCTION("""COMPUTED_VALUE"""),0.5833333333357587)</f>
        <v>0.5833333333</v>
      </c>
      <c r="L746" s="1" t="str">
        <f>IFERROR(__xludf.DUMMYFUNCTION("""COMPUTED_VALUE"""),"No")</f>
        <v>No</v>
      </c>
      <c r="M746" s="1" t="str">
        <f>IFERROR(__xludf.DUMMYFUNCTION("""COMPUTED_VALUE"""),"No")</f>
        <v>No</v>
      </c>
      <c r="N746" s="1" t="str">
        <f>IFERROR(__xludf.DUMMYFUNCTION("""COMPUTED_VALUE"""),"No")</f>
        <v>No</v>
      </c>
      <c r="O746" s="1" t="str">
        <f>IFERROR(__xludf.DUMMYFUNCTION("""COMPUTED_VALUE"""),"WA ONLY, CALL")</f>
        <v>WA ONLY, CALL</v>
      </c>
      <c r="P746" s="1" t="str">
        <f>IFERROR(__xludf.DUMMYFUNCTION("""COMPUTED_VALUE"""),"Sir")</f>
        <v>Sir</v>
      </c>
      <c r="Q746" s="1" t="str">
        <f>IFERROR(__xludf.DUMMYFUNCTION("""COMPUTED_VALUE"""),"No")</f>
        <v>No</v>
      </c>
      <c r="R746" s="1" t="str">
        <f>IFERROR(__xludf.DUMMYFUNCTION("""COMPUTED_VALUE"""),"NEW WALK IN")</f>
        <v>NEW WALK IN</v>
      </c>
      <c r="S746" s="1"/>
    </row>
    <row r="747">
      <c r="A747" s="2">
        <f>IFERROR(__xludf.DUMMYFUNCTION("""COMPUTED_VALUE"""),45582.74982193287)</f>
        <v>45582.74982</v>
      </c>
      <c r="B747" s="1" t="str">
        <f>IFERROR(__xludf.DUMMYFUNCTION("""COMPUTED_VALUE"""),"Ekra")</f>
        <v>Ekra</v>
      </c>
      <c r="C747" s="1">
        <f>IFERROR(__xludf.DUMMYFUNCTION("""COMPUTED_VALUE"""),6.289926452E9)</f>
        <v>6289926452</v>
      </c>
      <c r="D747" s="1">
        <f>IFERROR(__xludf.DUMMYFUNCTION("""COMPUTED_VALUE"""),1.0)</f>
        <v>1</v>
      </c>
      <c r="E747" s="3">
        <f>IFERROR(__xludf.DUMMYFUNCTION("""COMPUTED_VALUE"""),0.6569444444467081)</f>
        <v>0.6569444444</v>
      </c>
      <c r="F747" s="1" t="str">
        <f>IFERROR(__xludf.DUMMYFUNCTION("""COMPUTED_VALUE"""),"Antique Gold")</f>
        <v>Antique Gold</v>
      </c>
      <c r="G747" s="1" t="str">
        <f>IFERROR(__xludf.DUMMYFUNCTION("""COMPUTED_VALUE"""),"Pooja")</f>
        <v>Pooja</v>
      </c>
      <c r="H747" s="1" t="str">
        <f>IFERROR(__xludf.DUMMYFUNCTION("""COMPUTED_VALUE"""),"Silver payal")</f>
        <v>Silver payal</v>
      </c>
      <c r="I747" s="1"/>
      <c r="J747" s="1"/>
      <c r="K747" s="3">
        <f>IFERROR(__xludf.DUMMYFUNCTION("""COMPUTED_VALUE"""),0.7194444444467081)</f>
        <v>0.7194444444</v>
      </c>
      <c r="L747" s="1" t="str">
        <f>IFERROR(__xludf.DUMMYFUNCTION("""COMPUTED_VALUE"""),"Yes")</f>
        <v>Yes</v>
      </c>
      <c r="M747" s="1" t="str">
        <f>IFERROR(__xludf.DUMMYFUNCTION("""COMPUTED_VALUE"""),"Yes")</f>
        <v>Yes</v>
      </c>
      <c r="N747" s="1" t="str">
        <f>IFERROR(__xludf.DUMMYFUNCTION("""COMPUTED_VALUE"""),"Yes")</f>
        <v>Yes</v>
      </c>
      <c r="O747" s="1" t="str">
        <f>IFERROR(__xludf.DUMMYFUNCTION("""COMPUTED_VALUE"""),"WA ONLY, CALL")</f>
        <v>WA ONLY, CALL</v>
      </c>
      <c r="P747" s="1" t="str">
        <f>IFERROR(__xludf.DUMMYFUNCTION("""COMPUTED_VALUE"""),"Madam")</f>
        <v>Madam</v>
      </c>
      <c r="Q747" s="1" t="str">
        <f>IFERROR(__xludf.DUMMYFUNCTION("""COMPUTED_VALUE"""),"No")</f>
        <v>No</v>
      </c>
      <c r="R747" s="1" t="str">
        <f>IFERROR(__xludf.DUMMYFUNCTION("""COMPUTED_VALUE"""),"NEW WALK IN")</f>
        <v>NEW WALK IN</v>
      </c>
      <c r="S747" s="1"/>
    </row>
    <row r="748">
      <c r="A748" s="2">
        <f>IFERROR(__xludf.DUMMYFUNCTION("""COMPUTED_VALUE"""),45582.75061296296)</f>
        <v>45582.75061</v>
      </c>
      <c r="B748" s="1" t="str">
        <f>IFERROR(__xludf.DUMMYFUNCTION("""COMPUTED_VALUE"""),"Rahul")</f>
        <v>Rahul</v>
      </c>
      <c r="C748" s="1">
        <f>IFERROR(__xludf.DUMMYFUNCTION("""COMPUTED_VALUE"""),9.999855519E9)</f>
        <v>9999855519</v>
      </c>
      <c r="D748" s="1">
        <f>IFERROR(__xludf.DUMMYFUNCTION("""COMPUTED_VALUE"""),2.0)</f>
        <v>2</v>
      </c>
      <c r="E748" s="3">
        <f>IFERROR(__xludf.DUMMYFUNCTION("""COMPUTED_VALUE"""),0.6833333333343035)</f>
        <v>0.6833333333</v>
      </c>
      <c r="F748" s="1" t="str">
        <f>IFERROR(__xludf.DUMMYFUNCTION("""COMPUTED_VALUE"""),"Diamond")</f>
        <v>Diamond</v>
      </c>
      <c r="G748" s="1" t="str">
        <f>IFERROR(__xludf.DUMMYFUNCTION("""COMPUTED_VALUE"""),"Preeti")</f>
        <v>Preeti</v>
      </c>
      <c r="H748" s="1"/>
      <c r="I748" s="1" t="str">
        <f>IFERROR(__xludf.DUMMYFUNCTION("""COMPUTED_VALUE"""),"Making High or Wants Discount")</f>
        <v>Making High or Wants Discount</v>
      </c>
      <c r="J748" s="1"/>
      <c r="K748" s="3">
        <f>IFERROR(__xludf.DUMMYFUNCTION("""COMPUTED_VALUE"""),0.6979166666642413)</f>
        <v>0.6979166667</v>
      </c>
      <c r="L748" s="1" t="str">
        <f>IFERROR(__xludf.DUMMYFUNCTION("""COMPUTED_VALUE"""),"No")</f>
        <v>No</v>
      </c>
      <c r="M748" s="1" t="str">
        <f>IFERROR(__xludf.DUMMYFUNCTION("""COMPUTED_VALUE"""),"No")</f>
        <v>No</v>
      </c>
      <c r="N748" s="1" t="str">
        <f>IFERROR(__xludf.DUMMYFUNCTION("""COMPUTED_VALUE"""),"No")</f>
        <v>No</v>
      </c>
      <c r="O748" s="1" t="str">
        <f>IFERROR(__xludf.DUMMYFUNCTION("""COMPUTED_VALUE"""),"WA ONLY, CALL")</f>
        <v>WA ONLY, CALL</v>
      </c>
      <c r="P748" s="1" t="str">
        <f>IFERROR(__xludf.DUMMYFUNCTION("""COMPUTED_VALUE"""),"Sir")</f>
        <v>Sir</v>
      </c>
      <c r="Q748" s="1" t="str">
        <f>IFERROR(__xludf.DUMMYFUNCTION("""COMPUTED_VALUE"""),"No")</f>
        <v>No</v>
      </c>
      <c r="R748" s="1" t="str">
        <f>IFERROR(__xludf.DUMMYFUNCTION("""COMPUTED_VALUE"""),"NEW WALK IN")</f>
        <v>NEW WALK IN</v>
      </c>
      <c r="S748" s="1"/>
    </row>
    <row r="749">
      <c r="A749" s="2">
        <f>IFERROR(__xludf.DUMMYFUNCTION("""COMPUTED_VALUE"""),45582.812538796294)</f>
        <v>45582.81254</v>
      </c>
      <c r="B749" s="1" t="str">
        <f>IFERROR(__xludf.DUMMYFUNCTION("""COMPUTED_VALUE"""),"Sahil singh")</f>
        <v>Sahil singh</v>
      </c>
      <c r="C749" s="1">
        <f>IFERROR(__xludf.DUMMYFUNCTION("""COMPUTED_VALUE"""),8.85169017E9)</f>
        <v>8851690170</v>
      </c>
      <c r="D749" s="1">
        <f>IFERROR(__xludf.DUMMYFUNCTION("""COMPUTED_VALUE"""),5.0)</f>
        <v>5</v>
      </c>
      <c r="E749" s="3">
        <f>IFERROR(__xludf.DUMMYFUNCTION("""COMPUTED_VALUE"""),0.7986111111094942)</f>
        <v>0.7986111111</v>
      </c>
      <c r="F749" s="1" t="str">
        <f>IFERROR(__xludf.DUMMYFUNCTION("""COMPUTED_VALUE"""),"Plain Gold")</f>
        <v>Plain Gold</v>
      </c>
      <c r="G749" s="1" t="str">
        <f>IFERROR(__xludf.DUMMYFUNCTION("""COMPUTED_VALUE"""),"Preeti")</f>
        <v>Preeti</v>
      </c>
      <c r="H749" s="1"/>
      <c r="I749" s="1" t="str">
        <f>IFERROR(__xludf.DUMMYFUNCTION("""COMPUTED_VALUE"""),"Designs Not Liked")</f>
        <v>Designs Not Liked</v>
      </c>
      <c r="J749" s="1"/>
      <c r="K749" s="3">
        <f>IFERROR(__xludf.DUMMYFUNCTION("""COMPUTED_VALUE"""),0.8083333333343035)</f>
        <v>0.8083333333</v>
      </c>
      <c r="L749" s="1" t="str">
        <f>IFERROR(__xludf.DUMMYFUNCTION("""COMPUTED_VALUE"""),"No")</f>
        <v>No</v>
      </c>
      <c r="M749" s="1" t="str">
        <f>IFERROR(__xludf.DUMMYFUNCTION("""COMPUTED_VALUE"""),"No")</f>
        <v>No</v>
      </c>
      <c r="N749" s="1" t="str">
        <f>IFERROR(__xludf.DUMMYFUNCTION("""COMPUTED_VALUE"""),"No")</f>
        <v>No</v>
      </c>
      <c r="O749" s="1" t="str">
        <f>IFERROR(__xludf.DUMMYFUNCTION("""COMPUTED_VALUE"""),"WA ONLY, CALL")</f>
        <v>WA ONLY, CALL</v>
      </c>
      <c r="P749" s="1" t="str">
        <f>IFERROR(__xludf.DUMMYFUNCTION("""COMPUTED_VALUE"""),"Sir")</f>
        <v>Sir</v>
      </c>
      <c r="Q749" s="1" t="str">
        <f>IFERROR(__xludf.DUMMYFUNCTION("""COMPUTED_VALUE"""),"No")</f>
        <v>No</v>
      </c>
      <c r="R749" s="1" t="str">
        <f>IFERROR(__xludf.DUMMYFUNCTION("""COMPUTED_VALUE"""),"NEW WALK IN")</f>
        <v>NEW WALK IN</v>
      </c>
      <c r="S749" s="1"/>
    </row>
    <row r="750">
      <c r="A750" s="2">
        <f>IFERROR(__xludf.DUMMYFUNCTION("""COMPUTED_VALUE"""),45582.81373550926)</f>
        <v>45582.81374</v>
      </c>
      <c r="B750" s="1" t="str">
        <f>IFERROR(__xludf.DUMMYFUNCTION("""COMPUTED_VALUE"""),"Swapnarani rath")</f>
        <v>Swapnarani rath</v>
      </c>
      <c r="C750" s="1">
        <f>IFERROR(__xludf.DUMMYFUNCTION("""COMPUTED_VALUE"""),8.368494008E9)</f>
        <v>8368494008</v>
      </c>
      <c r="D750" s="1">
        <f>IFERROR(__xludf.DUMMYFUNCTION("""COMPUTED_VALUE"""),1.0)</f>
        <v>1</v>
      </c>
      <c r="E750" s="3">
        <f>IFERROR(__xludf.DUMMYFUNCTION("""COMPUTED_VALUE"""),0.7701388888890506)</f>
        <v>0.7701388889</v>
      </c>
      <c r="F750" s="1" t="str">
        <f>IFERROR(__xludf.DUMMYFUNCTION("""COMPUTED_VALUE"""),"Antique Gold")</f>
        <v>Antique Gold</v>
      </c>
      <c r="G750" s="1" t="str">
        <f>IFERROR(__xludf.DUMMYFUNCTION("""COMPUTED_VALUE"""),"Pooja")</f>
        <v>Pooja</v>
      </c>
      <c r="H750" s="1"/>
      <c r="I750" s="1" t="str">
        <f>IFERROR(__xludf.DUMMYFUNCTION("""COMPUTED_VALUE"""),"Pick up Order")</f>
        <v>Pick up Order</v>
      </c>
      <c r="J750" s="1"/>
      <c r="K750" s="3">
        <f>IFERROR(__xludf.DUMMYFUNCTION("""COMPUTED_VALUE"""),0.8333333333357587)</f>
        <v>0.8333333333</v>
      </c>
      <c r="L750" s="1" t="str">
        <f>IFERROR(__xludf.DUMMYFUNCTION("""COMPUTED_VALUE"""),"Yes")</f>
        <v>Yes</v>
      </c>
      <c r="M750" s="1" t="str">
        <f>IFERROR(__xludf.DUMMYFUNCTION("""COMPUTED_VALUE"""),"Already done ")</f>
        <v>Already done </v>
      </c>
      <c r="N750" s="1" t="str">
        <f>IFERROR(__xludf.DUMMYFUNCTION("""COMPUTED_VALUE"""),"Already done ")</f>
        <v>Already done </v>
      </c>
      <c r="O750" s="1" t="str">
        <f>IFERROR(__xludf.DUMMYFUNCTION("""COMPUTED_VALUE"""),"WA ONLY, CALL")</f>
        <v>WA ONLY, CALL</v>
      </c>
      <c r="P750" s="1" t="str">
        <f>IFERROR(__xludf.DUMMYFUNCTION("""COMPUTED_VALUE"""),"Madam")</f>
        <v>Madam</v>
      </c>
      <c r="Q750" s="1" t="str">
        <f>IFERROR(__xludf.DUMMYFUNCTION("""COMPUTED_VALUE"""),"No")</f>
        <v>No</v>
      </c>
      <c r="R750" s="1" t="str">
        <f>IFERROR(__xludf.DUMMYFUNCTION("""COMPUTED_VALUE"""),"OLD")</f>
        <v>OLD</v>
      </c>
      <c r="S750" s="1"/>
    </row>
    <row r="751">
      <c r="A751" s="2">
        <f>IFERROR(__xludf.DUMMYFUNCTION("""COMPUTED_VALUE"""),45583.75126311343)</f>
        <v>45583.75126</v>
      </c>
      <c r="B751" s="1" t="str">
        <f>IFERROR(__xludf.DUMMYFUNCTION("""COMPUTED_VALUE"""),"Ani bhanat")</f>
        <v>Ani bhanat</v>
      </c>
      <c r="C751" s="1">
        <f>IFERROR(__xludf.DUMMYFUNCTION("""COMPUTED_VALUE"""),9.871810855E9)</f>
        <v>9871810855</v>
      </c>
      <c r="D751" s="1">
        <f>IFERROR(__xludf.DUMMYFUNCTION("""COMPUTED_VALUE"""),1.0)</f>
        <v>1</v>
      </c>
      <c r="E751" s="3">
        <f>IFERROR(__xludf.DUMMYFUNCTION("""COMPUTED_VALUE"""),0.5374999999985448)</f>
        <v>0.5375</v>
      </c>
      <c r="F751" s="1" t="str">
        <f>IFERROR(__xludf.DUMMYFUNCTION("""COMPUTED_VALUE"""),"Plain Gold")</f>
        <v>Plain Gold</v>
      </c>
      <c r="G751" s="1" t="str">
        <f>IFERROR(__xludf.DUMMYFUNCTION("""COMPUTED_VALUE"""),"Tannu")</f>
        <v>Tannu</v>
      </c>
      <c r="H751" s="1"/>
      <c r="I751" s="1" t="str">
        <f>IFERROR(__xludf.DUMMYFUNCTION("""COMPUTED_VALUE"""),"Want to see More Variety")</f>
        <v>Want to see More Variety</v>
      </c>
      <c r="J751" s="1"/>
      <c r="K751" s="3">
        <f>IFERROR(__xludf.DUMMYFUNCTION("""COMPUTED_VALUE"""),0.5486111111094942)</f>
        <v>0.5486111111</v>
      </c>
      <c r="L751" s="1" t="str">
        <f>IFERROR(__xludf.DUMMYFUNCTION("""COMPUTED_VALUE"""),"No")</f>
        <v>No</v>
      </c>
      <c r="M751" s="1" t="str">
        <f>IFERROR(__xludf.DUMMYFUNCTION("""COMPUTED_VALUE"""),"No")</f>
        <v>No</v>
      </c>
      <c r="N751" s="1" t="str">
        <f>IFERROR(__xludf.DUMMYFUNCTION("""COMPUTED_VALUE"""),"No")</f>
        <v>No</v>
      </c>
      <c r="O751" s="1" t="str">
        <f>IFERROR(__xludf.DUMMYFUNCTION("""COMPUTED_VALUE"""),"WA ONLY, CALL")</f>
        <v>WA ONLY, CALL</v>
      </c>
      <c r="P751" s="1" t="str">
        <f>IFERROR(__xludf.DUMMYFUNCTION("""COMPUTED_VALUE"""),"Sir")</f>
        <v>Sir</v>
      </c>
      <c r="Q751" s="1" t="str">
        <f>IFERROR(__xludf.DUMMYFUNCTION("""COMPUTED_VALUE"""),"No")</f>
        <v>No</v>
      </c>
      <c r="R751" s="1" t="str">
        <f>IFERROR(__xludf.DUMMYFUNCTION("""COMPUTED_VALUE"""),"NEW WALK IN")</f>
        <v>NEW WALK IN</v>
      </c>
      <c r="S751" s="1"/>
    </row>
    <row r="752">
      <c r="A752" s="2">
        <f>IFERROR(__xludf.DUMMYFUNCTION("""COMPUTED_VALUE"""),45583.75280246528)</f>
        <v>45583.7528</v>
      </c>
      <c r="B752" s="1" t="str">
        <f>IFERROR(__xludf.DUMMYFUNCTION("""COMPUTED_VALUE"""),"Rinkle")</f>
        <v>Rinkle</v>
      </c>
      <c r="C752" s="1">
        <f>IFERROR(__xludf.DUMMYFUNCTION("""COMPUTED_VALUE"""),8.586968902E9)</f>
        <v>8586968902</v>
      </c>
      <c r="D752" s="1">
        <f>IFERROR(__xludf.DUMMYFUNCTION("""COMPUTED_VALUE"""),2.0)</f>
        <v>2</v>
      </c>
      <c r="E752" s="3">
        <f>IFERROR(__xludf.DUMMYFUNCTION("""COMPUTED_VALUE"""),0.5208333333357587)</f>
        <v>0.5208333333</v>
      </c>
      <c r="F752" s="1" t="str">
        <f>IFERROR(__xludf.DUMMYFUNCTION("""COMPUTED_VALUE"""),"Antique Gold")</f>
        <v>Antique Gold</v>
      </c>
      <c r="G752" s="1" t="str">
        <f>IFERROR(__xludf.DUMMYFUNCTION("""COMPUTED_VALUE"""),"Pooja")</f>
        <v>Pooja</v>
      </c>
      <c r="H752" s="1" t="str">
        <f>IFERROR(__xludf.DUMMYFUNCTION("""COMPUTED_VALUE"""),"Silver payal,silver chutki")</f>
        <v>Silver payal,silver chutki</v>
      </c>
      <c r="I752" s="1"/>
      <c r="J752" s="1"/>
      <c r="K752" s="3">
        <f>IFERROR(__xludf.DUMMYFUNCTION("""COMPUTED_VALUE"""),0.6041666666642413)</f>
        <v>0.6041666667</v>
      </c>
      <c r="L752" s="1" t="str">
        <f>IFERROR(__xludf.DUMMYFUNCTION("""COMPUTED_VALUE"""),"Yes")</f>
        <v>Yes</v>
      </c>
      <c r="M752" s="1" t="str">
        <f>IFERROR(__xludf.DUMMYFUNCTION("""COMPUTED_VALUE"""),"Already done ")</f>
        <v>Already done </v>
      </c>
      <c r="N752" s="1" t="str">
        <f>IFERROR(__xludf.DUMMYFUNCTION("""COMPUTED_VALUE"""),"Already done ")</f>
        <v>Already done </v>
      </c>
      <c r="O752" s="1" t="str">
        <f>IFERROR(__xludf.DUMMYFUNCTION("""COMPUTED_VALUE"""),"WA ONLY, CALL")</f>
        <v>WA ONLY, CALL</v>
      </c>
      <c r="P752" s="1" t="str">
        <f>IFERROR(__xludf.DUMMYFUNCTION("""COMPUTED_VALUE"""),"Madam")</f>
        <v>Madam</v>
      </c>
      <c r="Q752" s="1" t="str">
        <f>IFERROR(__xludf.DUMMYFUNCTION("""COMPUTED_VALUE"""),"No")</f>
        <v>No</v>
      </c>
      <c r="R752" s="1" t="str">
        <f>IFERROR(__xludf.DUMMYFUNCTION("""COMPUTED_VALUE"""),"OLD")</f>
        <v>OLD</v>
      </c>
      <c r="S752" s="1"/>
    </row>
    <row r="753">
      <c r="A753" s="2">
        <f>IFERROR(__xludf.DUMMYFUNCTION("""COMPUTED_VALUE"""),45583.75348368056)</f>
        <v>45583.75348</v>
      </c>
      <c r="B753" s="1" t="str">
        <f>IFERROR(__xludf.DUMMYFUNCTION("""COMPUTED_VALUE"""),"Satuti")</f>
        <v>Satuti</v>
      </c>
      <c r="C753" s="1">
        <f>IFERROR(__xludf.DUMMYFUNCTION("""COMPUTED_VALUE"""),9.810798532E9)</f>
        <v>9810798532</v>
      </c>
      <c r="D753" s="1">
        <f>IFERROR(__xludf.DUMMYFUNCTION("""COMPUTED_VALUE"""),1.0)</f>
        <v>1</v>
      </c>
      <c r="E753" s="3">
        <f>IFERROR(__xludf.DUMMYFUNCTION("""COMPUTED_VALUE"""),0.625)</f>
        <v>0.625</v>
      </c>
      <c r="F753" s="1" t="str">
        <f>IFERROR(__xludf.DUMMYFUNCTION("""COMPUTED_VALUE"""),"Diamond")</f>
        <v>Diamond</v>
      </c>
      <c r="G753" s="1" t="str">
        <f>IFERROR(__xludf.DUMMYFUNCTION("""COMPUTED_VALUE"""),"Pooja")</f>
        <v>Pooja</v>
      </c>
      <c r="H753" s="1" t="str">
        <f>IFERROR(__xludf.DUMMYFUNCTION("""COMPUTED_VALUE"""),"Diamond bangle ")</f>
        <v>Diamond bangle </v>
      </c>
      <c r="I753" s="1"/>
      <c r="J753" s="1"/>
      <c r="K753" s="3">
        <f>IFERROR(__xludf.DUMMYFUNCTION("""COMPUTED_VALUE"""),0.6666666666642413)</f>
        <v>0.6666666667</v>
      </c>
      <c r="L753" s="1" t="str">
        <f>IFERROR(__xludf.DUMMYFUNCTION("""COMPUTED_VALUE"""),"Yes")</f>
        <v>Yes</v>
      </c>
      <c r="M753" s="1" t="str">
        <f>IFERROR(__xludf.DUMMYFUNCTION("""COMPUTED_VALUE"""),"Already done ")</f>
        <v>Already done </v>
      </c>
      <c r="N753" s="1" t="str">
        <f>IFERROR(__xludf.DUMMYFUNCTION("""COMPUTED_VALUE"""),"Already done ")</f>
        <v>Already done </v>
      </c>
      <c r="O753" s="1" t="str">
        <f>IFERROR(__xludf.DUMMYFUNCTION("""COMPUTED_VALUE"""),"WA ONLY, CALL")</f>
        <v>WA ONLY, CALL</v>
      </c>
      <c r="P753" s="1" t="str">
        <f>IFERROR(__xludf.DUMMYFUNCTION("""COMPUTED_VALUE"""),"Madam")</f>
        <v>Madam</v>
      </c>
      <c r="Q753" s="1" t="str">
        <f>IFERROR(__xludf.DUMMYFUNCTION("""COMPUTED_VALUE"""),"No")</f>
        <v>No</v>
      </c>
      <c r="R753" s="1" t="str">
        <f>IFERROR(__xludf.DUMMYFUNCTION("""COMPUTED_VALUE"""),"OLD")</f>
        <v>OLD</v>
      </c>
      <c r="S753" s="1"/>
    </row>
    <row r="754">
      <c r="A754" s="2">
        <f>IFERROR(__xludf.DUMMYFUNCTION("""COMPUTED_VALUE"""),45583.75431002315)</f>
        <v>45583.75431</v>
      </c>
      <c r="B754" s="1" t="str">
        <f>IFERROR(__xludf.DUMMYFUNCTION("""COMPUTED_VALUE"""),"Vijay")</f>
        <v>Vijay</v>
      </c>
      <c r="C754" s="1">
        <f>IFERROR(__xludf.DUMMYFUNCTION("""COMPUTED_VALUE"""),9.911181366E9)</f>
        <v>9911181366</v>
      </c>
      <c r="D754" s="1">
        <f>IFERROR(__xludf.DUMMYFUNCTION("""COMPUTED_VALUE"""),2.0)</f>
        <v>2</v>
      </c>
      <c r="E754" s="3">
        <f>IFERROR(__xludf.DUMMYFUNCTION("""COMPUTED_VALUE"""),0.6805555555547471)</f>
        <v>0.6805555556</v>
      </c>
      <c r="F754" s="1" t="str">
        <f>IFERROR(__xludf.DUMMYFUNCTION("""COMPUTED_VALUE"""),"Diamond")</f>
        <v>Diamond</v>
      </c>
      <c r="G754" s="1" t="str">
        <f>IFERROR(__xludf.DUMMYFUNCTION("""COMPUTED_VALUE"""),"Pooja")</f>
        <v>Pooja</v>
      </c>
      <c r="H754" s="1" t="str">
        <f>IFERROR(__xludf.DUMMYFUNCTION("""COMPUTED_VALUE"""),"2 diamond ring")</f>
        <v>2 diamond ring</v>
      </c>
      <c r="I754" s="1"/>
      <c r="J754" s="1"/>
      <c r="K754" s="3">
        <f>IFERROR(__xludf.DUMMYFUNCTION("""COMPUTED_VALUE"""),0.7006944444437977)</f>
        <v>0.7006944444</v>
      </c>
      <c r="L754" s="1" t="str">
        <f>IFERROR(__xludf.DUMMYFUNCTION("""COMPUTED_VALUE"""),"Yes")</f>
        <v>Yes</v>
      </c>
      <c r="M754" s="1" t="str">
        <f>IFERROR(__xludf.DUMMYFUNCTION("""COMPUTED_VALUE"""),"Already done ")</f>
        <v>Already done </v>
      </c>
      <c r="N754" s="1" t="str">
        <f>IFERROR(__xludf.DUMMYFUNCTION("""COMPUTED_VALUE"""),"Already done ")</f>
        <v>Already done </v>
      </c>
      <c r="O754" s="1" t="str">
        <f>IFERROR(__xludf.DUMMYFUNCTION("""COMPUTED_VALUE"""),"WA ONLY, CALL")</f>
        <v>WA ONLY, CALL</v>
      </c>
      <c r="P754" s="1" t="str">
        <f>IFERROR(__xludf.DUMMYFUNCTION("""COMPUTED_VALUE"""),"Sir")</f>
        <v>Sir</v>
      </c>
      <c r="Q754" s="1" t="str">
        <f>IFERROR(__xludf.DUMMYFUNCTION("""COMPUTED_VALUE"""),"No")</f>
        <v>No</v>
      </c>
      <c r="R754" s="1" t="str">
        <f>IFERROR(__xludf.DUMMYFUNCTION("""COMPUTED_VALUE"""),"NEW WALK IN")</f>
        <v>NEW WALK IN</v>
      </c>
      <c r="S754" s="1"/>
    </row>
    <row r="755">
      <c r="A755" s="2">
        <f>IFERROR(__xludf.DUMMYFUNCTION("""COMPUTED_VALUE"""),45583.75905788194)</f>
        <v>45583.75906</v>
      </c>
      <c r="B755" s="1" t="str">
        <f>IFERROR(__xludf.DUMMYFUNCTION("""COMPUTED_VALUE"""),"Sanjeev ")</f>
        <v>Sanjeev </v>
      </c>
      <c r="C755" s="1">
        <f>IFERROR(__xludf.DUMMYFUNCTION("""COMPUTED_VALUE"""),7.982855589E9)</f>
        <v>7982855589</v>
      </c>
      <c r="D755" s="1">
        <f>IFERROR(__xludf.DUMMYFUNCTION("""COMPUTED_VALUE"""),1.0)</f>
        <v>1</v>
      </c>
      <c r="E755" s="3">
        <f>IFERROR(__xludf.DUMMYFUNCTION("""COMPUTED_VALUE"""),0.7291666666642413)</f>
        <v>0.7291666667</v>
      </c>
      <c r="F755" s="1" t="str">
        <f>IFERROR(__xludf.DUMMYFUNCTION("""COMPUTED_VALUE"""),"Plain Gold")</f>
        <v>Plain Gold</v>
      </c>
      <c r="G755" s="1" t="str">
        <f>IFERROR(__xludf.DUMMYFUNCTION("""COMPUTED_VALUE"""),"Tannu")</f>
        <v>Tannu</v>
      </c>
      <c r="H755" s="1" t="str">
        <f>IFERROR(__xludf.DUMMYFUNCTION("""COMPUTED_VALUE"""),"2 gold nose pin")</f>
        <v>2 gold nose pin</v>
      </c>
      <c r="I755" s="1"/>
      <c r="J755" s="1"/>
      <c r="K755" s="3">
        <f>IFERROR(__xludf.DUMMYFUNCTION("""COMPUTED_VALUE"""),0.7583333333313931)</f>
        <v>0.7583333333</v>
      </c>
      <c r="L755" s="1" t="str">
        <f>IFERROR(__xludf.DUMMYFUNCTION("""COMPUTED_VALUE"""),"Yes")</f>
        <v>Yes</v>
      </c>
      <c r="M755" s="1" t="str">
        <f>IFERROR(__xludf.DUMMYFUNCTION("""COMPUTED_VALUE"""),"Not use")</f>
        <v>Not use</v>
      </c>
      <c r="N755" s="1" t="str">
        <f>IFERROR(__xludf.DUMMYFUNCTION("""COMPUTED_VALUE"""),"Yes")</f>
        <v>Yes</v>
      </c>
      <c r="O755" s="1" t="str">
        <f>IFERROR(__xludf.DUMMYFUNCTION("""COMPUTED_VALUE"""),"WA ONLY, CALL")</f>
        <v>WA ONLY, CALL</v>
      </c>
      <c r="P755" s="1" t="str">
        <f>IFERROR(__xludf.DUMMYFUNCTION("""COMPUTED_VALUE"""),"Sir")</f>
        <v>Sir</v>
      </c>
      <c r="Q755" s="1" t="str">
        <f>IFERROR(__xludf.DUMMYFUNCTION("""COMPUTED_VALUE"""),"No")</f>
        <v>No</v>
      </c>
      <c r="R755" s="1" t="str">
        <f>IFERROR(__xludf.DUMMYFUNCTION("""COMPUTED_VALUE"""),"NEW WALK IN")</f>
        <v>NEW WALK IN</v>
      </c>
      <c r="S755" s="1"/>
    </row>
    <row r="756">
      <c r="A756" s="2">
        <f>IFERROR(__xludf.DUMMYFUNCTION("""COMPUTED_VALUE"""),45583.75978979167)</f>
        <v>45583.75979</v>
      </c>
      <c r="B756" s="1" t="str">
        <f>IFERROR(__xludf.DUMMYFUNCTION("""COMPUTED_VALUE"""),"Gyan")</f>
        <v>Gyan</v>
      </c>
      <c r="C756" s="1">
        <f>IFERROR(__xludf.DUMMYFUNCTION("""COMPUTED_VALUE"""),9.818247342E9)</f>
        <v>9818247342</v>
      </c>
      <c r="D756" s="1">
        <f>IFERROR(__xludf.DUMMYFUNCTION("""COMPUTED_VALUE"""),1.0)</f>
        <v>1</v>
      </c>
      <c r="E756" s="3">
        <f>IFERROR(__xludf.DUMMYFUNCTION("""COMPUTED_VALUE"""),0.7465277777810115)</f>
        <v>0.7465277778</v>
      </c>
      <c r="F756" s="1" t="str">
        <f>IFERROR(__xludf.DUMMYFUNCTION("""COMPUTED_VALUE"""),"Antique Gold")</f>
        <v>Antique Gold</v>
      </c>
      <c r="G756" s="1" t="str">
        <f>IFERROR(__xludf.DUMMYFUNCTION("""COMPUTED_VALUE"""),"Pooja")</f>
        <v>Pooja</v>
      </c>
      <c r="H756" s="1"/>
      <c r="I756" s="1" t="str">
        <f>IFERROR(__xludf.DUMMYFUNCTION("""COMPUTED_VALUE"""),"Visit Again in 1 Month")</f>
        <v>Visit Again in 1 Month</v>
      </c>
      <c r="J756" s="1"/>
      <c r="K756" s="3">
        <f>IFERROR(__xludf.DUMMYFUNCTION("""COMPUTED_VALUE"""),0.7569444444452529)</f>
        <v>0.7569444444</v>
      </c>
      <c r="L756" s="1" t="str">
        <f>IFERROR(__xludf.DUMMYFUNCTION("""COMPUTED_VALUE"""),"No")</f>
        <v>No</v>
      </c>
      <c r="M756" s="1" t="str">
        <f>IFERROR(__xludf.DUMMYFUNCTION("""COMPUTED_VALUE"""),"No")</f>
        <v>No</v>
      </c>
      <c r="N756" s="1" t="str">
        <f>IFERROR(__xludf.DUMMYFUNCTION("""COMPUTED_VALUE"""),"No")</f>
        <v>No</v>
      </c>
      <c r="O756" s="1" t="str">
        <f>IFERROR(__xludf.DUMMYFUNCTION("""COMPUTED_VALUE"""),"WA ONLY, CALL")</f>
        <v>WA ONLY, CALL</v>
      </c>
      <c r="P756" s="1" t="str">
        <f>IFERROR(__xludf.DUMMYFUNCTION("""COMPUTED_VALUE"""),"Sir")</f>
        <v>Sir</v>
      </c>
      <c r="Q756" s="1" t="str">
        <f>IFERROR(__xludf.DUMMYFUNCTION("""COMPUTED_VALUE"""),"No")</f>
        <v>No</v>
      </c>
      <c r="R756" s="1" t="str">
        <f>IFERROR(__xludf.DUMMYFUNCTION("""COMPUTED_VALUE"""),"NEW WALK IN")</f>
        <v>NEW WALK IN</v>
      </c>
      <c r="S756" s="1"/>
    </row>
    <row r="757">
      <c r="A757" s="2">
        <f>IFERROR(__xludf.DUMMYFUNCTION("""COMPUTED_VALUE"""),45583.78406820602)</f>
        <v>45583.78407</v>
      </c>
      <c r="B757" s="1" t="str">
        <f>IFERROR(__xludf.DUMMYFUNCTION("""COMPUTED_VALUE"""),"Sunita")</f>
        <v>Sunita</v>
      </c>
      <c r="C757" s="1">
        <f>IFERROR(__xludf.DUMMYFUNCTION("""COMPUTED_VALUE"""),9.711367631E9)</f>
        <v>9711367631</v>
      </c>
      <c r="D757" s="1">
        <f>IFERROR(__xludf.DUMMYFUNCTION("""COMPUTED_VALUE"""),3.0)</f>
        <v>3</v>
      </c>
      <c r="E757" s="3">
        <f>IFERROR(__xludf.DUMMYFUNCTION("""COMPUTED_VALUE"""),0.7465277777810115)</f>
        <v>0.7465277778</v>
      </c>
      <c r="F757" s="1" t="str">
        <f>IFERROR(__xludf.DUMMYFUNCTION("""COMPUTED_VALUE"""),"Plain Gold")</f>
        <v>Plain Gold</v>
      </c>
      <c r="G757" s="1" t="str">
        <f>IFERROR(__xludf.DUMMYFUNCTION("""COMPUTED_VALUE"""),"Pooja")</f>
        <v>Pooja</v>
      </c>
      <c r="H757" s="1"/>
      <c r="I757" s="1" t="str">
        <f>IFERROR(__xludf.DUMMYFUNCTION("""COMPUTED_VALUE"""),"Pick up Order")</f>
        <v>Pick up Order</v>
      </c>
      <c r="J757" s="1"/>
      <c r="K757" s="3">
        <f>IFERROR(__xludf.DUMMYFUNCTION("""COMPUTED_VALUE"""),0.7819444444467081)</f>
        <v>0.7819444444</v>
      </c>
      <c r="L757" s="1" t="str">
        <f>IFERROR(__xludf.DUMMYFUNCTION("""COMPUTED_VALUE"""),"Yes")</f>
        <v>Yes</v>
      </c>
      <c r="M757" s="1" t="str">
        <f>IFERROR(__xludf.DUMMYFUNCTION("""COMPUTED_VALUE"""),"Already done ")</f>
        <v>Already done </v>
      </c>
      <c r="N757" s="1" t="str">
        <f>IFERROR(__xludf.DUMMYFUNCTION("""COMPUTED_VALUE"""),"Already done ")</f>
        <v>Already done </v>
      </c>
      <c r="O757" s="1" t="str">
        <f>IFERROR(__xludf.DUMMYFUNCTION("""COMPUTED_VALUE"""),"WA ONLY, CALL")</f>
        <v>WA ONLY, CALL</v>
      </c>
      <c r="P757" s="1" t="str">
        <f>IFERROR(__xludf.DUMMYFUNCTION("""COMPUTED_VALUE"""),"Madam")</f>
        <v>Madam</v>
      </c>
      <c r="Q757" s="1" t="str">
        <f>IFERROR(__xludf.DUMMYFUNCTION("""COMPUTED_VALUE"""),"No")</f>
        <v>No</v>
      </c>
      <c r="R757" s="1" t="str">
        <f>IFERROR(__xludf.DUMMYFUNCTION("""COMPUTED_VALUE"""),"OLD")</f>
        <v>OLD</v>
      </c>
      <c r="S757" s="1"/>
    </row>
    <row r="758">
      <c r="A758" s="2">
        <f>IFERROR(__xludf.DUMMYFUNCTION("""COMPUTED_VALUE"""),45583.808361250005)</f>
        <v>45583.80836</v>
      </c>
      <c r="B758" s="1" t="str">
        <f>IFERROR(__xludf.DUMMYFUNCTION("""COMPUTED_VALUE"""),"Mittal software labs ltd.")</f>
        <v>Mittal software labs ltd.</v>
      </c>
      <c r="C758" s="1">
        <f>IFERROR(__xludf.DUMMYFUNCTION("""COMPUTED_VALUE"""),9.999901385E9)</f>
        <v>9999901385</v>
      </c>
      <c r="D758" s="1">
        <f>IFERROR(__xludf.DUMMYFUNCTION("""COMPUTED_VALUE"""),2.0)</f>
        <v>2</v>
      </c>
      <c r="E758" s="3">
        <f>IFERROR(__xludf.DUMMYFUNCTION("""COMPUTED_VALUE"""),0.796527777776646)</f>
        <v>0.7965277778</v>
      </c>
      <c r="F758" s="1" t="str">
        <f>IFERROR(__xludf.DUMMYFUNCTION("""COMPUTED_VALUE"""),"Plain Gold")</f>
        <v>Plain Gold</v>
      </c>
      <c r="G758" s="1" t="str">
        <f>IFERROR(__xludf.DUMMYFUNCTION("""COMPUTED_VALUE"""),"Pooja")</f>
        <v>Pooja</v>
      </c>
      <c r="H758" s="1" t="str">
        <f>IFERROR(__xludf.DUMMYFUNCTION("""COMPUTED_VALUE"""),"2 silver coin 100gm")</f>
        <v>2 silver coin 100gm</v>
      </c>
      <c r="I758" s="1"/>
      <c r="J758" s="1"/>
      <c r="K758" s="3">
        <f>IFERROR(__xludf.DUMMYFUNCTION("""COMPUTED_VALUE"""),0.8090277777810115)</f>
        <v>0.8090277778</v>
      </c>
      <c r="L758" s="1" t="str">
        <f>IFERROR(__xludf.DUMMYFUNCTION("""COMPUTED_VALUE"""),"Yes")</f>
        <v>Yes</v>
      </c>
      <c r="M758" s="1" t="str">
        <f>IFERROR(__xludf.DUMMYFUNCTION("""COMPUTED_VALUE"""),"Yes")</f>
        <v>Yes</v>
      </c>
      <c r="N758" s="1" t="str">
        <f>IFERROR(__xludf.DUMMYFUNCTION("""COMPUTED_VALUE"""),"Yes")</f>
        <v>Yes</v>
      </c>
      <c r="O758" s="1" t="str">
        <f>IFERROR(__xludf.DUMMYFUNCTION("""COMPUTED_VALUE"""),"WA ONLY, CALL")</f>
        <v>WA ONLY, CALL</v>
      </c>
      <c r="P758" s="1" t="str">
        <f>IFERROR(__xludf.DUMMYFUNCTION("""COMPUTED_VALUE"""),"Sir")</f>
        <v>Sir</v>
      </c>
      <c r="Q758" s="1" t="str">
        <f>IFERROR(__xludf.DUMMYFUNCTION("""COMPUTED_VALUE"""),"No")</f>
        <v>No</v>
      </c>
      <c r="R758" s="1" t="str">
        <f>IFERROR(__xludf.DUMMYFUNCTION("""COMPUTED_VALUE"""),"NEW WALK IN")</f>
        <v>NEW WALK IN</v>
      </c>
      <c r="S758" s="1"/>
    </row>
    <row r="759">
      <c r="A759" s="2">
        <f>IFERROR(__xludf.DUMMYFUNCTION("""COMPUTED_VALUE"""),45584.69961310185)</f>
        <v>45584.69961</v>
      </c>
      <c r="B759" s="1" t="str">
        <f>IFERROR(__xludf.DUMMYFUNCTION("""COMPUTED_VALUE"""),"Niharika")</f>
        <v>Niharika</v>
      </c>
      <c r="C759" s="1">
        <f>IFERROR(__xludf.DUMMYFUNCTION("""COMPUTED_VALUE"""),8.077147351E9)</f>
        <v>8077147351</v>
      </c>
      <c r="D759" s="1">
        <f>IFERROR(__xludf.DUMMYFUNCTION("""COMPUTED_VALUE"""),2.0)</f>
        <v>2</v>
      </c>
      <c r="E759" s="3">
        <f>IFERROR(__xludf.DUMMYFUNCTION("""COMPUTED_VALUE"""),0.49861111110658385)</f>
        <v>0.4986111111</v>
      </c>
      <c r="F759" s="1" t="str">
        <f>IFERROR(__xludf.DUMMYFUNCTION("""COMPUTED_VALUE"""),"Plain Gold")</f>
        <v>Plain Gold</v>
      </c>
      <c r="G759" s="1" t="str">
        <f>IFERROR(__xludf.DUMMYFUNCTION("""COMPUTED_VALUE"""),"Preeti")</f>
        <v>Preeti</v>
      </c>
      <c r="H759" s="1"/>
      <c r="I759" s="1" t="str">
        <f>IFERROR(__xludf.DUMMYFUNCTION("""COMPUTED_VALUE"""),"Making High or Wants Discount")</f>
        <v>Making High or Wants Discount</v>
      </c>
      <c r="J759" s="1"/>
      <c r="K759" s="3">
        <f>IFERROR(__xludf.DUMMYFUNCTION("""COMPUTED_VALUE"""),0.5416666666642413)</f>
        <v>0.5416666667</v>
      </c>
      <c r="L759" s="1" t="str">
        <f>IFERROR(__xludf.DUMMYFUNCTION("""COMPUTED_VALUE"""),"No")</f>
        <v>No</v>
      </c>
      <c r="M759" s="1" t="str">
        <f>IFERROR(__xludf.DUMMYFUNCTION("""COMPUTED_VALUE"""),"No")</f>
        <v>No</v>
      </c>
      <c r="N759" s="1" t="str">
        <f>IFERROR(__xludf.DUMMYFUNCTION("""COMPUTED_VALUE"""),"No")</f>
        <v>No</v>
      </c>
      <c r="O759" s="1" t="str">
        <f>IFERROR(__xludf.DUMMYFUNCTION("""COMPUTED_VALUE"""),"WA ONLY, CALL")</f>
        <v>WA ONLY, CALL</v>
      </c>
      <c r="P759" s="1" t="str">
        <f>IFERROR(__xludf.DUMMYFUNCTION("""COMPUTED_VALUE"""),"Madam")</f>
        <v>Madam</v>
      </c>
      <c r="Q759" s="1" t="str">
        <f>IFERROR(__xludf.DUMMYFUNCTION("""COMPUTED_VALUE"""),"No")</f>
        <v>No</v>
      </c>
      <c r="R759" s="1" t="str">
        <f>IFERROR(__xludf.DUMMYFUNCTION("""COMPUTED_VALUE"""),"NEW WALK IN")</f>
        <v>NEW WALK IN</v>
      </c>
      <c r="S759" s="1"/>
    </row>
    <row r="760">
      <c r="A760" s="2">
        <f>IFERROR(__xludf.DUMMYFUNCTION("""COMPUTED_VALUE"""),45584.70342839121)</f>
        <v>45584.70343</v>
      </c>
      <c r="B760" s="1" t="str">
        <f>IFERROR(__xludf.DUMMYFUNCTION("""COMPUTED_VALUE"""),"Uma")</f>
        <v>Uma</v>
      </c>
      <c r="C760" s="1">
        <f>IFERROR(__xludf.DUMMYFUNCTION("""COMPUTED_VALUE"""),9.350978264E9)</f>
        <v>9350978264</v>
      </c>
      <c r="D760" s="1">
        <f>IFERROR(__xludf.DUMMYFUNCTION("""COMPUTED_VALUE"""),3.0)</f>
        <v>3</v>
      </c>
      <c r="E760" s="3">
        <f>IFERROR(__xludf.DUMMYFUNCTION("""COMPUTED_VALUE"""),0.5590277777810115)</f>
        <v>0.5590277778</v>
      </c>
      <c r="F760" s="1" t="str">
        <f>IFERROR(__xludf.DUMMYFUNCTION("""COMPUTED_VALUE"""),"Antique Gold")</f>
        <v>Antique Gold</v>
      </c>
      <c r="G760" s="1" t="str">
        <f>IFERROR(__xludf.DUMMYFUNCTION("""COMPUTED_VALUE"""),"Pooja")</f>
        <v>Pooja</v>
      </c>
      <c r="H760" s="1" t="str">
        <f>IFERROR(__xludf.DUMMYFUNCTION("""COMPUTED_VALUE"""),"Gold ring gold ms pendent ")</f>
        <v>Gold ring gold ms pendent </v>
      </c>
      <c r="I760" s="1"/>
      <c r="J760" s="1"/>
      <c r="K760" s="3">
        <f>IFERROR(__xludf.DUMMYFUNCTION("""COMPUTED_VALUE"""),0.6840277777810115)</f>
        <v>0.6840277778</v>
      </c>
      <c r="L760" s="1" t="str">
        <f>IFERROR(__xludf.DUMMYFUNCTION("""COMPUTED_VALUE"""),"Yes")</f>
        <v>Yes</v>
      </c>
      <c r="M760" s="1" t="str">
        <f>IFERROR(__xludf.DUMMYFUNCTION("""COMPUTED_VALUE"""),"Already done ")</f>
        <v>Already done </v>
      </c>
      <c r="N760" s="1" t="str">
        <f>IFERROR(__xludf.DUMMYFUNCTION("""COMPUTED_VALUE"""),"Already done ")</f>
        <v>Already done </v>
      </c>
      <c r="O760" s="1" t="str">
        <f>IFERROR(__xludf.DUMMYFUNCTION("""COMPUTED_VALUE"""),"WA ONLY, CALL")</f>
        <v>WA ONLY, CALL</v>
      </c>
      <c r="P760" s="1" t="str">
        <f>IFERROR(__xludf.DUMMYFUNCTION("""COMPUTED_VALUE"""),"Madam")</f>
        <v>Madam</v>
      </c>
      <c r="Q760" s="1" t="str">
        <f>IFERROR(__xludf.DUMMYFUNCTION("""COMPUTED_VALUE"""),"No")</f>
        <v>No</v>
      </c>
      <c r="R760" s="1" t="str">
        <f>IFERROR(__xludf.DUMMYFUNCTION("""COMPUTED_VALUE"""),"OLD")</f>
        <v>OLD</v>
      </c>
      <c r="S760" s="1"/>
    </row>
    <row r="761">
      <c r="A761" s="2">
        <f>IFERROR(__xludf.DUMMYFUNCTION("""COMPUTED_VALUE"""),45584.704443043986)</f>
        <v>45584.70444</v>
      </c>
      <c r="B761" s="1" t="str">
        <f>IFERROR(__xludf.DUMMYFUNCTION("""COMPUTED_VALUE"""),"Pooja")</f>
        <v>Pooja</v>
      </c>
      <c r="C761" s="1">
        <f>IFERROR(__xludf.DUMMYFUNCTION("""COMPUTED_VALUE"""),9.810795881E9)</f>
        <v>9810795881</v>
      </c>
      <c r="D761" s="1">
        <f>IFERROR(__xludf.DUMMYFUNCTION("""COMPUTED_VALUE"""),2.0)</f>
        <v>2</v>
      </c>
      <c r="E761" s="3">
        <f>IFERROR(__xludf.DUMMYFUNCTION("""COMPUTED_VALUE"""),0.5708333333313931)</f>
        <v>0.5708333333</v>
      </c>
      <c r="F761" s="1" t="str">
        <f>IFERROR(__xludf.DUMMYFUNCTION("""COMPUTED_VALUE"""),"Diamond")</f>
        <v>Diamond</v>
      </c>
      <c r="G761" s="1" t="str">
        <f>IFERROR(__xludf.DUMMYFUNCTION("""COMPUTED_VALUE"""),"Preeti")</f>
        <v>Preeti</v>
      </c>
      <c r="H761" s="1" t="str">
        <f>IFERROR(__xludf.DUMMYFUNCTION("""COMPUTED_VALUE"""),"Diamond set,diamond breslet ")</f>
        <v>Diamond set,diamond breslet </v>
      </c>
      <c r="I761" s="1"/>
      <c r="J761" s="1"/>
      <c r="K761" s="3">
        <f>IFERROR(__xludf.DUMMYFUNCTION("""COMPUTED_VALUE"""),0.6666666666642413)</f>
        <v>0.6666666667</v>
      </c>
      <c r="L761" s="1" t="str">
        <f>IFERROR(__xludf.DUMMYFUNCTION("""COMPUTED_VALUE"""),"Yes")</f>
        <v>Yes</v>
      </c>
      <c r="M761" s="1" t="str">
        <f>IFERROR(__xludf.DUMMYFUNCTION("""COMPUTED_VALUE"""),"Already done ")</f>
        <v>Already done </v>
      </c>
      <c r="N761" s="1" t="str">
        <f>IFERROR(__xludf.DUMMYFUNCTION("""COMPUTED_VALUE"""),"Already done ")</f>
        <v>Already done </v>
      </c>
      <c r="O761" s="1" t="str">
        <f>IFERROR(__xludf.DUMMYFUNCTION("""COMPUTED_VALUE"""),"WA ONLY, CALL")</f>
        <v>WA ONLY, CALL</v>
      </c>
      <c r="P761" s="1" t="str">
        <f>IFERROR(__xludf.DUMMYFUNCTION("""COMPUTED_VALUE"""),"Madam")</f>
        <v>Madam</v>
      </c>
      <c r="Q761" s="1" t="str">
        <f>IFERROR(__xludf.DUMMYFUNCTION("""COMPUTED_VALUE"""),"No")</f>
        <v>No</v>
      </c>
      <c r="R761" s="1" t="str">
        <f>IFERROR(__xludf.DUMMYFUNCTION("""COMPUTED_VALUE"""),"OLD")</f>
        <v>OLD</v>
      </c>
      <c r="S761" s="1"/>
    </row>
    <row r="762">
      <c r="A762" s="2">
        <f>IFERROR(__xludf.DUMMYFUNCTION("""COMPUTED_VALUE"""),45584.705190555556)</f>
        <v>45584.70519</v>
      </c>
      <c r="B762" s="1" t="str">
        <f>IFERROR(__xludf.DUMMYFUNCTION("""COMPUTED_VALUE"""),"Manyankita")</f>
        <v>Manyankita</v>
      </c>
      <c r="C762" s="1">
        <f>IFERROR(__xludf.DUMMYFUNCTION("""COMPUTED_VALUE"""),9.667905486E9)</f>
        <v>9667905486</v>
      </c>
      <c r="D762" s="1">
        <f>IFERROR(__xludf.DUMMYFUNCTION("""COMPUTED_VALUE"""),2.0)</f>
        <v>2</v>
      </c>
      <c r="E762" s="3">
        <f>IFERROR(__xludf.DUMMYFUNCTION("""COMPUTED_VALUE"""),0.5833333333357587)</f>
        <v>0.5833333333</v>
      </c>
      <c r="F762" s="1" t="str">
        <f>IFERROR(__xludf.DUMMYFUNCTION("""COMPUTED_VALUE"""),"Plain Gold")</f>
        <v>Plain Gold</v>
      </c>
      <c r="G762" s="1" t="str">
        <f>IFERROR(__xludf.DUMMYFUNCTION("""COMPUTED_VALUE"""),"Deepali")</f>
        <v>Deepali</v>
      </c>
      <c r="H762" s="1" t="str">
        <f>IFERROR(__xludf.DUMMYFUNCTION("""COMPUTED_VALUE"""),"Gold nose pin")</f>
        <v>Gold nose pin</v>
      </c>
      <c r="I762" s="1"/>
      <c r="J762" s="1" t="str">
        <f>IFERROR(__xludf.DUMMYFUNCTION("""COMPUTED_VALUE"""),"5000 per month LUCKY DRAW 7 EVERY MONTH")</f>
        <v>5000 per month LUCKY DRAW 7 EVERY MONTH</v>
      </c>
      <c r="K762" s="3">
        <f>IFERROR(__xludf.DUMMYFUNCTION("""COMPUTED_VALUE"""),0.6083333333372138)</f>
        <v>0.6083333333</v>
      </c>
      <c r="L762" s="1" t="str">
        <f>IFERROR(__xludf.DUMMYFUNCTION("""COMPUTED_VALUE"""),"Yes")</f>
        <v>Yes</v>
      </c>
      <c r="M762" s="1" t="str">
        <f>IFERROR(__xludf.DUMMYFUNCTION("""COMPUTED_VALUE"""),"Yes")</f>
        <v>Yes</v>
      </c>
      <c r="N762" s="1" t="str">
        <f>IFERROR(__xludf.DUMMYFUNCTION("""COMPUTED_VALUE"""),"Yes")</f>
        <v>Yes</v>
      </c>
      <c r="O762" s="1" t="str">
        <f>IFERROR(__xludf.DUMMYFUNCTION("""COMPUTED_VALUE"""),"WA ONLY, CALL")</f>
        <v>WA ONLY, CALL</v>
      </c>
      <c r="P762" s="1" t="str">
        <f>IFERROR(__xludf.DUMMYFUNCTION("""COMPUTED_VALUE"""),"Madam")</f>
        <v>Madam</v>
      </c>
      <c r="Q762" s="1" t="str">
        <f>IFERROR(__xludf.DUMMYFUNCTION("""COMPUTED_VALUE"""),"Yes")</f>
        <v>Yes</v>
      </c>
      <c r="R762" s="1" t="str">
        <f>IFERROR(__xludf.DUMMYFUNCTION("""COMPUTED_VALUE"""),"NEW WALK IN")</f>
        <v>NEW WALK IN</v>
      </c>
      <c r="S762" s="1"/>
    </row>
    <row r="763">
      <c r="A763" s="2">
        <f>IFERROR(__xludf.DUMMYFUNCTION("""COMPUTED_VALUE"""),45584.70607489583)</f>
        <v>45584.70607</v>
      </c>
      <c r="B763" s="1" t="str">
        <f>IFERROR(__xludf.DUMMYFUNCTION("""COMPUTED_VALUE"""),"Kishor")</f>
        <v>Kishor</v>
      </c>
      <c r="C763" s="1">
        <f>IFERROR(__xludf.DUMMYFUNCTION("""COMPUTED_VALUE"""),8.285907668E9)</f>
        <v>8285907668</v>
      </c>
      <c r="D763" s="1">
        <f>IFERROR(__xludf.DUMMYFUNCTION("""COMPUTED_VALUE"""),2.0)</f>
        <v>2</v>
      </c>
      <c r="E763" s="3">
        <f>IFERROR(__xludf.DUMMYFUNCTION("""COMPUTED_VALUE"""),0.6847222222204437)</f>
        <v>0.6847222222</v>
      </c>
      <c r="F763" s="1" t="str">
        <f>IFERROR(__xludf.DUMMYFUNCTION("""COMPUTED_VALUE"""),"Plain Gold")</f>
        <v>Plain Gold</v>
      </c>
      <c r="G763" s="1" t="str">
        <f>IFERROR(__xludf.DUMMYFUNCTION("""COMPUTED_VALUE"""),"Preeti")</f>
        <v>Preeti</v>
      </c>
      <c r="H763" s="1"/>
      <c r="I763" s="1" t="str">
        <f>IFERROR(__xludf.DUMMYFUNCTION("""COMPUTED_VALUE"""),"Designs Not Liked")</f>
        <v>Designs Not Liked</v>
      </c>
      <c r="J763" s="1"/>
      <c r="K763" s="3">
        <f>IFERROR(__xludf.DUMMYFUNCTION("""COMPUTED_VALUE"""),0.6895833333328483)</f>
        <v>0.6895833333</v>
      </c>
      <c r="L763" s="1" t="str">
        <f>IFERROR(__xludf.DUMMYFUNCTION("""COMPUTED_VALUE"""),"No")</f>
        <v>No</v>
      </c>
      <c r="M763" s="1" t="str">
        <f>IFERROR(__xludf.DUMMYFUNCTION("""COMPUTED_VALUE"""),"No")</f>
        <v>No</v>
      </c>
      <c r="N763" s="1" t="str">
        <f>IFERROR(__xludf.DUMMYFUNCTION("""COMPUTED_VALUE"""),"No")</f>
        <v>No</v>
      </c>
      <c r="O763" s="1" t="str">
        <f>IFERROR(__xludf.DUMMYFUNCTION("""COMPUTED_VALUE"""),"WA ONLY, CALL")</f>
        <v>WA ONLY, CALL</v>
      </c>
      <c r="P763" s="1" t="str">
        <f>IFERROR(__xludf.DUMMYFUNCTION("""COMPUTED_VALUE"""),"Sir")</f>
        <v>Sir</v>
      </c>
      <c r="Q763" s="1" t="str">
        <f>IFERROR(__xludf.DUMMYFUNCTION("""COMPUTED_VALUE"""),"No")</f>
        <v>No</v>
      </c>
      <c r="R763" s="1" t="str">
        <f>IFERROR(__xludf.DUMMYFUNCTION("""COMPUTED_VALUE"""),"NEW WALK IN")</f>
        <v>NEW WALK IN</v>
      </c>
      <c r="S763" s="1"/>
    </row>
    <row r="764">
      <c r="A764" s="2">
        <f>IFERROR(__xludf.DUMMYFUNCTION("""COMPUTED_VALUE"""),45586.72153949074)</f>
        <v>45586.72154</v>
      </c>
      <c r="B764" s="1" t="str">
        <f>IFERROR(__xludf.DUMMYFUNCTION("""COMPUTED_VALUE"""),"Bipasha")</f>
        <v>Bipasha</v>
      </c>
      <c r="C764" s="1">
        <f>IFERROR(__xludf.DUMMYFUNCTION("""COMPUTED_VALUE"""),9.310530559E9)</f>
        <v>9310530559</v>
      </c>
      <c r="D764" s="1">
        <f>IFERROR(__xludf.DUMMYFUNCTION("""COMPUTED_VALUE"""),2.0)</f>
        <v>2</v>
      </c>
      <c r="E764" s="3">
        <f>IFERROR(__xludf.DUMMYFUNCTION("""COMPUTED_VALUE"""),0.5208333333357587)</f>
        <v>0.5208333333</v>
      </c>
      <c r="F764" s="1" t="str">
        <f>IFERROR(__xludf.DUMMYFUNCTION("""COMPUTED_VALUE"""),"Antique Gold")</f>
        <v>Antique Gold</v>
      </c>
      <c r="G764" s="1" t="str">
        <f>IFERROR(__xludf.DUMMYFUNCTION("""COMPUTED_VALUE"""),"Pooja")</f>
        <v>Pooja</v>
      </c>
      <c r="H764" s="1" t="str">
        <f>IFERROR(__xludf.DUMMYFUNCTION("""COMPUTED_VALUE"""),"Solver coin,silver breslet ")</f>
        <v>Solver coin,silver breslet </v>
      </c>
      <c r="I764" s="1"/>
      <c r="J764" s="1"/>
      <c r="K764" s="3">
        <f>IFERROR(__xludf.DUMMYFUNCTION("""COMPUTED_VALUE"""),0.5430555555576575)</f>
        <v>0.5430555556</v>
      </c>
      <c r="L764" s="1" t="str">
        <f>IFERROR(__xludf.DUMMYFUNCTION("""COMPUTED_VALUE"""),"Yes")</f>
        <v>Yes</v>
      </c>
      <c r="M764" s="1" t="str">
        <f>IFERROR(__xludf.DUMMYFUNCTION("""COMPUTED_VALUE"""),"Already done ")</f>
        <v>Already done </v>
      </c>
      <c r="N764" s="1" t="str">
        <f>IFERROR(__xludf.DUMMYFUNCTION("""COMPUTED_VALUE"""),"Already done ")</f>
        <v>Already done </v>
      </c>
      <c r="O764" s="1" t="str">
        <f>IFERROR(__xludf.DUMMYFUNCTION("""COMPUTED_VALUE"""),"WA ONLY, CALL")</f>
        <v>WA ONLY, CALL</v>
      </c>
      <c r="P764" s="1" t="str">
        <f>IFERROR(__xludf.DUMMYFUNCTION("""COMPUTED_VALUE"""),"Madam")</f>
        <v>Madam</v>
      </c>
      <c r="Q764" s="1" t="str">
        <f>IFERROR(__xludf.DUMMYFUNCTION("""COMPUTED_VALUE"""),"No")</f>
        <v>No</v>
      </c>
      <c r="R764" s="1" t="str">
        <f>IFERROR(__xludf.DUMMYFUNCTION("""COMPUTED_VALUE"""),"OLD")</f>
        <v>OLD</v>
      </c>
      <c r="S764" s="1" t="str">
        <f>IFERROR(__xludf.DUMMYFUNCTION("""COMPUTED_VALUE"""),"Yes")</f>
        <v>Yes</v>
      </c>
    </row>
    <row r="765">
      <c r="A765" s="2">
        <f>IFERROR(__xludf.DUMMYFUNCTION("""COMPUTED_VALUE"""),45586.72267087963)</f>
        <v>45586.72267</v>
      </c>
      <c r="B765" s="1" t="str">
        <f>IFERROR(__xludf.DUMMYFUNCTION("""COMPUTED_VALUE"""),"Jyanti ")</f>
        <v>Jyanti </v>
      </c>
      <c r="C765" s="1">
        <f>IFERROR(__xludf.DUMMYFUNCTION("""COMPUTED_VALUE"""),9.810629311E9)</f>
        <v>9810629311</v>
      </c>
      <c r="D765" s="1">
        <f>IFERROR(__xludf.DUMMYFUNCTION("""COMPUTED_VALUE"""),1.0)</f>
        <v>1</v>
      </c>
      <c r="E765" s="3">
        <f>IFERROR(__xludf.DUMMYFUNCTION("""COMPUTED_VALUE"""),0.5416666666642413)</f>
        <v>0.5416666667</v>
      </c>
      <c r="F765" s="1" t="str">
        <f>IFERROR(__xludf.DUMMYFUNCTION("""COMPUTED_VALUE"""),"Diamond")</f>
        <v>Diamond</v>
      </c>
      <c r="G765" s="1" t="str">
        <f>IFERROR(__xludf.DUMMYFUNCTION("""COMPUTED_VALUE"""),"Preeti")</f>
        <v>Preeti</v>
      </c>
      <c r="H765" s="1" t="str">
        <f>IFERROR(__xludf.DUMMYFUNCTION("""COMPUTED_VALUE"""),"Daimond set,bangles,antique gold pendent set")</f>
        <v>Daimond set,bangles,antique gold pendent set</v>
      </c>
      <c r="I765" s="1"/>
      <c r="J765" s="1"/>
      <c r="K765" s="3">
        <f>IFERROR(__xludf.DUMMYFUNCTION("""COMPUTED_VALUE"""),0.625)</f>
        <v>0.625</v>
      </c>
      <c r="L765" s="1" t="str">
        <f>IFERROR(__xludf.DUMMYFUNCTION("""COMPUTED_VALUE"""),"Yes")</f>
        <v>Yes</v>
      </c>
      <c r="M765" s="1" t="str">
        <f>IFERROR(__xludf.DUMMYFUNCTION("""COMPUTED_VALUE"""),"Yes")</f>
        <v>Yes</v>
      </c>
      <c r="N765" s="1" t="str">
        <f>IFERROR(__xludf.DUMMYFUNCTION("""COMPUTED_VALUE"""),"Already done ")</f>
        <v>Already done </v>
      </c>
      <c r="O765" s="1" t="str">
        <f>IFERROR(__xludf.DUMMYFUNCTION("""COMPUTED_VALUE"""),"WA ONLY, CALL")</f>
        <v>WA ONLY, CALL</v>
      </c>
      <c r="P765" s="1" t="str">
        <f>IFERROR(__xludf.DUMMYFUNCTION("""COMPUTED_VALUE"""),"Madam")</f>
        <v>Madam</v>
      </c>
      <c r="Q765" s="1" t="str">
        <f>IFERROR(__xludf.DUMMYFUNCTION("""COMPUTED_VALUE"""),"No")</f>
        <v>No</v>
      </c>
      <c r="R765" s="1" t="str">
        <f>IFERROR(__xludf.DUMMYFUNCTION("""COMPUTED_VALUE"""),"OLD")</f>
        <v>OLD</v>
      </c>
      <c r="S765" s="1" t="str">
        <f>IFERROR(__xludf.DUMMYFUNCTION("""COMPUTED_VALUE"""),"Yes")</f>
        <v>Yes</v>
      </c>
    </row>
    <row r="766">
      <c r="A766" s="2">
        <f>IFERROR(__xludf.DUMMYFUNCTION("""COMPUTED_VALUE"""),45586.72382068287)</f>
        <v>45586.72382</v>
      </c>
      <c r="B766" s="1" t="str">
        <f>IFERROR(__xludf.DUMMYFUNCTION("""COMPUTED_VALUE"""),"Aditiya")</f>
        <v>Aditiya</v>
      </c>
      <c r="C766" s="1">
        <f>IFERROR(__xludf.DUMMYFUNCTION("""COMPUTED_VALUE"""),7.00289264E9)</f>
        <v>7002892640</v>
      </c>
      <c r="D766" s="1">
        <f>IFERROR(__xludf.DUMMYFUNCTION("""COMPUTED_VALUE"""),1.0)</f>
        <v>1</v>
      </c>
      <c r="E766" s="3">
        <f>IFERROR(__xludf.DUMMYFUNCTION("""COMPUTED_VALUE"""),0.6458333333357587)</f>
        <v>0.6458333333</v>
      </c>
      <c r="F766" s="1" t="str">
        <f>IFERROR(__xludf.DUMMYFUNCTION("""COMPUTED_VALUE"""),"Plain Gold")</f>
        <v>Plain Gold</v>
      </c>
      <c r="G766" s="1" t="str">
        <f>IFERROR(__xludf.DUMMYFUNCTION("""COMPUTED_VALUE"""),"Pooja")</f>
        <v>Pooja</v>
      </c>
      <c r="H766" s="1" t="str">
        <f>IFERROR(__xludf.DUMMYFUNCTION("""COMPUTED_VALUE"""),"Diamond gents ring one poit")</f>
        <v>Diamond gents ring one poit</v>
      </c>
      <c r="I766" s="1" t="str">
        <f>IFERROR(__xludf.DUMMYFUNCTION("""COMPUTED_VALUE"""),"Stok not available ")</f>
        <v>Stok not available </v>
      </c>
      <c r="J766" s="1"/>
      <c r="K766" s="3">
        <f>IFERROR(__xludf.DUMMYFUNCTION("""COMPUTED_VALUE"""),0.65625)</f>
        <v>0.65625</v>
      </c>
      <c r="L766" s="1" t="str">
        <f>IFERROR(__xludf.DUMMYFUNCTION("""COMPUTED_VALUE"""),"No")</f>
        <v>No</v>
      </c>
      <c r="M766" s="1" t="str">
        <f>IFERROR(__xludf.DUMMYFUNCTION("""COMPUTED_VALUE"""),"No")</f>
        <v>No</v>
      </c>
      <c r="N766" s="1" t="str">
        <f>IFERROR(__xludf.DUMMYFUNCTION("""COMPUTED_VALUE"""),"No")</f>
        <v>No</v>
      </c>
      <c r="O766" s="1" t="str">
        <f>IFERROR(__xludf.DUMMYFUNCTION("""COMPUTED_VALUE"""),"WA ONLY, CALL")</f>
        <v>WA ONLY, CALL</v>
      </c>
      <c r="P766" s="1" t="str">
        <f>IFERROR(__xludf.DUMMYFUNCTION("""COMPUTED_VALUE"""),"Sir")</f>
        <v>Sir</v>
      </c>
      <c r="Q766" s="1" t="str">
        <f>IFERROR(__xludf.DUMMYFUNCTION("""COMPUTED_VALUE"""),"No")</f>
        <v>No</v>
      </c>
      <c r="R766" s="1" t="str">
        <f>IFERROR(__xludf.DUMMYFUNCTION("""COMPUTED_VALUE"""),"NEW WALK IN")</f>
        <v>NEW WALK IN</v>
      </c>
      <c r="S766" s="1" t="str">
        <f>IFERROR(__xludf.DUMMYFUNCTION("""COMPUTED_VALUE"""),"No")</f>
        <v>No</v>
      </c>
    </row>
    <row r="767">
      <c r="A767" s="2">
        <f>IFERROR(__xludf.DUMMYFUNCTION("""COMPUTED_VALUE"""),45587.69703142361)</f>
        <v>45587.69703</v>
      </c>
      <c r="B767" s="1" t="str">
        <f>IFERROR(__xludf.DUMMYFUNCTION("""COMPUTED_VALUE"""),"Seema gupta")</f>
        <v>Seema gupta</v>
      </c>
      <c r="C767" s="1">
        <f>IFERROR(__xludf.DUMMYFUNCTION("""COMPUTED_VALUE"""),9.810413274E9)</f>
        <v>9810413274</v>
      </c>
      <c r="D767" s="1">
        <f>IFERROR(__xludf.DUMMYFUNCTION("""COMPUTED_VALUE"""),2.0)</f>
        <v>2</v>
      </c>
      <c r="E767" s="3">
        <f>IFERROR(__xludf.DUMMYFUNCTION("""COMPUTED_VALUE"""),0.5659722222189885)</f>
        <v>0.5659722222</v>
      </c>
      <c r="F767" s="1" t="str">
        <f>IFERROR(__xludf.DUMMYFUNCTION("""COMPUTED_VALUE"""),"Antique Gold")</f>
        <v>Antique Gold</v>
      </c>
      <c r="G767" s="1" t="str">
        <f>IFERROR(__xludf.DUMMYFUNCTION("""COMPUTED_VALUE"""),"Pooja")</f>
        <v>Pooja</v>
      </c>
      <c r="H767" s="1" t="str">
        <f>IFERROR(__xludf.DUMMYFUNCTION("""COMPUTED_VALUE"""),"Gold coin")</f>
        <v>Gold coin</v>
      </c>
      <c r="I767" s="1"/>
      <c r="J767" s="1"/>
      <c r="K767" s="3">
        <f>IFERROR(__xludf.DUMMYFUNCTION("""COMPUTED_VALUE"""),0.6076388888905058)</f>
        <v>0.6076388889</v>
      </c>
      <c r="L767" s="1" t="str">
        <f>IFERROR(__xludf.DUMMYFUNCTION("""COMPUTED_VALUE"""),"Yes")</f>
        <v>Yes</v>
      </c>
      <c r="M767" s="1" t="str">
        <f>IFERROR(__xludf.DUMMYFUNCTION("""COMPUTED_VALUE"""),"Already done ")</f>
        <v>Already done </v>
      </c>
      <c r="N767" s="1" t="str">
        <f>IFERROR(__xludf.DUMMYFUNCTION("""COMPUTED_VALUE"""),"Already done ")</f>
        <v>Already done </v>
      </c>
      <c r="O767" s="1" t="str">
        <f>IFERROR(__xludf.DUMMYFUNCTION("""COMPUTED_VALUE"""),"WA ONLY, CALL")</f>
        <v>WA ONLY, CALL</v>
      </c>
      <c r="P767" s="1" t="str">
        <f>IFERROR(__xludf.DUMMYFUNCTION("""COMPUTED_VALUE"""),"Madam")</f>
        <v>Madam</v>
      </c>
      <c r="Q767" s="1" t="str">
        <f>IFERROR(__xludf.DUMMYFUNCTION("""COMPUTED_VALUE"""),"No")</f>
        <v>No</v>
      </c>
      <c r="R767" s="1" t="str">
        <f>IFERROR(__xludf.DUMMYFUNCTION("""COMPUTED_VALUE"""),"OLD")</f>
        <v>OLD</v>
      </c>
      <c r="S767" s="1" t="str">
        <f>IFERROR(__xludf.DUMMYFUNCTION("""COMPUTED_VALUE"""),"Yes")</f>
        <v>Yes</v>
      </c>
    </row>
    <row r="768">
      <c r="A768" s="2">
        <f>IFERROR(__xludf.DUMMYFUNCTION("""COMPUTED_VALUE"""),45587.69772269676)</f>
        <v>45587.69772</v>
      </c>
      <c r="B768" s="1" t="str">
        <f>IFERROR(__xludf.DUMMYFUNCTION("""COMPUTED_VALUE"""),"Bipasha")</f>
        <v>Bipasha</v>
      </c>
      <c r="C768" s="1">
        <f>IFERROR(__xludf.DUMMYFUNCTION("""COMPUTED_VALUE"""),9.310530559E9)</f>
        <v>9310530559</v>
      </c>
      <c r="D768" s="1">
        <f>IFERROR(__xludf.DUMMYFUNCTION("""COMPUTED_VALUE"""),1.0)</f>
        <v>1</v>
      </c>
      <c r="E768" s="3">
        <f>IFERROR(__xludf.DUMMYFUNCTION("""COMPUTED_VALUE"""),0.65625)</f>
        <v>0.65625</v>
      </c>
      <c r="F768" s="1" t="str">
        <f>IFERROR(__xludf.DUMMYFUNCTION("""COMPUTED_VALUE"""),"Antique Gold")</f>
        <v>Antique Gold</v>
      </c>
      <c r="G768" s="1" t="str">
        <f>IFERROR(__xludf.DUMMYFUNCTION("""COMPUTED_VALUE"""),"Pooja")</f>
        <v>Pooja</v>
      </c>
      <c r="H768" s="1"/>
      <c r="I768" s="1" t="str">
        <f>IFERROR(__xludf.DUMMYFUNCTION("""COMPUTED_VALUE"""),"Pick up Order")</f>
        <v>Pick up Order</v>
      </c>
      <c r="J768" s="1"/>
      <c r="K768" s="3">
        <f>IFERROR(__xludf.DUMMYFUNCTION("""COMPUTED_VALUE"""),0.6847222222204437)</f>
        <v>0.6847222222</v>
      </c>
      <c r="L768" s="1" t="str">
        <f>IFERROR(__xludf.DUMMYFUNCTION("""COMPUTED_VALUE"""),"Yes")</f>
        <v>Yes</v>
      </c>
      <c r="M768" s="1" t="str">
        <f>IFERROR(__xludf.DUMMYFUNCTION("""COMPUTED_VALUE"""),"Already done ")</f>
        <v>Already done </v>
      </c>
      <c r="N768" s="1" t="str">
        <f>IFERROR(__xludf.DUMMYFUNCTION("""COMPUTED_VALUE"""),"Already done ")</f>
        <v>Already done </v>
      </c>
      <c r="O768" s="1" t="str">
        <f>IFERROR(__xludf.DUMMYFUNCTION("""COMPUTED_VALUE"""),"WA ONLY, CALL")</f>
        <v>WA ONLY, CALL</v>
      </c>
      <c r="P768" s="1" t="str">
        <f>IFERROR(__xludf.DUMMYFUNCTION("""COMPUTED_VALUE"""),"Madam")</f>
        <v>Madam</v>
      </c>
      <c r="Q768" s="1" t="str">
        <f>IFERROR(__xludf.DUMMYFUNCTION("""COMPUTED_VALUE"""),"No")</f>
        <v>No</v>
      </c>
      <c r="R768" s="1" t="str">
        <f>IFERROR(__xludf.DUMMYFUNCTION("""COMPUTED_VALUE"""),"OLD")</f>
        <v>OLD</v>
      </c>
      <c r="S768" s="1" t="str">
        <f>IFERROR(__xludf.DUMMYFUNCTION("""COMPUTED_VALUE"""),"No")</f>
        <v>No</v>
      </c>
    </row>
    <row r="769">
      <c r="A769" s="2">
        <f>IFERROR(__xludf.DUMMYFUNCTION("""COMPUTED_VALUE"""),45587.80174707176)</f>
        <v>45587.80175</v>
      </c>
      <c r="B769" s="1" t="str">
        <f>IFERROR(__xludf.DUMMYFUNCTION("""COMPUTED_VALUE"""),"Parveen")</f>
        <v>Parveen</v>
      </c>
      <c r="C769" s="1">
        <f>IFERROR(__xludf.DUMMYFUNCTION("""COMPUTED_VALUE"""),9.991108888E9)</f>
        <v>9991108888</v>
      </c>
      <c r="D769" s="1">
        <f>IFERROR(__xludf.DUMMYFUNCTION("""COMPUTED_VALUE"""),2.0)</f>
        <v>2</v>
      </c>
      <c r="E769" s="3">
        <f>IFERROR(__xludf.DUMMYFUNCTION("""COMPUTED_VALUE"""),0.7784722222204437)</f>
        <v>0.7784722222</v>
      </c>
      <c r="F769" s="1" t="str">
        <f>IFERROR(__xludf.DUMMYFUNCTION("""COMPUTED_VALUE"""),"Diamond")</f>
        <v>Diamond</v>
      </c>
      <c r="G769" s="1" t="str">
        <f>IFERROR(__xludf.DUMMYFUNCTION("""COMPUTED_VALUE"""),"Preeti")</f>
        <v>Preeti</v>
      </c>
      <c r="H769" s="1" t="str">
        <f>IFERROR(__xludf.DUMMYFUNCTION("""COMPUTED_VALUE"""),"Silver coin")</f>
        <v>Silver coin</v>
      </c>
      <c r="I769" s="1" t="str">
        <f>IFERROR(__xludf.DUMMYFUNCTION("""COMPUTED_VALUE"""),"Making High or Wants Discount")</f>
        <v>Making High or Wants Discount</v>
      </c>
      <c r="J769" s="1"/>
      <c r="K769" s="3">
        <f>IFERROR(__xludf.DUMMYFUNCTION("""COMPUTED_VALUE"""),0.7798611111065838)</f>
        <v>0.7798611111</v>
      </c>
      <c r="L769" s="1" t="str">
        <f>IFERROR(__xludf.DUMMYFUNCTION("""COMPUTED_VALUE"""),"No")</f>
        <v>No</v>
      </c>
      <c r="M769" s="1" t="str">
        <f>IFERROR(__xludf.DUMMYFUNCTION("""COMPUTED_VALUE"""),"No")</f>
        <v>No</v>
      </c>
      <c r="N769" s="1" t="str">
        <f>IFERROR(__xludf.DUMMYFUNCTION("""COMPUTED_VALUE"""),"No")</f>
        <v>No</v>
      </c>
      <c r="O769" s="1" t="str">
        <f>IFERROR(__xludf.DUMMYFUNCTION("""COMPUTED_VALUE"""),"WA ONLY, CALL")</f>
        <v>WA ONLY, CALL</v>
      </c>
      <c r="P769" s="1" t="str">
        <f>IFERROR(__xludf.DUMMYFUNCTION("""COMPUTED_VALUE"""),"Sir")</f>
        <v>Sir</v>
      </c>
      <c r="Q769" s="1" t="str">
        <f>IFERROR(__xludf.DUMMYFUNCTION("""COMPUTED_VALUE"""),"No")</f>
        <v>No</v>
      </c>
      <c r="R769" s="1" t="str">
        <f>IFERROR(__xludf.DUMMYFUNCTION("""COMPUTED_VALUE"""),"OLD")</f>
        <v>OLD</v>
      </c>
      <c r="S769" s="1" t="str">
        <f>IFERROR(__xludf.DUMMYFUNCTION("""COMPUTED_VALUE"""),"No")</f>
        <v>No</v>
      </c>
    </row>
    <row r="770">
      <c r="A770" s="2">
        <f>IFERROR(__xludf.DUMMYFUNCTION("""COMPUTED_VALUE"""),45588.72216746528)</f>
        <v>45588.72217</v>
      </c>
      <c r="B770" s="1" t="str">
        <f>IFERROR(__xludf.DUMMYFUNCTION("""COMPUTED_VALUE"""),"Rekha")</f>
        <v>Rekha</v>
      </c>
      <c r="C770" s="1">
        <f>IFERROR(__xludf.DUMMYFUNCTION("""COMPUTED_VALUE"""),8.882799877E9)</f>
        <v>8882799877</v>
      </c>
      <c r="D770" s="1">
        <f>IFERROR(__xludf.DUMMYFUNCTION("""COMPUTED_VALUE"""),1.0)</f>
        <v>1</v>
      </c>
      <c r="E770" s="3">
        <f>IFERROR(__xludf.DUMMYFUNCTION("""COMPUTED_VALUE"""),0.5416666666642413)</f>
        <v>0.5416666667</v>
      </c>
      <c r="F770" s="1" t="str">
        <f>IFERROR(__xludf.DUMMYFUNCTION("""COMPUTED_VALUE"""),"Plain Gold")</f>
        <v>Plain Gold</v>
      </c>
      <c r="G770" s="1" t="str">
        <f>IFERROR(__xludf.DUMMYFUNCTION("""COMPUTED_VALUE"""),"Pooja")</f>
        <v>Pooja</v>
      </c>
      <c r="H770" s="1" t="str">
        <f>IFERROR(__xludf.DUMMYFUNCTION("""COMPUTED_VALUE"""),"Gold pendent  gold chain")</f>
        <v>Gold pendent  gold chain</v>
      </c>
      <c r="I770" s="1"/>
      <c r="J770" s="1"/>
      <c r="K770" s="3">
        <f>IFERROR(__xludf.DUMMYFUNCTION("""COMPUTED_VALUE"""),0.6131944444423425)</f>
        <v>0.6131944444</v>
      </c>
      <c r="L770" s="1" t="str">
        <f>IFERROR(__xludf.DUMMYFUNCTION("""COMPUTED_VALUE"""),"Yes")</f>
        <v>Yes</v>
      </c>
      <c r="M770" s="1" t="str">
        <f>IFERROR(__xludf.DUMMYFUNCTION("""COMPUTED_VALUE"""),"Yes")</f>
        <v>Yes</v>
      </c>
      <c r="N770" s="1" t="str">
        <f>IFERROR(__xludf.DUMMYFUNCTION("""COMPUTED_VALUE"""),"Yes")</f>
        <v>Yes</v>
      </c>
      <c r="O770" s="1" t="str">
        <f>IFERROR(__xludf.DUMMYFUNCTION("""COMPUTED_VALUE"""),"WA ONLY, CALL")</f>
        <v>WA ONLY, CALL</v>
      </c>
      <c r="P770" s="1" t="str">
        <f>IFERROR(__xludf.DUMMYFUNCTION("""COMPUTED_VALUE"""),"Madam")</f>
        <v>Madam</v>
      </c>
      <c r="Q770" s="1" t="str">
        <f>IFERROR(__xludf.DUMMYFUNCTION("""COMPUTED_VALUE"""),"No")</f>
        <v>No</v>
      </c>
      <c r="R770" s="1" t="str">
        <f>IFERROR(__xludf.DUMMYFUNCTION("""COMPUTED_VALUE"""),"NEW WALK IN")</f>
        <v>NEW WALK IN</v>
      </c>
      <c r="S770" s="1" t="str">
        <f>IFERROR(__xludf.DUMMYFUNCTION("""COMPUTED_VALUE"""),"Yes")</f>
        <v>Yes</v>
      </c>
    </row>
    <row r="771">
      <c r="A771" s="2">
        <f>IFERROR(__xludf.DUMMYFUNCTION("""COMPUTED_VALUE"""),45588.723063819445)</f>
        <v>45588.72306</v>
      </c>
      <c r="B771" s="1" t="str">
        <f>IFERROR(__xludf.DUMMYFUNCTION("""COMPUTED_VALUE"""),"Vineet")</f>
        <v>Vineet</v>
      </c>
      <c r="C771" s="1">
        <f>IFERROR(__xludf.DUMMYFUNCTION("""COMPUTED_VALUE"""),8.448413913E9)</f>
        <v>8448413913</v>
      </c>
      <c r="D771" s="1">
        <f>IFERROR(__xludf.DUMMYFUNCTION("""COMPUTED_VALUE"""),1.0)</f>
        <v>1</v>
      </c>
      <c r="E771" s="3">
        <f>IFERROR(__xludf.DUMMYFUNCTION("""COMPUTED_VALUE"""),0.6111111111094942)</f>
        <v>0.6111111111</v>
      </c>
      <c r="F771" s="1" t="str">
        <f>IFERROR(__xludf.DUMMYFUNCTION("""COMPUTED_VALUE"""),"Diamond")</f>
        <v>Diamond</v>
      </c>
      <c r="G771" s="1" t="str">
        <f>IFERROR(__xludf.DUMMYFUNCTION("""COMPUTED_VALUE"""),"Tannu")</f>
        <v>Tannu</v>
      </c>
      <c r="H771" s="1" t="str">
        <f>IFERROR(__xludf.DUMMYFUNCTION("""COMPUTED_VALUE"""),"Silver chain")</f>
        <v>Silver chain</v>
      </c>
      <c r="I771" s="1"/>
      <c r="J771" s="1"/>
      <c r="K771" s="3">
        <f>IFERROR(__xludf.DUMMYFUNCTION("""COMPUTED_VALUE"""),0.6152777777751908)</f>
        <v>0.6152777778</v>
      </c>
      <c r="L771" s="1" t="str">
        <f>IFERROR(__xludf.DUMMYFUNCTION("""COMPUTED_VALUE"""),"No")</f>
        <v>No</v>
      </c>
      <c r="M771" s="1" t="str">
        <f>IFERROR(__xludf.DUMMYFUNCTION("""COMPUTED_VALUE"""),"No")</f>
        <v>No</v>
      </c>
      <c r="N771" s="1" t="str">
        <f>IFERROR(__xludf.DUMMYFUNCTION("""COMPUTED_VALUE"""),"No")</f>
        <v>No</v>
      </c>
      <c r="O771" s="1" t="str">
        <f>IFERROR(__xludf.DUMMYFUNCTION("""COMPUTED_VALUE"""),"WA ONLY, CALL")</f>
        <v>WA ONLY, CALL</v>
      </c>
      <c r="P771" s="1" t="str">
        <f>IFERROR(__xludf.DUMMYFUNCTION("""COMPUTED_VALUE"""),"Sir")</f>
        <v>Sir</v>
      </c>
      <c r="Q771" s="1" t="str">
        <f>IFERROR(__xludf.DUMMYFUNCTION("""COMPUTED_VALUE"""),"No")</f>
        <v>No</v>
      </c>
      <c r="R771" s="1" t="str">
        <f>IFERROR(__xludf.DUMMYFUNCTION("""COMPUTED_VALUE"""),"NEW WALK IN")</f>
        <v>NEW WALK IN</v>
      </c>
      <c r="S771" s="1" t="str">
        <f>IFERROR(__xludf.DUMMYFUNCTION("""COMPUTED_VALUE"""),"No")</f>
        <v>No</v>
      </c>
    </row>
    <row r="772">
      <c r="A772" s="2">
        <f>IFERROR(__xludf.DUMMYFUNCTION("""COMPUTED_VALUE"""),45589.76309179398)</f>
        <v>45589.76309</v>
      </c>
      <c r="B772" s="1" t="str">
        <f>IFERROR(__xludf.DUMMYFUNCTION("""COMPUTED_VALUE"""),"Samir")</f>
        <v>Samir</v>
      </c>
      <c r="C772" s="1">
        <f>IFERROR(__xludf.DUMMYFUNCTION("""COMPUTED_VALUE"""),9.871687051E9)</f>
        <v>9871687051</v>
      </c>
      <c r="D772" s="1">
        <f>IFERROR(__xludf.DUMMYFUNCTION("""COMPUTED_VALUE"""),1.0)</f>
        <v>1</v>
      </c>
      <c r="E772" s="3">
        <f>IFERROR(__xludf.DUMMYFUNCTION("""COMPUTED_VALUE"""),0.6875)</f>
        <v>0.6875</v>
      </c>
      <c r="F772" s="1" t="str">
        <f>IFERROR(__xludf.DUMMYFUNCTION("""COMPUTED_VALUE"""),"Plain Gold")</f>
        <v>Plain Gold</v>
      </c>
      <c r="G772" s="1" t="str">
        <f>IFERROR(__xludf.DUMMYFUNCTION("""COMPUTED_VALUE"""),"Tannu")</f>
        <v>Tannu</v>
      </c>
      <c r="H772" s="1" t="str">
        <f>IFERROR(__xludf.DUMMYFUNCTION("""COMPUTED_VALUE"""),"Gold ring ,pendent ,chain")</f>
        <v>Gold ring ,pendent ,chain</v>
      </c>
      <c r="I772" s="1"/>
      <c r="J772" s="1"/>
      <c r="K772" s="3">
        <f>IFERROR(__xludf.DUMMYFUNCTION("""COMPUTED_VALUE"""),0.7006944444437977)</f>
        <v>0.7006944444</v>
      </c>
      <c r="L772" s="1" t="str">
        <f>IFERROR(__xludf.DUMMYFUNCTION("""COMPUTED_VALUE"""),"No")</f>
        <v>No</v>
      </c>
      <c r="M772" s="1" t="str">
        <f>IFERROR(__xludf.DUMMYFUNCTION("""COMPUTED_VALUE"""),"No")</f>
        <v>No</v>
      </c>
      <c r="N772" s="1" t="str">
        <f>IFERROR(__xludf.DUMMYFUNCTION("""COMPUTED_VALUE"""),"No")</f>
        <v>No</v>
      </c>
      <c r="O772" s="1" t="str">
        <f>IFERROR(__xludf.DUMMYFUNCTION("""COMPUTED_VALUE"""),"WA ONLY, CALL")</f>
        <v>WA ONLY, CALL</v>
      </c>
      <c r="P772" s="1" t="str">
        <f>IFERROR(__xludf.DUMMYFUNCTION("""COMPUTED_VALUE"""),"Sir")</f>
        <v>Sir</v>
      </c>
      <c r="Q772" s="1" t="str">
        <f>IFERROR(__xludf.DUMMYFUNCTION("""COMPUTED_VALUE"""),"No")</f>
        <v>No</v>
      </c>
      <c r="R772" s="1" t="str">
        <f>IFERROR(__xludf.DUMMYFUNCTION("""COMPUTED_VALUE"""),"NEW WALK IN")</f>
        <v>NEW WALK IN</v>
      </c>
      <c r="S772" s="1" t="str">
        <f>IFERROR(__xludf.DUMMYFUNCTION("""COMPUTED_VALUE"""),"No")</f>
        <v>No</v>
      </c>
    </row>
    <row r="773">
      <c r="A773" s="2">
        <f>IFERROR(__xludf.DUMMYFUNCTION("""COMPUTED_VALUE"""),45589.765690092594)</f>
        <v>45589.76569</v>
      </c>
      <c r="B773" s="1" t="str">
        <f>IFERROR(__xludf.DUMMYFUNCTION("""COMPUTED_VALUE"""),"Babar ")</f>
        <v>Babar </v>
      </c>
      <c r="C773" s="1">
        <f>IFERROR(__xludf.DUMMYFUNCTION("""COMPUTED_VALUE"""),9.891959187E9)</f>
        <v>9891959187</v>
      </c>
      <c r="D773" s="1">
        <f>IFERROR(__xludf.DUMMYFUNCTION("""COMPUTED_VALUE"""),2.0)</f>
        <v>2</v>
      </c>
      <c r="E773" s="3">
        <f>IFERROR(__xludf.DUMMYFUNCTION("""COMPUTED_VALUE"""),0.6875)</f>
        <v>0.6875</v>
      </c>
      <c r="F773" s="1" t="str">
        <f>IFERROR(__xludf.DUMMYFUNCTION("""COMPUTED_VALUE"""),"Diamond")</f>
        <v>Diamond</v>
      </c>
      <c r="G773" s="1" t="str">
        <f>IFERROR(__xludf.DUMMYFUNCTION("""COMPUTED_VALUE"""),"Preeti")</f>
        <v>Preeti</v>
      </c>
      <c r="H773" s="1" t="str">
        <f>IFERROR(__xludf.DUMMYFUNCTION("""COMPUTED_VALUE"""),"Gold tarquish set,gold set")</f>
        <v>Gold tarquish set,gold set</v>
      </c>
      <c r="I773" s="1" t="str">
        <f>IFERROR(__xludf.DUMMYFUNCTION("""COMPUTED_VALUE"""),"Designs Not Liked")</f>
        <v>Designs Not Liked</v>
      </c>
      <c r="J773" s="1"/>
      <c r="K773" s="3">
        <f>IFERROR(__xludf.DUMMYFUNCTION("""COMPUTED_VALUE"""),0.7083333333357587)</f>
        <v>0.7083333333</v>
      </c>
      <c r="L773" s="1" t="str">
        <f>IFERROR(__xludf.DUMMYFUNCTION("""COMPUTED_VALUE"""),"No")</f>
        <v>No</v>
      </c>
      <c r="M773" s="1" t="str">
        <f>IFERROR(__xludf.DUMMYFUNCTION("""COMPUTED_VALUE"""),"No")</f>
        <v>No</v>
      </c>
      <c r="N773" s="1" t="str">
        <f>IFERROR(__xludf.DUMMYFUNCTION("""COMPUTED_VALUE"""),"No")</f>
        <v>No</v>
      </c>
      <c r="O773" s="1" t="str">
        <f>IFERROR(__xludf.DUMMYFUNCTION("""COMPUTED_VALUE"""),"WA ONLY, CALL")</f>
        <v>WA ONLY, CALL</v>
      </c>
      <c r="P773" s="1" t="str">
        <f>IFERROR(__xludf.DUMMYFUNCTION("""COMPUTED_VALUE"""),"Sir")</f>
        <v>Sir</v>
      </c>
      <c r="Q773" s="1" t="str">
        <f>IFERROR(__xludf.DUMMYFUNCTION("""COMPUTED_VALUE"""),"No")</f>
        <v>No</v>
      </c>
      <c r="R773" s="1" t="str">
        <f>IFERROR(__xludf.DUMMYFUNCTION("""COMPUTED_VALUE"""),"NEW WALK IN")</f>
        <v>NEW WALK IN</v>
      </c>
      <c r="S773" s="1" t="str">
        <f>IFERROR(__xludf.DUMMYFUNCTION("""COMPUTED_VALUE"""),"No")</f>
        <v>No</v>
      </c>
    </row>
    <row r="774">
      <c r="A774" s="2">
        <f>IFERROR(__xludf.DUMMYFUNCTION("""COMPUTED_VALUE"""),45589.766388715274)</f>
        <v>45589.76639</v>
      </c>
      <c r="B774" s="1" t="str">
        <f>IFERROR(__xludf.DUMMYFUNCTION("""COMPUTED_VALUE"""),"Gurucharan")</f>
        <v>Gurucharan</v>
      </c>
      <c r="C774" s="1">
        <f>IFERROR(__xludf.DUMMYFUNCTION("""COMPUTED_VALUE"""),9.810705924E9)</f>
        <v>9810705924</v>
      </c>
      <c r="D774" s="1">
        <f>IFERROR(__xludf.DUMMYFUNCTION("""COMPUTED_VALUE"""),2.0)</f>
        <v>2</v>
      </c>
      <c r="E774" s="3">
        <f>IFERROR(__xludf.DUMMYFUNCTION("""COMPUTED_VALUE"""),0.7291666666642413)</f>
        <v>0.7291666667</v>
      </c>
      <c r="F774" s="1" t="str">
        <f>IFERROR(__xludf.DUMMYFUNCTION("""COMPUTED_VALUE"""),"Plain Gold")</f>
        <v>Plain Gold</v>
      </c>
      <c r="G774" s="1" t="str">
        <f>IFERROR(__xludf.DUMMYFUNCTION("""COMPUTED_VALUE"""),"Pooja")</f>
        <v>Pooja</v>
      </c>
      <c r="H774" s="1"/>
      <c r="I774" s="1" t="str">
        <f>IFERROR(__xludf.DUMMYFUNCTION("""COMPUTED_VALUE"""),"Pick up Order")</f>
        <v>Pick up Order</v>
      </c>
      <c r="J774" s="1" t="str">
        <f>IFERROR(__xludf.DUMMYFUNCTION("""COMPUTED_VALUE"""),"5000 per month LUCKY DRAW 7 EVERY MONTH")</f>
        <v>5000 per month LUCKY DRAW 7 EVERY MONTH</v>
      </c>
      <c r="K774" s="3">
        <f>IFERROR(__xludf.DUMMYFUNCTION("""COMPUTED_VALUE"""),0.75)</f>
        <v>0.75</v>
      </c>
      <c r="L774" s="1" t="str">
        <f>IFERROR(__xludf.DUMMYFUNCTION("""COMPUTED_VALUE"""),"Yes")</f>
        <v>Yes</v>
      </c>
      <c r="M774" s="1" t="str">
        <f>IFERROR(__xludf.DUMMYFUNCTION("""COMPUTED_VALUE"""),"Yes")</f>
        <v>Yes</v>
      </c>
      <c r="N774" s="1" t="str">
        <f>IFERROR(__xludf.DUMMYFUNCTION("""COMPUTED_VALUE"""),"Yes")</f>
        <v>Yes</v>
      </c>
      <c r="O774" s="1" t="str">
        <f>IFERROR(__xludf.DUMMYFUNCTION("""COMPUTED_VALUE"""),"WA ONLY, CALL")</f>
        <v>WA ONLY, CALL</v>
      </c>
      <c r="P774" s="1" t="str">
        <f>IFERROR(__xludf.DUMMYFUNCTION("""COMPUTED_VALUE"""),"Sir")</f>
        <v>Sir</v>
      </c>
      <c r="Q774" s="1" t="str">
        <f>IFERROR(__xludf.DUMMYFUNCTION("""COMPUTED_VALUE"""),"Yes")</f>
        <v>Yes</v>
      </c>
      <c r="R774" s="1" t="str">
        <f>IFERROR(__xludf.DUMMYFUNCTION("""COMPUTED_VALUE"""),"NEW WALK IN")</f>
        <v>NEW WALK IN</v>
      </c>
      <c r="S774" s="1" t="str">
        <f>IFERROR(__xludf.DUMMYFUNCTION("""COMPUTED_VALUE"""),"No")</f>
        <v>No</v>
      </c>
    </row>
    <row r="775">
      <c r="A775" s="2">
        <f>IFERROR(__xludf.DUMMYFUNCTION("""COMPUTED_VALUE"""),45589.82451815972)</f>
        <v>45589.82452</v>
      </c>
      <c r="B775" s="1" t="str">
        <f>IFERROR(__xludf.DUMMYFUNCTION("""COMPUTED_VALUE"""),"Mona")</f>
        <v>Mona</v>
      </c>
      <c r="C775" s="1">
        <f>IFERROR(__xludf.DUMMYFUNCTION("""COMPUTED_VALUE"""),9.871150346E9)</f>
        <v>9871150346</v>
      </c>
      <c r="D775" s="1">
        <f>IFERROR(__xludf.DUMMYFUNCTION("""COMPUTED_VALUE"""),2.0)</f>
        <v>2</v>
      </c>
      <c r="E775" s="3">
        <f>IFERROR(__xludf.DUMMYFUNCTION("""COMPUTED_VALUE"""),0.7534722222189885)</f>
        <v>0.7534722222</v>
      </c>
      <c r="F775" s="1" t="str">
        <f>IFERROR(__xludf.DUMMYFUNCTION("""COMPUTED_VALUE"""),"Diamond")</f>
        <v>Diamond</v>
      </c>
      <c r="G775" s="1" t="str">
        <f>IFERROR(__xludf.DUMMYFUNCTION("""COMPUTED_VALUE"""),"Preeti")</f>
        <v>Preeti</v>
      </c>
      <c r="H775" s="1" t="str">
        <f>IFERROR(__xludf.DUMMYFUNCTION("""COMPUTED_VALUE"""),"Diamond rings,breslet,gold chains,gold baar")</f>
        <v>Diamond rings,breslet,gold chains,gold baar</v>
      </c>
      <c r="I775" s="1"/>
      <c r="J775" s="1"/>
      <c r="K775" s="3">
        <f>IFERROR(__xludf.DUMMYFUNCTION("""COMPUTED_VALUE"""),0.8222222222248092)</f>
        <v>0.8222222222</v>
      </c>
      <c r="L775" s="1" t="str">
        <f>IFERROR(__xludf.DUMMYFUNCTION("""COMPUTED_VALUE"""),"Yes")</f>
        <v>Yes</v>
      </c>
      <c r="M775" s="1" t="str">
        <f>IFERROR(__xludf.DUMMYFUNCTION("""COMPUTED_VALUE"""),"Yes")</f>
        <v>Yes</v>
      </c>
      <c r="N775" s="1" t="str">
        <f>IFERROR(__xludf.DUMMYFUNCTION("""COMPUTED_VALUE"""),"Yes")</f>
        <v>Yes</v>
      </c>
      <c r="O775" s="1" t="str">
        <f>IFERROR(__xludf.DUMMYFUNCTION("""COMPUTED_VALUE"""),"WA ONLY, CALL")</f>
        <v>WA ONLY, CALL</v>
      </c>
      <c r="P775" s="1" t="str">
        <f>IFERROR(__xludf.DUMMYFUNCTION("""COMPUTED_VALUE"""),"Madam")</f>
        <v>Madam</v>
      </c>
      <c r="Q775" s="1" t="str">
        <f>IFERROR(__xludf.DUMMYFUNCTION("""COMPUTED_VALUE"""),"No")</f>
        <v>No</v>
      </c>
      <c r="R775" s="1" t="str">
        <f>IFERROR(__xludf.DUMMYFUNCTION("""COMPUTED_VALUE"""),"OLD")</f>
        <v>OLD</v>
      </c>
      <c r="S775" s="1" t="str">
        <f>IFERROR(__xludf.DUMMYFUNCTION("""COMPUTED_VALUE"""),"Yes")</f>
        <v>Yes</v>
      </c>
    </row>
    <row r="776">
      <c r="A776" s="2">
        <f>IFERROR(__xludf.DUMMYFUNCTION("""COMPUTED_VALUE"""),45590.75324651621)</f>
        <v>45590.75325</v>
      </c>
      <c r="B776" s="1" t="str">
        <f>IFERROR(__xludf.DUMMYFUNCTION("""COMPUTED_VALUE"""),"Rajeev")</f>
        <v>Rajeev</v>
      </c>
      <c r="C776" s="1">
        <f>IFERROR(__xludf.DUMMYFUNCTION("""COMPUTED_VALUE"""),6.30609941E9)</f>
        <v>6306099410</v>
      </c>
      <c r="D776" s="1">
        <f>IFERROR(__xludf.DUMMYFUNCTION("""COMPUTED_VALUE"""),2.0)</f>
        <v>2</v>
      </c>
      <c r="E776" s="3">
        <f>IFERROR(__xludf.DUMMYFUNCTION("""COMPUTED_VALUE"""),0.5208333333357587)</f>
        <v>0.5208333333</v>
      </c>
      <c r="F776" s="1" t="str">
        <f>IFERROR(__xludf.DUMMYFUNCTION("""COMPUTED_VALUE"""),"Antique Gold")</f>
        <v>Antique Gold</v>
      </c>
      <c r="G776" s="1" t="str">
        <f>IFERROR(__xludf.DUMMYFUNCTION("""COMPUTED_VALUE"""),"Pooja")</f>
        <v>Pooja</v>
      </c>
      <c r="H776" s="1" t="str">
        <f>IFERROR(__xludf.DUMMYFUNCTION("""COMPUTED_VALUE"""),"Silver coin")</f>
        <v>Silver coin</v>
      </c>
      <c r="I776" s="1"/>
      <c r="J776" s="1"/>
      <c r="K776" s="3">
        <f>IFERROR(__xludf.DUMMYFUNCTION("""COMPUTED_VALUE"""),0.547222222223354)</f>
        <v>0.5472222222</v>
      </c>
      <c r="L776" s="1" t="str">
        <f>IFERROR(__xludf.DUMMYFUNCTION("""COMPUTED_VALUE"""),"Yes")</f>
        <v>Yes</v>
      </c>
      <c r="M776" s="1" t="str">
        <f>IFERROR(__xludf.DUMMYFUNCTION("""COMPUTED_VALUE"""),"Yes")</f>
        <v>Yes</v>
      </c>
      <c r="N776" s="1" t="str">
        <f>IFERROR(__xludf.DUMMYFUNCTION("""COMPUTED_VALUE"""),"Yes")</f>
        <v>Yes</v>
      </c>
      <c r="O776" s="1" t="str">
        <f>IFERROR(__xludf.DUMMYFUNCTION("""COMPUTED_VALUE"""),"WA ONLY, CALL")</f>
        <v>WA ONLY, CALL</v>
      </c>
      <c r="P776" s="1" t="str">
        <f>IFERROR(__xludf.DUMMYFUNCTION("""COMPUTED_VALUE"""),"Sir")</f>
        <v>Sir</v>
      </c>
      <c r="Q776" s="1" t="str">
        <f>IFERROR(__xludf.DUMMYFUNCTION("""COMPUTED_VALUE"""),"No")</f>
        <v>No</v>
      </c>
      <c r="R776" s="1" t="str">
        <f>IFERROR(__xludf.DUMMYFUNCTION("""COMPUTED_VALUE"""),"NEW WALK IN")</f>
        <v>NEW WALK IN</v>
      </c>
      <c r="S776" s="1" t="str">
        <f>IFERROR(__xludf.DUMMYFUNCTION("""COMPUTED_VALUE"""),"Yes")</f>
        <v>Yes</v>
      </c>
    </row>
    <row r="777">
      <c r="A777" s="2">
        <f>IFERROR(__xludf.DUMMYFUNCTION("""COMPUTED_VALUE"""),45590.754122638886)</f>
        <v>45590.75412</v>
      </c>
      <c r="B777" s="1" t="str">
        <f>IFERROR(__xludf.DUMMYFUNCTION("""COMPUTED_VALUE"""),"Jitendra ")</f>
        <v>Jitendra </v>
      </c>
      <c r="C777" s="1">
        <f>IFERROR(__xludf.DUMMYFUNCTION("""COMPUTED_VALUE"""),9.910950251E9)</f>
        <v>9910950251</v>
      </c>
      <c r="D777" s="1">
        <f>IFERROR(__xludf.DUMMYFUNCTION("""COMPUTED_VALUE"""),2.0)</f>
        <v>2</v>
      </c>
      <c r="E777" s="3">
        <f>IFERROR(__xludf.DUMMYFUNCTION("""COMPUTED_VALUE"""),0.5625)</f>
        <v>0.5625</v>
      </c>
      <c r="F777" s="1" t="str">
        <f>IFERROR(__xludf.DUMMYFUNCTION("""COMPUTED_VALUE"""),"Plain Gold")</f>
        <v>Plain Gold</v>
      </c>
      <c r="G777" s="1" t="str">
        <f>IFERROR(__xludf.DUMMYFUNCTION("""COMPUTED_VALUE"""),"Pooja")</f>
        <v>Pooja</v>
      </c>
      <c r="H777" s="1" t="str">
        <f>IFERROR(__xludf.DUMMYFUNCTION("""COMPUTED_VALUE"""),"Good sets")</f>
        <v>Good sets</v>
      </c>
      <c r="I777" s="1"/>
      <c r="J777" s="1"/>
      <c r="K777" s="3">
        <f>IFERROR(__xludf.DUMMYFUNCTION("""COMPUTED_VALUE"""),0.6458333333357587)</f>
        <v>0.6458333333</v>
      </c>
      <c r="L777" s="1" t="str">
        <f>IFERROR(__xludf.DUMMYFUNCTION("""COMPUTED_VALUE"""),"Yes")</f>
        <v>Yes</v>
      </c>
      <c r="M777" s="1" t="str">
        <f>IFERROR(__xludf.DUMMYFUNCTION("""COMPUTED_VALUE"""),"Already done ")</f>
        <v>Already done </v>
      </c>
      <c r="N777" s="1" t="str">
        <f>IFERROR(__xludf.DUMMYFUNCTION("""COMPUTED_VALUE"""),"Already done ")</f>
        <v>Already done </v>
      </c>
      <c r="O777" s="1" t="str">
        <f>IFERROR(__xludf.DUMMYFUNCTION("""COMPUTED_VALUE"""),"WA ONLY, CALL")</f>
        <v>WA ONLY, CALL</v>
      </c>
      <c r="P777" s="1" t="str">
        <f>IFERROR(__xludf.DUMMYFUNCTION("""COMPUTED_VALUE"""),"Sir")</f>
        <v>Sir</v>
      </c>
      <c r="Q777" s="1" t="str">
        <f>IFERROR(__xludf.DUMMYFUNCTION("""COMPUTED_VALUE"""),"Yes")</f>
        <v>Yes</v>
      </c>
      <c r="R777" s="1" t="str">
        <f>IFERROR(__xludf.DUMMYFUNCTION("""COMPUTED_VALUE"""),"OLD")</f>
        <v>OLD</v>
      </c>
      <c r="S777" s="1" t="str">
        <f>IFERROR(__xludf.DUMMYFUNCTION("""COMPUTED_VALUE"""),"Yes")</f>
        <v>Yes</v>
      </c>
    </row>
    <row r="778">
      <c r="A778" s="2">
        <f>IFERROR(__xludf.DUMMYFUNCTION("""COMPUTED_VALUE"""),45590.7556450463)</f>
        <v>45590.75565</v>
      </c>
      <c r="B778" s="1" t="str">
        <f>IFERROR(__xludf.DUMMYFUNCTION("""COMPUTED_VALUE"""),"Vanshika")</f>
        <v>Vanshika</v>
      </c>
      <c r="C778" s="1">
        <f>IFERROR(__xludf.DUMMYFUNCTION("""COMPUTED_VALUE"""),9.069461111E9)</f>
        <v>9069461111</v>
      </c>
      <c r="D778" s="1">
        <f>IFERROR(__xludf.DUMMYFUNCTION("""COMPUTED_VALUE"""),2.0)</f>
        <v>2</v>
      </c>
      <c r="E778" s="3">
        <f>IFERROR(__xludf.DUMMYFUNCTION("""COMPUTED_VALUE"""),0.601388888884685)</f>
        <v>0.6013888889</v>
      </c>
      <c r="F778" s="1" t="str">
        <f>IFERROR(__xludf.DUMMYFUNCTION("""COMPUTED_VALUE"""),"Diamond")</f>
        <v>Diamond</v>
      </c>
      <c r="G778" s="1" t="str">
        <f>IFERROR(__xludf.DUMMYFUNCTION("""COMPUTED_VALUE"""),"Preeti")</f>
        <v>Preeti</v>
      </c>
      <c r="H778" s="1" t="str">
        <f>IFERROR(__xludf.DUMMYFUNCTION("""COMPUTED_VALUE"""),"Diamond sets,gold baar")</f>
        <v>Diamond sets,gold baar</v>
      </c>
      <c r="I778" s="1"/>
      <c r="J778" s="1"/>
      <c r="K778" s="3">
        <f>IFERROR(__xludf.DUMMYFUNCTION("""COMPUTED_VALUE"""),0.734722222223354)</f>
        <v>0.7347222222</v>
      </c>
      <c r="L778" s="1" t="str">
        <f>IFERROR(__xludf.DUMMYFUNCTION("""COMPUTED_VALUE"""),"Yes")</f>
        <v>Yes</v>
      </c>
      <c r="M778" s="1" t="str">
        <f>IFERROR(__xludf.DUMMYFUNCTION("""COMPUTED_VALUE"""),"Already done ")</f>
        <v>Already done </v>
      </c>
      <c r="N778" s="1" t="str">
        <f>IFERROR(__xludf.DUMMYFUNCTION("""COMPUTED_VALUE"""),"Already done ")</f>
        <v>Already done </v>
      </c>
      <c r="O778" s="1" t="str">
        <f>IFERROR(__xludf.DUMMYFUNCTION("""COMPUTED_VALUE"""),"WA ONLY, CALL")</f>
        <v>WA ONLY, CALL</v>
      </c>
      <c r="P778" s="1" t="str">
        <f>IFERROR(__xludf.DUMMYFUNCTION("""COMPUTED_VALUE"""),"Sir")</f>
        <v>Sir</v>
      </c>
      <c r="Q778" s="1" t="str">
        <f>IFERROR(__xludf.DUMMYFUNCTION("""COMPUTED_VALUE"""),"No")</f>
        <v>No</v>
      </c>
      <c r="R778" s="1" t="str">
        <f>IFERROR(__xludf.DUMMYFUNCTION("""COMPUTED_VALUE"""),"OLD")</f>
        <v>OLD</v>
      </c>
      <c r="S778" s="1" t="str">
        <f>IFERROR(__xludf.DUMMYFUNCTION("""COMPUTED_VALUE"""),"Yes")</f>
        <v>Yes</v>
      </c>
    </row>
    <row r="779">
      <c r="A779" s="2">
        <f>IFERROR(__xludf.DUMMYFUNCTION("""COMPUTED_VALUE"""),45590.7573987963)</f>
        <v>45590.7574</v>
      </c>
      <c r="B779" s="1" t="str">
        <f>IFERROR(__xludf.DUMMYFUNCTION("""COMPUTED_VALUE"""),"Aditiya")</f>
        <v>Aditiya</v>
      </c>
      <c r="C779" s="1">
        <f>IFERROR(__xludf.DUMMYFUNCTION("""COMPUTED_VALUE"""),9.999788778E9)</f>
        <v>9999788778</v>
      </c>
      <c r="D779" s="1">
        <f>IFERROR(__xludf.DUMMYFUNCTION("""COMPUTED_VALUE"""),3.0)</f>
        <v>3</v>
      </c>
      <c r="E779" s="3">
        <f>IFERROR(__xludf.DUMMYFUNCTION("""COMPUTED_VALUE"""),0.625)</f>
        <v>0.625</v>
      </c>
      <c r="F779" s="1" t="str">
        <f>IFERROR(__xludf.DUMMYFUNCTION("""COMPUTED_VALUE"""),"Antique Gold")</f>
        <v>Antique Gold</v>
      </c>
      <c r="G779" s="1" t="str">
        <f>IFERROR(__xludf.DUMMYFUNCTION("""COMPUTED_VALUE"""),"Deepali")</f>
        <v>Deepali</v>
      </c>
      <c r="H779" s="1" t="str">
        <f>IFERROR(__xludf.DUMMYFUNCTION("""COMPUTED_VALUE"""),"Gold set,diamond ring")</f>
        <v>Gold set,diamond ring</v>
      </c>
      <c r="I779" s="1" t="str">
        <f>IFERROR(__xludf.DUMMYFUNCTION("""COMPUTED_VALUE"""),"Visit Again in 1 Month")</f>
        <v>Visit Again in 1 Month</v>
      </c>
      <c r="J779" s="1"/>
      <c r="K779" s="3">
        <f>IFERROR(__xludf.DUMMYFUNCTION("""COMPUTED_VALUE"""),0.71875)</f>
        <v>0.71875</v>
      </c>
      <c r="L779" s="1" t="str">
        <f>IFERROR(__xludf.DUMMYFUNCTION("""COMPUTED_VALUE"""),"Yes")</f>
        <v>Yes</v>
      </c>
      <c r="M779" s="1" t="str">
        <f>IFERROR(__xludf.DUMMYFUNCTION("""COMPUTED_VALUE"""),"No")</f>
        <v>No</v>
      </c>
      <c r="N779" s="1" t="str">
        <f>IFERROR(__xludf.DUMMYFUNCTION("""COMPUTED_VALUE"""),"No")</f>
        <v>No</v>
      </c>
      <c r="O779" s="1" t="str">
        <f>IFERROR(__xludf.DUMMYFUNCTION("""COMPUTED_VALUE"""),"WA ONLY, CALL")</f>
        <v>WA ONLY, CALL</v>
      </c>
      <c r="P779" s="1" t="str">
        <f>IFERROR(__xludf.DUMMYFUNCTION("""COMPUTED_VALUE"""),"Sir")</f>
        <v>Sir</v>
      </c>
      <c r="Q779" s="1" t="str">
        <f>IFERROR(__xludf.DUMMYFUNCTION("""COMPUTED_VALUE"""),"No")</f>
        <v>No</v>
      </c>
      <c r="R779" s="1" t="str">
        <f>IFERROR(__xludf.DUMMYFUNCTION("""COMPUTED_VALUE"""),"NEW WALK IN")</f>
        <v>NEW WALK IN</v>
      </c>
      <c r="S779" s="1" t="str">
        <f>IFERROR(__xludf.DUMMYFUNCTION("""COMPUTED_VALUE"""),"No")</f>
        <v>No</v>
      </c>
    </row>
    <row r="780">
      <c r="A780" s="2">
        <f>IFERROR(__xludf.DUMMYFUNCTION("""COMPUTED_VALUE"""),45590.76016420139)</f>
        <v>45590.76016</v>
      </c>
      <c r="B780" s="1" t="str">
        <f>IFERROR(__xludf.DUMMYFUNCTION("""COMPUTED_VALUE"""),"Sawpnarani rath")</f>
        <v>Sawpnarani rath</v>
      </c>
      <c r="C780" s="1">
        <f>IFERROR(__xludf.DUMMYFUNCTION("""COMPUTED_VALUE"""),8.368494008E9)</f>
        <v>8368494008</v>
      </c>
      <c r="D780" s="1">
        <f>IFERROR(__xludf.DUMMYFUNCTION("""COMPUTED_VALUE"""),1.0)</f>
        <v>1</v>
      </c>
      <c r="E780" s="3">
        <f>IFERROR(__xludf.DUMMYFUNCTION("""COMPUTED_VALUE"""),0.6979166666642413)</f>
        <v>0.6979166667</v>
      </c>
      <c r="F780" s="1" t="str">
        <f>IFERROR(__xludf.DUMMYFUNCTION("""COMPUTED_VALUE"""),"Antique Gold")</f>
        <v>Antique Gold</v>
      </c>
      <c r="G780" s="1" t="str">
        <f>IFERROR(__xludf.DUMMYFUNCTION("""COMPUTED_VALUE"""),"Pooja")</f>
        <v>Pooja</v>
      </c>
      <c r="H780" s="1"/>
      <c r="I780" s="1" t="str">
        <f>IFERROR(__xludf.DUMMYFUNCTION("""COMPUTED_VALUE"""),"Pick up Order")</f>
        <v>Pick up Order</v>
      </c>
      <c r="J780" s="1"/>
      <c r="K780" s="3">
        <f>IFERROR(__xludf.DUMMYFUNCTION("""COMPUTED_VALUE"""),0.71875)</f>
        <v>0.71875</v>
      </c>
      <c r="L780" s="1" t="str">
        <f>IFERROR(__xludf.DUMMYFUNCTION("""COMPUTED_VALUE"""),"Yes")</f>
        <v>Yes</v>
      </c>
      <c r="M780" s="1" t="str">
        <f>IFERROR(__xludf.DUMMYFUNCTION("""COMPUTED_VALUE"""),"Already done ")</f>
        <v>Already done </v>
      </c>
      <c r="N780" s="1" t="str">
        <f>IFERROR(__xludf.DUMMYFUNCTION("""COMPUTED_VALUE"""),"Already done ")</f>
        <v>Already done </v>
      </c>
      <c r="O780" s="1" t="str">
        <f>IFERROR(__xludf.DUMMYFUNCTION("""COMPUTED_VALUE"""),"WA ONLY, CALL")</f>
        <v>WA ONLY, CALL</v>
      </c>
      <c r="P780" s="1" t="str">
        <f>IFERROR(__xludf.DUMMYFUNCTION("""COMPUTED_VALUE"""),"Madam")</f>
        <v>Madam</v>
      </c>
      <c r="Q780" s="1" t="str">
        <f>IFERROR(__xludf.DUMMYFUNCTION("""COMPUTED_VALUE"""),"No")</f>
        <v>No</v>
      </c>
      <c r="R780" s="1" t="str">
        <f>IFERROR(__xludf.DUMMYFUNCTION("""COMPUTED_VALUE"""),"OLD")</f>
        <v>OLD</v>
      </c>
      <c r="S780" s="1" t="str">
        <f>IFERROR(__xludf.DUMMYFUNCTION("""COMPUTED_VALUE"""),"No")</f>
        <v>No</v>
      </c>
    </row>
    <row r="781">
      <c r="A781" s="2">
        <f>IFERROR(__xludf.DUMMYFUNCTION("""COMPUTED_VALUE"""),45590.76165840278)</f>
        <v>45590.76166</v>
      </c>
      <c r="B781" s="1" t="str">
        <f>IFERROR(__xludf.DUMMYFUNCTION("""COMPUTED_VALUE"""),"Anita")</f>
        <v>Anita</v>
      </c>
      <c r="C781" s="1">
        <f>IFERROR(__xludf.DUMMYFUNCTION("""COMPUTED_VALUE"""),9.971543232E9)</f>
        <v>9971543232</v>
      </c>
      <c r="D781" s="1">
        <f>IFERROR(__xludf.DUMMYFUNCTION("""COMPUTED_VALUE"""),3.0)</f>
        <v>3</v>
      </c>
      <c r="E781" s="3">
        <f>IFERROR(__xludf.DUMMYFUNCTION("""COMPUTED_VALUE"""),0.7395833333357587)</f>
        <v>0.7395833333</v>
      </c>
      <c r="F781" s="1" t="str">
        <f>IFERROR(__xludf.DUMMYFUNCTION("""COMPUTED_VALUE"""),"Antique Gold")</f>
        <v>Antique Gold</v>
      </c>
      <c r="G781" s="1" t="str">
        <f>IFERROR(__xludf.DUMMYFUNCTION("""COMPUTED_VALUE"""),"Pooja")</f>
        <v>Pooja</v>
      </c>
      <c r="H781" s="1" t="str">
        <f>IFERROR(__xludf.DUMMYFUNCTION("""COMPUTED_VALUE"""),"Gold coins")</f>
        <v>Gold coins</v>
      </c>
      <c r="I781" s="1"/>
      <c r="J781" s="1"/>
      <c r="K781" s="3">
        <f>IFERROR(__xludf.DUMMYFUNCTION("""COMPUTED_VALUE"""),0.7506944444467081)</f>
        <v>0.7506944444</v>
      </c>
      <c r="L781" s="1" t="str">
        <f>IFERROR(__xludf.DUMMYFUNCTION("""COMPUTED_VALUE"""),"No")</f>
        <v>No</v>
      </c>
      <c r="M781" s="1" t="str">
        <f>IFERROR(__xludf.DUMMYFUNCTION("""COMPUTED_VALUE"""),"No")</f>
        <v>No</v>
      </c>
      <c r="N781" s="1" t="str">
        <f>IFERROR(__xludf.DUMMYFUNCTION("""COMPUTED_VALUE"""),"No")</f>
        <v>No</v>
      </c>
      <c r="O781" s="1" t="str">
        <f>IFERROR(__xludf.DUMMYFUNCTION("""COMPUTED_VALUE"""),"WA ONLY, CALL")</f>
        <v>WA ONLY, CALL</v>
      </c>
      <c r="P781" s="1" t="str">
        <f>IFERROR(__xludf.DUMMYFUNCTION("""COMPUTED_VALUE"""),"Madam")</f>
        <v>Madam</v>
      </c>
      <c r="Q781" s="1" t="str">
        <f>IFERROR(__xludf.DUMMYFUNCTION("""COMPUTED_VALUE"""),"No")</f>
        <v>No</v>
      </c>
      <c r="R781" s="1" t="str">
        <f>IFERROR(__xludf.DUMMYFUNCTION("""COMPUTED_VALUE"""),"NEW WALK IN")</f>
        <v>NEW WALK IN</v>
      </c>
      <c r="S781" s="1" t="str">
        <f>IFERROR(__xludf.DUMMYFUNCTION("""COMPUTED_VALUE"""),"No")</f>
        <v>No</v>
      </c>
    </row>
    <row r="782">
      <c r="A782" s="2">
        <f>IFERROR(__xludf.DUMMYFUNCTION("""COMPUTED_VALUE"""),45590.76262226852)</f>
        <v>45590.76262</v>
      </c>
      <c r="B782" s="1" t="str">
        <f>IFERROR(__xludf.DUMMYFUNCTION("""COMPUTED_VALUE"""),"D.k gupta")</f>
        <v>D.k gupta</v>
      </c>
      <c r="C782" s="1">
        <f>IFERROR(__xludf.DUMMYFUNCTION("""COMPUTED_VALUE"""),9.91139729E9)</f>
        <v>9911397290</v>
      </c>
      <c r="D782" s="1">
        <f>IFERROR(__xludf.DUMMYFUNCTION("""COMPUTED_VALUE"""),1.0)</f>
        <v>1</v>
      </c>
      <c r="E782" s="3">
        <f>IFERROR(__xludf.DUMMYFUNCTION("""COMPUTED_VALUE"""),0.625)</f>
        <v>0.625</v>
      </c>
      <c r="F782" s="1" t="str">
        <f>IFERROR(__xludf.DUMMYFUNCTION("""COMPUTED_VALUE"""),"Plain Gold")</f>
        <v>Plain Gold</v>
      </c>
      <c r="G782" s="1" t="str">
        <f>IFERROR(__xludf.DUMMYFUNCTION("""COMPUTED_VALUE"""),"Tannu")</f>
        <v>Tannu</v>
      </c>
      <c r="H782" s="1"/>
      <c r="I782" s="1" t="str">
        <f>IFERROR(__xludf.DUMMYFUNCTION("""COMPUTED_VALUE"""),"Pick up Order")</f>
        <v>Pick up Order</v>
      </c>
      <c r="J782" s="1"/>
      <c r="K782" s="3">
        <f>IFERROR(__xludf.DUMMYFUNCTION("""COMPUTED_VALUE"""),0.6458333333357587)</f>
        <v>0.6458333333</v>
      </c>
      <c r="L782" s="1" t="str">
        <f>IFERROR(__xludf.DUMMYFUNCTION("""COMPUTED_VALUE"""),"Yes")</f>
        <v>Yes</v>
      </c>
      <c r="M782" s="1" t="str">
        <f>IFERROR(__xludf.DUMMYFUNCTION("""COMPUTED_VALUE"""),"Already done ")</f>
        <v>Already done </v>
      </c>
      <c r="N782" s="1" t="str">
        <f>IFERROR(__xludf.DUMMYFUNCTION("""COMPUTED_VALUE"""),"Already done ")</f>
        <v>Already done </v>
      </c>
      <c r="O782" s="1" t="str">
        <f>IFERROR(__xludf.DUMMYFUNCTION("""COMPUTED_VALUE"""),"WA ONLY, CALL")</f>
        <v>WA ONLY, CALL</v>
      </c>
      <c r="P782" s="1" t="str">
        <f>IFERROR(__xludf.DUMMYFUNCTION("""COMPUTED_VALUE"""),"Sir")</f>
        <v>Sir</v>
      </c>
      <c r="Q782" s="1" t="str">
        <f>IFERROR(__xludf.DUMMYFUNCTION("""COMPUTED_VALUE"""),"No")</f>
        <v>No</v>
      </c>
      <c r="R782" s="1" t="str">
        <f>IFERROR(__xludf.DUMMYFUNCTION("""COMPUTED_VALUE"""),"OLD")</f>
        <v>OLD</v>
      </c>
      <c r="S782" s="1" t="str">
        <f>IFERROR(__xludf.DUMMYFUNCTION("""COMPUTED_VALUE"""),"No")</f>
        <v>No</v>
      </c>
    </row>
    <row r="783">
      <c r="A783" s="2">
        <f>IFERROR(__xludf.DUMMYFUNCTION("""COMPUTED_VALUE"""),45591.81551716435)</f>
        <v>45591.81552</v>
      </c>
      <c r="B783" s="1" t="str">
        <f>IFERROR(__xludf.DUMMYFUNCTION("""COMPUTED_VALUE"""),"Roma")</f>
        <v>Roma</v>
      </c>
      <c r="C783" s="1">
        <f>IFERROR(__xludf.DUMMYFUNCTION("""COMPUTED_VALUE"""),9.311065176E9)</f>
        <v>9311065176</v>
      </c>
      <c r="D783" s="1">
        <f>IFERROR(__xludf.DUMMYFUNCTION("""COMPUTED_VALUE"""),4.0)</f>
        <v>4</v>
      </c>
      <c r="E783" s="3">
        <f>IFERROR(__xludf.DUMMYFUNCTION("""COMPUTED_VALUE"""),0.48958333333575865)</f>
        <v>0.4895833333</v>
      </c>
      <c r="F783" s="1" t="str">
        <f>IFERROR(__xludf.DUMMYFUNCTION("""COMPUTED_VALUE"""),"Antique Gold")</f>
        <v>Antique Gold</v>
      </c>
      <c r="G783" s="1" t="str">
        <f>IFERROR(__xludf.DUMMYFUNCTION("""COMPUTED_VALUE"""),"Preeti")</f>
        <v>Preeti</v>
      </c>
      <c r="H783" s="1" t="str">
        <f>IFERROR(__xludf.DUMMYFUNCTION("""COMPUTED_VALUE"""),"Antique sets,diamond sets,ring,breslet ")</f>
        <v>Antique sets,diamond sets,ring,breslet </v>
      </c>
      <c r="I783" s="1" t="str">
        <f>IFERROR(__xludf.DUMMYFUNCTION("""COMPUTED_VALUE"""),"Visit Again in 1 Month")</f>
        <v>Visit Again in 1 Month</v>
      </c>
      <c r="J783" s="1"/>
      <c r="K783" s="3">
        <f>IFERROR(__xludf.DUMMYFUNCTION("""COMPUTED_VALUE"""),0.5104166666642413)</f>
        <v>0.5104166667</v>
      </c>
      <c r="L783" s="1" t="str">
        <f>IFERROR(__xludf.DUMMYFUNCTION("""COMPUTED_VALUE"""),"Yes")</f>
        <v>Yes</v>
      </c>
      <c r="M783" s="1" t="str">
        <f>IFERROR(__xludf.DUMMYFUNCTION("""COMPUTED_VALUE"""),"Already done ")</f>
        <v>Already done </v>
      </c>
      <c r="N783" s="1" t="str">
        <f>IFERROR(__xludf.DUMMYFUNCTION("""COMPUTED_VALUE"""),"Already done ")</f>
        <v>Already done </v>
      </c>
      <c r="O783" s="1" t="str">
        <f>IFERROR(__xludf.DUMMYFUNCTION("""COMPUTED_VALUE"""),"WA ONLY, CALL")</f>
        <v>WA ONLY, CALL</v>
      </c>
      <c r="P783" s="1" t="str">
        <f>IFERROR(__xludf.DUMMYFUNCTION("""COMPUTED_VALUE"""),"Madam")</f>
        <v>Madam</v>
      </c>
      <c r="Q783" s="1" t="str">
        <f>IFERROR(__xludf.DUMMYFUNCTION("""COMPUTED_VALUE"""),"No")</f>
        <v>No</v>
      </c>
      <c r="R783" s="1" t="str">
        <f>IFERROR(__xludf.DUMMYFUNCTION("""COMPUTED_VALUE"""),"OLD")</f>
        <v>OLD</v>
      </c>
      <c r="S783" s="1" t="str">
        <f>IFERROR(__xludf.DUMMYFUNCTION("""COMPUTED_VALUE"""),"No")</f>
        <v>No</v>
      </c>
    </row>
    <row r="784">
      <c r="A784" s="2">
        <f>IFERROR(__xludf.DUMMYFUNCTION("""COMPUTED_VALUE"""),45591.81643866898)</f>
        <v>45591.81644</v>
      </c>
      <c r="B784" s="1" t="str">
        <f>IFERROR(__xludf.DUMMYFUNCTION("""COMPUTED_VALUE"""),"Manoj kumar")</f>
        <v>Manoj kumar</v>
      </c>
      <c r="C784" s="1">
        <f>IFERROR(__xludf.DUMMYFUNCTION("""COMPUTED_VALUE"""),9.872758037E9)</f>
        <v>9872758037</v>
      </c>
      <c r="D784" s="1">
        <f>IFERROR(__xludf.DUMMYFUNCTION("""COMPUTED_VALUE"""),2.0)</f>
        <v>2</v>
      </c>
      <c r="E784" s="3">
        <f>IFERROR(__xludf.DUMMYFUNCTION("""COMPUTED_VALUE"""),0.5666666666656965)</f>
        <v>0.5666666667</v>
      </c>
      <c r="F784" s="1" t="str">
        <f>IFERROR(__xludf.DUMMYFUNCTION("""COMPUTED_VALUE"""),"Plain Gold")</f>
        <v>Plain Gold</v>
      </c>
      <c r="G784" s="1" t="str">
        <f>IFERROR(__xludf.DUMMYFUNCTION("""COMPUTED_VALUE"""),"Tannu")</f>
        <v>Tannu</v>
      </c>
      <c r="H784" s="1" t="str">
        <f>IFERROR(__xludf.DUMMYFUNCTION("""COMPUTED_VALUE"""),"Gold nose pin,gold bindi")</f>
        <v>Gold nose pin,gold bindi</v>
      </c>
      <c r="I784" s="1"/>
      <c r="J784" s="1"/>
      <c r="K784" s="3">
        <f>IFERROR(__xludf.DUMMYFUNCTION("""COMPUTED_VALUE"""),0.5763888888905058)</f>
        <v>0.5763888889</v>
      </c>
      <c r="L784" s="1" t="str">
        <f>IFERROR(__xludf.DUMMYFUNCTION("""COMPUTED_VALUE"""),"Yes")</f>
        <v>Yes</v>
      </c>
      <c r="M784" s="1" t="str">
        <f>IFERROR(__xludf.DUMMYFUNCTION("""COMPUTED_VALUE"""),"Already done ")</f>
        <v>Already done </v>
      </c>
      <c r="N784" s="1" t="str">
        <f>IFERROR(__xludf.DUMMYFUNCTION("""COMPUTED_VALUE"""),"Already done ")</f>
        <v>Already done </v>
      </c>
      <c r="O784" s="1" t="str">
        <f>IFERROR(__xludf.DUMMYFUNCTION("""COMPUTED_VALUE"""),"WA ONLY, CALL")</f>
        <v>WA ONLY, CALL</v>
      </c>
      <c r="P784" s="1" t="str">
        <f>IFERROR(__xludf.DUMMYFUNCTION("""COMPUTED_VALUE"""),"Sir")</f>
        <v>Sir</v>
      </c>
      <c r="Q784" s="1" t="str">
        <f>IFERROR(__xludf.DUMMYFUNCTION("""COMPUTED_VALUE"""),"No")</f>
        <v>No</v>
      </c>
      <c r="R784" s="1" t="str">
        <f>IFERROR(__xludf.DUMMYFUNCTION("""COMPUTED_VALUE"""),"OLD")</f>
        <v>OLD</v>
      </c>
      <c r="S784" s="1" t="str">
        <f>IFERROR(__xludf.DUMMYFUNCTION("""COMPUTED_VALUE"""),"Yes")</f>
        <v>Yes</v>
      </c>
    </row>
    <row r="785">
      <c r="A785" s="2">
        <f>IFERROR(__xludf.DUMMYFUNCTION("""COMPUTED_VALUE"""),45591.817246990744)</f>
        <v>45591.81725</v>
      </c>
      <c r="B785" s="1" t="str">
        <f>IFERROR(__xludf.DUMMYFUNCTION("""COMPUTED_VALUE"""),"Pardeep")</f>
        <v>Pardeep</v>
      </c>
      <c r="C785" s="1">
        <f>IFERROR(__xludf.DUMMYFUNCTION("""COMPUTED_VALUE"""),9.555683585E9)</f>
        <v>9555683585</v>
      </c>
      <c r="D785" s="1">
        <f>IFERROR(__xludf.DUMMYFUNCTION("""COMPUTED_VALUE"""),1.0)</f>
        <v>1</v>
      </c>
      <c r="E785" s="3">
        <f>IFERROR(__xludf.DUMMYFUNCTION("""COMPUTED_VALUE"""),0.648611111115315)</f>
        <v>0.6486111111</v>
      </c>
      <c r="F785" s="1" t="str">
        <f>IFERROR(__xludf.DUMMYFUNCTION("""COMPUTED_VALUE"""),"Plain Gold")</f>
        <v>Plain Gold</v>
      </c>
      <c r="G785" s="1" t="str">
        <f>IFERROR(__xludf.DUMMYFUNCTION("""COMPUTED_VALUE"""),"Tannu")</f>
        <v>Tannu</v>
      </c>
      <c r="H785" s="1" t="str">
        <f>IFERROR(__xludf.DUMMYFUNCTION("""COMPUTED_VALUE"""),"Gold gents bali")</f>
        <v>Gold gents bali</v>
      </c>
      <c r="I785" s="1"/>
      <c r="J785" s="1"/>
      <c r="K785" s="3">
        <f>IFERROR(__xludf.DUMMYFUNCTION("""COMPUTED_VALUE"""),0.6645833333313931)</f>
        <v>0.6645833333</v>
      </c>
      <c r="L785" s="1" t="str">
        <f>IFERROR(__xludf.DUMMYFUNCTION("""COMPUTED_VALUE"""),"Yes")</f>
        <v>Yes</v>
      </c>
      <c r="M785" s="1" t="str">
        <f>IFERROR(__xludf.DUMMYFUNCTION("""COMPUTED_VALUE"""),"Yes")</f>
        <v>Yes</v>
      </c>
      <c r="N785" s="1" t="str">
        <f>IFERROR(__xludf.DUMMYFUNCTION("""COMPUTED_VALUE"""),"Yes")</f>
        <v>Yes</v>
      </c>
      <c r="O785" s="1" t="str">
        <f>IFERROR(__xludf.DUMMYFUNCTION("""COMPUTED_VALUE"""),"WA ONLY, CALL")</f>
        <v>WA ONLY, CALL</v>
      </c>
      <c r="P785" s="1" t="str">
        <f>IFERROR(__xludf.DUMMYFUNCTION("""COMPUTED_VALUE"""),"Sir")</f>
        <v>Sir</v>
      </c>
      <c r="Q785" s="1" t="str">
        <f>IFERROR(__xludf.DUMMYFUNCTION("""COMPUTED_VALUE"""),"No")</f>
        <v>No</v>
      </c>
      <c r="R785" s="1" t="str">
        <f>IFERROR(__xludf.DUMMYFUNCTION("""COMPUTED_VALUE"""),"NEW WALK IN")</f>
        <v>NEW WALK IN</v>
      </c>
      <c r="S785" s="1" t="str">
        <f>IFERROR(__xludf.DUMMYFUNCTION("""COMPUTED_VALUE"""),"Yes")</f>
        <v>Yes</v>
      </c>
    </row>
    <row r="786">
      <c r="A786" s="2">
        <f>IFERROR(__xludf.DUMMYFUNCTION("""COMPUTED_VALUE"""),45591.81827449074)</f>
        <v>45591.81827</v>
      </c>
      <c r="B786" s="1" t="str">
        <f>IFERROR(__xludf.DUMMYFUNCTION("""COMPUTED_VALUE"""),"Chahat")</f>
        <v>Chahat</v>
      </c>
      <c r="C786" s="1">
        <f>IFERROR(__xludf.DUMMYFUNCTION("""COMPUTED_VALUE"""),9.996156841E9)</f>
        <v>9996156841</v>
      </c>
      <c r="D786" s="1">
        <f>IFERROR(__xludf.DUMMYFUNCTION("""COMPUTED_VALUE"""),5.0)</f>
        <v>5</v>
      </c>
      <c r="E786" s="3">
        <f>IFERROR(__xludf.DUMMYFUNCTION("""COMPUTED_VALUE"""),0.7388888888890506)</f>
        <v>0.7388888889</v>
      </c>
      <c r="F786" s="1" t="str">
        <f>IFERROR(__xludf.DUMMYFUNCTION("""COMPUTED_VALUE"""),"Diamond")</f>
        <v>Diamond</v>
      </c>
      <c r="G786" s="1" t="str">
        <f>IFERROR(__xludf.DUMMYFUNCTION("""COMPUTED_VALUE"""),"Preeti")</f>
        <v>Preeti</v>
      </c>
      <c r="H786" s="1" t="str">
        <f>IFERROR(__xludf.DUMMYFUNCTION("""COMPUTED_VALUE"""),"Diamonds rings")</f>
        <v>Diamonds rings</v>
      </c>
      <c r="I786" s="1" t="str">
        <f>IFERROR(__xludf.DUMMYFUNCTION("""COMPUTED_VALUE"""),"Visit Again in 1 Month")</f>
        <v>Visit Again in 1 Month</v>
      </c>
      <c r="J786" s="1"/>
      <c r="K786" s="3">
        <f>IFERROR(__xludf.DUMMYFUNCTION("""COMPUTED_VALUE"""),0.7152777777810115)</f>
        <v>0.7152777778</v>
      </c>
      <c r="L786" s="1" t="str">
        <f>IFERROR(__xludf.DUMMYFUNCTION("""COMPUTED_VALUE"""),"Yes")</f>
        <v>Yes</v>
      </c>
      <c r="M786" s="1" t="str">
        <f>IFERROR(__xludf.DUMMYFUNCTION("""COMPUTED_VALUE"""),"No")</f>
        <v>No</v>
      </c>
      <c r="N786" s="1" t="str">
        <f>IFERROR(__xludf.DUMMYFUNCTION("""COMPUTED_VALUE"""),"No")</f>
        <v>No</v>
      </c>
      <c r="O786" s="1" t="str">
        <f>IFERROR(__xludf.DUMMYFUNCTION("""COMPUTED_VALUE"""),"WA ONLY, CALL")</f>
        <v>WA ONLY, CALL</v>
      </c>
      <c r="P786" s="1" t="str">
        <f>IFERROR(__xludf.DUMMYFUNCTION("""COMPUTED_VALUE"""),"Madam")</f>
        <v>Madam</v>
      </c>
      <c r="Q786" s="1" t="str">
        <f>IFERROR(__xludf.DUMMYFUNCTION("""COMPUTED_VALUE"""),"No")</f>
        <v>No</v>
      </c>
      <c r="R786" s="1" t="str">
        <f>IFERROR(__xludf.DUMMYFUNCTION("""COMPUTED_VALUE"""),"NEW WALK IN")</f>
        <v>NEW WALK IN</v>
      </c>
      <c r="S786" s="1" t="str">
        <f>IFERROR(__xludf.DUMMYFUNCTION("""COMPUTED_VALUE"""),"No")</f>
        <v>No</v>
      </c>
    </row>
    <row r="787">
      <c r="A787" s="2">
        <f>IFERROR(__xludf.DUMMYFUNCTION("""COMPUTED_VALUE"""),45592.727540277774)</f>
        <v>45592.72754</v>
      </c>
      <c r="B787" s="1" t="str">
        <f>IFERROR(__xludf.DUMMYFUNCTION("""COMPUTED_VALUE"""),"Anupama ")</f>
        <v>Anupama </v>
      </c>
      <c r="C787" s="1">
        <f>IFERROR(__xludf.DUMMYFUNCTION("""COMPUTED_VALUE"""),9.999008756E9)</f>
        <v>9999008756</v>
      </c>
      <c r="D787" s="1">
        <f>IFERROR(__xludf.DUMMYFUNCTION("""COMPUTED_VALUE"""),2.0)</f>
        <v>2</v>
      </c>
      <c r="E787" s="3">
        <f>IFERROR(__xludf.DUMMYFUNCTION("""COMPUTED_VALUE"""),0.601388888884685)</f>
        <v>0.6013888889</v>
      </c>
      <c r="F787" s="1" t="str">
        <f>IFERROR(__xludf.DUMMYFUNCTION("""COMPUTED_VALUE"""),"Diamond")</f>
        <v>Diamond</v>
      </c>
      <c r="G787" s="1" t="str">
        <f>IFERROR(__xludf.DUMMYFUNCTION("""COMPUTED_VALUE"""),"Preeti")</f>
        <v>Preeti</v>
      </c>
      <c r="H787" s="1" t="str">
        <f>IFERROR(__xludf.DUMMYFUNCTION("""COMPUTED_VALUE"""),"Hold sets,diamond sets")</f>
        <v>Hold sets,diamond sets</v>
      </c>
      <c r="I787" s="1"/>
      <c r="J787" s="1"/>
      <c r="K787" s="3">
        <f>IFERROR(__xludf.DUMMYFUNCTION("""COMPUTED_VALUE"""),0.6666666666642413)</f>
        <v>0.6666666667</v>
      </c>
      <c r="L787" s="1" t="str">
        <f>IFERROR(__xludf.DUMMYFUNCTION("""COMPUTED_VALUE"""),"Yes")</f>
        <v>Yes</v>
      </c>
      <c r="M787" s="1" t="str">
        <f>IFERROR(__xludf.DUMMYFUNCTION("""COMPUTED_VALUE"""),"No")</f>
        <v>No</v>
      </c>
      <c r="N787" s="1" t="str">
        <f>IFERROR(__xludf.DUMMYFUNCTION("""COMPUTED_VALUE"""),"No")</f>
        <v>No</v>
      </c>
      <c r="O787" s="1" t="str">
        <f>IFERROR(__xludf.DUMMYFUNCTION("""COMPUTED_VALUE"""),"WA ONLY, CALL")</f>
        <v>WA ONLY, CALL</v>
      </c>
      <c r="P787" s="1" t="str">
        <f>IFERROR(__xludf.DUMMYFUNCTION("""COMPUTED_VALUE"""),"Madam")</f>
        <v>Madam</v>
      </c>
      <c r="Q787" s="1" t="str">
        <f>IFERROR(__xludf.DUMMYFUNCTION("""COMPUTED_VALUE"""),"No")</f>
        <v>No</v>
      </c>
      <c r="R787" s="1" t="str">
        <f>IFERROR(__xludf.DUMMYFUNCTION("""COMPUTED_VALUE"""),"NEW WALK IN")</f>
        <v>NEW WALK IN</v>
      </c>
      <c r="S787" s="1" t="str">
        <f>IFERROR(__xludf.DUMMYFUNCTION("""COMPUTED_VALUE"""),"No")</f>
        <v>No</v>
      </c>
    </row>
    <row r="788">
      <c r="A788" s="2">
        <f>IFERROR(__xludf.DUMMYFUNCTION("""COMPUTED_VALUE"""),45592.73144270833)</f>
        <v>45592.73144</v>
      </c>
      <c r="B788" s="1" t="str">
        <f>IFERROR(__xludf.DUMMYFUNCTION("""COMPUTED_VALUE"""),"Samarth")</f>
        <v>Samarth</v>
      </c>
      <c r="C788" s="1">
        <f>IFERROR(__xludf.DUMMYFUNCTION("""COMPUTED_VALUE"""),9.810239602E9)</f>
        <v>9810239602</v>
      </c>
      <c r="D788" s="1">
        <f>IFERROR(__xludf.DUMMYFUNCTION("""COMPUTED_VALUE"""),2.0)</f>
        <v>2</v>
      </c>
      <c r="E788" s="3">
        <f>IFERROR(__xludf.DUMMYFUNCTION("""COMPUTED_VALUE"""),0.59375)</f>
        <v>0.59375</v>
      </c>
      <c r="F788" s="1" t="str">
        <f>IFERROR(__xludf.DUMMYFUNCTION("""COMPUTED_VALUE"""),"Antique Gold")</f>
        <v>Antique Gold</v>
      </c>
      <c r="G788" s="1" t="str">
        <f>IFERROR(__xludf.DUMMYFUNCTION("""COMPUTED_VALUE"""),"Pooja")</f>
        <v>Pooja</v>
      </c>
      <c r="H788" s="1" t="str">
        <f>IFERROR(__xludf.DUMMYFUNCTION("""COMPUTED_VALUE"""),"Gold coin gold baar")</f>
        <v>Gold coin gold baar</v>
      </c>
      <c r="I788" s="1"/>
      <c r="J788" s="1"/>
      <c r="K788" s="3">
        <f>IFERROR(__xludf.DUMMYFUNCTION("""COMPUTED_VALUE"""),0.625)</f>
        <v>0.625</v>
      </c>
      <c r="L788" s="1" t="str">
        <f>IFERROR(__xludf.DUMMYFUNCTION("""COMPUTED_VALUE"""),"Yes")</f>
        <v>Yes</v>
      </c>
      <c r="M788" s="1" t="str">
        <f>IFERROR(__xludf.DUMMYFUNCTION("""COMPUTED_VALUE"""),"Already done")</f>
        <v>Already done</v>
      </c>
      <c r="N788" s="1" t="str">
        <f>IFERROR(__xludf.DUMMYFUNCTION("""COMPUTED_VALUE"""),"Already done ")</f>
        <v>Already done </v>
      </c>
      <c r="O788" s="1" t="str">
        <f>IFERROR(__xludf.DUMMYFUNCTION("""COMPUTED_VALUE"""),"WA ONLY, CALL")</f>
        <v>WA ONLY, CALL</v>
      </c>
      <c r="P788" s="1" t="str">
        <f>IFERROR(__xludf.DUMMYFUNCTION("""COMPUTED_VALUE"""),"Sir")</f>
        <v>Sir</v>
      </c>
      <c r="Q788" s="1" t="str">
        <f>IFERROR(__xludf.DUMMYFUNCTION("""COMPUTED_VALUE"""),"No")</f>
        <v>No</v>
      </c>
      <c r="R788" s="1" t="str">
        <f>IFERROR(__xludf.DUMMYFUNCTION("""COMPUTED_VALUE"""),"OLD")</f>
        <v>OLD</v>
      </c>
      <c r="S788" s="1" t="str">
        <f>IFERROR(__xludf.DUMMYFUNCTION("""COMPUTED_VALUE"""),"Yes")</f>
        <v>Yes</v>
      </c>
    </row>
    <row r="789">
      <c r="A789" s="2">
        <f>IFERROR(__xludf.DUMMYFUNCTION("""COMPUTED_VALUE"""),45592.73301393518)</f>
        <v>45592.73301</v>
      </c>
      <c r="B789" s="1" t="str">
        <f>IFERROR(__xludf.DUMMYFUNCTION("""COMPUTED_VALUE"""),"Shah alam")</f>
        <v>Shah alam</v>
      </c>
      <c r="C789" s="1">
        <f>IFERROR(__xludf.DUMMYFUNCTION("""COMPUTED_VALUE"""),9.667903853E9)</f>
        <v>9667903853</v>
      </c>
      <c r="D789" s="1">
        <f>IFERROR(__xludf.DUMMYFUNCTION("""COMPUTED_VALUE"""),1.0)</f>
        <v>1</v>
      </c>
      <c r="E789" s="3">
        <f>IFERROR(__xludf.DUMMYFUNCTION("""COMPUTED_VALUE"""),0.5833333333357587)</f>
        <v>0.5833333333</v>
      </c>
      <c r="F789" s="1" t="str">
        <f>IFERROR(__xludf.DUMMYFUNCTION("""COMPUTED_VALUE"""),"Antique Gold")</f>
        <v>Antique Gold</v>
      </c>
      <c r="G789" s="1" t="str">
        <f>IFERROR(__xludf.DUMMYFUNCTION("""COMPUTED_VALUE"""),"Pooja")</f>
        <v>Pooja</v>
      </c>
      <c r="H789" s="1"/>
      <c r="I789" s="1" t="str">
        <f>IFERROR(__xludf.DUMMYFUNCTION("""COMPUTED_VALUE"""),"Old Gold Sale")</f>
        <v>Old Gold Sale</v>
      </c>
      <c r="J789" s="1"/>
      <c r="K789" s="3">
        <f>IFERROR(__xludf.DUMMYFUNCTION("""COMPUTED_VALUE"""),0.6041666666642413)</f>
        <v>0.6041666667</v>
      </c>
      <c r="L789" s="1" t="str">
        <f>IFERROR(__xludf.DUMMYFUNCTION("""COMPUTED_VALUE"""),"Yes")</f>
        <v>Yes</v>
      </c>
      <c r="M789" s="1" t="str">
        <f>IFERROR(__xludf.DUMMYFUNCTION("""COMPUTED_VALUE"""),"Already done ")</f>
        <v>Already done </v>
      </c>
      <c r="N789" s="1" t="str">
        <f>IFERROR(__xludf.DUMMYFUNCTION("""COMPUTED_VALUE"""),"Already done ")</f>
        <v>Already done </v>
      </c>
      <c r="O789" s="1" t="str">
        <f>IFERROR(__xludf.DUMMYFUNCTION("""COMPUTED_VALUE"""),"WA ONLY, CALL")</f>
        <v>WA ONLY, CALL</v>
      </c>
      <c r="P789" s="1" t="str">
        <f>IFERROR(__xludf.DUMMYFUNCTION("""COMPUTED_VALUE"""),"Sir")</f>
        <v>Sir</v>
      </c>
      <c r="Q789" s="1" t="str">
        <f>IFERROR(__xludf.DUMMYFUNCTION("""COMPUTED_VALUE"""),"No")</f>
        <v>No</v>
      </c>
      <c r="R789" s="1" t="str">
        <f>IFERROR(__xludf.DUMMYFUNCTION("""COMPUTED_VALUE"""),"OLD")</f>
        <v>OLD</v>
      </c>
      <c r="S789" s="1" t="str">
        <f>IFERROR(__xludf.DUMMYFUNCTION("""COMPUTED_VALUE"""),"No")</f>
        <v>No</v>
      </c>
    </row>
    <row r="790">
      <c r="A790" s="2">
        <f>IFERROR(__xludf.DUMMYFUNCTION("""COMPUTED_VALUE"""),45592.73408145833)</f>
        <v>45592.73408</v>
      </c>
      <c r="B790" s="1" t="str">
        <f>IFERROR(__xludf.DUMMYFUNCTION("""COMPUTED_VALUE"""),"Simran")</f>
        <v>Simran</v>
      </c>
      <c r="C790" s="1">
        <f>IFERROR(__xludf.DUMMYFUNCTION("""COMPUTED_VALUE"""),9.899383939E9)</f>
        <v>9899383939</v>
      </c>
      <c r="D790" s="1">
        <f>IFERROR(__xludf.DUMMYFUNCTION("""COMPUTED_VALUE"""),2.0)</f>
        <v>2</v>
      </c>
      <c r="E790" s="3">
        <f>IFERROR(__xludf.DUMMYFUNCTION("""COMPUTED_VALUE"""),0.6215277777810115)</f>
        <v>0.6215277778</v>
      </c>
      <c r="F790" s="1" t="str">
        <f>IFERROR(__xludf.DUMMYFUNCTION("""COMPUTED_VALUE"""),"Diamond")</f>
        <v>Diamond</v>
      </c>
      <c r="G790" s="1" t="str">
        <f>IFERROR(__xludf.DUMMYFUNCTION("""COMPUTED_VALUE"""),"Tannu")</f>
        <v>Tannu</v>
      </c>
      <c r="H790" s="1"/>
      <c r="I790" s="1" t="str">
        <f>IFERROR(__xludf.DUMMYFUNCTION("""COMPUTED_VALUE"""),"Receive repair jewellery ")</f>
        <v>Receive repair jewellery </v>
      </c>
      <c r="J790" s="1"/>
      <c r="K790" s="3">
        <f>IFERROR(__xludf.DUMMYFUNCTION("""COMPUTED_VALUE"""),0.65625)</f>
        <v>0.65625</v>
      </c>
      <c r="L790" s="1" t="str">
        <f>IFERROR(__xludf.DUMMYFUNCTION("""COMPUTED_VALUE"""),"Yes")</f>
        <v>Yes</v>
      </c>
      <c r="M790" s="1" t="str">
        <f>IFERROR(__xludf.DUMMYFUNCTION("""COMPUTED_VALUE"""),"Already done ")</f>
        <v>Already done </v>
      </c>
      <c r="N790" s="1" t="str">
        <f>IFERROR(__xludf.DUMMYFUNCTION("""COMPUTED_VALUE"""),"Already done ")</f>
        <v>Already done </v>
      </c>
      <c r="O790" s="1" t="str">
        <f>IFERROR(__xludf.DUMMYFUNCTION("""COMPUTED_VALUE"""),"WA ONLY, CALL")</f>
        <v>WA ONLY, CALL</v>
      </c>
      <c r="P790" s="1" t="str">
        <f>IFERROR(__xludf.DUMMYFUNCTION("""COMPUTED_VALUE"""),"Madam")</f>
        <v>Madam</v>
      </c>
      <c r="Q790" s="1" t="str">
        <f>IFERROR(__xludf.DUMMYFUNCTION("""COMPUTED_VALUE"""),"Yes")</f>
        <v>Yes</v>
      </c>
      <c r="R790" s="1" t="str">
        <f>IFERROR(__xludf.DUMMYFUNCTION("""COMPUTED_VALUE"""),"OLD")</f>
        <v>OLD</v>
      </c>
      <c r="S790" s="1" t="str">
        <f>IFERROR(__xludf.DUMMYFUNCTION("""COMPUTED_VALUE"""),"No")</f>
        <v>No</v>
      </c>
    </row>
    <row r="791">
      <c r="A791" s="2">
        <f>IFERROR(__xludf.DUMMYFUNCTION("""COMPUTED_VALUE"""),45592.735440868055)</f>
        <v>45592.73544</v>
      </c>
      <c r="B791" s="1" t="str">
        <f>IFERROR(__xludf.DUMMYFUNCTION("""COMPUTED_VALUE"""),"Asal")</f>
        <v>Asal</v>
      </c>
      <c r="C791" s="1">
        <f>IFERROR(__xludf.DUMMYFUNCTION("""COMPUTED_VALUE"""),9.958520241E9)</f>
        <v>9958520241</v>
      </c>
      <c r="D791" s="1">
        <f>IFERROR(__xludf.DUMMYFUNCTION("""COMPUTED_VALUE"""),1.0)</f>
        <v>1</v>
      </c>
      <c r="E791" s="3">
        <f>IFERROR(__xludf.DUMMYFUNCTION("""COMPUTED_VALUE"""),0.695138888884685)</f>
        <v>0.6951388889</v>
      </c>
      <c r="F791" s="1" t="str">
        <f>IFERROR(__xludf.DUMMYFUNCTION("""COMPUTED_VALUE"""),"Plain Gold")</f>
        <v>Plain Gold</v>
      </c>
      <c r="G791" s="1" t="str">
        <f>IFERROR(__xludf.DUMMYFUNCTION("""COMPUTED_VALUE"""),"Tannu")</f>
        <v>Tannu</v>
      </c>
      <c r="H791" s="1" t="str">
        <f>IFERROR(__xludf.DUMMYFUNCTION("""COMPUTED_VALUE"""),"Gold mangasutr")</f>
        <v>Gold mangasutr</v>
      </c>
      <c r="I791" s="1" t="str">
        <f>IFERROR(__xludf.DUMMYFUNCTION("""COMPUTED_VALUE"""),"Visit Again in 1 Month")</f>
        <v>Visit Again in 1 Month</v>
      </c>
      <c r="J791" s="1"/>
      <c r="K791" s="3">
        <f>IFERROR(__xludf.DUMMYFUNCTION("""COMPUTED_VALUE"""),0.7013888888905058)</f>
        <v>0.7013888889</v>
      </c>
      <c r="L791" s="1" t="str">
        <f>IFERROR(__xludf.DUMMYFUNCTION("""COMPUTED_VALUE"""),"No")</f>
        <v>No</v>
      </c>
      <c r="M791" s="1" t="str">
        <f>IFERROR(__xludf.DUMMYFUNCTION("""COMPUTED_VALUE"""),"No")</f>
        <v>No</v>
      </c>
      <c r="N791" s="1" t="str">
        <f>IFERROR(__xludf.DUMMYFUNCTION("""COMPUTED_VALUE"""),"No")</f>
        <v>No</v>
      </c>
      <c r="O791" s="1" t="str">
        <f>IFERROR(__xludf.DUMMYFUNCTION("""COMPUTED_VALUE"""),"WA ONLY, CALL")</f>
        <v>WA ONLY, CALL</v>
      </c>
      <c r="P791" s="1" t="str">
        <f>IFERROR(__xludf.DUMMYFUNCTION("""COMPUTED_VALUE"""),"Madam")</f>
        <v>Madam</v>
      </c>
      <c r="Q791" s="1" t="str">
        <f>IFERROR(__xludf.DUMMYFUNCTION("""COMPUTED_VALUE"""),"No")</f>
        <v>No</v>
      </c>
      <c r="R791" s="1" t="str">
        <f>IFERROR(__xludf.DUMMYFUNCTION("""COMPUTED_VALUE"""),"NEW WALK IN")</f>
        <v>NEW WALK IN</v>
      </c>
      <c r="S791" s="1" t="str">
        <f>IFERROR(__xludf.DUMMYFUNCTION("""COMPUTED_VALUE"""),"No")</f>
        <v>No</v>
      </c>
    </row>
    <row r="792">
      <c r="A792" s="2">
        <f>IFERROR(__xludf.DUMMYFUNCTION("""COMPUTED_VALUE"""),45592.77684993055)</f>
        <v>45592.77685</v>
      </c>
      <c r="B792" s="1" t="str">
        <f>IFERROR(__xludf.DUMMYFUNCTION("""COMPUTED_VALUE"""),"Kesodevi")</f>
        <v>Kesodevi</v>
      </c>
      <c r="C792" s="1">
        <f>IFERROR(__xludf.DUMMYFUNCTION("""COMPUTED_VALUE"""),9.540632121E9)</f>
        <v>9540632121</v>
      </c>
      <c r="D792" s="1">
        <f>IFERROR(__xludf.DUMMYFUNCTION("""COMPUTED_VALUE"""),2.0)</f>
        <v>2</v>
      </c>
      <c r="E792" s="3">
        <f>IFERROR(__xludf.DUMMYFUNCTION("""COMPUTED_VALUE"""),0.7222222222189885)</f>
        <v>0.7222222222</v>
      </c>
      <c r="F792" s="1" t="str">
        <f>IFERROR(__xludf.DUMMYFUNCTION("""COMPUTED_VALUE"""),"Plain Gold")</f>
        <v>Plain Gold</v>
      </c>
      <c r="G792" s="1" t="str">
        <f>IFERROR(__xludf.DUMMYFUNCTION("""COMPUTED_VALUE"""),"Pooja")</f>
        <v>Pooja</v>
      </c>
      <c r="H792" s="1" t="str">
        <f>IFERROR(__xludf.DUMMYFUNCTION("""COMPUTED_VALUE"""),"Gold pendent ")</f>
        <v>Gold pendent </v>
      </c>
      <c r="I792" s="1"/>
      <c r="J792" s="1"/>
      <c r="K792" s="3">
        <f>IFERROR(__xludf.DUMMYFUNCTION("""COMPUTED_VALUE"""),0.75)</f>
        <v>0.75</v>
      </c>
      <c r="L792" s="1" t="str">
        <f>IFERROR(__xludf.DUMMYFUNCTION("""COMPUTED_VALUE"""),"Yes")</f>
        <v>Yes</v>
      </c>
      <c r="M792" s="1" t="str">
        <f>IFERROR(__xludf.DUMMYFUNCTION("""COMPUTED_VALUE"""),"Yes")</f>
        <v>Yes</v>
      </c>
      <c r="N792" s="1" t="str">
        <f>IFERROR(__xludf.DUMMYFUNCTION("""COMPUTED_VALUE"""),"Yes")</f>
        <v>Yes</v>
      </c>
      <c r="O792" s="1" t="str">
        <f>IFERROR(__xludf.DUMMYFUNCTION("""COMPUTED_VALUE"""),"WA ONLY, CALL")</f>
        <v>WA ONLY, CALL</v>
      </c>
      <c r="P792" s="1" t="str">
        <f>IFERROR(__xludf.DUMMYFUNCTION("""COMPUTED_VALUE"""),"Madam")</f>
        <v>Madam</v>
      </c>
      <c r="Q792" s="1" t="str">
        <f>IFERROR(__xludf.DUMMYFUNCTION("""COMPUTED_VALUE"""),"No")</f>
        <v>No</v>
      </c>
      <c r="R792" s="1" t="str">
        <f>IFERROR(__xludf.DUMMYFUNCTION("""COMPUTED_VALUE"""),"NEW WALK IN")</f>
        <v>NEW WALK IN</v>
      </c>
      <c r="S792" s="1" t="str">
        <f>IFERROR(__xludf.DUMMYFUNCTION("""COMPUTED_VALUE"""),"Yes")</f>
        <v>Yes</v>
      </c>
    </row>
    <row r="793">
      <c r="A793" s="2">
        <f>IFERROR(__xludf.DUMMYFUNCTION("""COMPUTED_VALUE"""),45592.788856342595)</f>
        <v>45592.78886</v>
      </c>
      <c r="B793" s="1" t="str">
        <f>IFERROR(__xludf.DUMMYFUNCTION("""COMPUTED_VALUE"""),"Ambika")</f>
        <v>Ambika</v>
      </c>
      <c r="C793" s="1">
        <f>IFERROR(__xludf.DUMMYFUNCTION("""COMPUTED_VALUE"""),9.717661915E9)</f>
        <v>9717661915</v>
      </c>
      <c r="D793" s="1">
        <f>IFERROR(__xludf.DUMMYFUNCTION("""COMPUTED_VALUE"""),2.0)</f>
        <v>2</v>
      </c>
      <c r="E793" s="3">
        <f>IFERROR(__xludf.DUMMYFUNCTION("""COMPUTED_VALUE"""),0.7277777777781012)</f>
        <v>0.7277777778</v>
      </c>
      <c r="F793" s="1" t="str">
        <f>IFERROR(__xludf.DUMMYFUNCTION("""COMPUTED_VALUE"""),"Diamond")</f>
        <v>Diamond</v>
      </c>
      <c r="G793" s="1" t="str">
        <f>IFERROR(__xludf.DUMMYFUNCTION("""COMPUTED_VALUE"""),"Preeti")</f>
        <v>Preeti</v>
      </c>
      <c r="H793" s="1" t="str">
        <f>IFERROR(__xludf.DUMMYFUNCTION("""COMPUTED_VALUE"""),"Diamond tops")</f>
        <v>Diamond tops</v>
      </c>
      <c r="I793" s="1"/>
      <c r="J793" s="1"/>
      <c r="K793" s="3">
        <f>IFERROR(__xludf.DUMMYFUNCTION("""COMPUTED_VALUE"""),0.7874999999985448)</f>
        <v>0.7875</v>
      </c>
      <c r="L793" s="1" t="str">
        <f>IFERROR(__xludf.DUMMYFUNCTION("""COMPUTED_VALUE"""),"Yes")</f>
        <v>Yes</v>
      </c>
      <c r="M793" s="1" t="str">
        <f>IFERROR(__xludf.DUMMYFUNCTION("""COMPUTED_VALUE"""),"Already done ")</f>
        <v>Already done </v>
      </c>
      <c r="N793" s="1" t="str">
        <f>IFERROR(__xludf.DUMMYFUNCTION("""COMPUTED_VALUE"""),"Already done ")</f>
        <v>Already done </v>
      </c>
      <c r="O793" s="1" t="str">
        <f>IFERROR(__xludf.DUMMYFUNCTION("""COMPUTED_VALUE"""),"WA ONLY, CALL")</f>
        <v>WA ONLY, CALL</v>
      </c>
      <c r="P793" s="1" t="str">
        <f>IFERROR(__xludf.DUMMYFUNCTION("""COMPUTED_VALUE"""),"Madam")</f>
        <v>Madam</v>
      </c>
      <c r="Q793" s="1" t="str">
        <f>IFERROR(__xludf.DUMMYFUNCTION("""COMPUTED_VALUE"""),"No")</f>
        <v>No</v>
      </c>
      <c r="R793" s="1" t="str">
        <f>IFERROR(__xludf.DUMMYFUNCTION("""COMPUTED_VALUE"""),"OLD")</f>
        <v>OLD</v>
      </c>
      <c r="S793" s="1" t="str">
        <f>IFERROR(__xludf.DUMMYFUNCTION("""COMPUTED_VALUE"""),"Yes")</f>
        <v>Yes</v>
      </c>
    </row>
    <row r="794">
      <c r="A794" s="2">
        <f>IFERROR(__xludf.DUMMYFUNCTION("""COMPUTED_VALUE"""),45592.79024203704)</f>
        <v>45592.79024</v>
      </c>
      <c r="B794" s="1" t="str">
        <f>IFERROR(__xludf.DUMMYFUNCTION("""COMPUTED_VALUE"""),"Rajeev")</f>
        <v>Rajeev</v>
      </c>
      <c r="C794" s="1" t="str">
        <f>IFERROR(__xludf.DUMMYFUNCTION("""COMPUTED_VALUE"""),"0408834834")</f>
        <v>0408834834</v>
      </c>
      <c r="D794" s="1">
        <f>IFERROR(__xludf.DUMMYFUNCTION("""COMPUTED_VALUE"""),2.0)</f>
        <v>2</v>
      </c>
      <c r="E794" s="3">
        <f>IFERROR(__xludf.DUMMYFUNCTION("""COMPUTED_VALUE"""),0.7416666666686069)</f>
        <v>0.7416666667</v>
      </c>
      <c r="F794" s="1" t="str">
        <f>IFERROR(__xludf.DUMMYFUNCTION("""COMPUTED_VALUE"""),"Antique Gold")</f>
        <v>Antique Gold</v>
      </c>
      <c r="G794" s="1" t="str">
        <f>IFERROR(__xludf.DUMMYFUNCTION("""COMPUTED_VALUE"""),"Deepali")</f>
        <v>Deepali</v>
      </c>
      <c r="H794" s="1" t="str">
        <f>IFERROR(__xludf.DUMMYFUNCTION("""COMPUTED_VALUE"""),"Diamond bangles,breslet ")</f>
        <v>Diamond bangles,breslet </v>
      </c>
      <c r="I794" s="1" t="str">
        <f>IFERROR(__xludf.DUMMYFUNCTION("""COMPUTED_VALUE"""),"Visit Again in 1 Month")</f>
        <v>Visit Again in 1 Month</v>
      </c>
      <c r="J794" s="1"/>
      <c r="K794" s="3">
        <f>IFERROR(__xludf.DUMMYFUNCTION("""COMPUTED_VALUE"""),0.7555555555591127)</f>
        <v>0.7555555556</v>
      </c>
      <c r="L794" s="1" t="str">
        <f>IFERROR(__xludf.DUMMYFUNCTION("""COMPUTED_VALUE"""),"Yes")</f>
        <v>Yes</v>
      </c>
      <c r="M794" s="1" t="str">
        <f>IFERROR(__xludf.DUMMYFUNCTION("""COMPUTED_VALUE"""),"Already done ")</f>
        <v>Already done </v>
      </c>
      <c r="N794" s="1" t="str">
        <f>IFERROR(__xludf.DUMMYFUNCTION("""COMPUTED_VALUE"""),"Already done ")</f>
        <v>Already done </v>
      </c>
      <c r="O794" s="1" t="str">
        <f>IFERROR(__xludf.DUMMYFUNCTION("""COMPUTED_VALUE"""),"WA ONLY, CALL")</f>
        <v>WA ONLY, CALL</v>
      </c>
      <c r="P794" s="1" t="str">
        <f>IFERROR(__xludf.DUMMYFUNCTION("""COMPUTED_VALUE"""),"Sir")</f>
        <v>Sir</v>
      </c>
      <c r="Q794" s="1" t="str">
        <f>IFERROR(__xludf.DUMMYFUNCTION("""COMPUTED_VALUE"""),"No")</f>
        <v>No</v>
      </c>
      <c r="R794" s="1" t="str">
        <f>IFERROR(__xludf.DUMMYFUNCTION("""COMPUTED_VALUE"""),"NEW WALK IN")</f>
        <v>NEW WALK IN</v>
      </c>
      <c r="S794" s="1" t="str">
        <f>IFERROR(__xludf.DUMMYFUNCTION("""COMPUTED_VALUE"""),"No")</f>
        <v>No</v>
      </c>
    </row>
    <row r="795">
      <c r="A795" s="2">
        <f>IFERROR(__xludf.DUMMYFUNCTION("""COMPUTED_VALUE"""),45592.790977453704)</f>
        <v>45592.79098</v>
      </c>
      <c r="B795" s="1" t="str">
        <f>IFERROR(__xludf.DUMMYFUNCTION("""COMPUTED_VALUE"""),"Mukesh")</f>
        <v>Mukesh</v>
      </c>
      <c r="C795" s="1">
        <f>IFERROR(__xludf.DUMMYFUNCTION("""COMPUTED_VALUE"""),9.871141433E9)</f>
        <v>9871141433</v>
      </c>
      <c r="D795" s="1">
        <f>IFERROR(__xludf.DUMMYFUNCTION("""COMPUTED_VALUE"""),1.0)</f>
        <v>1</v>
      </c>
      <c r="E795" s="3">
        <f>IFERROR(__xludf.DUMMYFUNCTION("""COMPUTED_VALUE"""),0.75)</f>
        <v>0.75</v>
      </c>
      <c r="F795" s="1" t="str">
        <f>IFERROR(__xludf.DUMMYFUNCTION("""COMPUTED_VALUE"""),"Plain Gold")</f>
        <v>Plain Gold</v>
      </c>
      <c r="G795" s="1" t="str">
        <f>IFERROR(__xludf.DUMMYFUNCTION("""COMPUTED_VALUE"""),"Pooja")</f>
        <v>Pooja</v>
      </c>
      <c r="H795" s="1" t="str">
        <f>IFERROR(__xludf.DUMMYFUNCTION("""COMPUTED_VALUE"""),"Gold coin 2gm")</f>
        <v>Gold coin 2gm</v>
      </c>
      <c r="I795" s="1"/>
      <c r="J795" s="1"/>
      <c r="K795" s="3">
        <f>IFERROR(__xludf.DUMMYFUNCTION("""COMPUTED_VALUE"""),0.7673611111094942)</f>
        <v>0.7673611111</v>
      </c>
      <c r="L795" s="1" t="str">
        <f>IFERROR(__xludf.DUMMYFUNCTION("""COMPUTED_VALUE"""),"Yes")</f>
        <v>Yes</v>
      </c>
      <c r="M795" s="1" t="str">
        <f>IFERROR(__xludf.DUMMYFUNCTION("""COMPUTED_VALUE"""),"Yes")</f>
        <v>Yes</v>
      </c>
      <c r="N795" s="1" t="str">
        <f>IFERROR(__xludf.DUMMYFUNCTION("""COMPUTED_VALUE"""),"Yes")</f>
        <v>Yes</v>
      </c>
      <c r="O795" s="1" t="str">
        <f>IFERROR(__xludf.DUMMYFUNCTION("""COMPUTED_VALUE"""),"WA ONLY, CALL")</f>
        <v>WA ONLY, CALL</v>
      </c>
      <c r="P795" s="1" t="str">
        <f>IFERROR(__xludf.DUMMYFUNCTION("""COMPUTED_VALUE"""),"Sir")</f>
        <v>Sir</v>
      </c>
      <c r="Q795" s="1" t="str">
        <f>IFERROR(__xludf.DUMMYFUNCTION("""COMPUTED_VALUE"""),"No")</f>
        <v>No</v>
      </c>
      <c r="R795" s="1" t="str">
        <f>IFERROR(__xludf.DUMMYFUNCTION("""COMPUTED_VALUE"""),"NEW WALK IN")</f>
        <v>NEW WALK IN</v>
      </c>
      <c r="S795" s="1" t="str">
        <f>IFERROR(__xludf.DUMMYFUNCTION("""COMPUTED_VALUE"""),"Yes")</f>
        <v>Yes</v>
      </c>
    </row>
    <row r="796">
      <c r="A796" s="2">
        <f>IFERROR(__xludf.DUMMYFUNCTION("""COMPUTED_VALUE"""),45593.71199039352)</f>
        <v>45593.71199</v>
      </c>
      <c r="B796" s="1" t="str">
        <f>IFERROR(__xludf.DUMMYFUNCTION("""COMPUTED_VALUE"""),"Rajeev gupta")</f>
        <v>Rajeev gupta</v>
      </c>
      <c r="C796" s="1">
        <f>IFERROR(__xludf.DUMMYFUNCTION("""COMPUTED_VALUE"""),9.871320285E9)</f>
        <v>9871320285</v>
      </c>
      <c r="D796" s="1">
        <f>IFERROR(__xludf.DUMMYFUNCTION("""COMPUTED_VALUE"""),3.0)</f>
        <v>3</v>
      </c>
      <c r="E796" s="3">
        <f>IFERROR(__xludf.DUMMYFUNCTION("""COMPUTED_VALUE"""),0.5416666666642413)</f>
        <v>0.5416666667</v>
      </c>
      <c r="F796" s="1" t="str">
        <f>IFERROR(__xludf.DUMMYFUNCTION("""COMPUTED_VALUE"""),"Plain Gold")</f>
        <v>Plain Gold</v>
      </c>
      <c r="G796" s="1" t="str">
        <f>IFERROR(__xludf.DUMMYFUNCTION("""COMPUTED_VALUE"""),"Preeti")</f>
        <v>Preeti</v>
      </c>
      <c r="H796" s="1"/>
      <c r="I796" s="1" t="str">
        <f>IFERROR(__xludf.DUMMYFUNCTION("""COMPUTED_VALUE"""),"Pick up Order")</f>
        <v>Pick up Order</v>
      </c>
      <c r="J796" s="1"/>
      <c r="K796" s="3">
        <f>IFERROR(__xludf.DUMMYFUNCTION("""COMPUTED_VALUE"""),0.6458333333357587)</f>
        <v>0.6458333333</v>
      </c>
      <c r="L796" s="1" t="str">
        <f>IFERROR(__xludf.DUMMYFUNCTION("""COMPUTED_VALUE"""),"Yes")</f>
        <v>Yes</v>
      </c>
      <c r="M796" s="1" t="str">
        <f>IFERROR(__xludf.DUMMYFUNCTION("""COMPUTED_VALUE"""),"Already done ")</f>
        <v>Already done </v>
      </c>
      <c r="N796" s="1" t="str">
        <f>IFERROR(__xludf.DUMMYFUNCTION("""COMPUTED_VALUE"""),"Already done ")</f>
        <v>Already done </v>
      </c>
      <c r="O796" s="1" t="str">
        <f>IFERROR(__xludf.DUMMYFUNCTION("""COMPUTED_VALUE"""),"WA ONLY, CALL")</f>
        <v>WA ONLY, CALL</v>
      </c>
      <c r="P796" s="1" t="str">
        <f>IFERROR(__xludf.DUMMYFUNCTION("""COMPUTED_VALUE"""),"Sir")</f>
        <v>Sir</v>
      </c>
      <c r="Q796" s="1" t="str">
        <f>IFERROR(__xludf.DUMMYFUNCTION("""COMPUTED_VALUE"""),"No")</f>
        <v>No</v>
      </c>
      <c r="R796" s="1" t="str">
        <f>IFERROR(__xludf.DUMMYFUNCTION("""COMPUTED_VALUE"""),"OLD")</f>
        <v>OLD</v>
      </c>
      <c r="S796" s="1" t="str">
        <f>IFERROR(__xludf.DUMMYFUNCTION("""COMPUTED_VALUE"""),"No")</f>
        <v>No</v>
      </c>
    </row>
    <row r="797">
      <c r="A797" s="2">
        <f>IFERROR(__xludf.DUMMYFUNCTION("""COMPUTED_VALUE"""),45593.713200983795)</f>
        <v>45593.7132</v>
      </c>
      <c r="B797" s="1" t="str">
        <f>IFERROR(__xludf.DUMMYFUNCTION("""COMPUTED_VALUE"""),"Gauri")</f>
        <v>Gauri</v>
      </c>
      <c r="C797" s="1">
        <f>IFERROR(__xludf.DUMMYFUNCTION("""COMPUTED_VALUE"""),8.866013116E9)</f>
        <v>8866013116</v>
      </c>
      <c r="D797" s="1">
        <f>IFERROR(__xludf.DUMMYFUNCTION("""COMPUTED_VALUE"""),2.0)</f>
        <v>2</v>
      </c>
      <c r="E797" s="3">
        <f>IFERROR(__xludf.DUMMYFUNCTION("""COMPUTED_VALUE"""),0.625)</f>
        <v>0.625</v>
      </c>
      <c r="F797" s="1" t="str">
        <f>IFERROR(__xludf.DUMMYFUNCTION("""COMPUTED_VALUE"""),"Antique Gold")</f>
        <v>Antique Gold</v>
      </c>
      <c r="G797" s="1" t="str">
        <f>IFERROR(__xludf.DUMMYFUNCTION("""COMPUTED_VALUE"""),"Pooja")</f>
        <v>Pooja</v>
      </c>
      <c r="H797" s="1"/>
      <c r="I797" s="1" t="str">
        <f>IFERROR(__xludf.DUMMYFUNCTION("""COMPUTED_VALUE"""),"Pick up Order")</f>
        <v>Pick up Order</v>
      </c>
      <c r="J797" s="1"/>
      <c r="K797" s="3">
        <f>IFERROR(__xludf.DUMMYFUNCTION("""COMPUTED_VALUE"""),0.672222222223354)</f>
        <v>0.6722222222</v>
      </c>
      <c r="L797" s="1" t="str">
        <f>IFERROR(__xludf.DUMMYFUNCTION("""COMPUTED_VALUE"""),"Yes")</f>
        <v>Yes</v>
      </c>
      <c r="M797" s="1" t="str">
        <f>IFERROR(__xludf.DUMMYFUNCTION("""COMPUTED_VALUE"""),"Already done ")</f>
        <v>Already done </v>
      </c>
      <c r="N797" s="1" t="str">
        <f>IFERROR(__xludf.DUMMYFUNCTION("""COMPUTED_VALUE"""),"Already done ")</f>
        <v>Already done </v>
      </c>
      <c r="O797" s="1" t="str">
        <f>IFERROR(__xludf.DUMMYFUNCTION("""COMPUTED_VALUE"""),"WA ONLY, CALL")</f>
        <v>WA ONLY, CALL</v>
      </c>
      <c r="P797" s="1" t="str">
        <f>IFERROR(__xludf.DUMMYFUNCTION("""COMPUTED_VALUE"""),"Madam")</f>
        <v>Madam</v>
      </c>
      <c r="Q797" s="1" t="str">
        <f>IFERROR(__xludf.DUMMYFUNCTION("""COMPUTED_VALUE"""),"No")</f>
        <v>No</v>
      </c>
      <c r="R797" s="1" t="str">
        <f>IFERROR(__xludf.DUMMYFUNCTION("""COMPUTED_VALUE"""),"OLD")</f>
        <v>OLD</v>
      </c>
      <c r="S797" s="1" t="str">
        <f>IFERROR(__xludf.DUMMYFUNCTION("""COMPUTED_VALUE"""),"No")</f>
        <v>No</v>
      </c>
    </row>
    <row r="798">
      <c r="A798" s="2">
        <f>IFERROR(__xludf.DUMMYFUNCTION("""COMPUTED_VALUE"""),45593.71460627315)</f>
        <v>45593.71461</v>
      </c>
      <c r="B798" s="1" t="str">
        <f>IFERROR(__xludf.DUMMYFUNCTION("""COMPUTED_VALUE"""),"Atoshi")</f>
        <v>Atoshi</v>
      </c>
      <c r="C798" s="1">
        <f>IFERROR(__xludf.DUMMYFUNCTION("""COMPUTED_VALUE"""),8.700173741E9)</f>
        <v>8700173741</v>
      </c>
      <c r="D798" s="1">
        <f>IFERROR(__xludf.DUMMYFUNCTION("""COMPUTED_VALUE"""),1.0)</f>
        <v>1</v>
      </c>
      <c r="E798" s="3">
        <f>IFERROR(__xludf.DUMMYFUNCTION("""COMPUTED_VALUE"""),0.6666666666642413)</f>
        <v>0.6666666667</v>
      </c>
      <c r="F798" s="1" t="str">
        <f>IFERROR(__xludf.DUMMYFUNCTION("""COMPUTED_VALUE"""),"Plain Gold")</f>
        <v>Plain Gold</v>
      </c>
      <c r="G798" s="1" t="str">
        <f>IFERROR(__xludf.DUMMYFUNCTION("""COMPUTED_VALUE"""),"Tannu")</f>
        <v>Tannu</v>
      </c>
      <c r="H798" s="1"/>
      <c r="I798" s="1" t="str">
        <f>IFERROR(__xludf.DUMMYFUNCTION("""COMPUTED_VALUE"""),"Customer check own order bangles ")</f>
        <v>Customer check own order bangles </v>
      </c>
      <c r="J798" s="1"/>
      <c r="K798" s="3">
        <f>IFERROR(__xludf.DUMMYFUNCTION("""COMPUTED_VALUE"""),0.6770833333357587)</f>
        <v>0.6770833333</v>
      </c>
      <c r="L798" s="1" t="str">
        <f>IFERROR(__xludf.DUMMYFUNCTION("""COMPUTED_VALUE"""),"Yes")</f>
        <v>Yes</v>
      </c>
      <c r="M798" s="1" t="str">
        <f>IFERROR(__xludf.DUMMYFUNCTION("""COMPUTED_VALUE"""),"Already done ")</f>
        <v>Already done </v>
      </c>
      <c r="N798" s="1" t="str">
        <f>IFERROR(__xludf.DUMMYFUNCTION("""COMPUTED_VALUE"""),"Already done ")</f>
        <v>Already done </v>
      </c>
      <c r="O798" s="1" t="str">
        <f>IFERROR(__xludf.DUMMYFUNCTION("""COMPUTED_VALUE"""),"WA ONLY, CALL")</f>
        <v>WA ONLY, CALL</v>
      </c>
      <c r="P798" s="1" t="str">
        <f>IFERROR(__xludf.DUMMYFUNCTION("""COMPUTED_VALUE"""),"Madam")</f>
        <v>Madam</v>
      </c>
      <c r="Q798" s="1" t="str">
        <f>IFERROR(__xludf.DUMMYFUNCTION("""COMPUTED_VALUE"""),"No")</f>
        <v>No</v>
      </c>
      <c r="R798" s="1" t="str">
        <f>IFERROR(__xludf.DUMMYFUNCTION("""COMPUTED_VALUE"""),"OLD")</f>
        <v>OLD</v>
      </c>
      <c r="S798" s="1" t="str">
        <f>IFERROR(__xludf.DUMMYFUNCTION("""COMPUTED_VALUE"""),"No")</f>
        <v>No</v>
      </c>
    </row>
    <row r="799">
      <c r="A799" s="2">
        <f>IFERROR(__xludf.DUMMYFUNCTION("""COMPUTED_VALUE"""),45593.71605806713)</f>
        <v>45593.71606</v>
      </c>
      <c r="B799" s="1" t="str">
        <f>IFERROR(__xludf.DUMMYFUNCTION("""COMPUTED_VALUE"""),"Dimpal kher")</f>
        <v>Dimpal kher</v>
      </c>
      <c r="C799" s="1">
        <f>IFERROR(__xludf.DUMMYFUNCTION("""COMPUTED_VALUE"""),9.953937777E9)</f>
        <v>9953937777</v>
      </c>
      <c r="D799" s="1">
        <f>IFERROR(__xludf.DUMMYFUNCTION("""COMPUTED_VALUE"""),1.0)</f>
        <v>1</v>
      </c>
      <c r="E799" s="3">
        <f>IFERROR(__xludf.DUMMYFUNCTION("""COMPUTED_VALUE"""),0.6041666666642413)</f>
        <v>0.6041666667</v>
      </c>
      <c r="F799" s="1" t="str">
        <f>IFERROR(__xludf.DUMMYFUNCTION("""COMPUTED_VALUE"""),"Diamond")</f>
        <v>Diamond</v>
      </c>
      <c r="G799" s="1" t="str">
        <f>IFERROR(__xludf.DUMMYFUNCTION("""COMPUTED_VALUE"""),"Pooja")</f>
        <v>Pooja</v>
      </c>
      <c r="H799" s="1" t="str">
        <f>IFERROR(__xludf.DUMMYFUNCTION("""COMPUTED_VALUE"""),"Diamond chokar set,ploki set,daimo breslet ")</f>
        <v>Diamond chokar set,ploki set,daimo breslet </v>
      </c>
      <c r="I799" s="1" t="str">
        <f>IFERROR(__xludf.DUMMYFUNCTION("""COMPUTED_VALUE"""),"Approval all items ")</f>
        <v>Approval all items </v>
      </c>
      <c r="J799" s="1"/>
      <c r="K799" s="3">
        <f>IFERROR(__xludf.DUMMYFUNCTION("""COMPUTED_VALUE"""),0.6687499999970896)</f>
        <v>0.66875</v>
      </c>
      <c r="L799" s="1" t="str">
        <f>IFERROR(__xludf.DUMMYFUNCTION("""COMPUTED_VALUE"""),"Yes")</f>
        <v>Yes</v>
      </c>
      <c r="M799" s="1" t="str">
        <f>IFERROR(__xludf.DUMMYFUNCTION("""COMPUTED_VALUE"""),"Already done ")</f>
        <v>Already done </v>
      </c>
      <c r="N799" s="1" t="str">
        <f>IFERROR(__xludf.DUMMYFUNCTION("""COMPUTED_VALUE"""),"Already done ")</f>
        <v>Already done </v>
      </c>
      <c r="O799" s="1" t="str">
        <f>IFERROR(__xludf.DUMMYFUNCTION("""COMPUTED_VALUE"""),"WA ONLY, OWNER CONTACT ONLY, CALL")</f>
        <v>WA ONLY, OWNER CONTACT ONLY, CALL</v>
      </c>
      <c r="P799" s="1" t="str">
        <f>IFERROR(__xludf.DUMMYFUNCTION("""COMPUTED_VALUE"""),"Madam")</f>
        <v>Madam</v>
      </c>
      <c r="Q799" s="1" t="str">
        <f>IFERROR(__xludf.DUMMYFUNCTION("""COMPUTED_VALUE"""),"No")</f>
        <v>No</v>
      </c>
      <c r="R799" s="1" t="str">
        <f>IFERROR(__xludf.DUMMYFUNCTION("""COMPUTED_VALUE"""),"OLD")</f>
        <v>OLD</v>
      </c>
      <c r="S799" s="1" t="str">
        <f>IFERROR(__xludf.DUMMYFUNCTION("""COMPUTED_VALUE"""),"No")</f>
        <v>No</v>
      </c>
    </row>
    <row r="800">
      <c r="A800" s="2">
        <f>IFERROR(__xludf.DUMMYFUNCTION("""COMPUTED_VALUE"""),45593.763635254625)</f>
        <v>45593.76364</v>
      </c>
      <c r="B800" s="1" t="str">
        <f>IFERROR(__xludf.DUMMYFUNCTION("""COMPUTED_VALUE"""),"Sarabjeet kaur ")</f>
        <v>Sarabjeet kaur </v>
      </c>
      <c r="C800" s="1">
        <f>IFERROR(__xludf.DUMMYFUNCTION("""COMPUTED_VALUE"""),9.868649591E9)</f>
        <v>9868649591</v>
      </c>
      <c r="D800" s="1">
        <f>IFERROR(__xludf.DUMMYFUNCTION("""COMPUTED_VALUE"""),1.0)</f>
        <v>1</v>
      </c>
      <c r="E800" s="3">
        <f>IFERROR(__xludf.DUMMYFUNCTION("""COMPUTED_VALUE"""),0.7222222222189885)</f>
        <v>0.7222222222</v>
      </c>
      <c r="F800" s="1" t="str">
        <f>IFERROR(__xludf.DUMMYFUNCTION("""COMPUTED_VALUE"""),"Plain Gold")</f>
        <v>Plain Gold</v>
      </c>
      <c r="G800" s="1" t="str">
        <f>IFERROR(__xludf.DUMMYFUNCTION("""COMPUTED_VALUE"""),"Tannu")</f>
        <v>Tannu</v>
      </c>
      <c r="H800" s="1" t="str">
        <f>IFERROR(__xludf.DUMMYFUNCTION("""COMPUTED_VALUE"""),"Silver coins 10gm,50gm")</f>
        <v>Silver coins 10gm,50gm</v>
      </c>
      <c r="I800" s="1" t="str">
        <f>IFERROR(__xludf.DUMMYFUNCTION("""COMPUTED_VALUE"""),"Visit Again in 1 Month")</f>
        <v>Visit Again in 1 Month</v>
      </c>
      <c r="J800" s="1"/>
      <c r="K800" s="3">
        <f>IFERROR(__xludf.DUMMYFUNCTION("""COMPUTED_VALUE"""),0.7277777777781012)</f>
        <v>0.7277777778</v>
      </c>
      <c r="L800" s="1" t="str">
        <f>IFERROR(__xludf.DUMMYFUNCTION("""COMPUTED_VALUE"""),"No")</f>
        <v>No</v>
      </c>
      <c r="M800" s="1" t="str">
        <f>IFERROR(__xludf.DUMMYFUNCTION("""COMPUTED_VALUE"""),"No")</f>
        <v>No</v>
      </c>
      <c r="N800" s="1" t="str">
        <f>IFERROR(__xludf.DUMMYFUNCTION("""COMPUTED_VALUE"""),"No")</f>
        <v>No</v>
      </c>
      <c r="O800" s="1" t="str">
        <f>IFERROR(__xludf.DUMMYFUNCTION("""COMPUTED_VALUE"""),"WA ONLY, CALL")</f>
        <v>WA ONLY, CALL</v>
      </c>
      <c r="P800" s="1" t="str">
        <f>IFERROR(__xludf.DUMMYFUNCTION("""COMPUTED_VALUE"""),"Madam")</f>
        <v>Madam</v>
      </c>
      <c r="Q800" s="1" t="str">
        <f>IFERROR(__xludf.DUMMYFUNCTION("""COMPUTED_VALUE"""),"No")</f>
        <v>No</v>
      </c>
      <c r="R800" s="1" t="str">
        <f>IFERROR(__xludf.DUMMYFUNCTION("""COMPUTED_VALUE"""),"NEW WALK IN")</f>
        <v>NEW WALK IN</v>
      </c>
      <c r="S800" s="1" t="str">
        <f>IFERROR(__xludf.DUMMYFUNCTION("""COMPUTED_VALUE"""),"No")</f>
        <v>No</v>
      </c>
    </row>
    <row r="801">
      <c r="A801" s="2">
        <f>IFERROR(__xludf.DUMMYFUNCTION("""COMPUTED_VALUE"""),45593.76439228009)</f>
        <v>45593.76439</v>
      </c>
      <c r="B801" s="1" t="str">
        <f>IFERROR(__xludf.DUMMYFUNCTION("""COMPUTED_VALUE"""),"Parmod")</f>
        <v>Parmod</v>
      </c>
      <c r="C801" s="1">
        <f>IFERROR(__xludf.DUMMYFUNCTION("""COMPUTED_VALUE"""),9.871871546E9)</f>
        <v>9871871546</v>
      </c>
      <c r="D801" s="1">
        <f>IFERROR(__xludf.DUMMYFUNCTION("""COMPUTED_VALUE"""),2.0)</f>
        <v>2</v>
      </c>
      <c r="E801" s="3">
        <f>IFERROR(__xludf.DUMMYFUNCTION("""COMPUTED_VALUE"""),0.7291666666642413)</f>
        <v>0.7291666667</v>
      </c>
      <c r="F801" s="1" t="str">
        <f>IFERROR(__xludf.DUMMYFUNCTION("""COMPUTED_VALUE"""),"Plain Gold")</f>
        <v>Plain Gold</v>
      </c>
      <c r="G801" s="1" t="str">
        <f>IFERROR(__xludf.DUMMYFUNCTION("""COMPUTED_VALUE"""),"Tannu")</f>
        <v>Tannu</v>
      </c>
      <c r="H801" s="1" t="str">
        <f>IFERROR(__xludf.DUMMYFUNCTION("""COMPUTED_VALUE"""),"Gold nose pin")</f>
        <v>Gold nose pin</v>
      </c>
      <c r="I801" s="1" t="str">
        <f>IFERROR(__xludf.DUMMYFUNCTION("""COMPUTED_VALUE"""),"Designs Not Liked")</f>
        <v>Designs Not Liked</v>
      </c>
      <c r="J801" s="1"/>
      <c r="K801" s="3">
        <f>IFERROR(__xludf.DUMMYFUNCTION("""COMPUTED_VALUE"""),0.7493055555532919)</f>
        <v>0.7493055556</v>
      </c>
      <c r="L801" s="1" t="str">
        <f>IFERROR(__xludf.DUMMYFUNCTION("""COMPUTED_VALUE"""),"No")</f>
        <v>No</v>
      </c>
      <c r="M801" s="1" t="str">
        <f>IFERROR(__xludf.DUMMYFUNCTION("""COMPUTED_VALUE"""),"No")</f>
        <v>No</v>
      </c>
      <c r="N801" s="1" t="str">
        <f>IFERROR(__xludf.DUMMYFUNCTION("""COMPUTED_VALUE"""),"No")</f>
        <v>No</v>
      </c>
      <c r="O801" s="1" t="str">
        <f>IFERROR(__xludf.DUMMYFUNCTION("""COMPUTED_VALUE"""),"WA ONLY, CALL")</f>
        <v>WA ONLY, CALL</v>
      </c>
      <c r="P801" s="1" t="str">
        <f>IFERROR(__xludf.DUMMYFUNCTION("""COMPUTED_VALUE"""),"Sir")</f>
        <v>Sir</v>
      </c>
      <c r="Q801" s="1" t="str">
        <f>IFERROR(__xludf.DUMMYFUNCTION("""COMPUTED_VALUE"""),"No")</f>
        <v>No</v>
      </c>
      <c r="R801" s="1" t="str">
        <f>IFERROR(__xludf.DUMMYFUNCTION("""COMPUTED_VALUE"""),"NEW WALK IN")</f>
        <v>NEW WALK IN</v>
      </c>
      <c r="S801" s="1" t="str">
        <f>IFERROR(__xludf.DUMMYFUNCTION("""COMPUTED_VALUE"""),"No")</f>
        <v>No</v>
      </c>
    </row>
    <row r="802">
      <c r="A802" s="2">
        <f>IFERROR(__xludf.DUMMYFUNCTION("""COMPUTED_VALUE"""),45593.766374803236)</f>
        <v>45593.76637</v>
      </c>
      <c r="B802" s="1" t="str">
        <f>IFERROR(__xludf.DUMMYFUNCTION("""COMPUTED_VALUE"""),"Sukhmani kour")</f>
        <v>Sukhmani kour</v>
      </c>
      <c r="C802" s="1">
        <f>IFERROR(__xludf.DUMMYFUNCTION("""COMPUTED_VALUE"""),8.686901313E9)</f>
        <v>8686901313</v>
      </c>
      <c r="D802" s="1">
        <f>IFERROR(__xludf.DUMMYFUNCTION("""COMPUTED_VALUE"""),1.0)</f>
        <v>1</v>
      </c>
      <c r="E802" s="3">
        <f>IFERROR(__xludf.DUMMYFUNCTION("""COMPUTED_VALUE"""),0.7326388888905058)</f>
        <v>0.7326388889</v>
      </c>
      <c r="F802" s="1" t="str">
        <f>IFERROR(__xludf.DUMMYFUNCTION("""COMPUTED_VALUE"""),"Diamond")</f>
        <v>Diamond</v>
      </c>
      <c r="G802" s="1" t="str">
        <f>IFERROR(__xludf.DUMMYFUNCTION("""COMPUTED_VALUE"""),"Preeti")</f>
        <v>Preeti</v>
      </c>
      <c r="H802" s="1" t="str">
        <f>IFERROR(__xludf.DUMMYFUNCTION("""COMPUTED_VALUE"""),"Diamond danglers,tops")</f>
        <v>Diamond danglers,tops</v>
      </c>
      <c r="I802" s="1" t="str">
        <f>IFERROR(__xludf.DUMMYFUNCTION("""COMPUTED_VALUE"""),"Customer wants havy danglers but not available in the stok")</f>
        <v>Customer wants havy danglers but not available in the stok</v>
      </c>
      <c r="J802" s="1"/>
      <c r="K802" s="3">
        <f>IFERROR(__xludf.DUMMYFUNCTION("""COMPUTED_VALUE"""),0.7513888888934162)</f>
        <v>0.7513888889</v>
      </c>
      <c r="L802" s="1" t="str">
        <f>IFERROR(__xludf.DUMMYFUNCTION("""COMPUTED_VALUE"""),"Yes")</f>
        <v>Yes</v>
      </c>
      <c r="M802" s="1" t="str">
        <f>IFERROR(__xludf.DUMMYFUNCTION("""COMPUTED_VALUE"""),"No")</f>
        <v>No</v>
      </c>
      <c r="N802" s="1" t="str">
        <f>IFERROR(__xludf.DUMMYFUNCTION("""COMPUTED_VALUE"""),"No")</f>
        <v>No</v>
      </c>
      <c r="O802" s="1" t="str">
        <f>IFERROR(__xludf.DUMMYFUNCTION("""COMPUTED_VALUE"""),"WA ONLY, CALL")</f>
        <v>WA ONLY, CALL</v>
      </c>
      <c r="P802" s="1" t="str">
        <f>IFERROR(__xludf.DUMMYFUNCTION("""COMPUTED_VALUE"""),"Madam")</f>
        <v>Madam</v>
      </c>
      <c r="Q802" s="1" t="str">
        <f>IFERROR(__xludf.DUMMYFUNCTION("""COMPUTED_VALUE"""),"No")</f>
        <v>No</v>
      </c>
      <c r="R802" s="1" t="str">
        <f>IFERROR(__xludf.DUMMYFUNCTION("""COMPUTED_VALUE"""),"NEW WALK IN")</f>
        <v>NEW WALK IN</v>
      </c>
      <c r="S802" s="1" t="str">
        <f>IFERROR(__xludf.DUMMYFUNCTION("""COMPUTED_VALUE"""),"No")</f>
        <v>No</v>
      </c>
    </row>
    <row r="803">
      <c r="A803" s="2">
        <f>IFERROR(__xludf.DUMMYFUNCTION("""COMPUTED_VALUE"""),45595.779111550924)</f>
        <v>45595.77911</v>
      </c>
      <c r="B803" s="1" t="str">
        <f>IFERROR(__xludf.DUMMYFUNCTION("""COMPUTED_VALUE"""),"Rahul")</f>
        <v>Rahul</v>
      </c>
      <c r="C803" s="1">
        <f>IFERROR(__xludf.DUMMYFUNCTION("""COMPUTED_VALUE"""),9.810822945E9)</f>
        <v>9810822945</v>
      </c>
      <c r="D803" s="1">
        <f>IFERROR(__xludf.DUMMYFUNCTION("""COMPUTED_VALUE"""),1.0)</f>
        <v>1</v>
      </c>
      <c r="E803" s="3">
        <f>IFERROR(__xludf.DUMMYFUNCTION("""COMPUTED_VALUE"""),0.5250000000014552)</f>
        <v>0.525</v>
      </c>
      <c r="F803" s="1" t="str">
        <f>IFERROR(__xludf.DUMMYFUNCTION("""COMPUTED_VALUE"""),"Diamond")</f>
        <v>Diamond</v>
      </c>
      <c r="G803" s="1" t="str">
        <f>IFERROR(__xludf.DUMMYFUNCTION("""COMPUTED_VALUE"""),"Preeti")</f>
        <v>Preeti</v>
      </c>
      <c r="H803" s="1" t="str">
        <f>IFERROR(__xludf.DUMMYFUNCTION("""COMPUTED_VALUE"""),"10 gm silvers coin")</f>
        <v>10 gm silvers coin</v>
      </c>
      <c r="I803" s="1" t="str">
        <f>IFERROR(__xludf.DUMMYFUNCTION("""COMPUTED_VALUE"""),"Making High or Wants Discount")</f>
        <v>Making High or Wants Discount</v>
      </c>
      <c r="J803" s="1"/>
      <c r="K803" s="3">
        <f>IFERROR(__xludf.DUMMYFUNCTION("""COMPUTED_VALUE"""),0.5138888888905058)</f>
        <v>0.5138888889</v>
      </c>
      <c r="L803" s="1" t="str">
        <f>IFERROR(__xludf.DUMMYFUNCTION("""COMPUTED_VALUE"""),"No")</f>
        <v>No</v>
      </c>
      <c r="M803" s="1" t="str">
        <f>IFERROR(__xludf.DUMMYFUNCTION("""COMPUTED_VALUE"""),"No")</f>
        <v>No</v>
      </c>
      <c r="N803" s="1" t="str">
        <f>IFERROR(__xludf.DUMMYFUNCTION("""COMPUTED_VALUE"""),"No")</f>
        <v>No</v>
      </c>
      <c r="O803" s="1" t="str">
        <f>IFERROR(__xludf.DUMMYFUNCTION("""COMPUTED_VALUE"""),"WA ONLY, CALL")</f>
        <v>WA ONLY, CALL</v>
      </c>
      <c r="P803" s="1" t="str">
        <f>IFERROR(__xludf.DUMMYFUNCTION("""COMPUTED_VALUE"""),"Sir")</f>
        <v>Sir</v>
      </c>
      <c r="Q803" s="1" t="str">
        <f>IFERROR(__xludf.DUMMYFUNCTION("""COMPUTED_VALUE"""),"No")</f>
        <v>No</v>
      </c>
      <c r="R803" s="1" t="str">
        <f>IFERROR(__xludf.DUMMYFUNCTION("""COMPUTED_VALUE"""),"NEW WALK IN")</f>
        <v>NEW WALK IN</v>
      </c>
      <c r="S803" s="1" t="str">
        <f>IFERROR(__xludf.DUMMYFUNCTION("""COMPUTED_VALUE"""),"No")</f>
        <v>No</v>
      </c>
    </row>
    <row r="804">
      <c r="A804" s="2">
        <f>IFERROR(__xludf.DUMMYFUNCTION("""COMPUTED_VALUE"""),45595.78212895834)</f>
        <v>45595.78213</v>
      </c>
      <c r="B804" s="1" t="str">
        <f>IFERROR(__xludf.DUMMYFUNCTION("""COMPUTED_VALUE"""),"Virendra ")</f>
        <v>Virendra </v>
      </c>
      <c r="C804" s="1">
        <f>IFERROR(__xludf.DUMMYFUNCTION("""COMPUTED_VALUE"""),9.999744896E9)</f>
        <v>9999744896</v>
      </c>
      <c r="D804" s="1">
        <f>IFERROR(__xludf.DUMMYFUNCTION("""COMPUTED_VALUE"""),2.0)</f>
        <v>2</v>
      </c>
      <c r="E804" s="3">
        <f>IFERROR(__xludf.DUMMYFUNCTION("""COMPUTED_VALUE"""),0.6312499999985448)</f>
        <v>0.63125</v>
      </c>
      <c r="F804" s="1" t="str">
        <f>IFERROR(__xludf.DUMMYFUNCTION("""COMPUTED_VALUE"""),"Plain Gold")</f>
        <v>Plain Gold</v>
      </c>
      <c r="G804" s="1" t="str">
        <f>IFERROR(__xludf.DUMMYFUNCTION("""COMPUTED_VALUE"""),"Tannu")</f>
        <v>Tannu</v>
      </c>
      <c r="H804" s="1" t="str">
        <f>IFERROR(__xludf.DUMMYFUNCTION("""COMPUTED_VALUE"""),"Silver 500gm mmtc coin")</f>
        <v>Silver 500gm mmtc coin</v>
      </c>
      <c r="I804" s="1"/>
      <c r="J804" s="1"/>
      <c r="K804" s="3">
        <f>IFERROR(__xludf.DUMMYFUNCTION("""COMPUTED_VALUE"""),0.6458333333357587)</f>
        <v>0.6458333333</v>
      </c>
      <c r="L804" s="1" t="str">
        <f>IFERROR(__xludf.DUMMYFUNCTION("""COMPUTED_VALUE"""),"Yes")</f>
        <v>Yes</v>
      </c>
      <c r="M804" s="1" t="str">
        <f>IFERROR(__xludf.DUMMYFUNCTION("""COMPUTED_VALUE"""),"Yes")</f>
        <v>Yes</v>
      </c>
      <c r="N804" s="1" t="str">
        <f>IFERROR(__xludf.DUMMYFUNCTION("""COMPUTED_VALUE"""),"Yes")</f>
        <v>Yes</v>
      </c>
      <c r="O804" s="1" t="str">
        <f>IFERROR(__xludf.DUMMYFUNCTION("""COMPUTED_VALUE"""),"WA ONLY, CALL")</f>
        <v>WA ONLY, CALL</v>
      </c>
      <c r="P804" s="1" t="str">
        <f>IFERROR(__xludf.DUMMYFUNCTION("""COMPUTED_VALUE"""),"Sir")</f>
        <v>Sir</v>
      </c>
      <c r="Q804" s="1" t="str">
        <f>IFERROR(__xludf.DUMMYFUNCTION("""COMPUTED_VALUE"""),"No")</f>
        <v>No</v>
      </c>
      <c r="R804" s="1" t="str">
        <f>IFERROR(__xludf.DUMMYFUNCTION("""COMPUTED_VALUE"""),"NEW WALK IN")</f>
        <v>NEW WALK IN</v>
      </c>
      <c r="S804" s="1" t="str">
        <f>IFERROR(__xludf.DUMMYFUNCTION("""COMPUTED_VALUE"""),"Yes")</f>
        <v>Yes</v>
      </c>
    </row>
    <row r="805">
      <c r="A805" s="2">
        <f>IFERROR(__xludf.DUMMYFUNCTION("""COMPUTED_VALUE"""),45595.7833458449)</f>
        <v>45595.78335</v>
      </c>
      <c r="B805" s="1" t="str">
        <f>IFERROR(__xludf.DUMMYFUNCTION("""COMPUTED_VALUE"""),"Rajeev")</f>
        <v>Rajeev</v>
      </c>
      <c r="C805" s="1">
        <f>IFERROR(__xludf.DUMMYFUNCTION("""COMPUTED_VALUE"""),6.30609941E9)</f>
        <v>6306099410</v>
      </c>
      <c r="D805" s="1">
        <f>IFERROR(__xludf.DUMMYFUNCTION("""COMPUTED_VALUE"""),1.0)</f>
        <v>1</v>
      </c>
      <c r="E805" s="3">
        <f>IFERROR(__xludf.DUMMYFUNCTION("""COMPUTED_VALUE"""),0.6347222222248092)</f>
        <v>0.6347222222</v>
      </c>
      <c r="F805" s="1" t="str">
        <f>IFERROR(__xludf.DUMMYFUNCTION("""COMPUTED_VALUE"""),"Antique Gold")</f>
        <v>Antique Gold</v>
      </c>
      <c r="G805" s="1" t="str">
        <f>IFERROR(__xludf.DUMMYFUNCTION("""COMPUTED_VALUE"""),"Preeti")</f>
        <v>Preeti</v>
      </c>
      <c r="H805" s="1" t="str">
        <f>IFERROR(__xludf.DUMMYFUNCTION("""COMPUTED_VALUE"""),"Laxshmi ganesh murti silver")</f>
        <v>Laxshmi ganesh murti silver</v>
      </c>
      <c r="I805" s="1"/>
      <c r="J805" s="1"/>
      <c r="K805" s="3">
        <f>IFERROR(__xludf.DUMMYFUNCTION("""COMPUTED_VALUE"""),0.65625)</f>
        <v>0.65625</v>
      </c>
      <c r="L805" s="1" t="str">
        <f>IFERROR(__xludf.DUMMYFUNCTION("""COMPUTED_VALUE"""),"Yes")</f>
        <v>Yes</v>
      </c>
      <c r="M805" s="1" t="str">
        <f>IFERROR(__xludf.DUMMYFUNCTION("""COMPUTED_VALUE"""),"Yes")</f>
        <v>Yes</v>
      </c>
      <c r="N805" s="1" t="str">
        <f>IFERROR(__xludf.DUMMYFUNCTION("""COMPUTED_VALUE"""),"Yes")</f>
        <v>Yes</v>
      </c>
      <c r="O805" s="1" t="str">
        <f>IFERROR(__xludf.DUMMYFUNCTION("""COMPUTED_VALUE"""),"WA ONLY, CALL")</f>
        <v>WA ONLY, CALL</v>
      </c>
      <c r="P805" s="1" t="str">
        <f>IFERROR(__xludf.DUMMYFUNCTION("""COMPUTED_VALUE"""),"Sir")</f>
        <v>Sir</v>
      </c>
      <c r="Q805" s="1" t="str">
        <f>IFERROR(__xludf.DUMMYFUNCTION("""COMPUTED_VALUE"""),"No")</f>
        <v>No</v>
      </c>
      <c r="R805" s="1" t="str">
        <f>IFERROR(__xludf.DUMMYFUNCTION("""COMPUTED_VALUE"""),"NEW WALK IN")</f>
        <v>NEW WALK IN</v>
      </c>
      <c r="S805" s="1" t="str">
        <f>IFERROR(__xludf.DUMMYFUNCTION("""COMPUTED_VALUE"""),"Yes")</f>
        <v>Yes</v>
      </c>
    </row>
    <row r="806">
      <c r="A806" s="2">
        <f>IFERROR(__xludf.DUMMYFUNCTION("""COMPUTED_VALUE"""),45595.78430855324)</f>
        <v>45595.78431</v>
      </c>
      <c r="B806" s="1" t="str">
        <f>IFERROR(__xludf.DUMMYFUNCTION("""COMPUTED_VALUE"""),"Rahul")</f>
        <v>Rahul</v>
      </c>
      <c r="C806" s="1">
        <f>IFERROR(__xludf.DUMMYFUNCTION("""COMPUTED_VALUE"""),8.70033597E9)</f>
        <v>8700335970</v>
      </c>
      <c r="D806" s="1">
        <f>IFERROR(__xludf.DUMMYFUNCTION("""COMPUTED_VALUE"""),2.0)</f>
        <v>2</v>
      </c>
      <c r="E806" s="3">
        <f>IFERROR(__xludf.DUMMYFUNCTION("""COMPUTED_VALUE"""),0.672222222223354)</f>
        <v>0.6722222222</v>
      </c>
      <c r="F806" s="1" t="str">
        <f>IFERROR(__xludf.DUMMYFUNCTION("""COMPUTED_VALUE"""),"Diamond")</f>
        <v>Diamond</v>
      </c>
      <c r="G806" s="1" t="str">
        <f>IFERROR(__xludf.DUMMYFUNCTION("""COMPUTED_VALUE"""),"Preeti")</f>
        <v>Preeti</v>
      </c>
      <c r="H806" s="1" t="str">
        <f>IFERROR(__xludf.DUMMYFUNCTION("""COMPUTED_VALUE"""),"Silver 10 gm")</f>
        <v>Silver 10 gm</v>
      </c>
      <c r="I806" s="1"/>
      <c r="J806" s="1"/>
      <c r="K806" s="3">
        <f>IFERROR(__xludf.DUMMYFUNCTION("""COMPUTED_VALUE"""),0.6812500000014552)</f>
        <v>0.68125</v>
      </c>
      <c r="L806" s="1" t="str">
        <f>IFERROR(__xludf.DUMMYFUNCTION("""COMPUTED_VALUE"""),"Yes")</f>
        <v>Yes</v>
      </c>
      <c r="M806" s="1" t="str">
        <f>IFERROR(__xludf.DUMMYFUNCTION("""COMPUTED_VALUE"""),"Yes")</f>
        <v>Yes</v>
      </c>
      <c r="N806" s="1" t="str">
        <f>IFERROR(__xludf.DUMMYFUNCTION("""COMPUTED_VALUE"""),"Yes")</f>
        <v>Yes</v>
      </c>
      <c r="O806" s="1" t="str">
        <f>IFERROR(__xludf.DUMMYFUNCTION("""COMPUTED_VALUE"""),"WA ONLY, CALL")</f>
        <v>WA ONLY, CALL</v>
      </c>
      <c r="P806" s="1" t="str">
        <f>IFERROR(__xludf.DUMMYFUNCTION("""COMPUTED_VALUE"""),"Sir")</f>
        <v>Sir</v>
      </c>
      <c r="Q806" s="1" t="str">
        <f>IFERROR(__xludf.DUMMYFUNCTION("""COMPUTED_VALUE"""),"No")</f>
        <v>No</v>
      </c>
      <c r="R806" s="1" t="str">
        <f>IFERROR(__xludf.DUMMYFUNCTION("""COMPUTED_VALUE"""),"NEW WALK IN")</f>
        <v>NEW WALK IN</v>
      </c>
      <c r="S806" s="1" t="str">
        <f>IFERROR(__xludf.DUMMYFUNCTION("""COMPUTED_VALUE"""),"Yes")</f>
        <v>Yes</v>
      </c>
    </row>
    <row r="807">
      <c r="A807" s="2">
        <f>IFERROR(__xludf.DUMMYFUNCTION("""COMPUTED_VALUE"""),45601.71970700231)</f>
        <v>45601.71971</v>
      </c>
      <c r="B807" s="1" t="str">
        <f>IFERROR(__xludf.DUMMYFUNCTION("""COMPUTED_VALUE"""),"Viren")</f>
        <v>Viren</v>
      </c>
      <c r="C807" s="1">
        <f>IFERROR(__xludf.DUMMYFUNCTION("""COMPUTED_VALUE"""),9.999976925E9)</f>
        <v>9999976925</v>
      </c>
      <c r="D807" s="1">
        <f>IFERROR(__xludf.DUMMYFUNCTION("""COMPUTED_VALUE"""),1.0)</f>
        <v>1</v>
      </c>
      <c r="E807" s="3">
        <f>IFERROR(__xludf.DUMMYFUNCTION("""COMPUTED_VALUE"""),0.5625)</f>
        <v>0.5625</v>
      </c>
      <c r="F807" s="1" t="str">
        <f>IFERROR(__xludf.DUMMYFUNCTION("""COMPUTED_VALUE"""),"Antique Gold")</f>
        <v>Antique Gold</v>
      </c>
      <c r="G807" s="1" t="str">
        <f>IFERROR(__xludf.DUMMYFUNCTION("""COMPUTED_VALUE"""),"Pooja")</f>
        <v>Pooja</v>
      </c>
      <c r="H807" s="1" t="str">
        <f>IFERROR(__xludf.DUMMYFUNCTION("""COMPUTED_VALUE"""),"Cvd ring")</f>
        <v>Cvd ring</v>
      </c>
      <c r="I807" s="1"/>
      <c r="J807" s="1"/>
      <c r="K807" s="3">
        <f>IFERROR(__xludf.DUMMYFUNCTION("""COMPUTED_VALUE"""),0.6006944444452529)</f>
        <v>0.6006944444</v>
      </c>
      <c r="L807" s="1" t="str">
        <f>IFERROR(__xludf.DUMMYFUNCTION("""COMPUTED_VALUE"""),"Yes")</f>
        <v>Yes</v>
      </c>
      <c r="M807" s="1" t="str">
        <f>IFERROR(__xludf.DUMMYFUNCTION("""COMPUTED_VALUE"""),"Already done ")</f>
        <v>Already done </v>
      </c>
      <c r="N807" s="1" t="str">
        <f>IFERROR(__xludf.DUMMYFUNCTION("""COMPUTED_VALUE"""),"Already done ")</f>
        <v>Already done </v>
      </c>
      <c r="O807" s="1" t="str">
        <f>IFERROR(__xludf.DUMMYFUNCTION("""COMPUTED_VALUE"""),"WA ONLY, CALL")</f>
        <v>WA ONLY, CALL</v>
      </c>
      <c r="P807" s="1" t="str">
        <f>IFERROR(__xludf.DUMMYFUNCTION("""COMPUTED_VALUE"""),"Sir")</f>
        <v>Sir</v>
      </c>
      <c r="Q807" s="1" t="str">
        <f>IFERROR(__xludf.DUMMYFUNCTION("""COMPUTED_VALUE"""),"No")</f>
        <v>No</v>
      </c>
      <c r="R807" s="1" t="str">
        <f>IFERROR(__xludf.DUMMYFUNCTION("""COMPUTED_VALUE"""),"OLD")</f>
        <v>OLD</v>
      </c>
      <c r="S807" s="1" t="str">
        <f>IFERROR(__xludf.DUMMYFUNCTION("""COMPUTED_VALUE"""),"No")</f>
        <v>No</v>
      </c>
    </row>
    <row r="808">
      <c r="A808" s="2">
        <f>IFERROR(__xludf.DUMMYFUNCTION("""COMPUTED_VALUE"""),45601.72098679398)</f>
        <v>45601.72099</v>
      </c>
      <c r="B808" s="1" t="str">
        <f>IFERROR(__xludf.DUMMYFUNCTION("""COMPUTED_VALUE"""),"Tanya gupta")</f>
        <v>Tanya gupta</v>
      </c>
      <c r="C808" s="1">
        <f>IFERROR(__xludf.DUMMYFUNCTION("""COMPUTED_VALUE"""),9.773504855E9)</f>
        <v>9773504855</v>
      </c>
      <c r="D808" s="1">
        <f>IFERROR(__xludf.DUMMYFUNCTION("""COMPUTED_VALUE"""),3.0)</f>
        <v>3</v>
      </c>
      <c r="E808" s="3">
        <f>IFERROR(__xludf.DUMMYFUNCTION("""COMPUTED_VALUE"""),0.5812500000029104)</f>
        <v>0.58125</v>
      </c>
      <c r="F808" s="1" t="str">
        <f>IFERROR(__xludf.DUMMYFUNCTION("""COMPUTED_VALUE"""),"Plain Gold")</f>
        <v>Plain Gold</v>
      </c>
      <c r="G808" s="1" t="str">
        <f>IFERROR(__xludf.DUMMYFUNCTION("""COMPUTED_VALUE"""),"Tannu")</f>
        <v>Tannu</v>
      </c>
      <c r="H808" s="1" t="str">
        <f>IFERROR(__xludf.DUMMYFUNCTION("""COMPUTED_VALUE"""),"Gold bangles ")</f>
        <v>Gold bangles </v>
      </c>
      <c r="I808" s="1" t="str">
        <f>IFERROR(__xludf.DUMMYFUNCTION("""COMPUTED_VALUE"""),"Bangles size issue ")</f>
        <v>Bangles size issue </v>
      </c>
      <c r="J808" s="1"/>
      <c r="K808" s="3">
        <f>IFERROR(__xludf.DUMMYFUNCTION("""COMPUTED_VALUE"""),0.5895833333343035)</f>
        <v>0.5895833333</v>
      </c>
      <c r="L808" s="1" t="str">
        <f>IFERROR(__xludf.DUMMYFUNCTION("""COMPUTED_VALUE"""),"No")</f>
        <v>No</v>
      </c>
      <c r="M808" s="1" t="str">
        <f>IFERROR(__xludf.DUMMYFUNCTION("""COMPUTED_VALUE"""),"No")</f>
        <v>No</v>
      </c>
      <c r="N808" s="1" t="str">
        <f>IFERROR(__xludf.DUMMYFUNCTION("""COMPUTED_VALUE"""),"No")</f>
        <v>No</v>
      </c>
      <c r="O808" s="1" t="str">
        <f>IFERROR(__xludf.DUMMYFUNCTION("""COMPUTED_VALUE"""),"WA ONLY, CALL")</f>
        <v>WA ONLY, CALL</v>
      </c>
      <c r="P808" s="1" t="str">
        <f>IFERROR(__xludf.DUMMYFUNCTION("""COMPUTED_VALUE"""),"Madam")</f>
        <v>Madam</v>
      </c>
      <c r="Q808" s="1"/>
      <c r="R808" s="1" t="str">
        <f>IFERROR(__xludf.DUMMYFUNCTION("""COMPUTED_VALUE"""),"NEW WALK IN")</f>
        <v>NEW WALK IN</v>
      </c>
      <c r="S808" s="1" t="str">
        <f>IFERROR(__xludf.DUMMYFUNCTION("""COMPUTED_VALUE"""),"No")</f>
        <v>No</v>
      </c>
    </row>
    <row r="809">
      <c r="A809" s="2">
        <f>IFERROR(__xludf.DUMMYFUNCTION("""COMPUTED_VALUE"""),45601.72343138889)</f>
        <v>45601.72343</v>
      </c>
      <c r="B809" s="1" t="str">
        <f>IFERROR(__xludf.DUMMYFUNCTION("""COMPUTED_VALUE"""),"Rakesh")</f>
        <v>Rakesh</v>
      </c>
      <c r="C809" s="1">
        <f>IFERROR(__xludf.DUMMYFUNCTION("""COMPUTED_VALUE"""),9.2057737745E10)</f>
        <v>92057737745</v>
      </c>
      <c r="D809" s="1">
        <f>IFERROR(__xludf.DUMMYFUNCTION("""COMPUTED_VALUE"""),2.0)</f>
        <v>2</v>
      </c>
      <c r="E809" s="3">
        <f>IFERROR(__xludf.DUMMYFUNCTION("""COMPUTED_VALUE"""),0.6527777777810115)</f>
        <v>0.6527777778</v>
      </c>
      <c r="F809" s="1" t="str">
        <f>IFERROR(__xludf.DUMMYFUNCTION("""COMPUTED_VALUE"""),"Plain Gold")</f>
        <v>Plain Gold</v>
      </c>
      <c r="G809" s="1" t="str">
        <f>IFERROR(__xludf.DUMMYFUNCTION("""COMPUTED_VALUE"""),"Pooja")</f>
        <v>Pooja</v>
      </c>
      <c r="H809" s="1" t="str">
        <f>IFERROR(__xludf.DUMMYFUNCTION("""COMPUTED_VALUE"""),"Gold bix chain")</f>
        <v>Gold bix chain</v>
      </c>
      <c r="I809" s="1" t="str">
        <f>IFERROR(__xludf.DUMMYFUNCTION("""COMPUTED_VALUE"""),"Want to see More Variety")</f>
        <v>Want to see More Variety</v>
      </c>
      <c r="J809" s="1"/>
      <c r="K809" s="3">
        <f>IFERROR(__xludf.DUMMYFUNCTION("""COMPUTED_VALUE"""),0.6875)</f>
        <v>0.6875</v>
      </c>
      <c r="L809" s="1" t="str">
        <f>IFERROR(__xludf.DUMMYFUNCTION("""COMPUTED_VALUE"""),"No")</f>
        <v>No</v>
      </c>
      <c r="M809" s="1" t="str">
        <f>IFERROR(__xludf.DUMMYFUNCTION("""COMPUTED_VALUE"""),"No")</f>
        <v>No</v>
      </c>
      <c r="N809" s="1" t="str">
        <f>IFERROR(__xludf.DUMMYFUNCTION("""COMPUTED_VALUE"""),"No")</f>
        <v>No</v>
      </c>
      <c r="O809" s="1" t="str">
        <f>IFERROR(__xludf.DUMMYFUNCTION("""COMPUTED_VALUE"""),"WA ONLY, CALL")</f>
        <v>WA ONLY, CALL</v>
      </c>
      <c r="P809" s="1" t="str">
        <f>IFERROR(__xludf.DUMMYFUNCTION("""COMPUTED_VALUE"""),"Sir")</f>
        <v>Sir</v>
      </c>
      <c r="Q809" s="1" t="str">
        <f>IFERROR(__xludf.DUMMYFUNCTION("""COMPUTED_VALUE"""),"No")</f>
        <v>No</v>
      </c>
      <c r="R809" s="1" t="str">
        <f>IFERROR(__xludf.DUMMYFUNCTION("""COMPUTED_VALUE"""),"NEW WALK IN")</f>
        <v>NEW WALK IN</v>
      </c>
      <c r="S809" s="1" t="str">
        <f>IFERROR(__xludf.DUMMYFUNCTION("""COMPUTED_VALUE"""),"No")</f>
        <v>No</v>
      </c>
    </row>
    <row r="810">
      <c r="A810" s="2">
        <f>IFERROR(__xludf.DUMMYFUNCTION("""COMPUTED_VALUE"""),45601.72418506944)</f>
        <v>45601.72419</v>
      </c>
      <c r="B810" s="1" t="str">
        <f>IFERROR(__xludf.DUMMYFUNCTION("""COMPUTED_VALUE"""),"Setu")</f>
        <v>Setu</v>
      </c>
      <c r="C810" s="1">
        <f>IFERROR(__xludf.DUMMYFUNCTION("""COMPUTED_VALUE"""),9.911958928E9)</f>
        <v>9911958928</v>
      </c>
      <c r="D810" s="1">
        <f>IFERROR(__xludf.DUMMYFUNCTION("""COMPUTED_VALUE"""),2.0)</f>
        <v>2</v>
      </c>
      <c r="E810" s="3">
        <f>IFERROR(__xludf.DUMMYFUNCTION("""COMPUTED_VALUE"""),0.6458333333357587)</f>
        <v>0.6458333333</v>
      </c>
      <c r="F810" s="1" t="str">
        <f>IFERROR(__xludf.DUMMYFUNCTION("""COMPUTED_VALUE"""),"Diamond")</f>
        <v>Diamond</v>
      </c>
      <c r="G810" s="1" t="str">
        <f>IFERROR(__xludf.DUMMYFUNCTION("""COMPUTED_VALUE"""),"Preeti")</f>
        <v>Preeti</v>
      </c>
      <c r="H810" s="1" t="str">
        <f>IFERROR(__xludf.DUMMYFUNCTION("""COMPUTED_VALUE"""),"Diamond chokar set")</f>
        <v>Diamond chokar set</v>
      </c>
      <c r="I810" s="1" t="str">
        <f>IFERROR(__xludf.DUMMYFUNCTION("""COMPUTED_VALUE"""),"Will ask family and come with them")</f>
        <v>Will ask family and come with them</v>
      </c>
      <c r="J810" s="1"/>
      <c r="K810" s="3">
        <f>IFERROR(__xludf.DUMMYFUNCTION("""COMPUTED_VALUE"""),0.6861111111065838)</f>
        <v>0.6861111111</v>
      </c>
      <c r="L810" s="1" t="str">
        <f>IFERROR(__xludf.DUMMYFUNCTION("""COMPUTED_VALUE"""),"Yes")</f>
        <v>Yes</v>
      </c>
      <c r="M810" s="1" t="str">
        <f>IFERROR(__xludf.DUMMYFUNCTION("""COMPUTED_VALUE"""),"Already done ")</f>
        <v>Already done </v>
      </c>
      <c r="N810" s="1" t="str">
        <f>IFERROR(__xludf.DUMMYFUNCTION("""COMPUTED_VALUE"""),"Already done ")</f>
        <v>Already done </v>
      </c>
      <c r="O810" s="1" t="str">
        <f>IFERROR(__xludf.DUMMYFUNCTION("""COMPUTED_VALUE"""),"WA ONLY, CALL")</f>
        <v>WA ONLY, CALL</v>
      </c>
      <c r="P810" s="1" t="str">
        <f>IFERROR(__xludf.DUMMYFUNCTION("""COMPUTED_VALUE"""),"Madam")</f>
        <v>Madam</v>
      </c>
      <c r="Q810" s="1" t="str">
        <f>IFERROR(__xludf.DUMMYFUNCTION("""COMPUTED_VALUE"""),"No")</f>
        <v>No</v>
      </c>
      <c r="R810" s="1" t="str">
        <f>IFERROR(__xludf.DUMMYFUNCTION("""COMPUTED_VALUE"""),"OLD")</f>
        <v>OLD</v>
      </c>
      <c r="S810" s="1" t="str">
        <f>IFERROR(__xludf.DUMMYFUNCTION("""COMPUTED_VALUE"""),"No")</f>
        <v>No</v>
      </c>
    </row>
    <row r="811">
      <c r="A811" s="2">
        <f>IFERROR(__xludf.DUMMYFUNCTION("""COMPUTED_VALUE"""),45601.79723975694)</f>
        <v>45601.79724</v>
      </c>
      <c r="B811" s="1" t="str">
        <f>IFERROR(__xludf.DUMMYFUNCTION("""COMPUTED_VALUE"""),"Anjana")</f>
        <v>Anjana</v>
      </c>
      <c r="C811" s="1">
        <f>IFERROR(__xludf.DUMMYFUNCTION("""COMPUTED_VALUE"""),9.811451013E9)</f>
        <v>9811451013</v>
      </c>
      <c r="D811" s="1">
        <f>IFERROR(__xludf.DUMMYFUNCTION("""COMPUTED_VALUE"""),2.0)</f>
        <v>2</v>
      </c>
      <c r="E811" s="3">
        <f>IFERROR(__xludf.DUMMYFUNCTION("""COMPUTED_VALUE"""),0.7083333333357587)</f>
        <v>0.7083333333</v>
      </c>
      <c r="F811" s="1" t="str">
        <f>IFERROR(__xludf.DUMMYFUNCTION("""COMPUTED_VALUE"""),"Diamond")</f>
        <v>Diamond</v>
      </c>
      <c r="G811" s="1" t="str">
        <f>IFERROR(__xludf.DUMMYFUNCTION("""COMPUTED_VALUE"""),"Preeti")</f>
        <v>Preeti</v>
      </c>
      <c r="H811" s="1" t="str">
        <f>IFERROR(__xludf.DUMMYFUNCTION("""COMPUTED_VALUE"""),"Diamond set,tops")</f>
        <v>Diamond set,tops</v>
      </c>
      <c r="I811" s="1"/>
      <c r="J811" s="1"/>
      <c r="K811" s="3">
        <f>IFERROR(__xludf.DUMMYFUNCTION("""COMPUTED_VALUE"""),0.7923611111109494)</f>
        <v>0.7923611111</v>
      </c>
      <c r="L811" s="1" t="str">
        <f>IFERROR(__xludf.DUMMYFUNCTION("""COMPUTED_VALUE"""),"Yes")</f>
        <v>Yes</v>
      </c>
      <c r="M811" s="1" t="str">
        <f>IFERROR(__xludf.DUMMYFUNCTION("""COMPUTED_VALUE"""),"Already done ")</f>
        <v>Already done </v>
      </c>
      <c r="N811" s="1" t="str">
        <f>IFERROR(__xludf.DUMMYFUNCTION("""COMPUTED_VALUE"""),"Already done ")</f>
        <v>Already done </v>
      </c>
      <c r="O811" s="1" t="str">
        <f>IFERROR(__xludf.DUMMYFUNCTION("""COMPUTED_VALUE"""),"WA ONLY, CALL")</f>
        <v>WA ONLY, CALL</v>
      </c>
      <c r="P811" s="1" t="str">
        <f>IFERROR(__xludf.DUMMYFUNCTION("""COMPUTED_VALUE"""),"Madam")</f>
        <v>Madam</v>
      </c>
      <c r="Q811" s="1" t="str">
        <f>IFERROR(__xludf.DUMMYFUNCTION("""COMPUTED_VALUE"""),"No")</f>
        <v>No</v>
      </c>
      <c r="R811" s="1" t="str">
        <f>IFERROR(__xludf.DUMMYFUNCTION("""COMPUTED_VALUE"""),"OLD")</f>
        <v>OLD</v>
      </c>
      <c r="S811" s="1" t="str">
        <f>IFERROR(__xludf.DUMMYFUNCTION("""COMPUTED_VALUE"""),"Yes")</f>
        <v>Yes</v>
      </c>
    </row>
    <row r="812">
      <c r="A812" s="2">
        <f>IFERROR(__xludf.DUMMYFUNCTION("""COMPUTED_VALUE"""),45601.79829666667)</f>
        <v>45601.7983</v>
      </c>
      <c r="B812" s="1" t="str">
        <f>IFERROR(__xludf.DUMMYFUNCTION("""COMPUTED_VALUE"""),"Preeti gupta ")</f>
        <v>Preeti gupta </v>
      </c>
      <c r="C812" s="1">
        <f>IFERROR(__xludf.DUMMYFUNCTION("""COMPUTED_VALUE"""),9.899988552E9)</f>
        <v>9899988552</v>
      </c>
      <c r="D812" s="1">
        <f>IFERROR(__xludf.DUMMYFUNCTION("""COMPUTED_VALUE"""),2.0)</f>
        <v>2</v>
      </c>
      <c r="E812" s="3">
        <f>IFERROR(__xludf.DUMMYFUNCTION("""COMPUTED_VALUE"""),0.7479166666671517)</f>
        <v>0.7479166667</v>
      </c>
      <c r="F812" s="1" t="str">
        <f>IFERROR(__xludf.DUMMYFUNCTION("""COMPUTED_VALUE"""),"Antique Gold")</f>
        <v>Antique Gold</v>
      </c>
      <c r="G812" s="1" t="str">
        <f>IFERROR(__xludf.DUMMYFUNCTION("""COMPUTED_VALUE"""),"Tannu")</f>
        <v>Tannu</v>
      </c>
      <c r="H812" s="1" t="str">
        <f>IFERROR(__xludf.DUMMYFUNCTION("""COMPUTED_VALUE"""),"Silver kada")</f>
        <v>Silver kada</v>
      </c>
      <c r="I812" s="1"/>
      <c r="J812" s="1"/>
      <c r="K812" s="3">
        <f>IFERROR(__xludf.DUMMYFUNCTION("""COMPUTED_VALUE"""),0.7604166666642413)</f>
        <v>0.7604166667</v>
      </c>
      <c r="L812" s="1" t="str">
        <f>IFERROR(__xludf.DUMMYFUNCTION("""COMPUTED_VALUE"""),"No")</f>
        <v>No</v>
      </c>
      <c r="M812" s="1" t="str">
        <f>IFERROR(__xludf.DUMMYFUNCTION("""COMPUTED_VALUE"""),"No")</f>
        <v>No</v>
      </c>
      <c r="N812" s="1" t="str">
        <f>IFERROR(__xludf.DUMMYFUNCTION("""COMPUTED_VALUE"""),"No")</f>
        <v>No</v>
      </c>
      <c r="O812" s="1" t="str">
        <f>IFERROR(__xludf.DUMMYFUNCTION("""COMPUTED_VALUE"""),"WA ONLY, CALL")</f>
        <v>WA ONLY, CALL</v>
      </c>
      <c r="P812" s="1" t="str">
        <f>IFERROR(__xludf.DUMMYFUNCTION("""COMPUTED_VALUE"""),"Madam")</f>
        <v>Madam</v>
      </c>
      <c r="Q812" s="1" t="str">
        <f>IFERROR(__xludf.DUMMYFUNCTION("""COMPUTED_VALUE"""),"No")</f>
        <v>No</v>
      </c>
      <c r="R812" s="1" t="str">
        <f>IFERROR(__xludf.DUMMYFUNCTION("""COMPUTED_VALUE"""),"NEW WALK IN")</f>
        <v>NEW WALK IN</v>
      </c>
      <c r="S812" s="1" t="str">
        <f>IFERROR(__xludf.DUMMYFUNCTION("""COMPUTED_VALUE"""),"No")</f>
        <v>No</v>
      </c>
    </row>
    <row r="813">
      <c r="A813" s="2">
        <f>IFERROR(__xludf.DUMMYFUNCTION("""COMPUTED_VALUE"""),45602.71586704861)</f>
        <v>45602.71587</v>
      </c>
      <c r="B813" s="1" t="str">
        <f>IFERROR(__xludf.DUMMYFUNCTION("""COMPUTED_VALUE"""),"Shinu")</f>
        <v>Shinu</v>
      </c>
      <c r="C813" s="1">
        <f>IFERROR(__xludf.DUMMYFUNCTION("""COMPUTED_VALUE"""),9.81160027E9)</f>
        <v>9811600270</v>
      </c>
      <c r="D813" s="1">
        <f>IFERROR(__xludf.DUMMYFUNCTION("""COMPUTED_VALUE"""),2.0)</f>
        <v>2</v>
      </c>
      <c r="E813" s="3">
        <f>IFERROR(__xludf.DUMMYFUNCTION("""COMPUTED_VALUE"""),0.5729166666642413)</f>
        <v>0.5729166667</v>
      </c>
      <c r="F813" s="1" t="str">
        <f>IFERROR(__xludf.DUMMYFUNCTION("""COMPUTED_VALUE"""),"Diamond")</f>
        <v>Diamond</v>
      </c>
      <c r="G813" s="1" t="str">
        <f>IFERROR(__xludf.DUMMYFUNCTION("""COMPUTED_VALUE"""),"Pooja")</f>
        <v>Pooja</v>
      </c>
      <c r="H813" s="1" t="str">
        <f>IFERROR(__xludf.DUMMYFUNCTION("""COMPUTED_VALUE"""),"Diamond set,ms,ring,bangles ")</f>
        <v>Diamond set,ms,ring,bangles </v>
      </c>
      <c r="I813" s="1" t="str">
        <f>IFERROR(__xludf.DUMMYFUNCTION("""COMPUTED_VALUE"""),"Will ask family and come with them")</f>
        <v>Will ask family and come with them</v>
      </c>
      <c r="J813" s="1"/>
      <c r="K813" s="3">
        <f>IFERROR(__xludf.DUMMYFUNCTION("""COMPUTED_VALUE"""),0.6944444444452529)</f>
        <v>0.6944444444</v>
      </c>
      <c r="L813" s="1" t="str">
        <f>IFERROR(__xludf.DUMMYFUNCTION("""COMPUTED_VALUE"""),"Yes")</f>
        <v>Yes</v>
      </c>
      <c r="M813" s="1" t="str">
        <f>IFERROR(__xludf.DUMMYFUNCTION("""COMPUTED_VALUE"""),"Already done ")</f>
        <v>Already done </v>
      </c>
      <c r="N813" s="1" t="str">
        <f>IFERROR(__xludf.DUMMYFUNCTION("""COMPUTED_VALUE"""),"Already done ")</f>
        <v>Already done </v>
      </c>
      <c r="O813" s="1" t="str">
        <f>IFERROR(__xludf.DUMMYFUNCTION("""COMPUTED_VALUE"""),"WA ONLY, CALL")</f>
        <v>WA ONLY, CALL</v>
      </c>
      <c r="P813" s="1" t="str">
        <f>IFERROR(__xludf.DUMMYFUNCTION("""COMPUTED_VALUE"""),"Madam")</f>
        <v>Madam</v>
      </c>
      <c r="Q813" s="1" t="str">
        <f>IFERROR(__xludf.DUMMYFUNCTION("""COMPUTED_VALUE"""),"No")</f>
        <v>No</v>
      </c>
      <c r="R813" s="1" t="str">
        <f>IFERROR(__xludf.DUMMYFUNCTION("""COMPUTED_VALUE"""),"OLD")</f>
        <v>OLD</v>
      </c>
      <c r="S813" s="1" t="str">
        <f>IFERROR(__xludf.DUMMYFUNCTION("""COMPUTED_VALUE"""),"No")</f>
        <v>No</v>
      </c>
    </row>
    <row r="814">
      <c r="A814" s="2">
        <f>IFERROR(__xludf.DUMMYFUNCTION("""COMPUTED_VALUE"""),45602.71746636574)</f>
        <v>45602.71747</v>
      </c>
      <c r="B814" s="1" t="str">
        <f>IFERROR(__xludf.DUMMYFUNCTION("""COMPUTED_VALUE"""),"Anand jlan")</f>
        <v>Anand jlan</v>
      </c>
      <c r="C814" s="1">
        <f>IFERROR(__xludf.DUMMYFUNCTION("""COMPUTED_VALUE"""),9.8108557725E10)</f>
        <v>98108557725</v>
      </c>
      <c r="D814" s="1">
        <f>IFERROR(__xludf.DUMMYFUNCTION("""COMPUTED_VALUE"""),2.0)</f>
        <v>2</v>
      </c>
      <c r="E814" s="3">
        <f>IFERROR(__xludf.DUMMYFUNCTION("""COMPUTED_VALUE"""),0.5749999999970896)</f>
        <v>0.575</v>
      </c>
      <c r="F814" s="1" t="str">
        <f>IFERROR(__xludf.DUMMYFUNCTION("""COMPUTED_VALUE"""),"Diamond")</f>
        <v>Diamond</v>
      </c>
      <c r="G814" s="1" t="str">
        <f>IFERROR(__xludf.DUMMYFUNCTION("""COMPUTED_VALUE"""),"Preeti")</f>
        <v>Preeti</v>
      </c>
      <c r="H814" s="1" t="str">
        <f>IFERROR(__xludf.DUMMYFUNCTION("""COMPUTED_VALUE"""),"Diamond breslet ")</f>
        <v>Diamond breslet </v>
      </c>
      <c r="I814" s="1" t="str">
        <f>IFERROR(__xludf.DUMMYFUNCTION("""COMPUTED_VALUE"""),"Repair,diamond breslet in order ")</f>
        <v>Repair,diamond breslet in order </v>
      </c>
      <c r="J814" s="1"/>
      <c r="K814" s="3">
        <f>IFERROR(__xludf.DUMMYFUNCTION("""COMPUTED_VALUE"""),0.6666666666642413)</f>
        <v>0.6666666667</v>
      </c>
      <c r="L814" s="1" t="str">
        <f>IFERROR(__xludf.DUMMYFUNCTION("""COMPUTED_VALUE"""),"Yes")</f>
        <v>Yes</v>
      </c>
      <c r="M814" s="1" t="str">
        <f>IFERROR(__xludf.DUMMYFUNCTION("""COMPUTED_VALUE"""),"Already done ")</f>
        <v>Already done </v>
      </c>
      <c r="N814" s="1" t="str">
        <f>IFERROR(__xludf.DUMMYFUNCTION("""COMPUTED_VALUE"""),"Already done ")</f>
        <v>Already done </v>
      </c>
      <c r="O814" s="1" t="str">
        <f>IFERROR(__xludf.DUMMYFUNCTION("""COMPUTED_VALUE"""),"WA ONLY, CALL")</f>
        <v>WA ONLY, CALL</v>
      </c>
      <c r="P814" s="1" t="str">
        <f>IFERROR(__xludf.DUMMYFUNCTION("""COMPUTED_VALUE"""),"Sir")</f>
        <v>Sir</v>
      </c>
      <c r="Q814" s="1" t="str">
        <f>IFERROR(__xludf.DUMMYFUNCTION("""COMPUTED_VALUE"""),"No")</f>
        <v>No</v>
      </c>
      <c r="R814" s="1" t="str">
        <f>IFERROR(__xludf.DUMMYFUNCTION("""COMPUTED_VALUE"""),"OLD")</f>
        <v>OLD</v>
      </c>
      <c r="S814" s="1" t="str">
        <f>IFERROR(__xludf.DUMMYFUNCTION("""COMPUTED_VALUE"""),"No")</f>
        <v>No</v>
      </c>
    </row>
    <row r="815">
      <c r="A815" s="2">
        <f>IFERROR(__xludf.DUMMYFUNCTION("""COMPUTED_VALUE"""),45602.76386248843)</f>
        <v>45602.76386</v>
      </c>
      <c r="B815" s="1" t="str">
        <f>IFERROR(__xludf.DUMMYFUNCTION("""COMPUTED_VALUE"""),"Danish")</f>
        <v>Danish</v>
      </c>
      <c r="C815" s="1">
        <f>IFERROR(__xludf.DUMMYFUNCTION("""COMPUTED_VALUE"""),9.953677855E9)</f>
        <v>9953677855</v>
      </c>
      <c r="D815" s="1">
        <f>IFERROR(__xludf.DUMMYFUNCTION("""COMPUTED_VALUE"""),1.0)</f>
        <v>1</v>
      </c>
      <c r="E815" s="3">
        <f>IFERROR(__xludf.DUMMYFUNCTION("""COMPUTED_VALUE"""),0.6944444444452529)</f>
        <v>0.6944444444</v>
      </c>
      <c r="F815" s="1" t="str">
        <f>IFERROR(__xludf.DUMMYFUNCTION("""COMPUTED_VALUE"""),"Polki")</f>
        <v>Polki</v>
      </c>
      <c r="G815" s="1" t="str">
        <f>IFERROR(__xludf.DUMMYFUNCTION("""COMPUTED_VALUE"""),"Tannu")</f>
        <v>Tannu</v>
      </c>
      <c r="H815" s="1" t="str">
        <f>IFERROR(__xludf.DUMMYFUNCTION("""COMPUTED_VALUE"""),"Gold breslet ")</f>
        <v>Gold breslet </v>
      </c>
      <c r="I815" s="1" t="str">
        <f>IFERROR(__xludf.DUMMYFUNCTION("""COMPUTED_VALUE"""),"Gold breslet orderd")</f>
        <v>Gold breslet orderd</v>
      </c>
      <c r="J815" s="1"/>
      <c r="K815" s="3">
        <f>IFERROR(__xludf.DUMMYFUNCTION("""COMPUTED_VALUE"""),0.7291666666642413)</f>
        <v>0.7291666667</v>
      </c>
      <c r="L815" s="1" t="str">
        <f>IFERROR(__xludf.DUMMYFUNCTION("""COMPUTED_VALUE"""),"Yes")</f>
        <v>Yes</v>
      </c>
      <c r="M815" s="1" t="str">
        <f>IFERROR(__xludf.DUMMYFUNCTION("""COMPUTED_VALUE"""),"Already done ")</f>
        <v>Already done </v>
      </c>
      <c r="N815" s="1" t="str">
        <f>IFERROR(__xludf.DUMMYFUNCTION("""COMPUTED_VALUE"""),"Already done ")</f>
        <v>Already done </v>
      </c>
      <c r="O815" s="1" t="str">
        <f>IFERROR(__xludf.DUMMYFUNCTION("""COMPUTED_VALUE"""),"WA ONLY, CALL")</f>
        <v>WA ONLY, CALL</v>
      </c>
      <c r="P815" s="1" t="str">
        <f>IFERROR(__xludf.DUMMYFUNCTION("""COMPUTED_VALUE"""),"Sir")</f>
        <v>Sir</v>
      </c>
      <c r="Q815" s="1" t="str">
        <f>IFERROR(__xludf.DUMMYFUNCTION("""COMPUTED_VALUE"""),"Yes")</f>
        <v>Yes</v>
      </c>
      <c r="R815" s="1" t="str">
        <f>IFERROR(__xludf.DUMMYFUNCTION("""COMPUTED_VALUE"""),"OLD")</f>
        <v>OLD</v>
      </c>
      <c r="S815" s="1" t="str">
        <f>IFERROR(__xludf.DUMMYFUNCTION("""COMPUTED_VALUE"""),"No")</f>
        <v>No</v>
      </c>
    </row>
    <row r="816">
      <c r="A816" s="2">
        <f>IFERROR(__xludf.DUMMYFUNCTION("""COMPUTED_VALUE"""),45602.765137650465)</f>
        <v>45602.76514</v>
      </c>
      <c r="B816" s="1" t="str">
        <f>IFERROR(__xludf.DUMMYFUNCTION("""COMPUTED_VALUE"""),"Mehreen")</f>
        <v>Mehreen</v>
      </c>
      <c r="C816" s="1">
        <f>IFERROR(__xludf.DUMMYFUNCTION("""COMPUTED_VALUE"""),9.999347116E9)</f>
        <v>9999347116</v>
      </c>
      <c r="D816" s="1">
        <f>IFERROR(__xludf.DUMMYFUNCTION("""COMPUTED_VALUE"""),2.0)</f>
        <v>2</v>
      </c>
      <c r="E816" s="3">
        <f>IFERROR(__xludf.DUMMYFUNCTION("""COMPUTED_VALUE"""),0.7395833333357587)</f>
        <v>0.7395833333</v>
      </c>
      <c r="F816" s="1" t="str">
        <f>IFERROR(__xludf.DUMMYFUNCTION("""COMPUTED_VALUE"""),"Antique Gold")</f>
        <v>Antique Gold</v>
      </c>
      <c r="G816" s="1" t="str">
        <f>IFERROR(__xludf.DUMMYFUNCTION("""COMPUTED_VALUE"""),"Tannu")</f>
        <v>Tannu</v>
      </c>
      <c r="H816" s="1" t="str">
        <f>IFERROR(__xludf.DUMMYFUNCTION("""COMPUTED_VALUE"""),"Gold set,gold nose pin")</f>
        <v>Gold set,gold nose pin</v>
      </c>
      <c r="I816" s="1"/>
      <c r="J816" s="1"/>
      <c r="K816" s="3">
        <f>IFERROR(__xludf.DUMMYFUNCTION("""COMPUTED_VALUE"""),0.7583333333313931)</f>
        <v>0.7583333333</v>
      </c>
      <c r="L816" s="1" t="str">
        <f>IFERROR(__xludf.DUMMYFUNCTION("""COMPUTED_VALUE"""),"Yes")</f>
        <v>Yes</v>
      </c>
      <c r="M816" s="1" t="str">
        <f>IFERROR(__xludf.DUMMYFUNCTION("""COMPUTED_VALUE"""),"Not use phone ")</f>
        <v>Not use phone </v>
      </c>
      <c r="N816" s="1" t="str">
        <f>IFERROR(__xludf.DUMMYFUNCTION("""COMPUTED_VALUE"""),"Not use phone ")</f>
        <v>Not use phone </v>
      </c>
      <c r="O816" s="1" t="str">
        <f>IFERROR(__xludf.DUMMYFUNCTION("""COMPUTED_VALUE"""),"WA ONLY, CALL")</f>
        <v>WA ONLY, CALL</v>
      </c>
      <c r="P816" s="1" t="str">
        <f>IFERROR(__xludf.DUMMYFUNCTION("""COMPUTED_VALUE"""),"Madam")</f>
        <v>Madam</v>
      </c>
      <c r="Q816" s="1" t="str">
        <f>IFERROR(__xludf.DUMMYFUNCTION("""COMPUTED_VALUE"""),"No")</f>
        <v>No</v>
      </c>
      <c r="R816" s="1" t="str">
        <f>IFERROR(__xludf.DUMMYFUNCTION("""COMPUTED_VALUE"""),"NEW WALK IN")</f>
        <v>NEW WALK IN</v>
      </c>
      <c r="S816" s="1" t="str">
        <f>IFERROR(__xludf.DUMMYFUNCTION("""COMPUTED_VALUE"""),"Yes")</f>
        <v>Yes</v>
      </c>
    </row>
    <row r="817">
      <c r="A817" s="2">
        <f>IFERROR(__xludf.DUMMYFUNCTION("""COMPUTED_VALUE"""),45603.77581802083)</f>
        <v>45603.77582</v>
      </c>
      <c r="B817" s="1" t="str">
        <f>IFERROR(__xludf.DUMMYFUNCTION("""COMPUTED_VALUE"""),"Yashvani")</f>
        <v>Yashvani</v>
      </c>
      <c r="C817" s="1">
        <f>IFERROR(__xludf.DUMMYFUNCTION("""COMPUTED_VALUE"""),9.873596247E9)</f>
        <v>9873596247</v>
      </c>
      <c r="D817" s="1">
        <f>IFERROR(__xludf.DUMMYFUNCTION("""COMPUTED_VALUE"""),1.0)</f>
        <v>1</v>
      </c>
      <c r="E817" s="3">
        <f>IFERROR(__xludf.DUMMYFUNCTION("""COMPUTED_VALUE"""),0.5222222222218988)</f>
        <v>0.5222222222</v>
      </c>
      <c r="F817" s="1" t="str">
        <f>IFERROR(__xludf.DUMMYFUNCTION("""COMPUTED_VALUE"""),"Plain Gold")</f>
        <v>Plain Gold</v>
      </c>
      <c r="G817" s="1" t="str">
        <f>IFERROR(__xludf.DUMMYFUNCTION("""COMPUTED_VALUE"""),"Tannu")</f>
        <v>Tannu</v>
      </c>
      <c r="H817" s="1" t="str">
        <f>IFERROR(__xludf.DUMMYFUNCTION("""COMPUTED_VALUE"""),"Gold coin 100 ml")</f>
        <v>Gold coin 100 ml</v>
      </c>
      <c r="I817" s="1"/>
      <c r="J817" s="1"/>
      <c r="K817" s="3">
        <f>IFERROR(__xludf.DUMMYFUNCTION("""COMPUTED_VALUE"""),0.5298611111065838)</f>
        <v>0.5298611111</v>
      </c>
      <c r="L817" s="1" t="str">
        <f>IFERROR(__xludf.DUMMYFUNCTION("""COMPUTED_VALUE"""),"No")</f>
        <v>No</v>
      </c>
      <c r="M817" s="1" t="str">
        <f>IFERROR(__xludf.DUMMYFUNCTION("""COMPUTED_VALUE"""),"No")</f>
        <v>No</v>
      </c>
      <c r="N817" s="1" t="str">
        <f>IFERROR(__xludf.DUMMYFUNCTION("""COMPUTED_VALUE"""),"No")</f>
        <v>No</v>
      </c>
      <c r="O817" s="1" t="str">
        <f>IFERROR(__xludf.DUMMYFUNCTION("""COMPUTED_VALUE"""),"WA ONLY, CALL")</f>
        <v>WA ONLY, CALL</v>
      </c>
      <c r="P817" s="1" t="str">
        <f>IFERROR(__xludf.DUMMYFUNCTION("""COMPUTED_VALUE"""),"Sir")</f>
        <v>Sir</v>
      </c>
      <c r="Q817" s="1" t="str">
        <f>IFERROR(__xludf.DUMMYFUNCTION("""COMPUTED_VALUE"""),"No")</f>
        <v>No</v>
      </c>
      <c r="R817" s="1" t="str">
        <f>IFERROR(__xludf.DUMMYFUNCTION("""COMPUTED_VALUE"""),"NEW WALK IN")</f>
        <v>NEW WALK IN</v>
      </c>
      <c r="S817" s="1" t="str">
        <f>IFERROR(__xludf.DUMMYFUNCTION("""COMPUTED_VALUE"""),"No")</f>
        <v>No</v>
      </c>
    </row>
    <row r="818">
      <c r="A818" s="2">
        <f>IFERROR(__xludf.DUMMYFUNCTION("""COMPUTED_VALUE"""),45603.77789005787)</f>
        <v>45603.77789</v>
      </c>
      <c r="B818" s="1" t="str">
        <f>IFERROR(__xludf.DUMMYFUNCTION("""COMPUTED_VALUE"""),"Dhiraj")</f>
        <v>Dhiraj</v>
      </c>
      <c r="C818" s="1">
        <f>IFERROR(__xludf.DUMMYFUNCTION("""COMPUTED_VALUE"""),9.81844411E8)</f>
        <v>981844411</v>
      </c>
      <c r="D818" s="1">
        <f>IFERROR(__xludf.DUMMYFUNCTION("""COMPUTED_VALUE"""),1.0)</f>
        <v>1</v>
      </c>
      <c r="E818" s="3">
        <f>IFERROR(__xludf.DUMMYFUNCTION("""COMPUTED_VALUE"""),0.6611111111124046)</f>
        <v>0.6611111111</v>
      </c>
      <c r="F818" s="1" t="str">
        <f>IFERROR(__xludf.DUMMYFUNCTION("""COMPUTED_VALUE"""),"Plain Gold")</f>
        <v>Plain Gold</v>
      </c>
      <c r="G818" s="1" t="str">
        <f>IFERROR(__xludf.DUMMYFUNCTION("""COMPUTED_VALUE"""),"Tannu")</f>
        <v>Tannu</v>
      </c>
      <c r="H818" s="1" t="str">
        <f>IFERROR(__xludf.DUMMYFUNCTION("""COMPUTED_VALUE"""),"Silver coins")</f>
        <v>Silver coins</v>
      </c>
      <c r="I818" s="1"/>
      <c r="J818" s="1"/>
      <c r="K818" s="3">
        <f>IFERROR(__xludf.DUMMYFUNCTION("""COMPUTED_VALUE"""),0.6875)</f>
        <v>0.6875</v>
      </c>
      <c r="L818" s="1" t="str">
        <f>IFERROR(__xludf.DUMMYFUNCTION("""COMPUTED_VALUE"""),"Yes")</f>
        <v>Yes</v>
      </c>
      <c r="M818" s="1" t="str">
        <f>IFERROR(__xludf.DUMMYFUNCTION("""COMPUTED_VALUE"""),"Yes")</f>
        <v>Yes</v>
      </c>
      <c r="N818" s="1" t="str">
        <f>IFERROR(__xludf.DUMMYFUNCTION("""COMPUTED_VALUE"""),"Yes")</f>
        <v>Yes</v>
      </c>
      <c r="O818" s="1" t="str">
        <f>IFERROR(__xludf.DUMMYFUNCTION("""COMPUTED_VALUE"""),"WA ONLY, CALL")</f>
        <v>WA ONLY, CALL</v>
      </c>
      <c r="P818" s="1" t="str">
        <f>IFERROR(__xludf.DUMMYFUNCTION("""COMPUTED_VALUE"""),"Sir")</f>
        <v>Sir</v>
      </c>
      <c r="Q818" s="1" t="str">
        <f>IFERROR(__xludf.DUMMYFUNCTION("""COMPUTED_VALUE"""),"Yes")</f>
        <v>Yes</v>
      </c>
      <c r="R818" s="1" t="str">
        <f>IFERROR(__xludf.DUMMYFUNCTION("""COMPUTED_VALUE"""),"NEW WALK IN")</f>
        <v>NEW WALK IN</v>
      </c>
      <c r="S818" s="1" t="str">
        <f>IFERROR(__xludf.DUMMYFUNCTION("""COMPUTED_VALUE"""),"Yes")</f>
        <v>Yes</v>
      </c>
    </row>
    <row r="819">
      <c r="A819" s="2">
        <f>IFERROR(__xludf.DUMMYFUNCTION("""COMPUTED_VALUE"""),45604.79675149306)</f>
        <v>45604.79675</v>
      </c>
      <c r="B819" s="1" t="str">
        <f>IFERROR(__xludf.DUMMYFUNCTION("""COMPUTED_VALUE"""),"Dhiraj")</f>
        <v>Dhiraj</v>
      </c>
      <c r="C819" s="1">
        <f>IFERROR(__xludf.DUMMYFUNCTION("""COMPUTED_VALUE"""),9.81844411E8)</f>
        <v>981844411</v>
      </c>
      <c r="D819" s="1">
        <f>IFERROR(__xludf.DUMMYFUNCTION("""COMPUTED_VALUE"""),1.0)</f>
        <v>1</v>
      </c>
      <c r="E819" s="3">
        <f>IFERROR(__xludf.DUMMYFUNCTION("""COMPUTED_VALUE"""),0.5416666666642413)</f>
        <v>0.5416666667</v>
      </c>
      <c r="F819" s="1" t="str">
        <f>IFERROR(__xludf.DUMMYFUNCTION("""COMPUTED_VALUE"""),"Plain Gold")</f>
        <v>Plain Gold</v>
      </c>
      <c r="G819" s="1" t="str">
        <f>IFERROR(__xludf.DUMMYFUNCTION("""COMPUTED_VALUE"""),"Tannu")</f>
        <v>Tannu</v>
      </c>
      <c r="H819" s="1" t="str">
        <f>IFERROR(__xludf.DUMMYFUNCTION("""COMPUTED_VALUE"""),"Silver coin")</f>
        <v>Silver coin</v>
      </c>
      <c r="I819" s="1" t="str">
        <f>IFERROR(__xludf.DUMMYFUNCTION("""COMPUTED_VALUE"""),"Pick up Order")</f>
        <v>Pick up Order</v>
      </c>
      <c r="J819" s="1"/>
      <c r="K819" s="3">
        <f>IFERROR(__xludf.DUMMYFUNCTION("""COMPUTED_VALUE"""),0.5847222222218988)</f>
        <v>0.5847222222</v>
      </c>
      <c r="L819" s="1" t="str">
        <f>IFERROR(__xludf.DUMMYFUNCTION("""COMPUTED_VALUE"""),"Yes")</f>
        <v>Yes</v>
      </c>
      <c r="M819" s="1" t="str">
        <f>IFERROR(__xludf.DUMMYFUNCTION("""COMPUTED_VALUE"""),"Already done ")</f>
        <v>Already done </v>
      </c>
      <c r="N819" s="1" t="str">
        <f>IFERROR(__xludf.DUMMYFUNCTION("""COMPUTED_VALUE"""),"Already done ")</f>
        <v>Already done </v>
      </c>
      <c r="O819" s="1" t="str">
        <f>IFERROR(__xludf.DUMMYFUNCTION("""COMPUTED_VALUE"""),"WA ONLY, CALL")</f>
        <v>WA ONLY, CALL</v>
      </c>
      <c r="P819" s="1" t="str">
        <f>IFERROR(__xludf.DUMMYFUNCTION("""COMPUTED_VALUE"""),"Sir")</f>
        <v>Sir</v>
      </c>
      <c r="Q819" s="1" t="str">
        <f>IFERROR(__xludf.DUMMYFUNCTION("""COMPUTED_VALUE"""),"Yes")</f>
        <v>Yes</v>
      </c>
      <c r="R819" s="1" t="str">
        <f>IFERROR(__xludf.DUMMYFUNCTION("""COMPUTED_VALUE"""),"OLD")</f>
        <v>OLD</v>
      </c>
      <c r="S819" s="1" t="str">
        <f>IFERROR(__xludf.DUMMYFUNCTION("""COMPUTED_VALUE"""),"Yes")</f>
        <v>Yes</v>
      </c>
    </row>
    <row r="820">
      <c r="A820" s="2">
        <f>IFERROR(__xludf.DUMMYFUNCTION("""COMPUTED_VALUE"""),45604.79823262732)</f>
        <v>45604.79823</v>
      </c>
      <c r="B820" s="1" t="str">
        <f>IFERROR(__xludf.DUMMYFUNCTION("""COMPUTED_VALUE"""),"Shrey")</f>
        <v>Shrey</v>
      </c>
      <c r="C820" s="1">
        <f>IFERROR(__xludf.DUMMYFUNCTION("""COMPUTED_VALUE"""),9.599882233E9)</f>
        <v>9599882233</v>
      </c>
      <c r="D820" s="1">
        <f>IFERROR(__xludf.DUMMYFUNCTION("""COMPUTED_VALUE"""),2.0)</f>
        <v>2</v>
      </c>
      <c r="E820" s="3">
        <f>IFERROR(__xludf.DUMMYFUNCTION("""COMPUTED_VALUE"""),0.7375000000029104)</f>
        <v>0.7375</v>
      </c>
      <c r="F820" s="1" t="str">
        <f>IFERROR(__xludf.DUMMYFUNCTION("""COMPUTED_VALUE"""),"Diamond")</f>
        <v>Diamond</v>
      </c>
      <c r="G820" s="1" t="str">
        <f>IFERROR(__xludf.DUMMYFUNCTION("""COMPUTED_VALUE"""),"Preeti")</f>
        <v>Preeti</v>
      </c>
      <c r="H820" s="1" t="str">
        <f>IFERROR(__xludf.DUMMYFUNCTION("""COMPUTED_VALUE"""),"Diamond tops")</f>
        <v>Diamond tops</v>
      </c>
      <c r="I820" s="1" t="str">
        <f>IFERROR(__xludf.DUMMYFUNCTION("""COMPUTED_VALUE"""),"Will ask family and come with them")</f>
        <v>Will ask family and come with them</v>
      </c>
      <c r="J820" s="1"/>
      <c r="K820" s="3">
        <f>IFERROR(__xludf.DUMMYFUNCTION("""COMPUTED_VALUE"""),0.7743055555547471)</f>
        <v>0.7743055556</v>
      </c>
      <c r="L820" s="1" t="str">
        <f>IFERROR(__xludf.DUMMYFUNCTION("""COMPUTED_VALUE"""),"No")</f>
        <v>No</v>
      </c>
      <c r="M820" s="1" t="str">
        <f>IFERROR(__xludf.DUMMYFUNCTION("""COMPUTED_VALUE"""),"No")</f>
        <v>No</v>
      </c>
      <c r="N820" s="1" t="str">
        <f>IFERROR(__xludf.DUMMYFUNCTION("""COMPUTED_VALUE"""),"No")</f>
        <v>No</v>
      </c>
      <c r="O820" s="1" t="str">
        <f>IFERROR(__xludf.DUMMYFUNCTION("""COMPUTED_VALUE"""),"WA ONLY, CALL")</f>
        <v>WA ONLY, CALL</v>
      </c>
      <c r="P820" s="1" t="str">
        <f>IFERROR(__xludf.DUMMYFUNCTION("""COMPUTED_VALUE"""),"Madam")</f>
        <v>Madam</v>
      </c>
      <c r="Q820" s="1" t="str">
        <f>IFERROR(__xludf.DUMMYFUNCTION("""COMPUTED_VALUE"""),"No")</f>
        <v>No</v>
      </c>
      <c r="R820" s="1" t="str">
        <f>IFERROR(__xludf.DUMMYFUNCTION("""COMPUTED_VALUE"""),"NEW WALK IN")</f>
        <v>NEW WALK IN</v>
      </c>
      <c r="S820" s="1" t="str">
        <f>IFERROR(__xludf.DUMMYFUNCTION("""COMPUTED_VALUE"""),"No")</f>
        <v>No</v>
      </c>
    </row>
    <row r="821">
      <c r="A821" s="2">
        <f>IFERROR(__xludf.DUMMYFUNCTION("""COMPUTED_VALUE"""),45604.79966813658)</f>
        <v>45604.79967</v>
      </c>
      <c r="B821" s="1" t="str">
        <f>IFERROR(__xludf.DUMMYFUNCTION("""COMPUTED_VALUE"""),"Anurag")</f>
        <v>Anurag</v>
      </c>
      <c r="C821" s="1">
        <f>IFERROR(__xludf.DUMMYFUNCTION("""COMPUTED_VALUE"""),9.810250602E9)</f>
        <v>9810250602</v>
      </c>
      <c r="D821" s="1">
        <f>IFERROR(__xludf.DUMMYFUNCTION("""COMPUTED_VALUE"""),4.0)</f>
        <v>4</v>
      </c>
      <c r="E821" s="3">
        <f>IFERROR(__xludf.DUMMYFUNCTION("""COMPUTED_VALUE"""),0.7638888888905058)</f>
        <v>0.7638888889</v>
      </c>
      <c r="F821" s="1" t="str">
        <f>IFERROR(__xludf.DUMMYFUNCTION("""COMPUTED_VALUE"""),"Plain Gold")</f>
        <v>Plain Gold</v>
      </c>
      <c r="G821" s="1" t="str">
        <f>IFERROR(__xludf.DUMMYFUNCTION("""COMPUTED_VALUE"""),"Tannu")</f>
        <v>Tannu</v>
      </c>
      <c r="H821" s="1" t="str">
        <f>IFERROR(__xludf.DUMMYFUNCTION("""COMPUTED_VALUE"""),"Diamond pacheli bangles ")</f>
        <v>Diamond pacheli bangles </v>
      </c>
      <c r="I821" s="1" t="str">
        <f>IFERROR(__xludf.DUMMYFUNCTION("""COMPUTED_VALUE"""),"Visit Again in 1 Month")</f>
        <v>Visit Again in 1 Month</v>
      </c>
      <c r="J821" s="1"/>
      <c r="K821" s="3">
        <f>IFERROR(__xludf.DUMMYFUNCTION("""COMPUTED_VALUE"""),0.7708333333357587)</f>
        <v>0.7708333333</v>
      </c>
      <c r="L821" s="1" t="str">
        <f>IFERROR(__xludf.DUMMYFUNCTION("""COMPUTED_VALUE"""),"Yes")</f>
        <v>Yes</v>
      </c>
      <c r="M821" s="1" t="str">
        <f>IFERROR(__xludf.DUMMYFUNCTION("""COMPUTED_VALUE"""),"Already done ")</f>
        <v>Already done </v>
      </c>
      <c r="N821" s="1" t="str">
        <f>IFERROR(__xludf.DUMMYFUNCTION("""COMPUTED_VALUE"""),"Already done ")</f>
        <v>Already done </v>
      </c>
      <c r="O821" s="1" t="str">
        <f>IFERROR(__xludf.DUMMYFUNCTION("""COMPUTED_VALUE"""),"WA ONLY, CALL")</f>
        <v>WA ONLY, CALL</v>
      </c>
      <c r="P821" s="1" t="str">
        <f>IFERROR(__xludf.DUMMYFUNCTION("""COMPUTED_VALUE"""),"Sir")</f>
        <v>Sir</v>
      </c>
      <c r="Q821" s="1" t="str">
        <f>IFERROR(__xludf.DUMMYFUNCTION("""COMPUTED_VALUE"""),"No")</f>
        <v>No</v>
      </c>
      <c r="R821" s="1" t="str">
        <f>IFERROR(__xludf.DUMMYFUNCTION("""COMPUTED_VALUE"""),"OLD")</f>
        <v>OLD</v>
      </c>
      <c r="S821" s="1" t="str">
        <f>IFERROR(__xludf.DUMMYFUNCTION("""COMPUTED_VALUE"""),"No")</f>
        <v>No</v>
      </c>
    </row>
    <row r="822">
      <c r="A822" s="2">
        <f>IFERROR(__xludf.DUMMYFUNCTION("""COMPUTED_VALUE"""),45604.80115560185)</f>
        <v>45604.80116</v>
      </c>
      <c r="B822" s="1" t="str">
        <f>IFERROR(__xludf.DUMMYFUNCTION("""COMPUTED_VALUE"""),"Urmil")</f>
        <v>Urmil</v>
      </c>
      <c r="C822" s="1">
        <f>IFERROR(__xludf.DUMMYFUNCTION("""COMPUTED_VALUE"""),9.81077575E9)</f>
        <v>9810775750</v>
      </c>
      <c r="D822" s="1">
        <f>IFERROR(__xludf.DUMMYFUNCTION("""COMPUTED_VALUE"""),2.0)</f>
        <v>2</v>
      </c>
      <c r="E822" s="3">
        <f>IFERROR(__xludf.DUMMYFUNCTION("""COMPUTED_VALUE"""),0.71875)</f>
        <v>0.71875</v>
      </c>
      <c r="F822" s="1" t="str">
        <f>IFERROR(__xludf.DUMMYFUNCTION("""COMPUTED_VALUE"""),"Antique Gold")</f>
        <v>Antique Gold</v>
      </c>
      <c r="G822" s="1" t="str">
        <f>IFERROR(__xludf.DUMMYFUNCTION("""COMPUTED_VALUE"""),"Pooja")</f>
        <v>Pooja</v>
      </c>
      <c r="H822" s="1" t="str">
        <f>IFERROR(__xludf.DUMMYFUNCTION("""COMPUTED_VALUE"""),"Gold bangles,catiyar bangles ")</f>
        <v>Gold bangles,catiyar bangles </v>
      </c>
      <c r="I822" s="1"/>
      <c r="J822" s="1"/>
      <c r="K822" s="3">
        <f>IFERROR(__xludf.DUMMYFUNCTION("""COMPUTED_VALUE"""),0.7805555555532919)</f>
        <v>0.7805555556</v>
      </c>
      <c r="L822" s="1" t="str">
        <f>IFERROR(__xludf.DUMMYFUNCTION("""COMPUTED_VALUE"""),"Yes")</f>
        <v>Yes</v>
      </c>
      <c r="M822" s="1" t="str">
        <f>IFERROR(__xludf.DUMMYFUNCTION("""COMPUTED_VALUE"""),"Already done ")</f>
        <v>Already done </v>
      </c>
      <c r="N822" s="1" t="str">
        <f>IFERROR(__xludf.DUMMYFUNCTION("""COMPUTED_VALUE"""),"Already done ")</f>
        <v>Already done </v>
      </c>
      <c r="O822" s="1" t="str">
        <f>IFERROR(__xludf.DUMMYFUNCTION("""COMPUTED_VALUE"""),"WA ONLY, CALL")</f>
        <v>WA ONLY, CALL</v>
      </c>
      <c r="P822" s="1" t="str">
        <f>IFERROR(__xludf.DUMMYFUNCTION("""COMPUTED_VALUE"""),"Madam")</f>
        <v>Madam</v>
      </c>
      <c r="Q822" s="1" t="str">
        <f>IFERROR(__xludf.DUMMYFUNCTION("""COMPUTED_VALUE"""),"No")</f>
        <v>No</v>
      </c>
      <c r="R822" s="1" t="str">
        <f>IFERROR(__xludf.DUMMYFUNCTION("""COMPUTED_VALUE"""),"OLD")</f>
        <v>OLD</v>
      </c>
      <c r="S822" s="1" t="str">
        <f>IFERROR(__xludf.DUMMYFUNCTION("""COMPUTED_VALUE"""),"No")</f>
        <v>No</v>
      </c>
    </row>
    <row r="823">
      <c r="A823" s="2">
        <f>IFERROR(__xludf.DUMMYFUNCTION("""COMPUTED_VALUE"""),45605.772320601856)</f>
        <v>45605.77232</v>
      </c>
      <c r="B823" s="1" t="str">
        <f>IFERROR(__xludf.DUMMYFUNCTION("""COMPUTED_VALUE"""),"Monika garg")</f>
        <v>Monika garg</v>
      </c>
      <c r="C823" s="1">
        <f>IFERROR(__xludf.DUMMYFUNCTION("""COMPUTED_VALUE"""),9.456284878E9)</f>
        <v>9456284878</v>
      </c>
      <c r="D823" s="1">
        <f>IFERROR(__xludf.DUMMYFUNCTION("""COMPUTED_VALUE"""),1.0)</f>
        <v>1</v>
      </c>
      <c r="E823" s="3">
        <f>IFERROR(__xludf.DUMMYFUNCTION("""COMPUTED_VALUE"""),0.5)</f>
        <v>0.5</v>
      </c>
      <c r="F823" s="1" t="str">
        <f>IFERROR(__xludf.DUMMYFUNCTION("""COMPUTED_VALUE"""),"Diamond")</f>
        <v>Diamond</v>
      </c>
      <c r="G823" s="1" t="str">
        <f>IFERROR(__xludf.DUMMYFUNCTION("""COMPUTED_VALUE"""),"Preeti")</f>
        <v>Preeti</v>
      </c>
      <c r="H823" s="1" t="str">
        <f>IFERROR(__xludf.DUMMYFUNCTION("""COMPUTED_VALUE"""),"Gold chains,cvd ring and tops")</f>
        <v>Gold chains,cvd ring and tops</v>
      </c>
      <c r="I823" s="1"/>
      <c r="J823" s="1"/>
      <c r="K823" s="3">
        <f>IFERROR(__xludf.DUMMYFUNCTION("""COMPUTED_VALUE"""),0.5576388888875954)</f>
        <v>0.5576388889</v>
      </c>
      <c r="L823" s="1" t="str">
        <f>IFERROR(__xludf.DUMMYFUNCTION("""COMPUTED_VALUE"""),"Yes")</f>
        <v>Yes</v>
      </c>
      <c r="M823" s="1" t="str">
        <f>IFERROR(__xludf.DUMMYFUNCTION("""COMPUTED_VALUE"""),"Already done ")</f>
        <v>Already done </v>
      </c>
      <c r="N823" s="1" t="str">
        <f>IFERROR(__xludf.DUMMYFUNCTION("""COMPUTED_VALUE"""),"Already done ")</f>
        <v>Already done </v>
      </c>
      <c r="O823" s="1" t="str">
        <f>IFERROR(__xludf.DUMMYFUNCTION("""COMPUTED_VALUE"""),"WA ONLY, CALL")</f>
        <v>WA ONLY, CALL</v>
      </c>
      <c r="P823" s="1" t="str">
        <f>IFERROR(__xludf.DUMMYFUNCTION("""COMPUTED_VALUE"""),"Madam")</f>
        <v>Madam</v>
      </c>
      <c r="Q823" s="1" t="str">
        <f>IFERROR(__xludf.DUMMYFUNCTION("""COMPUTED_VALUE"""),"No")</f>
        <v>No</v>
      </c>
      <c r="R823" s="1" t="str">
        <f>IFERROR(__xludf.DUMMYFUNCTION("""COMPUTED_VALUE"""),"OLD")</f>
        <v>OLD</v>
      </c>
      <c r="S823" s="1" t="str">
        <f>IFERROR(__xludf.DUMMYFUNCTION("""COMPUTED_VALUE"""),"No")</f>
        <v>No</v>
      </c>
    </row>
    <row r="824">
      <c r="A824" s="2">
        <f>IFERROR(__xludf.DUMMYFUNCTION("""COMPUTED_VALUE"""),45605.773149016204)</f>
        <v>45605.77315</v>
      </c>
      <c r="B824" s="1" t="str">
        <f>IFERROR(__xludf.DUMMYFUNCTION("""COMPUTED_VALUE"""),"Dr.md.suhil")</f>
        <v>Dr.md.suhil</v>
      </c>
      <c r="C824" s="1">
        <f>IFERROR(__xludf.DUMMYFUNCTION("""COMPUTED_VALUE"""),9.891203082E9)</f>
        <v>9891203082</v>
      </c>
      <c r="D824" s="1">
        <f>IFERROR(__xludf.DUMMYFUNCTION("""COMPUTED_VALUE"""),1.0)</f>
        <v>1</v>
      </c>
      <c r="E824" s="3">
        <f>IFERROR(__xludf.DUMMYFUNCTION("""COMPUTED_VALUE"""),0.5291666666671517)</f>
        <v>0.5291666667</v>
      </c>
      <c r="F824" s="1" t="str">
        <f>IFERROR(__xludf.DUMMYFUNCTION("""COMPUTED_VALUE"""),"Plain Gold")</f>
        <v>Plain Gold</v>
      </c>
      <c r="G824" s="1" t="str">
        <f>IFERROR(__xludf.DUMMYFUNCTION("""COMPUTED_VALUE"""),"Tannu")</f>
        <v>Tannu</v>
      </c>
      <c r="H824" s="1"/>
      <c r="I824" s="1" t="str">
        <f>IFERROR(__xludf.DUMMYFUNCTION("""COMPUTED_VALUE"""),"Pick up Order")</f>
        <v>Pick up Order</v>
      </c>
      <c r="J824" s="1"/>
      <c r="K824" s="3">
        <f>IFERROR(__xludf.DUMMYFUNCTION("""COMPUTED_VALUE"""),0.5416666666642413)</f>
        <v>0.5416666667</v>
      </c>
      <c r="L824" s="1" t="str">
        <f>IFERROR(__xludf.DUMMYFUNCTION("""COMPUTED_VALUE"""),"Yes")</f>
        <v>Yes</v>
      </c>
      <c r="M824" s="1" t="str">
        <f>IFERROR(__xludf.DUMMYFUNCTION("""COMPUTED_VALUE"""),"Already done ")</f>
        <v>Already done </v>
      </c>
      <c r="N824" s="1" t="str">
        <f>IFERROR(__xludf.DUMMYFUNCTION("""COMPUTED_VALUE"""),"Already done ")</f>
        <v>Already done </v>
      </c>
      <c r="O824" s="1" t="str">
        <f>IFERROR(__xludf.DUMMYFUNCTION("""COMPUTED_VALUE"""),"WA ONLY, CALL")</f>
        <v>WA ONLY, CALL</v>
      </c>
      <c r="P824" s="1" t="str">
        <f>IFERROR(__xludf.DUMMYFUNCTION("""COMPUTED_VALUE"""),"Sir")</f>
        <v>Sir</v>
      </c>
      <c r="Q824" s="1" t="str">
        <f>IFERROR(__xludf.DUMMYFUNCTION("""COMPUTED_VALUE"""),"No")</f>
        <v>No</v>
      </c>
      <c r="R824" s="1" t="str">
        <f>IFERROR(__xludf.DUMMYFUNCTION("""COMPUTED_VALUE"""),"OLD")</f>
        <v>OLD</v>
      </c>
      <c r="S824" s="1" t="str">
        <f>IFERROR(__xludf.DUMMYFUNCTION("""COMPUTED_VALUE"""),"No")</f>
        <v>No</v>
      </c>
    </row>
    <row r="825">
      <c r="A825" s="2">
        <f>IFERROR(__xludf.DUMMYFUNCTION("""COMPUTED_VALUE"""),45605.77382954861)</f>
        <v>45605.77383</v>
      </c>
      <c r="B825" s="1" t="str">
        <f>IFERROR(__xludf.DUMMYFUNCTION("""COMPUTED_VALUE"""),"S.k. jain")</f>
        <v>S.k. jain</v>
      </c>
      <c r="C825" s="1">
        <f>IFERROR(__xludf.DUMMYFUNCTION("""COMPUTED_VALUE"""),9.868857378E9)</f>
        <v>9868857378</v>
      </c>
      <c r="D825" s="1">
        <f>IFERROR(__xludf.DUMMYFUNCTION("""COMPUTED_VALUE"""),1.0)</f>
        <v>1</v>
      </c>
      <c r="E825" s="3">
        <f>IFERROR(__xludf.DUMMYFUNCTION("""COMPUTED_VALUE"""),0.6041666666642413)</f>
        <v>0.6041666667</v>
      </c>
      <c r="F825" s="1" t="str">
        <f>IFERROR(__xludf.DUMMYFUNCTION("""COMPUTED_VALUE"""),"Plain Gold")</f>
        <v>Plain Gold</v>
      </c>
      <c r="G825" s="1" t="str">
        <f>IFERROR(__xludf.DUMMYFUNCTION("""COMPUTED_VALUE"""),"Tannu")</f>
        <v>Tannu</v>
      </c>
      <c r="H825" s="1" t="str">
        <f>IFERROR(__xludf.DUMMYFUNCTION("""COMPUTED_VALUE"""),"Silver payal")</f>
        <v>Silver payal</v>
      </c>
      <c r="I825" s="1"/>
      <c r="J825" s="1"/>
      <c r="K825" s="3">
        <f>IFERROR(__xludf.DUMMYFUNCTION("""COMPUTED_VALUE"""),0.625)</f>
        <v>0.625</v>
      </c>
      <c r="L825" s="1" t="str">
        <f>IFERROR(__xludf.DUMMYFUNCTION("""COMPUTED_VALUE"""),"Yes")</f>
        <v>Yes</v>
      </c>
      <c r="M825" s="1" t="str">
        <f>IFERROR(__xludf.DUMMYFUNCTION("""COMPUTED_VALUE"""),"Already done ")</f>
        <v>Already done </v>
      </c>
      <c r="N825" s="1" t="str">
        <f>IFERROR(__xludf.DUMMYFUNCTION("""COMPUTED_VALUE"""),"Already done ")</f>
        <v>Already done </v>
      </c>
      <c r="O825" s="1" t="str">
        <f>IFERROR(__xludf.DUMMYFUNCTION("""COMPUTED_VALUE"""),"WA ONLY, CALL")</f>
        <v>WA ONLY, CALL</v>
      </c>
      <c r="P825" s="1" t="str">
        <f>IFERROR(__xludf.DUMMYFUNCTION("""COMPUTED_VALUE"""),"Sir")</f>
        <v>Sir</v>
      </c>
      <c r="Q825" s="1" t="str">
        <f>IFERROR(__xludf.DUMMYFUNCTION("""COMPUTED_VALUE"""),"No")</f>
        <v>No</v>
      </c>
      <c r="R825" s="1" t="str">
        <f>IFERROR(__xludf.DUMMYFUNCTION("""COMPUTED_VALUE"""),"OLD")</f>
        <v>OLD</v>
      </c>
      <c r="S825" s="1" t="str">
        <f>IFERROR(__xludf.DUMMYFUNCTION("""COMPUTED_VALUE"""),"Yes")</f>
        <v>Yes</v>
      </c>
    </row>
    <row r="826">
      <c r="A826" s="2">
        <f>IFERROR(__xludf.DUMMYFUNCTION("""COMPUTED_VALUE"""),45605.775162453705)</f>
        <v>45605.77516</v>
      </c>
      <c r="B826" s="1" t="str">
        <f>IFERROR(__xludf.DUMMYFUNCTION("""COMPUTED_VALUE"""),"Farhana")</f>
        <v>Farhana</v>
      </c>
      <c r="C826" s="1">
        <f>IFERROR(__xludf.DUMMYFUNCTION("""COMPUTED_VALUE"""),9.810092819E9)</f>
        <v>9810092819</v>
      </c>
      <c r="D826" s="1">
        <f>IFERROR(__xludf.DUMMYFUNCTION("""COMPUTED_VALUE"""),1.0)</f>
        <v>1</v>
      </c>
      <c r="E826" s="3">
        <f>IFERROR(__xludf.DUMMYFUNCTION("""COMPUTED_VALUE"""),0.6166666666686069)</f>
        <v>0.6166666667</v>
      </c>
      <c r="F826" s="1" t="str">
        <f>IFERROR(__xludf.DUMMYFUNCTION("""COMPUTED_VALUE"""),"Diamond")</f>
        <v>Diamond</v>
      </c>
      <c r="G826" s="1" t="str">
        <f>IFERROR(__xludf.DUMMYFUNCTION("""COMPUTED_VALUE"""),"Preeti")</f>
        <v>Preeti</v>
      </c>
      <c r="H826" s="1" t="str">
        <f>IFERROR(__xludf.DUMMYFUNCTION("""COMPUTED_VALUE"""),"Diamond  tops,pendent set,danglers,gold chain")</f>
        <v>Diamond  tops,pendent set,danglers,gold chain</v>
      </c>
      <c r="I826" s="1"/>
      <c r="J826" s="1"/>
      <c r="K826" s="3">
        <f>IFERROR(__xludf.DUMMYFUNCTION("""COMPUTED_VALUE"""),0.6833333333343035)</f>
        <v>0.6833333333</v>
      </c>
      <c r="L826" s="1" t="str">
        <f>IFERROR(__xludf.DUMMYFUNCTION("""COMPUTED_VALUE"""),"Yes")</f>
        <v>Yes</v>
      </c>
      <c r="M826" s="1" t="str">
        <f>IFERROR(__xludf.DUMMYFUNCTION("""COMPUTED_VALUE"""),"Already done ")</f>
        <v>Already done </v>
      </c>
      <c r="N826" s="1" t="str">
        <f>IFERROR(__xludf.DUMMYFUNCTION("""COMPUTED_VALUE"""),"Already done ")</f>
        <v>Already done </v>
      </c>
      <c r="O826" s="1" t="str">
        <f>IFERROR(__xludf.DUMMYFUNCTION("""COMPUTED_VALUE"""),"WA ONLY, CALL")</f>
        <v>WA ONLY, CALL</v>
      </c>
      <c r="P826" s="1" t="str">
        <f>IFERROR(__xludf.DUMMYFUNCTION("""COMPUTED_VALUE"""),"Madam")</f>
        <v>Madam</v>
      </c>
      <c r="Q826" s="1" t="str">
        <f>IFERROR(__xludf.DUMMYFUNCTION("""COMPUTED_VALUE"""),"No")</f>
        <v>No</v>
      </c>
      <c r="R826" s="1" t="str">
        <f>IFERROR(__xludf.DUMMYFUNCTION("""COMPUTED_VALUE"""),"OLD")</f>
        <v>OLD</v>
      </c>
      <c r="S826" s="1" t="str">
        <f>IFERROR(__xludf.DUMMYFUNCTION("""COMPUTED_VALUE"""),"Yes")</f>
        <v>Yes</v>
      </c>
    </row>
    <row r="827">
      <c r="A827" s="2">
        <f>IFERROR(__xludf.DUMMYFUNCTION("""COMPUTED_VALUE"""),45605.80334760417)</f>
        <v>45605.80335</v>
      </c>
      <c r="B827" s="1" t="str">
        <f>IFERROR(__xludf.DUMMYFUNCTION("""COMPUTED_VALUE"""),"Viren")</f>
        <v>Viren</v>
      </c>
      <c r="C827" s="1">
        <f>IFERROR(__xludf.DUMMYFUNCTION("""COMPUTED_VALUE"""),9.999976925E9)</f>
        <v>9999976925</v>
      </c>
      <c r="D827" s="1">
        <f>IFERROR(__xludf.DUMMYFUNCTION("""COMPUTED_VALUE"""),1.0)</f>
        <v>1</v>
      </c>
      <c r="E827" s="3">
        <f>IFERROR(__xludf.DUMMYFUNCTION("""COMPUTED_VALUE"""),0.7777777777810115)</f>
        <v>0.7777777778</v>
      </c>
      <c r="F827" s="1" t="str">
        <f>IFERROR(__xludf.DUMMYFUNCTION("""COMPUTED_VALUE"""),"Antique Gold")</f>
        <v>Antique Gold</v>
      </c>
      <c r="G827" s="1" t="str">
        <f>IFERROR(__xludf.DUMMYFUNCTION("""COMPUTED_VALUE"""),"Pooja")</f>
        <v>Pooja</v>
      </c>
      <c r="H827" s="1" t="str">
        <f>IFERROR(__xludf.DUMMYFUNCTION("""COMPUTED_VALUE"""),".")</f>
        <v>.</v>
      </c>
      <c r="I827" s="1" t="str">
        <f>IFERROR(__xludf.DUMMYFUNCTION("""COMPUTED_VALUE"""),"Pick up Order")</f>
        <v>Pick up Order</v>
      </c>
      <c r="J827" s="1"/>
      <c r="K827" s="3">
        <f>IFERROR(__xludf.DUMMYFUNCTION("""COMPUTED_VALUE"""),0.7881944444452529)</f>
        <v>0.7881944444</v>
      </c>
      <c r="L827" s="1" t="str">
        <f>IFERROR(__xludf.DUMMYFUNCTION("""COMPUTED_VALUE"""),"Yes")</f>
        <v>Yes</v>
      </c>
      <c r="M827" s="1" t="str">
        <f>IFERROR(__xludf.DUMMYFUNCTION("""COMPUTED_VALUE"""),"Already done ")</f>
        <v>Already done </v>
      </c>
      <c r="N827" s="1" t="str">
        <f>IFERROR(__xludf.DUMMYFUNCTION("""COMPUTED_VALUE"""),"Already done ")</f>
        <v>Already done </v>
      </c>
      <c r="O827" s="1" t="str">
        <f>IFERROR(__xludf.DUMMYFUNCTION("""COMPUTED_VALUE"""),"WA ONLY, CALL")</f>
        <v>WA ONLY, CALL</v>
      </c>
      <c r="P827" s="1" t="str">
        <f>IFERROR(__xludf.DUMMYFUNCTION("""COMPUTED_VALUE"""),"Sir")</f>
        <v>Sir</v>
      </c>
      <c r="Q827" s="1" t="str">
        <f>IFERROR(__xludf.DUMMYFUNCTION("""COMPUTED_VALUE"""),"No")</f>
        <v>No</v>
      </c>
      <c r="R827" s="1" t="str">
        <f>IFERROR(__xludf.DUMMYFUNCTION("""COMPUTED_VALUE"""),"OLD")</f>
        <v>OLD</v>
      </c>
      <c r="S827" s="1" t="str">
        <f>IFERROR(__xludf.DUMMYFUNCTION("""COMPUTED_VALUE"""),"No")</f>
        <v>No</v>
      </c>
    </row>
    <row r="828">
      <c r="A828" s="2">
        <f>IFERROR(__xludf.DUMMYFUNCTION("""COMPUTED_VALUE"""),45606.78224208333)</f>
        <v>45606.78224</v>
      </c>
      <c r="B828" s="1" t="str">
        <f>IFERROR(__xludf.DUMMYFUNCTION("""COMPUTED_VALUE"""),"Nitin")</f>
        <v>Nitin</v>
      </c>
      <c r="C828" s="1">
        <f>IFERROR(__xludf.DUMMYFUNCTION("""COMPUTED_VALUE"""),9.643715157E9)</f>
        <v>9643715157</v>
      </c>
      <c r="D828" s="1">
        <f>IFERROR(__xludf.DUMMYFUNCTION("""COMPUTED_VALUE"""),2.0)</f>
        <v>2</v>
      </c>
      <c r="E828" s="3">
        <f>IFERROR(__xludf.DUMMYFUNCTION("""COMPUTED_VALUE"""),0.625)</f>
        <v>0.625</v>
      </c>
      <c r="F828" s="1" t="str">
        <f>IFERROR(__xludf.DUMMYFUNCTION("""COMPUTED_VALUE"""),"Antique Gold")</f>
        <v>Antique Gold</v>
      </c>
      <c r="G828" s="1" t="str">
        <f>IFERROR(__xludf.DUMMYFUNCTION("""COMPUTED_VALUE"""),"Tannu")</f>
        <v>Tannu</v>
      </c>
      <c r="H828" s="1" t="str">
        <f>IFERROR(__xludf.DUMMYFUNCTION("""COMPUTED_VALUE"""),"Gold tops,gold coins ")</f>
        <v>Gold tops,gold coins </v>
      </c>
      <c r="I828" s="1"/>
      <c r="J828" s="1"/>
      <c r="K828" s="3">
        <f>IFERROR(__xludf.DUMMYFUNCTION("""COMPUTED_VALUE"""),0.6479166666686069)</f>
        <v>0.6479166667</v>
      </c>
      <c r="L828" s="1" t="str">
        <f>IFERROR(__xludf.DUMMYFUNCTION("""COMPUTED_VALUE"""),"Yes")</f>
        <v>Yes</v>
      </c>
      <c r="M828" s="1" t="str">
        <f>IFERROR(__xludf.DUMMYFUNCTION("""COMPUTED_VALUE"""),"Yes")</f>
        <v>Yes</v>
      </c>
      <c r="N828" s="1" t="str">
        <f>IFERROR(__xludf.DUMMYFUNCTION("""COMPUTED_VALUE"""),"Yes ")</f>
        <v>Yes </v>
      </c>
      <c r="O828" s="1" t="str">
        <f>IFERROR(__xludf.DUMMYFUNCTION("""COMPUTED_VALUE"""),"WA ONLY, CALL")</f>
        <v>WA ONLY, CALL</v>
      </c>
      <c r="P828" s="1" t="str">
        <f>IFERROR(__xludf.DUMMYFUNCTION("""COMPUTED_VALUE"""),"Sir")</f>
        <v>Sir</v>
      </c>
      <c r="Q828" s="1" t="str">
        <f>IFERROR(__xludf.DUMMYFUNCTION("""COMPUTED_VALUE"""),"No")</f>
        <v>No</v>
      </c>
      <c r="R828" s="1" t="str">
        <f>IFERROR(__xludf.DUMMYFUNCTION("""COMPUTED_VALUE"""),"NEW WALK IN")</f>
        <v>NEW WALK IN</v>
      </c>
      <c r="S828" s="1" t="str">
        <f>IFERROR(__xludf.DUMMYFUNCTION("""COMPUTED_VALUE"""),"Yes")</f>
        <v>Yes</v>
      </c>
    </row>
    <row r="829">
      <c r="A829" s="2">
        <f>IFERROR(__xludf.DUMMYFUNCTION("""COMPUTED_VALUE"""),45606.78414228009)</f>
        <v>45606.78414</v>
      </c>
      <c r="B829" s="1" t="str">
        <f>IFERROR(__xludf.DUMMYFUNCTION("""COMPUTED_VALUE"""),"Jitendra kumar")</f>
        <v>Jitendra kumar</v>
      </c>
      <c r="C829" s="1">
        <f>IFERROR(__xludf.DUMMYFUNCTION("""COMPUTED_VALUE"""),9.999928834E9)</f>
        <v>9999928834</v>
      </c>
      <c r="D829" s="1">
        <f>IFERROR(__xludf.DUMMYFUNCTION("""COMPUTED_VALUE"""),1.0)</f>
        <v>1</v>
      </c>
      <c r="E829" s="3">
        <f>IFERROR(__xludf.DUMMYFUNCTION("""COMPUTED_VALUE"""),0.6666666666642413)</f>
        <v>0.6666666667</v>
      </c>
      <c r="F829" s="1" t="str">
        <f>IFERROR(__xludf.DUMMYFUNCTION("""COMPUTED_VALUE"""),"Antique Gold")</f>
        <v>Antique Gold</v>
      </c>
      <c r="G829" s="1" t="str">
        <f>IFERROR(__xludf.DUMMYFUNCTION("""COMPUTED_VALUE"""),"Pooja")</f>
        <v>Pooja</v>
      </c>
      <c r="H829" s="1" t="str">
        <f>IFERROR(__xludf.DUMMYFUNCTION("""COMPUTED_VALUE"""),"Silver hanuman chalisa")</f>
        <v>Silver hanuman chalisa</v>
      </c>
      <c r="I829" s="1" t="str">
        <f>IFERROR(__xludf.DUMMYFUNCTION("""COMPUTED_VALUE"""),"Will ask family and come with them")</f>
        <v>Will ask family and come with them</v>
      </c>
      <c r="J829" s="1"/>
      <c r="K829" s="3">
        <f>IFERROR(__xludf.DUMMYFUNCTION("""COMPUTED_VALUE"""),0.6979166666642413)</f>
        <v>0.6979166667</v>
      </c>
      <c r="L829" s="1" t="str">
        <f>IFERROR(__xludf.DUMMYFUNCTION("""COMPUTED_VALUE"""),"Yes")</f>
        <v>Yes</v>
      </c>
      <c r="M829" s="1" t="str">
        <f>IFERROR(__xludf.DUMMYFUNCTION("""COMPUTED_VALUE"""),"Yes")</f>
        <v>Yes</v>
      </c>
      <c r="N829" s="1" t="str">
        <f>IFERROR(__xludf.DUMMYFUNCTION("""COMPUTED_VALUE"""),"No")</f>
        <v>No</v>
      </c>
      <c r="O829" s="1" t="str">
        <f>IFERROR(__xludf.DUMMYFUNCTION("""COMPUTED_VALUE"""),"WA ONLY, CALL")</f>
        <v>WA ONLY, CALL</v>
      </c>
      <c r="P829" s="1" t="str">
        <f>IFERROR(__xludf.DUMMYFUNCTION("""COMPUTED_VALUE"""),"Sir")</f>
        <v>Sir</v>
      </c>
      <c r="Q829" s="1" t="str">
        <f>IFERROR(__xludf.DUMMYFUNCTION("""COMPUTED_VALUE"""),"No")</f>
        <v>No</v>
      </c>
      <c r="R829" s="1" t="str">
        <f>IFERROR(__xludf.DUMMYFUNCTION("""COMPUTED_VALUE"""),"NEW WALK IN")</f>
        <v>NEW WALK IN</v>
      </c>
      <c r="S829" s="1" t="str">
        <f>IFERROR(__xludf.DUMMYFUNCTION("""COMPUTED_VALUE"""),"No")</f>
        <v>No</v>
      </c>
    </row>
    <row r="830">
      <c r="A830" s="2">
        <f>IFERROR(__xludf.DUMMYFUNCTION("""COMPUTED_VALUE"""),45606.78502236111)</f>
        <v>45606.78502</v>
      </c>
      <c r="B830" s="1" t="str">
        <f>IFERROR(__xludf.DUMMYFUNCTION("""COMPUTED_VALUE"""),"Aman")</f>
        <v>Aman</v>
      </c>
      <c r="C830" s="1">
        <f>IFERROR(__xludf.DUMMYFUNCTION("""COMPUTED_VALUE"""),8.95024306E9)</f>
        <v>8950243060</v>
      </c>
      <c r="D830" s="1">
        <f>IFERROR(__xludf.DUMMYFUNCTION("""COMPUTED_VALUE"""),5.0)</f>
        <v>5</v>
      </c>
      <c r="E830" s="3">
        <f>IFERROR(__xludf.DUMMYFUNCTION("""COMPUTED_VALUE"""),0.6805555555547471)</f>
        <v>0.6805555556</v>
      </c>
      <c r="F830" s="1" t="str">
        <f>IFERROR(__xludf.DUMMYFUNCTION("""COMPUTED_VALUE"""),"Diamond")</f>
        <v>Diamond</v>
      </c>
      <c r="G830" s="1" t="str">
        <f>IFERROR(__xludf.DUMMYFUNCTION("""COMPUTED_VALUE"""),"Preeti")</f>
        <v>Preeti</v>
      </c>
      <c r="H830" s="1" t="str">
        <f>IFERROR(__xludf.DUMMYFUNCTION("""COMPUTED_VALUE"""),"Diamond and cvd rings")</f>
        <v>Diamond and cvd rings</v>
      </c>
      <c r="I830" s="1" t="str">
        <f>IFERROR(__xludf.DUMMYFUNCTION("""COMPUTED_VALUE"""),"Will ask family and come with them")</f>
        <v>Will ask family and come with them</v>
      </c>
      <c r="J830" s="1"/>
      <c r="K830" s="3">
        <f>IFERROR(__xludf.DUMMYFUNCTION("""COMPUTED_VALUE"""),0.7083333333357587)</f>
        <v>0.7083333333</v>
      </c>
      <c r="L830" s="1" t="str">
        <f>IFERROR(__xludf.DUMMYFUNCTION("""COMPUTED_VALUE"""),"No")</f>
        <v>No</v>
      </c>
      <c r="M830" s="1" t="str">
        <f>IFERROR(__xludf.DUMMYFUNCTION("""COMPUTED_VALUE"""),"No")</f>
        <v>No</v>
      </c>
      <c r="N830" s="1" t="str">
        <f>IFERROR(__xludf.DUMMYFUNCTION("""COMPUTED_VALUE"""),"No")</f>
        <v>No</v>
      </c>
      <c r="O830" s="1" t="str">
        <f>IFERROR(__xludf.DUMMYFUNCTION("""COMPUTED_VALUE"""),"WA ONLY, CALL")</f>
        <v>WA ONLY, CALL</v>
      </c>
      <c r="P830" s="1" t="str">
        <f>IFERROR(__xludf.DUMMYFUNCTION("""COMPUTED_VALUE"""),"Sir")</f>
        <v>Sir</v>
      </c>
      <c r="Q830" s="1" t="str">
        <f>IFERROR(__xludf.DUMMYFUNCTION("""COMPUTED_VALUE"""),"No")</f>
        <v>No</v>
      </c>
      <c r="R830" s="1" t="str">
        <f>IFERROR(__xludf.DUMMYFUNCTION("""COMPUTED_VALUE"""),"NEW WALK IN")</f>
        <v>NEW WALK IN</v>
      </c>
      <c r="S830" s="1" t="str">
        <f>IFERROR(__xludf.DUMMYFUNCTION("""COMPUTED_VALUE"""),"No")</f>
        <v>No</v>
      </c>
    </row>
    <row r="831">
      <c r="A831" s="2">
        <f>IFERROR(__xludf.DUMMYFUNCTION("""COMPUTED_VALUE"""),45608.75334969907)</f>
        <v>45608.75335</v>
      </c>
      <c r="B831" s="1" t="str">
        <f>IFERROR(__xludf.DUMMYFUNCTION("""COMPUTED_VALUE"""),"Parul")</f>
        <v>Parul</v>
      </c>
      <c r="C831" s="1">
        <f>IFERROR(__xludf.DUMMYFUNCTION("""COMPUTED_VALUE"""),9.958853781E9)</f>
        <v>9958853781</v>
      </c>
      <c r="D831" s="1">
        <f>IFERROR(__xludf.DUMMYFUNCTION("""COMPUTED_VALUE"""),3.0)</f>
        <v>3</v>
      </c>
      <c r="E831" s="3">
        <f>IFERROR(__xludf.DUMMYFUNCTION("""COMPUTED_VALUE"""),0.5763888888905058)</f>
        <v>0.5763888889</v>
      </c>
      <c r="F831" s="1" t="str">
        <f>IFERROR(__xludf.DUMMYFUNCTION("""COMPUTED_VALUE"""),"Plain Gold")</f>
        <v>Plain Gold</v>
      </c>
      <c r="G831" s="1" t="str">
        <f>IFERROR(__xludf.DUMMYFUNCTION("""COMPUTED_VALUE"""),"Tannu")</f>
        <v>Tannu</v>
      </c>
      <c r="H831" s="1" t="str">
        <f>IFERROR(__xludf.DUMMYFUNCTION("""COMPUTED_VALUE"""),"Hold nose pin")</f>
        <v>Hold nose pin</v>
      </c>
      <c r="I831" s="1" t="str">
        <f>IFERROR(__xludf.DUMMYFUNCTION("""COMPUTED_VALUE"""),"22k gold nose pin not avaliable in the stok ")</f>
        <v>22k gold nose pin not avaliable in the stok </v>
      </c>
      <c r="J831" s="1"/>
      <c r="K831" s="3">
        <f>IFERROR(__xludf.DUMMYFUNCTION("""COMPUTED_VALUE"""),0.5868055555547471)</f>
        <v>0.5868055556</v>
      </c>
      <c r="L831" s="1" t="str">
        <f>IFERROR(__xludf.DUMMYFUNCTION("""COMPUTED_VALUE"""),"No")</f>
        <v>No</v>
      </c>
      <c r="M831" s="1" t="str">
        <f>IFERROR(__xludf.DUMMYFUNCTION("""COMPUTED_VALUE"""),"No")</f>
        <v>No</v>
      </c>
      <c r="N831" s="1" t="str">
        <f>IFERROR(__xludf.DUMMYFUNCTION("""COMPUTED_VALUE"""),"No")</f>
        <v>No</v>
      </c>
      <c r="O831" s="1" t="str">
        <f>IFERROR(__xludf.DUMMYFUNCTION("""COMPUTED_VALUE"""),"WA ONLY, CALL")</f>
        <v>WA ONLY, CALL</v>
      </c>
      <c r="P831" s="1" t="str">
        <f>IFERROR(__xludf.DUMMYFUNCTION("""COMPUTED_VALUE"""),"Madam")</f>
        <v>Madam</v>
      </c>
      <c r="Q831" s="1" t="str">
        <f>IFERROR(__xludf.DUMMYFUNCTION("""COMPUTED_VALUE"""),"No")</f>
        <v>No</v>
      </c>
      <c r="R831" s="1" t="str">
        <f>IFERROR(__xludf.DUMMYFUNCTION("""COMPUTED_VALUE"""),"NEW WALK IN")</f>
        <v>NEW WALK IN</v>
      </c>
      <c r="S831" s="1" t="str">
        <f>IFERROR(__xludf.DUMMYFUNCTION("""COMPUTED_VALUE"""),"No")</f>
        <v>No</v>
      </c>
    </row>
    <row r="832">
      <c r="A832" s="2">
        <f>IFERROR(__xludf.DUMMYFUNCTION("""COMPUTED_VALUE"""),45608.77477001157)</f>
        <v>45608.77477</v>
      </c>
      <c r="B832" s="1" t="str">
        <f>IFERROR(__xludf.DUMMYFUNCTION("""COMPUTED_VALUE"""),"Neelam")</f>
        <v>Neelam</v>
      </c>
      <c r="C832" s="1">
        <f>IFERROR(__xludf.DUMMYFUNCTION("""COMPUTED_VALUE"""),7.982275693E9)</f>
        <v>7982275693</v>
      </c>
      <c r="D832" s="1">
        <f>IFERROR(__xludf.DUMMYFUNCTION("""COMPUTED_VALUE"""),2.0)</f>
        <v>2</v>
      </c>
      <c r="E832" s="3">
        <f>IFERROR(__xludf.DUMMYFUNCTION("""COMPUTED_VALUE"""),0.6569444444467081)</f>
        <v>0.6569444444</v>
      </c>
      <c r="F832" s="1" t="str">
        <f>IFERROR(__xludf.DUMMYFUNCTION("""COMPUTED_VALUE"""),"Antique Gold")</f>
        <v>Antique Gold</v>
      </c>
      <c r="G832" s="1" t="str">
        <f>IFERROR(__xludf.DUMMYFUNCTION("""COMPUTED_VALUE"""),"Pooja")</f>
        <v>Pooja</v>
      </c>
      <c r="H832" s="1" t="str">
        <f>IFERROR(__xludf.DUMMYFUNCTION("""COMPUTED_VALUE"""),"Gold band,silver glass,plate ")</f>
        <v>Gold band,silver glass,plate </v>
      </c>
      <c r="I832" s="1"/>
      <c r="J832" s="1"/>
      <c r="K832" s="3">
        <f>IFERROR(__xludf.DUMMYFUNCTION("""COMPUTED_VALUE"""),0.7562499999985448)</f>
        <v>0.75625</v>
      </c>
      <c r="L832" s="1" t="str">
        <f>IFERROR(__xludf.DUMMYFUNCTION("""COMPUTED_VALUE"""),"Yes")</f>
        <v>Yes</v>
      </c>
      <c r="M832" s="1" t="str">
        <f>IFERROR(__xludf.DUMMYFUNCTION("""COMPUTED_VALUE"""),"Already done ")</f>
        <v>Already done </v>
      </c>
      <c r="N832" s="1" t="str">
        <f>IFERROR(__xludf.DUMMYFUNCTION("""COMPUTED_VALUE"""),"Already done ")</f>
        <v>Already done </v>
      </c>
      <c r="O832" s="1" t="str">
        <f>IFERROR(__xludf.DUMMYFUNCTION("""COMPUTED_VALUE"""),"WA ONLY, CALL")</f>
        <v>WA ONLY, CALL</v>
      </c>
      <c r="P832" s="1" t="str">
        <f>IFERROR(__xludf.DUMMYFUNCTION("""COMPUTED_VALUE"""),"Madam")</f>
        <v>Madam</v>
      </c>
      <c r="Q832" s="1" t="str">
        <f>IFERROR(__xludf.DUMMYFUNCTION("""COMPUTED_VALUE"""),"No")</f>
        <v>No</v>
      </c>
      <c r="R832" s="1" t="str">
        <f>IFERROR(__xludf.DUMMYFUNCTION("""COMPUTED_VALUE"""),"OLD")</f>
        <v>OLD</v>
      </c>
      <c r="S832" s="1" t="str">
        <f>IFERROR(__xludf.DUMMYFUNCTION("""COMPUTED_VALUE"""),"Yes")</f>
        <v>Yes</v>
      </c>
    </row>
    <row r="833">
      <c r="A833" s="2">
        <f>IFERROR(__xludf.DUMMYFUNCTION("""COMPUTED_VALUE"""),45608.77547719907)</f>
        <v>45608.77548</v>
      </c>
      <c r="B833" s="1" t="str">
        <f>IFERROR(__xludf.DUMMYFUNCTION("""COMPUTED_VALUE"""),"Amit garg")</f>
        <v>Amit garg</v>
      </c>
      <c r="C833" s="1">
        <f>IFERROR(__xludf.DUMMYFUNCTION("""COMPUTED_VALUE"""),8.882646525E9)</f>
        <v>8882646525</v>
      </c>
      <c r="D833" s="1">
        <f>IFERROR(__xludf.DUMMYFUNCTION("""COMPUTED_VALUE"""),2.0)</f>
        <v>2</v>
      </c>
      <c r="E833" s="3">
        <f>IFERROR(__xludf.DUMMYFUNCTION("""COMPUTED_VALUE"""),0.7479166666671517)</f>
        <v>0.7479166667</v>
      </c>
      <c r="F833" s="1" t="str">
        <f>IFERROR(__xludf.DUMMYFUNCTION("""COMPUTED_VALUE"""),"Plain Gold")</f>
        <v>Plain Gold</v>
      </c>
      <c r="G833" s="1" t="str">
        <f>IFERROR(__xludf.DUMMYFUNCTION("""COMPUTED_VALUE"""),"Tannu")</f>
        <v>Tannu</v>
      </c>
      <c r="H833" s="1" t="str">
        <f>IFERROR(__xludf.DUMMYFUNCTION("""COMPUTED_VALUE"""),"Silver ring")</f>
        <v>Silver ring</v>
      </c>
      <c r="I833" s="1" t="str">
        <f>IFERROR(__xludf.DUMMYFUNCTION("""COMPUTED_VALUE"""),"Will ask family and come with them")</f>
        <v>Will ask family and come with them</v>
      </c>
      <c r="J833" s="1"/>
      <c r="K833" s="3">
        <f>IFERROR(__xludf.DUMMYFUNCTION("""COMPUTED_VALUE"""),0.7673611111094942)</f>
        <v>0.7673611111</v>
      </c>
      <c r="L833" s="1" t="str">
        <f>IFERROR(__xludf.DUMMYFUNCTION("""COMPUTED_VALUE"""),"No")</f>
        <v>No</v>
      </c>
      <c r="M833" s="1" t="str">
        <f>IFERROR(__xludf.DUMMYFUNCTION("""COMPUTED_VALUE"""),"No")</f>
        <v>No</v>
      </c>
      <c r="N833" s="1" t="str">
        <f>IFERROR(__xludf.DUMMYFUNCTION("""COMPUTED_VALUE"""),"No")</f>
        <v>No</v>
      </c>
      <c r="O833" s="1" t="str">
        <f>IFERROR(__xludf.DUMMYFUNCTION("""COMPUTED_VALUE"""),"WA ONLY, CALL")</f>
        <v>WA ONLY, CALL</v>
      </c>
      <c r="P833" s="1" t="str">
        <f>IFERROR(__xludf.DUMMYFUNCTION("""COMPUTED_VALUE"""),"Sir")</f>
        <v>Sir</v>
      </c>
      <c r="Q833" s="1" t="str">
        <f>IFERROR(__xludf.DUMMYFUNCTION("""COMPUTED_VALUE"""),"No")</f>
        <v>No</v>
      </c>
      <c r="R833" s="1" t="str">
        <f>IFERROR(__xludf.DUMMYFUNCTION("""COMPUTED_VALUE"""),"NEW WALK IN")</f>
        <v>NEW WALK IN</v>
      </c>
      <c r="S833" s="1" t="str">
        <f>IFERROR(__xludf.DUMMYFUNCTION("""COMPUTED_VALUE"""),"No")</f>
        <v>No</v>
      </c>
    </row>
    <row r="834">
      <c r="A834" s="2">
        <f>IFERROR(__xludf.DUMMYFUNCTION("""COMPUTED_VALUE"""),45608.77625167824)</f>
        <v>45608.77625</v>
      </c>
      <c r="B834" s="1" t="str">
        <f>IFERROR(__xludf.DUMMYFUNCTION("""COMPUTED_VALUE"""),"Narzudin")</f>
        <v>Narzudin</v>
      </c>
      <c r="C834" s="1">
        <f>IFERROR(__xludf.DUMMYFUNCTION("""COMPUTED_VALUE"""),9.868506683E9)</f>
        <v>9868506683</v>
      </c>
      <c r="D834" s="1">
        <f>IFERROR(__xludf.DUMMYFUNCTION("""COMPUTED_VALUE"""),2.0)</f>
        <v>2</v>
      </c>
      <c r="E834" s="3">
        <f>IFERROR(__xludf.DUMMYFUNCTION("""COMPUTED_VALUE"""),0.7569444444452529)</f>
        <v>0.7569444444</v>
      </c>
      <c r="F834" s="1" t="str">
        <f>IFERROR(__xludf.DUMMYFUNCTION("""COMPUTED_VALUE"""),"Diamond")</f>
        <v>Diamond</v>
      </c>
      <c r="G834" s="1" t="str">
        <f>IFERROR(__xludf.DUMMYFUNCTION("""COMPUTED_VALUE"""),"Preeti")</f>
        <v>Preeti</v>
      </c>
      <c r="H834" s="1" t="str">
        <f>IFERROR(__xludf.DUMMYFUNCTION("""COMPUTED_VALUE"""),"Gold nose pin")</f>
        <v>Gold nose pin</v>
      </c>
      <c r="I834" s="1" t="str">
        <f>IFERROR(__xludf.DUMMYFUNCTION("""COMPUTED_VALUE"""),"Want to see More Variety")</f>
        <v>Want to see More Variety</v>
      </c>
      <c r="J834" s="1"/>
      <c r="K834" s="3">
        <f>IFERROR(__xludf.DUMMYFUNCTION("""COMPUTED_VALUE"""),0.7624999999970896)</f>
        <v>0.7625</v>
      </c>
      <c r="L834" s="1" t="str">
        <f>IFERROR(__xludf.DUMMYFUNCTION("""COMPUTED_VALUE"""),"No")</f>
        <v>No</v>
      </c>
      <c r="M834" s="1" t="str">
        <f>IFERROR(__xludf.DUMMYFUNCTION("""COMPUTED_VALUE"""),"No")</f>
        <v>No</v>
      </c>
      <c r="N834" s="1" t="str">
        <f>IFERROR(__xludf.DUMMYFUNCTION("""COMPUTED_VALUE"""),"No")</f>
        <v>No</v>
      </c>
      <c r="O834" s="1" t="str">
        <f>IFERROR(__xludf.DUMMYFUNCTION("""COMPUTED_VALUE"""),"WA ONLY, CALL")</f>
        <v>WA ONLY, CALL</v>
      </c>
      <c r="P834" s="1" t="str">
        <f>IFERROR(__xludf.DUMMYFUNCTION("""COMPUTED_VALUE"""),"Sir")</f>
        <v>Sir</v>
      </c>
      <c r="Q834" s="1" t="str">
        <f>IFERROR(__xludf.DUMMYFUNCTION("""COMPUTED_VALUE"""),"No")</f>
        <v>No</v>
      </c>
      <c r="R834" s="1" t="str">
        <f>IFERROR(__xludf.DUMMYFUNCTION("""COMPUTED_VALUE"""),"NEW WALK IN")</f>
        <v>NEW WALK IN</v>
      </c>
      <c r="S834" s="1" t="str">
        <f>IFERROR(__xludf.DUMMYFUNCTION("""COMPUTED_VALUE"""),"No")</f>
        <v>No</v>
      </c>
    </row>
    <row r="835">
      <c r="A835" s="2">
        <f>IFERROR(__xludf.DUMMYFUNCTION("""COMPUTED_VALUE"""),45609.7589412963)</f>
        <v>45609.75894</v>
      </c>
      <c r="B835" s="1" t="str">
        <f>IFERROR(__xludf.DUMMYFUNCTION("""COMPUTED_VALUE"""),"Abit kc")</f>
        <v>Abit kc</v>
      </c>
      <c r="C835" s="1">
        <f>IFERROR(__xludf.DUMMYFUNCTION("""COMPUTED_VALUE"""),9.857862957E9)</f>
        <v>9857862957</v>
      </c>
      <c r="D835" s="1">
        <f>IFERROR(__xludf.DUMMYFUNCTION("""COMPUTED_VALUE"""),2.0)</f>
        <v>2</v>
      </c>
      <c r="E835" s="3">
        <f>IFERROR(__xludf.DUMMYFUNCTION("""COMPUTED_VALUE"""),0.6006944444452529)</f>
        <v>0.6006944444</v>
      </c>
      <c r="F835" s="1" t="str">
        <f>IFERROR(__xludf.DUMMYFUNCTION("""COMPUTED_VALUE"""),"Antique Gold")</f>
        <v>Antique Gold</v>
      </c>
      <c r="G835" s="1" t="str">
        <f>IFERROR(__xludf.DUMMYFUNCTION("""COMPUTED_VALUE"""),"Pooja")</f>
        <v>Pooja</v>
      </c>
      <c r="H835" s="1" t="str">
        <f>IFERROR(__xludf.DUMMYFUNCTION("""COMPUTED_VALUE"""),"Gold gents ring,gold baar")</f>
        <v>Gold gents ring,gold baar</v>
      </c>
      <c r="I835" s="1"/>
      <c r="J835" s="1"/>
      <c r="K835" s="3">
        <f>IFERROR(__xludf.DUMMYFUNCTION("""COMPUTED_VALUE"""),0.6451388888890506)</f>
        <v>0.6451388889</v>
      </c>
      <c r="L835" s="1" t="str">
        <f>IFERROR(__xludf.DUMMYFUNCTION("""COMPUTED_VALUE"""),"Yes")</f>
        <v>Yes</v>
      </c>
      <c r="M835" s="1" t="str">
        <f>IFERROR(__xludf.DUMMYFUNCTION("""COMPUTED_VALUE"""),"Yes")</f>
        <v>Yes</v>
      </c>
      <c r="N835" s="1" t="str">
        <f>IFERROR(__xludf.DUMMYFUNCTION("""COMPUTED_VALUE"""),"Yes")</f>
        <v>Yes</v>
      </c>
      <c r="O835" s="1" t="str">
        <f>IFERROR(__xludf.DUMMYFUNCTION("""COMPUTED_VALUE"""),"WA ONLY, CALL")</f>
        <v>WA ONLY, CALL</v>
      </c>
      <c r="P835" s="1" t="str">
        <f>IFERROR(__xludf.DUMMYFUNCTION("""COMPUTED_VALUE"""),"Sir")</f>
        <v>Sir</v>
      </c>
      <c r="Q835" s="1" t="str">
        <f>IFERROR(__xludf.DUMMYFUNCTION("""COMPUTED_VALUE"""),"No")</f>
        <v>No</v>
      </c>
      <c r="R835" s="1" t="str">
        <f>IFERROR(__xludf.DUMMYFUNCTION("""COMPUTED_VALUE"""),"NEW WALK IN")</f>
        <v>NEW WALK IN</v>
      </c>
      <c r="S835" s="1" t="str">
        <f>IFERROR(__xludf.DUMMYFUNCTION("""COMPUTED_VALUE"""),"Yes")</f>
        <v>Yes</v>
      </c>
    </row>
    <row r="836">
      <c r="A836" s="2">
        <f>IFERROR(__xludf.DUMMYFUNCTION("""COMPUTED_VALUE"""),45609.7623336574)</f>
        <v>45609.76233</v>
      </c>
      <c r="B836" s="1" t="str">
        <f>IFERROR(__xludf.DUMMYFUNCTION("""COMPUTED_VALUE"""),"Rakesh kumar")</f>
        <v>Rakesh kumar</v>
      </c>
      <c r="C836" s="1">
        <f>IFERROR(__xludf.DUMMYFUNCTION("""COMPUTED_VALUE"""),9.891181272E9)</f>
        <v>9891181272</v>
      </c>
      <c r="D836" s="1">
        <f>IFERROR(__xludf.DUMMYFUNCTION("""COMPUTED_VALUE"""),2.0)</f>
        <v>2</v>
      </c>
      <c r="E836" s="3">
        <f>IFERROR(__xludf.DUMMYFUNCTION("""COMPUTED_VALUE"""),0.625)</f>
        <v>0.625</v>
      </c>
      <c r="F836" s="1" t="str">
        <f>IFERROR(__xludf.DUMMYFUNCTION("""COMPUTED_VALUE"""),"Plain Gold")</f>
        <v>Plain Gold</v>
      </c>
      <c r="G836" s="1" t="str">
        <f>IFERROR(__xludf.DUMMYFUNCTION("""COMPUTED_VALUE"""),"Pooja")</f>
        <v>Pooja</v>
      </c>
      <c r="H836" s="1" t="str">
        <f>IFERROR(__xludf.DUMMYFUNCTION("""COMPUTED_VALUE"""),"Gold pendent,diamond tops,cvd tops")</f>
        <v>Gold pendent,diamond tops,cvd tops</v>
      </c>
      <c r="I836" s="1"/>
      <c r="J836" s="1"/>
      <c r="K836" s="3">
        <f>IFERROR(__xludf.DUMMYFUNCTION("""COMPUTED_VALUE"""),0.6770833333357587)</f>
        <v>0.6770833333</v>
      </c>
      <c r="L836" s="1" t="str">
        <f>IFERROR(__xludf.DUMMYFUNCTION("""COMPUTED_VALUE"""),"Yes")</f>
        <v>Yes</v>
      </c>
      <c r="M836" s="1" t="str">
        <f>IFERROR(__xludf.DUMMYFUNCTION("""COMPUTED_VALUE"""),"Already done ")</f>
        <v>Already done </v>
      </c>
      <c r="N836" s="1" t="str">
        <f>IFERROR(__xludf.DUMMYFUNCTION("""COMPUTED_VALUE"""),"Already done ")</f>
        <v>Already done </v>
      </c>
      <c r="O836" s="1" t="str">
        <f>IFERROR(__xludf.DUMMYFUNCTION("""COMPUTED_VALUE"""),"WA ONLY, CALL")</f>
        <v>WA ONLY, CALL</v>
      </c>
      <c r="P836" s="1" t="str">
        <f>IFERROR(__xludf.DUMMYFUNCTION("""COMPUTED_VALUE"""),"Sir")</f>
        <v>Sir</v>
      </c>
      <c r="Q836" s="1" t="str">
        <f>IFERROR(__xludf.DUMMYFUNCTION("""COMPUTED_VALUE"""),"No")</f>
        <v>No</v>
      </c>
      <c r="R836" s="1" t="str">
        <f>IFERROR(__xludf.DUMMYFUNCTION("""COMPUTED_VALUE"""),"OLD")</f>
        <v>OLD</v>
      </c>
      <c r="S836" s="1" t="str">
        <f>IFERROR(__xludf.DUMMYFUNCTION("""COMPUTED_VALUE"""),"Yes")</f>
        <v>Yes</v>
      </c>
    </row>
    <row r="837">
      <c r="A837" s="2">
        <f>IFERROR(__xludf.DUMMYFUNCTION("""COMPUTED_VALUE"""),45609.76315371528)</f>
        <v>45609.76315</v>
      </c>
      <c r="B837" s="1" t="str">
        <f>IFERROR(__xludf.DUMMYFUNCTION("""COMPUTED_VALUE"""),"Arushi")</f>
        <v>Arushi</v>
      </c>
      <c r="C837" s="1">
        <f>IFERROR(__xludf.DUMMYFUNCTION("""COMPUTED_VALUE"""),8.13097101E9)</f>
        <v>8130971010</v>
      </c>
      <c r="D837" s="1">
        <f>IFERROR(__xludf.DUMMYFUNCTION("""COMPUTED_VALUE"""),2.0)</f>
        <v>2</v>
      </c>
      <c r="E837" s="3">
        <f>IFERROR(__xludf.DUMMYFUNCTION("""COMPUTED_VALUE"""),0.6423611111094942)</f>
        <v>0.6423611111</v>
      </c>
      <c r="F837" s="1" t="str">
        <f>IFERROR(__xludf.DUMMYFUNCTION("""COMPUTED_VALUE"""),"Diamond")</f>
        <v>Diamond</v>
      </c>
      <c r="G837" s="1" t="str">
        <f>IFERROR(__xludf.DUMMYFUNCTION("""COMPUTED_VALUE"""),"Tannu")</f>
        <v>Tannu</v>
      </c>
      <c r="H837" s="1" t="str">
        <f>IFERROR(__xludf.DUMMYFUNCTION("""COMPUTED_VALUE"""),"Gold band")</f>
        <v>Gold band</v>
      </c>
      <c r="I837" s="1" t="str">
        <f>IFERROR(__xludf.DUMMYFUNCTION("""COMPUTED_VALUE"""),"Visit Again in 1 Month")</f>
        <v>Visit Again in 1 Month</v>
      </c>
      <c r="J837" s="1"/>
      <c r="K837" s="3">
        <f>IFERROR(__xludf.DUMMYFUNCTION("""COMPUTED_VALUE"""),0.6861111111065838)</f>
        <v>0.6861111111</v>
      </c>
      <c r="L837" s="1" t="str">
        <f>IFERROR(__xludf.DUMMYFUNCTION("""COMPUTED_VALUE"""),"Yes")</f>
        <v>Yes</v>
      </c>
      <c r="M837" s="1" t="str">
        <f>IFERROR(__xludf.DUMMYFUNCTION("""COMPUTED_VALUE"""),"Already done ")</f>
        <v>Already done </v>
      </c>
      <c r="N837" s="1" t="str">
        <f>IFERROR(__xludf.DUMMYFUNCTION("""COMPUTED_VALUE"""),"Already done ")</f>
        <v>Already done </v>
      </c>
      <c r="O837" s="1" t="str">
        <f>IFERROR(__xludf.DUMMYFUNCTION("""COMPUTED_VALUE"""),"WA ONLY, CALL")</f>
        <v>WA ONLY, CALL</v>
      </c>
      <c r="P837" s="1" t="str">
        <f>IFERROR(__xludf.DUMMYFUNCTION("""COMPUTED_VALUE"""),"Madam")</f>
        <v>Madam</v>
      </c>
      <c r="Q837" s="1" t="str">
        <f>IFERROR(__xludf.DUMMYFUNCTION("""COMPUTED_VALUE"""),"No")</f>
        <v>No</v>
      </c>
      <c r="R837" s="1" t="str">
        <f>IFERROR(__xludf.DUMMYFUNCTION("""COMPUTED_VALUE"""),"OLD")</f>
        <v>OLD</v>
      </c>
      <c r="S837" s="1" t="str">
        <f>IFERROR(__xludf.DUMMYFUNCTION("""COMPUTED_VALUE"""),"No")</f>
        <v>No</v>
      </c>
    </row>
    <row r="838">
      <c r="A838" s="2">
        <f>IFERROR(__xludf.DUMMYFUNCTION("""COMPUTED_VALUE"""),45609.76419855324)</f>
        <v>45609.7642</v>
      </c>
      <c r="B838" s="1" t="str">
        <f>IFERROR(__xludf.DUMMYFUNCTION("""COMPUTED_VALUE"""),"Sunit")</f>
        <v>Sunit</v>
      </c>
      <c r="C838" s="1">
        <f>IFERROR(__xludf.DUMMYFUNCTION("""COMPUTED_VALUE"""),9.728543318E9)</f>
        <v>9728543318</v>
      </c>
      <c r="D838" s="1">
        <f>IFERROR(__xludf.DUMMYFUNCTION("""COMPUTED_VALUE"""),1.0)</f>
        <v>1</v>
      </c>
      <c r="E838" s="3">
        <f>IFERROR(__xludf.DUMMYFUNCTION("""COMPUTED_VALUE"""),0.7013888888905058)</f>
        <v>0.7013888889</v>
      </c>
      <c r="F838" s="1" t="str">
        <f>IFERROR(__xludf.DUMMYFUNCTION("""COMPUTED_VALUE"""),"Plain Gold")</f>
        <v>Plain Gold</v>
      </c>
      <c r="G838" s="1" t="str">
        <f>IFERROR(__xludf.DUMMYFUNCTION("""COMPUTED_VALUE"""),"Tannu")</f>
        <v>Tannu</v>
      </c>
      <c r="H838" s="1" t="str">
        <f>IFERROR(__xludf.DUMMYFUNCTION("""COMPUTED_VALUE"""),"Gold chain,gold 50gm coin,gold 5gm coin")</f>
        <v>Gold chain,gold 50gm coin,gold 5gm coin</v>
      </c>
      <c r="I838" s="1"/>
      <c r="J838" s="1"/>
      <c r="K838" s="3">
        <f>IFERROR(__xludf.DUMMYFUNCTION("""COMPUTED_VALUE"""),0.7416666666686069)</f>
        <v>0.7416666667</v>
      </c>
      <c r="L838" s="1" t="str">
        <f>IFERROR(__xludf.DUMMYFUNCTION("""COMPUTED_VALUE"""),"Yes")</f>
        <v>Yes</v>
      </c>
      <c r="M838" s="1" t="str">
        <f>IFERROR(__xludf.DUMMYFUNCTION("""COMPUTED_VALUE"""),"Yes")</f>
        <v>Yes</v>
      </c>
      <c r="N838" s="1" t="str">
        <f>IFERROR(__xludf.DUMMYFUNCTION("""COMPUTED_VALUE"""),"Yes")</f>
        <v>Yes</v>
      </c>
      <c r="O838" s="1" t="str">
        <f>IFERROR(__xludf.DUMMYFUNCTION("""COMPUTED_VALUE"""),"WA ONLY, CALL")</f>
        <v>WA ONLY, CALL</v>
      </c>
      <c r="P838" s="1" t="str">
        <f>IFERROR(__xludf.DUMMYFUNCTION("""COMPUTED_VALUE"""),"Sir")</f>
        <v>Sir</v>
      </c>
      <c r="Q838" s="1" t="str">
        <f>IFERROR(__xludf.DUMMYFUNCTION("""COMPUTED_VALUE"""),"No")</f>
        <v>No</v>
      </c>
      <c r="R838" s="1" t="str">
        <f>IFERROR(__xludf.DUMMYFUNCTION("""COMPUTED_VALUE"""),"NEW WALK IN")</f>
        <v>NEW WALK IN</v>
      </c>
      <c r="S838" s="1" t="str">
        <f>IFERROR(__xludf.DUMMYFUNCTION("""COMPUTED_VALUE"""),"Yes")</f>
        <v>Yes</v>
      </c>
    </row>
    <row r="839">
      <c r="A839" s="2">
        <f>IFERROR(__xludf.DUMMYFUNCTION("""COMPUTED_VALUE"""),45610.788953923606)</f>
        <v>45610.78895</v>
      </c>
      <c r="B839" s="1" t="str">
        <f>IFERROR(__xludf.DUMMYFUNCTION("""COMPUTED_VALUE"""),"Gagan")</f>
        <v>Gagan</v>
      </c>
      <c r="C839" s="1">
        <f>IFERROR(__xludf.DUMMYFUNCTION("""COMPUTED_VALUE"""),9.899559925E9)</f>
        <v>9899559925</v>
      </c>
      <c r="D839" s="1">
        <f>IFERROR(__xludf.DUMMYFUNCTION("""COMPUTED_VALUE"""),1.0)</f>
        <v>1</v>
      </c>
      <c r="E839" s="3">
        <f>IFERROR(__xludf.DUMMYFUNCTION("""COMPUTED_VALUE"""),0.6666666666642413)</f>
        <v>0.6666666667</v>
      </c>
      <c r="F839" s="1" t="str">
        <f>IFERROR(__xludf.DUMMYFUNCTION("""COMPUTED_VALUE"""),"Antique Gold")</f>
        <v>Antique Gold</v>
      </c>
      <c r="G839" s="1" t="str">
        <f>IFERROR(__xludf.DUMMYFUNCTION("""COMPUTED_VALUE"""),"Pooja")</f>
        <v>Pooja</v>
      </c>
      <c r="H839" s="1" t="str">
        <f>IFERROR(__xludf.DUMMYFUNCTION("""COMPUTED_VALUE"""),"Mmtc coins 20gm,10 gm")</f>
        <v>Mmtc coins 20gm,10 gm</v>
      </c>
      <c r="I839" s="1"/>
      <c r="J839" s="1"/>
      <c r="K839" s="3">
        <f>IFERROR(__xludf.DUMMYFUNCTION("""COMPUTED_VALUE"""),0.6729166666627862)</f>
        <v>0.6729166667</v>
      </c>
      <c r="L839" s="1" t="str">
        <f>IFERROR(__xludf.DUMMYFUNCTION("""COMPUTED_VALUE"""),"No")</f>
        <v>No</v>
      </c>
      <c r="M839" s="1" t="str">
        <f>IFERROR(__xludf.DUMMYFUNCTION("""COMPUTED_VALUE"""),"No")</f>
        <v>No</v>
      </c>
      <c r="N839" s="1" t="str">
        <f>IFERROR(__xludf.DUMMYFUNCTION("""COMPUTED_VALUE"""),"No")</f>
        <v>No</v>
      </c>
      <c r="O839" s="1" t="str">
        <f>IFERROR(__xludf.DUMMYFUNCTION("""COMPUTED_VALUE"""),"WA ONLY, CALL")</f>
        <v>WA ONLY, CALL</v>
      </c>
      <c r="P839" s="1" t="str">
        <f>IFERROR(__xludf.DUMMYFUNCTION("""COMPUTED_VALUE"""),"Sir")</f>
        <v>Sir</v>
      </c>
      <c r="Q839" s="1" t="str">
        <f>IFERROR(__xludf.DUMMYFUNCTION("""COMPUTED_VALUE"""),"No")</f>
        <v>No</v>
      </c>
      <c r="R839" s="1" t="str">
        <f>IFERROR(__xludf.DUMMYFUNCTION("""COMPUTED_VALUE"""),"NEW WALK IN")</f>
        <v>NEW WALK IN</v>
      </c>
      <c r="S839" s="1" t="str">
        <f>IFERROR(__xludf.DUMMYFUNCTION("""COMPUTED_VALUE"""),"No")</f>
        <v>No</v>
      </c>
    </row>
    <row r="840">
      <c r="A840" s="2">
        <f>IFERROR(__xludf.DUMMYFUNCTION("""COMPUTED_VALUE"""),45610.78957849537)</f>
        <v>45610.78958</v>
      </c>
      <c r="B840" s="1" t="str">
        <f>IFERROR(__xludf.DUMMYFUNCTION("""COMPUTED_VALUE"""),"Rakesh ")</f>
        <v>Rakesh </v>
      </c>
      <c r="C840" s="1">
        <f>IFERROR(__xludf.DUMMYFUNCTION("""COMPUTED_VALUE"""),9.891181272E9)</f>
        <v>9891181272</v>
      </c>
      <c r="D840" s="1">
        <f>IFERROR(__xludf.DUMMYFUNCTION("""COMPUTED_VALUE"""),1.0)</f>
        <v>1</v>
      </c>
      <c r="E840" s="3">
        <f>IFERROR(__xludf.DUMMYFUNCTION("""COMPUTED_VALUE"""),0.7083333333357587)</f>
        <v>0.7083333333</v>
      </c>
      <c r="F840" s="1" t="str">
        <f>IFERROR(__xludf.DUMMYFUNCTION("""COMPUTED_VALUE"""),"Plain Gold")</f>
        <v>Plain Gold</v>
      </c>
      <c r="G840" s="1" t="str">
        <f>IFERROR(__xludf.DUMMYFUNCTION("""COMPUTED_VALUE"""),"Deepali")</f>
        <v>Deepali</v>
      </c>
      <c r="H840" s="1"/>
      <c r="I840" s="1" t="str">
        <f>IFERROR(__xludf.DUMMYFUNCTION("""COMPUTED_VALUE"""),"Pick up Order")</f>
        <v>Pick up Order</v>
      </c>
      <c r="J840" s="1"/>
      <c r="K840" s="3">
        <f>IFERROR(__xludf.DUMMYFUNCTION("""COMPUTED_VALUE"""),0.7222222222189885)</f>
        <v>0.7222222222</v>
      </c>
      <c r="L840" s="1" t="str">
        <f>IFERROR(__xludf.DUMMYFUNCTION("""COMPUTED_VALUE"""),"Yes")</f>
        <v>Yes</v>
      </c>
      <c r="M840" s="1" t="str">
        <f>IFERROR(__xludf.DUMMYFUNCTION("""COMPUTED_VALUE"""),"Already done ")</f>
        <v>Already done </v>
      </c>
      <c r="N840" s="1" t="str">
        <f>IFERROR(__xludf.DUMMYFUNCTION("""COMPUTED_VALUE"""),"Already done ")</f>
        <v>Already done </v>
      </c>
      <c r="O840" s="1" t="str">
        <f>IFERROR(__xludf.DUMMYFUNCTION("""COMPUTED_VALUE"""),"WA ONLY, CALL")</f>
        <v>WA ONLY, CALL</v>
      </c>
      <c r="P840" s="1" t="str">
        <f>IFERROR(__xludf.DUMMYFUNCTION("""COMPUTED_VALUE"""),"Sir")</f>
        <v>Sir</v>
      </c>
      <c r="Q840" s="1" t="str">
        <f>IFERROR(__xludf.DUMMYFUNCTION("""COMPUTED_VALUE"""),"No")</f>
        <v>No</v>
      </c>
      <c r="R840" s="1" t="str">
        <f>IFERROR(__xludf.DUMMYFUNCTION("""COMPUTED_VALUE"""),"OLD")</f>
        <v>OLD</v>
      </c>
      <c r="S840" s="1" t="str">
        <f>IFERROR(__xludf.DUMMYFUNCTION("""COMPUTED_VALUE"""),"No")</f>
        <v>No</v>
      </c>
    </row>
    <row r="841">
      <c r="A841" s="2">
        <f>IFERROR(__xludf.DUMMYFUNCTION("""COMPUTED_VALUE"""),45610.790342858796)</f>
        <v>45610.79034</v>
      </c>
      <c r="B841" s="1" t="str">
        <f>IFERROR(__xludf.DUMMYFUNCTION("""COMPUTED_VALUE"""),"Abit kc")</f>
        <v>Abit kc</v>
      </c>
      <c r="C841" s="1">
        <f>IFERROR(__xludf.DUMMYFUNCTION("""COMPUTED_VALUE"""),9.857862957E9)</f>
        <v>9857862957</v>
      </c>
      <c r="D841" s="1">
        <f>IFERROR(__xludf.DUMMYFUNCTION("""COMPUTED_VALUE"""),2.0)</f>
        <v>2</v>
      </c>
      <c r="E841" s="3">
        <f>IFERROR(__xludf.DUMMYFUNCTION("""COMPUTED_VALUE"""),0.7673611111094942)</f>
        <v>0.7673611111</v>
      </c>
      <c r="F841" s="1" t="str">
        <f>IFERROR(__xludf.DUMMYFUNCTION("""COMPUTED_VALUE"""),"Antique Gold")</f>
        <v>Antique Gold</v>
      </c>
      <c r="G841" s="1" t="str">
        <f>IFERROR(__xludf.DUMMYFUNCTION("""COMPUTED_VALUE"""),"Deepali")</f>
        <v>Deepali</v>
      </c>
      <c r="H841" s="1" t="str">
        <f>IFERROR(__xludf.DUMMYFUNCTION("""COMPUTED_VALUE"""),"Gold coin 50gm")</f>
        <v>Gold coin 50gm</v>
      </c>
      <c r="I841" s="1"/>
      <c r="J841" s="1"/>
      <c r="K841" s="3">
        <f>IFERROR(__xludf.DUMMYFUNCTION("""COMPUTED_VALUE"""),0.78125)</f>
        <v>0.78125</v>
      </c>
      <c r="L841" s="1" t="str">
        <f>IFERROR(__xludf.DUMMYFUNCTION("""COMPUTED_VALUE"""),"Yes")</f>
        <v>Yes</v>
      </c>
      <c r="M841" s="1" t="str">
        <f>IFERROR(__xludf.DUMMYFUNCTION("""COMPUTED_VALUE"""),"Already done ")</f>
        <v>Already done </v>
      </c>
      <c r="N841" s="1" t="str">
        <f>IFERROR(__xludf.DUMMYFUNCTION("""COMPUTED_VALUE"""),"Already done ")</f>
        <v>Already done </v>
      </c>
      <c r="O841" s="1" t="str">
        <f>IFERROR(__xludf.DUMMYFUNCTION("""COMPUTED_VALUE"""),"WA ONLY, CALL")</f>
        <v>WA ONLY, CALL</v>
      </c>
      <c r="P841" s="1" t="str">
        <f>IFERROR(__xludf.DUMMYFUNCTION("""COMPUTED_VALUE"""),"Sir")</f>
        <v>Sir</v>
      </c>
      <c r="Q841" s="1" t="str">
        <f>IFERROR(__xludf.DUMMYFUNCTION("""COMPUTED_VALUE"""),"No")</f>
        <v>No</v>
      </c>
      <c r="R841" s="1" t="str">
        <f>IFERROR(__xludf.DUMMYFUNCTION("""COMPUTED_VALUE"""),"OLD")</f>
        <v>OLD</v>
      </c>
      <c r="S841" s="1" t="str">
        <f>IFERROR(__xludf.DUMMYFUNCTION("""COMPUTED_VALUE"""),"Yes")</f>
        <v>Yes</v>
      </c>
    </row>
    <row r="842">
      <c r="A842" s="2">
        <f>IFERROR(__xludf.DUMMYFUNCTION("""COMPUTED_VALUE"""),45612.77596842592)</f>
        <v>45612.77597</v>
      </c>
      <c r="B842" s="1" t="str">
        <f>IFERROR(__xludf.DUMMYFUNCTION("""COMPUTED_VALUE"""),"Heera ram")</f>
        <v>Heera ram</v>
      </c>
      <c r="C842" s="1">
        <f>IFERROR(__xludf.DUMMYFUNCTION("""COMPUTED_VALUE"""),9.818711033E9)</f>
        <v>9818711033</v>
      </c>
      <c r="D842" s="1">
        <f>IFERROR(__xludf.DUMMYFUNCTION("""COMPUTED_VALUE"""),1.0)</f>
        <v>1</v>
      </c>
      <c r="E842" s="3">
        <f>IFERROR(__xludf.DUMMYFUNCTION("""COMPUTED_VALUE"""),0.6458333333357587)</f>
        <v>0.6458333333</v>
      </c>
      <c r="F842" s="1" t="str">
        <f>IFERROR(__xludf.DUMMYFUNCTION("""COMPUTED_VALUE"""),"Antique Gold")</f>
        <v>Antique Gold</v>
      </c>
      <c r="G842" s="1" t="str">
        <f>IFERROR(__xludf.DUMMYFUNCTION("""COMPUTED_VALUE"""),"Tannu")</f>
        <v>Tannu</v>
      </c>
      <c r="H842" s="1" t="str">
        <f>IFERROR(__xludf.DUMMYFUNCTION("""COMPUTED_VALUE"""),"Gold pendent ")</f>
        <v>Gold pendent </v>
      </c>
      <c r="I842" s="1"/>
      <c r="J842" s="1"/>
      <c r="K842" s="3">
        <f>IFERROR(__xludf.DUMMYFUNCTION("""COMPUTED_VALUE"""),0.6736111111094942)</f>
        <v>0.6736111111</v>
      </c>
      <c r="L842" s="1" t="str">
        <f>IFERROR(__xludf.DUMMYFUNCTION("""COMPUTED_VALUE"""),"Yes")</f>
        <v>Yes</v>
      </c>
      <c r="M842" s="1" t="str">
        <f>IFERROR(__xludf.DUMMYFUNCTION("""COMPUTED_VALUE"""),"Already done ")</f>
        <v>Already done </v>
      </c>
      <c r="N842" s="1" t="str">
        <f>IFERROR(__xludf.DUMMYFUNCTION("""COMPUTED_VALUE"""),"Already done ")</f>
        <v>Already done </v>
      </c>
      <c r="O842" s="1" t="str">
        <f>IFERROR(__xludf.DUMMYFUNCTION("""COMPUTED_VALUE"""),"WA ONLY, CALL")</f>
        <v>WA ONLY, CALL</v>
      </c>
      <c r="P842" s="1" t="str">
        <f>IFERROR(__xludf.DUMMYFUNCTION("""COMPUTED_VALUE"""),"Sir")</f>
        <v>Sir</v>
      </c>
      <c r="Q842" s="1" t="str">
        <f>IFERROR(__xludf.DUMMYFUNCTION("""COMPUTED_VALUE"""),"No")</f>
        <v>No</v>
      </c>
      <c r="R842" s="1" t="str">
        <f>IFERROR(__xludf.DUMMYFUNCTION("""COMPUTED_VALUE"""),"OLD")</f>
        <v>OLD</v>
      </c>
      <c r="S842" s="1" t="str">
        <f>IFERROR(__xludf.DUMMYFUNCTION("""COMPUTED_VALUE"""),"Yes")</f>
        <v>Yes</v>
      </c>
    </row>
    <row r="843">
      <c r="A843" s="2">
        <f>IFERROR(__xludf.DUMMYFUNCTION("""COMPUTED_VALUE"""),45612.776789930555)</f>
        <v>45612.77679</v>
      </c>
      <c r="B843" s="1" t="str">
        <f>IFERROR(__xludf.DUMMYFUNCTION("""COMPUTED_VALUE"""),"Kiran")</f>
        <v>Kiran</v>
      </c>
      <c r="C843" s="1">
        <f>IFERROR(__xludf.DUMMYFUNCTION("""COMPUTED_VALUE"""),9.65405999E9)</f>
        <v>9654059990</v>
      </c>
      <c r="D843" s="1">
        <f>IFERROR(__xludf.DUMMYFUNCTION("""COMPUTED_VALUE"""),3.0)</f>
        <v>3</v>
      </c>
      <c r="E843" s="3">
        <f>IFERROR(__xludf.DUMMYFUNCTION("""COMPUTED_VALUE"""),0.7083333333357587)</f>
        <v>0.7083333333</v>
      </c>
      <c r="F843" s="1" t="str">
        <f>IFERROR(__xludf.DUMMYFUNCTION("""COMPUTED_VALUE"""),"Plain Gold")</f>
        <v>Plain Gold</v>
      </c>
      <c r="G843" s="1" t="str">
        <f>IFERROR(__xludf.DUMMYFUNCTION("""COMPUTED_VALUE"""),"Deepali")</f>
        <v>Deepali</v>
      </c>
      <c r="H843" s="1" t="str">
        <f>IFERROR(__xludf.DUMMYFUNCTION("""COMPUTED_VALUE"""),"Gold tops,chain,silver glass,silver mmtc coin ")</f>
        <v>Gold tops,chain,silver glass,silver mmtc coin </v>
      </c>
      <c r="I843" s="1"/>
      <c r="J843" s="1"/>
      <c r="K843" s="3">
        <f>IFERROR(__xludf.DUMMYFUNCTION("""COMPUTED_VALUE"""),0.7604166666642413)</f>
        <v>0.7604166667</v>
      </c>
      <c r="L843" s="1" t="str">
        <f>IFERROR(__xludf.DUMMYFUNCTION("""COMPUTED_VALUE"""),"Yes")</f>
        <v>Yes</v>
      </c>
      <c r="M843" s="1" t="str">
        <f>IFERROR(__xludf.DUMMYFUNCTION("""COMPUTED_VALUE"""),"Yes")</f>
        <v>Yes</v>
      </c>
      <c r="N843" s="1" t="str">
        <f>IFERROR(__xludf.DUMMYFUNCTION("""COMPUTED_VALUE"""),"Yes")</f>
        <v>Yes</v>
      </c>
      <c r="O843" s="1" t="str">
        <f>IFERROR(__xludf.DUMMYFUNCTION("""COMPUTED_VALUE"""),"WA ONLY, CALL")</f>
        <v>WA ONLY, CALL</v>
      </c>
      <c r="P843" s="1" t="str">
        <f>IFERROR(__xludf.DUMMYFUNCTION("""COMPUTED_VALUE"""),"Madam")</f>
        <v>Madam</v>
      </c>
      <c r="Q843" s="1" t="str">
        <f>IFERROR(__xludf.DUMMYFUNCTION("""COMPUTED_VALUE"""),"No")</f>
        <v>No</v>
      </c>
      <c r="R843" s="1" t="str">
        <f>IFERROR(__xludf.DUMMYFUNCTION("""COMPUTED_VALUE"""),"NEW WALK IN")</f>
        <v>NEW WALK IN</v>
      </c>
      <c r="S843" s="1" t="str">
        <f>IFERROR(__xludf.DUMMYFUNCTION("""COMPUTED_VALUE"""),"Yes")</f>
        <v>Yes</v>
      </c>
    </row>
    <row r="844">
      <c r="A844" s="2">
        <f>IFERROR(__xludf.DUMMYFUNCTION("""COMPUTED_VALUE"""),45612.777593900464)</f>
        <v>45612.77759</v>
      </c>
      <c r="B844" s="1" t="str">
        <f>IFERROR(__xludf.DUMMYFUNCTION("""COMPUTED_VALUE"""),"Ritu rathi")</f>
        <v>Ritu rathi</v>
      </c>
      <c r="C844" s="1">
        <f>IFERROR(__xludf.DUMMYFUNCTION("""COMPUTED_VALUE"""),9.81880272E9)</f>
        <v>9818802720</v>
      </c>
      <c r="D844" s="1">
        <f>IFERROR(__xludf.DUMMYFUNCTION("""COMPUTED_VALUE"""),5.0)</f>
        <v>5</v>
      </c>
      <c r="E844" s="3">
        <f>IFERROR(__xludf.DUMMYFUNCTION("""COMPUTED_VALUE"""),0.6875)</f>
        <v>0.6875</v>
      </c>
      <c r="F844" s="1" t="str">
        <f>IFERROR(__xludf.DUMMYFUNCTION("""COMPUTED_VALUE"""),"Antique Gold")</f>
        <v>Antique Gold</v>
      </c>
      <c r="G844" s="1" t="str">
        <f>IFERROR(__xludf.DUMMYFUNCTION("""COMPUTED_VALUE"""),"Preeti")</f>
        <v>Preeti</v>
      </c>
      <c r="H844" s="1" t="str">
        <f>IFERROR(__xludf.DUMMYFUNCTION("""COMPUTED_VALUE"""),"Diamond set,ring, breslet ")</f>
        <v>Diamond set,ring, breslet </v>
      </c>
      <c r="I844" s="1" t="str">
        <f>IFERROR(__xludf.DUMMYFUNCTION("""COMPUTED_VALUE"""),"Will ask family and come with them")</f>
        <v>Will ask family and come with them</v>
      </c>
      <c r="J844" s="1"/>
      <c r="K844" s="3">
        <f>IFERROR(__xludf.DUMMYFUNCTION("""COMPUTED_VALUE"""),0.7722222222218988)</f>
        <v>0.7722222222</v>
      </c>
      <c r="L844" s="1" t="str">
        <f>IFERROR(__xludf.DUMMYFUNCTION("""COMPUTED_VALUE"""),"Yes")</f>
        <v>Yes</v>
      </c>
      <c r="M844" s="1" t="str">
        <f>IFERROR(__xludf.DUMMYFUNCTION("""COMPUTED_VALUE"""),"Already done ")</f>
        <v>Already done </v>
      </c>
      <c r="N844" s="1" t="str">
        <f>IFERROR(__xludf.DUMMYFUNCTION("""COMPUTED_VALUE"""),"Already done ")</f>
        <v>Already done </v>
      </c>
      <c r="O844" s="1" t="str">
        <f>IFERROR(__xludf.DUMMYFUNCTION("""COMPUTED_VALUE"""),"WA ONLY, CALL")</f>
        <v>WA ONLY, CALL</v>
      </c>
      <c r="P844" s="1" t="str">
        <f>IFERROR(__xludf.DUMMYFUNCTION("""COMPUTED_VALUE"""),"Madam")</f>
        <v>Madam</v>
      </c>
      <c r="Q844" s="1" t="str">
        <f>IFERROR(__xludf.DUMMYFUNCTION("""COMPUTED_VALUE"""),"No")</f>
        <v>No</v>
      </c>
      <c r="R844" s="1" t="str">
        <f>IFERROR(__xludf.DUMMYFUNCTION("""COMPUTED_VALUE"""),"OLD")</f>
        <v>OLD</v>
      </c>
      <c r="S844" s="1" t="str">
        <f>IFERROR(__xludf.DUMMYFUNCTION("""COMPUTED_VALUE"""),"No")</f>
        <v>No</v>
      </c>
    </row>
    <row r="845">
      <c r="A845" s="2">
        <f>IFERROR(__xludf.DUMMYFUNCTION("""COMPUTED_VALUE"""),45612.80046997685)</f>
        <v>45612.80047</v>
      </c>
      <c r="B845" s="1"/>
      <c r="C845" s="1"/>
      <c r="D845" s="1">
        <f>IFERROR(__xludf.DUMMYFUNCTION("""COMPUTED_VALUE"""),1.0)</f>
        <v>1</v>
      </c>
      <c r="E845" s="3">
        <f>IFERROR(__xludf.DUMMYFUNCTION("""COMPUTED_VALUE"""),0.75)</f>
        <v>0.75</v>
      </c>
      <c r="F845" s="1" t="str">
        <f>IFERROR(__xludf.DUMMYFUNCTION("""COMPUTED_VALUE"""),"Antique Gold")</f>
        <v>Antique Gold</v>
      </c>
      <c r="G845" s="1" t="str">
        <f>IFERROR(__xludf.DUMMYFUNCTION("""COMPUTED_VALUE"""),"Tannu")</f>
        <v>Tannu</v>
      </c>
      <c r="H845" s="1" t="str">
        <f>IFERROR(__xludf.DUMMYFUNCTION("""COMPUTED_VALUE"""),"Gold tops")</f>
        <v>Gold tops</v>
      </c>
      <c r="I845" s="1"/>
      <c r="J845" s="1"/>
      <c r="K845" s="3">
        <f>IFERROR(__xludf.DUMMYFUNCTION("""COMPUTED_VALUE"""),0.797222222223354)</f>
        <v>0.7972222222</v>
      </c>
      <c r="L845" s="1" t="str">
        <f>IFERROR(__xludf.DUMMYFUNCTION("""COMPUTED_VALUE"""),"Yes")</f>
        <v>Yes</v>
      </c>
      <c r="M845" s="1" t="str">
        <f>IFERROR(__xludf.DUMMYFUNCTION("""COMPUTED_VALUE"""),"Already done ")</f>
        <v>Already done </v>
      </c>
      <c r="N845" s="1" t="str">
        <f>IFERROR(__xludf.DUMMYFUNCTION("""COMPUTED_VALUE"""),"Already done ")</f>
        <v>Already done </v>
      </c>
      <c r="O845" s="1" t="str">
        <f>IFERROR(__xludf.DUMMYFUNCTION("""COMPUTED_VALUE"""),"WA ONLY, CALL")</f>
        <v>WA ONLY, CALL</v>
      </c>
      <c r="P845" s="1" t="str">
        <f>IFERROR(__xludf.DUMMYFUNCTION("""COMPUTED_VALUE"""),"Madam")</f>
        <v>Madam</v>
      </c>
      <c r="Q845" s="1" t="str">
        <f>IFERROR(__xludf.DUMMYFUNCTION("""COMPUTED_VALUE"""),"No")</f>
        <v>No</v>
      </c>
      <c r="R845" s="1" t="str">
        <f>IFERROR(__xludf.DUMMYFUNCTION("""COMPUTED_VALUE"""),"OLD")</f>
        <v>OLD</v>
      </c>
      <c r="S845" s="1" t="str">
        <f>IFERROR(__xludf.DUMMYFUNCTION("""COMPUTED_VALUE"""),"Yes")</f>
        <v>Yes</v>
      </c>
    </row>
    <row r="846">
      <c r="A846" s="2">
        <f>IFERROR(__xludf.DUMMYFUNCTION("""COMPUTED_VALUE"""),45615.746260416665)</f>
        <v>45615.74626</v>
      </c>
      <c r="B846" s="1" t="str">
        <f>IFERROR(__xludf.DUMMYFUNCTION("""COMPUTED_VALUE"""),"Akhilesh shukla")</f>
        <v>Akhilesh shukla</v>
      </c>
      <c r="C846" s="1">
        <f>IFERROR(__xludf.DUMMYFUNCTION("""COMPUTED_VALUE"""),6.381747507E9)</f>
        <v>6381747507</v>
      </c>
      <c r="D846" s="1">
        <f>IFERROR(__xludf.DUMMYFUNCTION("""COMPUTED_VALUE"""),1.0)</f>
        <v>1</v>
      </c>
      <c r="E846" s="3">
        <f>IFERROR(__xludf.DUMMYFUNCTION("""COMPUTED_VALUE"""),0.48958333333575865)</f>
        <v>0.4895833333</v>
      </c>
      <c r="F846" s="1" t="str">
        <f>IFERROR(__xludf.DUMMYFUNCTION("""COMPUTED_VALUE"""),"Antique Gold")</f>
        <v>Antique Gold</v>
      </c>
      <c r="G846" s="1" t="str">
        <f>IFERROR(__xludf.DUMMYFUNCTION("""COMPUTED_VALUE"""),"Preeti")</f>
        <v>Preeti</v>
      </c>
      <c r="H846" s="1" t="str">
        <f>IFERROR(__xludf.DUMMYFUNCTION("""COMPUTED_VALUE"""),"Gold bangles ")</f>
        <v>Gold bangles </v>
      </c>
      <c r="I846" s="1"/>
      <c r="J846" s="1"/>
      <c r="K846" s="3">
        <f>IFERROR(__xludf.DUMMYFUNCTION("""COMPUTED_VALUE"""),0.547222222223354)</f>
        <v>0.5472222222</v>
      </c>
      <c r="L846" s="1" t="str">
        <f>IFERROR(__xludf.DUMMYFUNCTION("""COMPUTED_VALUE"""),"Yes")</f>
        <v>Yes</v>
      </c>
      <c r="M846" s="1" t="str">
        <f>IFERROR(__xludf.DUMMYFUNCTION("""COMPUTED_VALUE"""),"Already done ")</f>
        <v>Already done </v>
      </c>
      <c r="N846" s="1" t="str">
        <f>IFERROR(__xludf.DUMMYFUNCTION("""COMPUTED_VALUE"""),"Already done ")</f>
        <v>Already done </v>
      </c>
      <c r="O846" s="1" t="str">
        <f>IFERROR(__xludf.DUMMYFUNCTION("""COMPUTED_VALUE"""),"WA ONLY, CALL")</f>
        <v>WA ONLY, CALL</v>
      </c>
      <c r="P846" s="1" t="str">
        <f>IFERROR(__xludf.DUMMYFUNCTION("""COMPUTED_VALUE"""),"Sir")</f>
        <v>Sir</v>
      </c>
      <c r="Q846" s="1" t="str">
        <f>IFERROR(__xludf.DUMMYFUNCTION("""COMPUTED_VALUE"""),"No")</f>
        <v>No</v>
      </c>
      <c r="R846" s="1" t="str">
        <f>IFERROR(__xludf.DUMMYFUNCTION("""COMPUTED_VALUE"""),"OLD")</f>
        <v>OLD</v>
      </c>
      <c r="S846" s="1" t="str">
        <f>IFERROR(__xludf.DUMMYFUNCTION("""COMPUTED_VALUE"""),"No")</f>
        <v>No</v>
      </c>
    </row>
    <row r="847">
      <c r="A847" s="2">
        <f>IFERROR(__xludf.DUMMYFUNCTION("""COMPUTED_VALUE"""),45615.74726912037)</f>
        <v>45615.74727</v>
      </c>
      <c r="B847" s="1" t="str">
        <f>IFERROR(__xludf.DUMMYFUNCTION("""COMPUTED_VALUE"""),"Swati malik")</f>
        <v>Swati malik</v>
      </c>
      <c r="C847" s="1">
        <f>IFERROR(__xludf.DUMMYFUNCTION("""COMPUTED_VALUE"""),9.818752857E9)</f>
        <v>9818752857</v>
      </c>
      <c r="D847" s="1">
        <f>IFERROR(__xludf.DUMMYFUNCTION("""COMPUTED_VALUE"""),2.0)</f>
        <v>2</v>
      </c>
      <c r="E847" s="3">
        <f>IFERROR(__xludf.DUMMYFUNCTION("""COMPUTED_VALUE"""),0.5097222222248092)</f>
        <v>0.5097222222</v>
      </c>
      <c r="F847" s="1" t="str">
        <f>IFERROR(__xludf.DUMMYFUNCTION("""COMPUTED_VALUE"""),"Plain Gold")</f>
        <v>Plain Gold</v>
      </c>
      <c r="G847" s="1" t="str">
        <f>IFERROR(__xludf.DUMMYFUNCTION("""COMPUTED_VALUE"""),"Preeti")</f>
        <v>Preeti</v>
      </c>
      <c r="H847" s="1" t="str">
        <f>IFERROR(__xludf.DUMMYFUNCTION("""COMPUTED_VALUE"""),"Diamond tops, gold tops")</f>
        <v>Diamond tops, gold tops</v>
      </c>
      <c r="I847" s="1"/>
      <c r="J847" s="1"/>
      <c r="K847" s="3">
        <f>IFERROR(__xludf.DUMMYFUNCTION("""COMPUTED_VALUE"""),0.625)</f>
        <v>0.625</v>
      </c>
      <c r="L847" s="1" t="str">
        <f>IFERROR(__xludf.DUMMYFUNCTION("""COMPUTED_VALUE"""),"Yes")</f>
        <v>Yes</v>
      </c>
      <c r="M847" s="1" t="str">
        <f>IFERROR(__xludf.DUMMYFUNCTION("""COMPUTED_VALUE"""),"Yes")</f>
        <v>Yes</v>
      </c>
      <c r="N847" s="1" t="str">
        <f>IFERROR(__xludf.DUMMYFUNCTION("""COMPUTED_VALUE"""),"Yes")</f>
        <v>Yes</v>
      </c>
      <c r="O847" s="1" t="str">
        <f>IFERROR(__xludf.DUMMYFUNCTION("""COMPUTED_VALUE"""),"WA ONLY, CALL")</f>
        <v>WA ONLY, CALL</v>
      </c>
      <c r="P847" s="1" t="str">
        <f>IFERROR(__xludf.DUMMYFUNCTION("""COMPUTED_VALUE"""),"Madam")</f>
        <v>Madam</v>
      </c>
      <c r="Q847" s="1" t="str">
        <f>IFERROR(__xludf.DUMMYFUNCTION("""COMPUTED_VALUE"""),"No")</f>
        <v>No</v>
      </c>
      <c r="R847" s="1" t="str">
        <f>IFERROR(__xludf.DUMMYFUNCTION("""COMPUTED_VALUE"""),"NEW WALK IN")</f>
        <v>NEW WALK IN</v>
      </c>
      <c r="S847" s="1" t="str">
        <f>IFERROR(__xludf.DUMMYFUNCTION("""COMPUTED_VALUE"""),"Yes")</f>
        <v>Yes</v>
      </c>
    </row>
    <row r="848">
      <c r="A848" s="2">
        <f>IFERROR(__xludf.DUMMYFUNCTION("""COMPUTED_VALUE"""),45615.75304159722)</f>
        <v>45615.75304</v>
      </c>
      <c r="B848" s="1" t="str">
        <f>IFERROR(__xludf.DUMMYFUNCTION("""COMPUTED_VALUE"""),"Mithlesh")</f>
        <v>Mithlesh</v>
      </c>
      <c r="C848" s="1">
        <f>IFERROR(__xludf.DUMMYFUNCTION("""COMPUTED_VALUE"""),9.140083501E9)</f>
        <v>9140083501</v>
      </c>
      <c r="D848" s="1">
        <f>IFERROR(__xludf.DUMMYFUNCTION("""COMPUTED_VALUE"""),1.0)</f>
        <v>1</v>
      </c>
      <c r="E848" s="3">
        <f>IFERROR(__xludf.DUMMYFUNCTION("""COMPUTED_VALUE"""),0.59375)</f>
        <v>0.59375</v>
      </c>
      <c r="F848" s="1" t="str">
        <f>IFERROR(__xludf.DUMMYFUNCTION("""COMPUTED_VALUE"""),"Plain Gold")</f>
        <v>Plain Gold</v>
      </c>
      <c r="G848" s="1" t="str">
        <f>IFERROR(__xludf.DUMMYFUNCTION("""COMPUTED_VALUE"""),"Tannu")</f>
        <v>Tannu</v>
      </c>
      <c r="H848" s="1" t="str">
        <f>IFERROR(__xludf.DUMMYFUNCTION("""COMPUTED_VALUE"""),"Gold bangles ")</f>
        <v>Gold bangles </v>
      </c>
      <c r="I848" s="1" t="str">
        <f>IFERROR(__xludf.DUMMYFUNCTION("""COMPUTED_VALUE"""),"Fill the lakh in gold bangles ")</f>
        <v>Fill the lakh in gold bangles </v>
      </c>
      <c r="J848" s="1" t="str">
        <f>IFERROR(__xludf.DUMMYFUNCTION("""COMPUTED_VALUE"""),"5000 per month LUCKY DRAW 7 EVERY MONTH")</f>
        <v>5000 per month LUCKY DRAW 7 EVERY MONTH</v>
      </c>
      <c r="K848" s="3">
        <f>IFERROR(__xludf.DUMMYFUNCTION("""COMPUTED_VALUE"""),0.6666666666642413)</f>
        <v>0.6666666667</v>
      </c>
      <c r="L848" s="1" t="str">
        <f>IFERROR(__xludf.DUMMYFUNCTION("""COMPUTED_VALUE"""),"Yes")</f>
        <v>Yes</v>
      </c>
      <c r="M848" s="1" t="str">
        <f>IFERROR(__xludf.DUMMYFUNCTION("""COMPUTED_VALUE"""),"Already done ")</f>
        <v>Already done </v>
      </c>
      <c r="N848" s="1" t="str">
        <f>IFERROR(__xludf.DUMMYFUNCTION("""COMPUTED_VALUE"""),"Already done ")</f>
        <v>Already done </v>
      </c>
      <c r="O848" s="1" t="str">
        <f>IFERROR(__xludf.DUMMYFUNCTION("""COMPUTED_VALUE"""),"WA ONLY, CALL")</f>
        <v>WA ONLY, CALL</v>
      </c>
      <c r="P848" s="1" t="str">
        <f>IFERROR(__xludf.DUMMYFUNCTION("""COMPUTED_VALUE"""),"Madam")</f>
        <v>Madam</v>
      </c>
      <c r="Q848" s="1" t="str">
        <f>IFERROR(__xludf.DUMMYFUNCTION("""COMPUTED_VALUE"""),"Yes")</f>
        <v>Yes</v>
      </c>
      <c r="R848" s="1" t="str">
        <f>IFERROR(__xludf.DUMMYFUNCTION("""COMPUTED_VALUE"""),"OLD")</f>
        <v>OLD</v>
      </c>
      <c r="S848" s="1" t="str">
        <f>IFERROR(__xludf.DUMMYFUNCTION("""COMPUTED_VALUE"""),"No")</f>
        <v>No</v>
      </c>
    </row>
    <row r="849">
      <c r="A849" s="2">
        <f>IFERROR(__xludf.DUMMYFUNCTION("""COMPUTED_VALUE"""),45615.754071145835)</f>
        <v>45615.75407</v>
      </c>
      <c r="B849" s="1" t="str">
        <f>IFERROR(__xludf.DUMMYFUNCTION("""COMPUTED_VALUE"""),"Simpy")</f>
        <v>Simpy</v>
      </c>
      <c r="C849" s="1">
        <f>IFERROR(__xludf.DUMMYFUNCTION("""COMPUTED_VALUE"""),9.212222888E9)</f>
        <v>9212222888</v>
      </c>
      <c r="D849" s="1">
        <f>IFERROR(__xludf.DUMMYFUNCTION("""COMPUTED_VALUE"""),2.0)</f>
        <v>2</v>
      </c>
      <c r="E849" s="3">
        <f>IFERROR(__xludf.DUMMYFUNCTION("""COMPUTED_VALUE"""),0.625)</f>
        <v>0.625</v>
      </c>
      <c r="F849" s="1" t="str">
        <f>IFERROR(__xludf.DUMMYFUNCTION("""COMPUTED_VALUE"""),"Diamond")</f>
        <v>Diamond</v>
      </c>
      <c r="G849" s="1" t="str">
        <f>IFERROR(__xludf.DUMMYFUNCTION("""COMPUTED_VALUE"""),"Pooja")</f>
        <v>Pooja</v>
      </c>
      <c r="H849" s="1" t="str">
        <f>IFERROR(__xludf.DUMMYFUNCTION("""COMPUTED_VALUE"""),"Italian breslet ")</f>
        <v>Italian breslet </v>
      </c>
      <c r="I849" s="1"/>
      <c r="J849" s="1"/>
      <c r="K849" s="3">
        <f>IFERROR(__xludf.DUMMYFUNCTION("""COMPUTED_VALUE"""),0.6875)</f>
        <v>0.6875</v>
      </c>
      <c r="L849" s="1" t="str">
        <f>IFERROR(__xludf.DUMMYFUNCTION("""COMPUTED_VALUE"""),"Yes")</f>
        <v>Yes</v>
      </c>
      <c r="M849" s="1" t="str">
        <f>IFERROR(__xludf.DUMMYFUNCTION("""COMPUTED_VALUE"""),"Already done ")</f>
        <v>Already done </v>
      </c>
      <c r="N849" s="1" t="str">
        <f>IFERROR(__xludf.DUMMYFUNCTION("""COMPUTED_VALUE"""),"Already done ")</f>
        <v>Already done </v>
      </c>
      <c r="O849" s="1" t="str">
        <f>IFERROR(__xludf.DUMMYFUNCTION("""COMPUTED_VALUE"""),"WA ONLY, CALL")</f>
        <v>WA ONLY, CALL</v>
      </c>
      <c r="P849" s="1" t="str">
        <f>IFERROR(__xludf.DUMMYFUNCTION("""COMPUTED_VALUE"""),"Madam")</f>
        <v>Madam</v>
      </c>
      <c r="Q849" s="1" t="str">
        <f>IFERROR(__xludf.DUMMYFUNCTION("""COMPUTED_VALUE"""),"No")</f>
        <v>No</v>
      </c>
      <c r="R849" s="1" t="str">
        <f>IFERROR(__xludf.DUMMYFUNCTION("""COMPUTED_VALUE"""),"OLD")</f>
        <v>OLD</v>
      </c>
      <c r="S849" s="1" t="str">
        <f>IFERROR(__xludf.DUMMYFUNCTION("""COMPUTED_VALUE"""),"Yes")</f>
        <v>Yes</v>
      </c>
    </row>
    <row r="850">
      <c r="A850" s="2">
        <f>IFERROR(__xludf.DUMMYFUNCTION("""COMPUTED_VALUE"""),45615.755442974536)</f>
        <v>45615.75544</v>
      </c>
      <c r="B850" s="1" t="str">
        <f>IFERROR(__xludf.DUMMYFUNCTION("""COMPUTED_VALUE"""),"Preeti")</f>
        <v>Preeti</v>
      </c>
      <c r="C850" s="1">
        <f>IFERROR(__xludf.DUMMYFUNCTION("""COMPUTED_VALUE"""),7.8275382687E10)</f>
        <v>78275382687</v>
      </c>
      <c r="D850" s="1">
        <f>IFERROR(__xludf.DUMMYFUNCTION("""COMPUTED_VALUE"""),1.0)</f>
        <v>1</v>
      </c>
      <c r="E850" s="3">
        <f>IFERROR(__xludf.DUMMYFUNCTION("""COMPUTED_VALUE"""),0.5833333333357587)</f>
        <v>0.5833333333</v>
      </c>
      <c r="F850" s="1" t="str">
        <f>IFERROR(__xludf.DUMMYFUNCTION("""COMPUTED_VALUE"""),"Antique Gold")</f>
        <v>Antique Gold</v>
      </c>
      <c r="G850" s="1" t="str">
        <f>IFERROR(__xludf.DUMMYFUNCTION("""COMPUTED_VALUE"""),"Pooja")</f>
        <v>Pooja</v>
      </c>
      <c r="H850" s="1" t="str">
        <f>IFERROR(__xludf.DUMMYFUNCTION("""COMPUTED_VALUE"""),"Antique pendent set")</f>
        <v>Antique pendent set</v>
      </c>
      <c r="I850" s="1" t="str">
        <f>IFERROR(__xludf.DUMMYFUNCTION("""COMPUTED_VALUE"""),"Will ask family and come with them")</f>
        <v>Will ask family and come with them</v>
      </c>
      <c r="J850" s="1"/>
      <c r="K850" s="3">
        <f>IFERROR(__xludf.DUMMYFUNCTION("""COMPUTED_VALUE"""),0.6041666666642413)</f>
        <v>0.6041666667</v>
      </c>
      <c r="L850" s="1" t="str">
        <f>IFERROR(__xludf.DUMMYFUNCTION("""COMPUTED_VALUE"""),"Yes")</f>
        <v>Yes</v>
      </c>
      <c r="M850" s="1" t="str">
        <f>IFERROR(__xludf.DUMMYFUNCTION("""COMPUTED_VALUE"""),"Already done ")</f>
        <v>Already done </v>
      </c>
      <c r="N850" s="1" t="str">
        <f>IFERROR(__xludf.DUMMYFUNCTION("""COMPUTED_VALUE"""),"Already done ")</f>
        <v>Already done </v>
      </c>
      <c r="O850" s="1" t="str">
        <f>IFERROR(__xludf.DUMMYFUNCTION("""COMPUTED_VALUE"""),"WA ONLY, CALL")</f>
        <v>WA ONLY, CALL</v>
      </c>
      <c r="P850" s="1" t="str">
        <f>IFERROR(__xludf.DUMMYFUNCTION("""COMPUTED_VALUE"""),"Madam")</f>
        <v>Madam</v>
      </c>
      <c r="Q850" s="1" t="str">
        <f>IFERROR(__xludf.DUMMYFUNCTION("""COMPUTED_VALUE"""),"No")</f>
        <v>No</v>
      </c>
      <c r="R850" s="1" t="str">
        <f>IFERROR(__xludf.DUMMYFUNCTION("""COMPUTED_VALUE"""),"OLD")</f>
        <v>OLD</v>
      </c>
      <c r="S850" s="1" t="str">
        <f>IFERROR(__xludf.DUMMYFUNCTION("""COMPUTED_VALUE"""),"No")</f>
        <v>No</v>
      </c>
    </row>
    <row r="851">
      <c r="A851" s="2">
        <f>IFERROR(__xludf.DUMMYFUNCTION("""COMPUTED_VALUE"""),45615.7562494213)</f>
        <v>45615.75625</v>
      </c>
      <c r="B851" s="1" t="str">
        <f>IFERROR(__xludf.DUMMYFUNCTION("""COMPUTED_VALUE"""),"Vijay")</f>
        <v>Vijay</v>
      </c>
      <c r="C851" s="1">
        <f>IFERROR(__xludf.DUMMYFUNCTION("""COMPUTED_VALUE"""),8.178240939E9)</f>
        <v>8178240939</v>
      </c>
      <c r="D851" s="1">
        <f>IFERROR(__xludf.DUMMYFUNCTION("""COMPUTED_VALUE"""),3.0)</f>
        <v>3</v>
      </c>
      <c r="E851" s="3">
        <f>IFERROR(__xludf.DUMMYFUNCTION("""COMPUTED_VALUE"""),0.726388888884685)</f>
        <v>0.7263888889</v>
      </c>
      <c r="F851" s="1" t="str">
        <f>IFERROR(__xludf.DUMMYFUNCTION("""COMPUTED_VALUE"""),"Diamond")</f>
        <v>Diamond</v>
      </c>
      <c r="G851" s="1" t="str">
        <f>IFERROR(__xludf.DUMMYFUNCTION("""COMPUTED_VALUE"""),"Pooja")</f>
        <v>Pooja</v>
      </c>
      <c r="H851" s="1" t="str">
        <f>IFERROR(__xludf.DUMMYFUNCTION("""COMPUTED_VALUE"""),"Diamond rings")</f>
        <v>Diamond rings</v>
      </c>
      <c r="I851" s="1" t="str">
        <f>IFERROR(__xludf.DUMMYFUNCTION("""COMPUTED_VALUE"""),"Explore shop than visit")</f>
        <v>Explore shop than visit</v>
      </c>
      <c r="J851" s="1"/>
      <c r="K851" s="3">
        <f>IFERROR(__xludf.DUMMYFUNCTION("""COMPUTED_VALUE"""),0.75)</f>
        <v>0.75</v>
      </c>
      <c r="L851" s="1" t="str">
        <f>IFERROR(__xludf.DUMMYFUNCTION("""COMPUTED_VALUE"""),"No")</f>
        <v>No</v>
      </c>
      <c r="M851" s="1" t="str">
        <f>IFERROR(__xludf.DUMMYFUNCTION("""COMPUTED_VALUE"""),"No")</f>
        <v>No</v>
      </c>
      <c r="N851" s="1" t="str">
        <f>IFERROR(__xludf.DUMMYFUNCTION("""COMPUTED_VALUE"""),"No")</f>
        <v>No</v>
      </c>
      <c r="O851" s="1" t="str">
        <f>IFERROR(__xludf.DUMMYFUNCTION("""COMPUTED_VALUE"""),"WA ONLY, CALL")</f>
        <v>WA ONLY, CALL</v>
      </c>
      <c r="P851" s="1" t="str">
        <f>IFERROR(__xludf.DUMMYFUNCTION("""COMPUTED_VALUE"""),"Sir")</f>
        <v>Sir</v>
      </c>
      <c r="Q851" s="1" t="str">
        <f>IFERROR(__xludf.DUMMYFUNCTION("""COMPUTED_VALUE"""),"No")</f>
        <v>No</v>
      </c>
      <c r="R851" s="1" t="str">
        <f>IFERROR(__xludf.DUMMYFUNCTION("""COMPUTED_VALUE"""),"NEW WALK IN")</f>
        <v>NEW WALK IN</v>
      </c>
      <c r="S851" s="1" t="str">
        <f>IFERROR(__xludf.DUMMYFUNCTION("""COMPUTED_VALUE"""),"No")</f>
        <v>No</v>
      </c>
    </row>
    <row r="852">
      <c r="A852" s="2">
        <f>IFERROR(__xludf.DUMMYFUNCTION("""COMPUTED_VALUE"""),45615.812000798614)</f>
        <v>45615.812</v>
      </c>
      <c r="B852" s="1" t="str">
        <f>IFERROR(__xludf.DUMMYFUNCTION("""COMPUTED_VALUE"""),"Md.usman")</f>
        <v>Md.usman</v>
      </c>
      <c r="C852" s="1">
        <f>IFERROR(__xludf.DUMMYFUNCTION("""COMPUTED_VALUE"""),9.711778646E9)</f>
        <v>9711778646</v>
      </c>
      <c r="D852" s="1">
        <f>IFERROR(__xludf.DUMMYFUNCTION("""COMPUTED_VALUE"""),1.0)</f>
        <v>1</v>
      </c>
      <c r="E852" s="3">
        <f>IFERROR(__xludf.DUMMYFUNCTION("""COMPUTED_VALUE"""),0.796527777776646)</f>
        <v>0.7965277778</v>
      </c>
      <c r="F852" s="1" t="str">
        <f>IFERROR(__xludf.DUMMYFUNCTION("""COMPUTED_VALUE"""),"Diamond")</f>
        <v>Diamond</v>
      </c>
      <c r="G852" s="1" t="str">
        <f>IFERROR(__xludf.DUMMYFUNCTION("""COMPUTED_VALUE"""),"Pooja")</f>
        <v>Pooja</v>
      </c>
      <c r="H852" s="1" t="str">
        <f>IFERROR(__xludf.DUMMYFUNCTION("""COMPUTED_VALUE"""),"Diamond gents ring")</f>
        <v>Diamond gents ring</v>
      </c>
      <c r="I852" s="1" t="str">
        <f>IFERROR(__xludf.DUMMYFUNCTION("""COMPUTED_VALUE"""),"Will ask family and come with them")</f>
        <v>Will ask family and come with them</v>
      </c>
      <c r="J852" s="1"/>
      <c r="K852" s="3">
        <f>IFERROR(__xludf.DUMMYFUNCTION("""COMPUTED_VALUE"""),0.8090277777810115)</f>
        <v>0.8090277778</v>
      </c>
      <c r="L852" s="1" t="str">
        <f>IFERROR(__xludf.DUMMYFUNCTION("""COMPUTED_VALUE"""),"No")</f>
        <v>No</v>
      </c>
      <c r="M852" s="1" t="str">
        <f>IFERROR(__xludf.DUMMYFUNCTION("""COMPUTED_VALUE"""),"No")</f>
        <v>No</v>
      </c>
      <c r="N852" s="1" t="str">
        <f>IFERROR(__xludf.DUMMYFUNCTION("""COMPUTED_VALUE"""),"No")</f>
        <v>No</v>
      </c>
      <c r="O852" s="1" t="str">
        <f>IFERROR(__xludf.DUMMYFUNCTION("""COMPUTED_VALUE"""),"WA ONLY, CALL")</f>
        <v>WA ONLY, CALL</v>
      </c>
      <c r="P852" s="1" t="str">
        <f>IFERROR(__xludf.DUMMYFUNCTION("""COMPUTED_VALUE"""),"Sir")</f>
        <v>Sir</v>
      </c>
      <c r="Q852" s="1" t="str">
        <f>IFERROR(__xludf.DUMMYFUNCTION("""COMPUTED_VALUE"""),"No")</f>
        <v>No</v>
      </c>
      <c r="R852" s="1" t="str">
        <f>IFERROR(__xludf.DUMMYFUNCTION("""COMPUTED_VALUE"""),"NEW WALK IN")</f>
        <v>NEW WALK IN</v>
      </c>
      <c r="S852" s="1" t="str">
        <f>IFERROR(__xludf.DUMMYFUNCTION("""COMPUTED_VALUE"""),"No")</f>
        <v>No</v>
      </c>
    </row>
    <row r="853">
      <c r="A853" s="2">
        <f>IFERROR(__xludf.DUMMYFUNCTION("""COMPUTED_VALUE"""),45616.630063425924)</f>
        <v>45616.63006</v>
      </c>
      <c r="B853" s="1" t="str">
        <f>IFERROR(__xludf.DUMMYFUNCTION("""COMPUTED_VALUE"""),"Roma")</f>
        <v>Roma</v>
      </c>
      <c r="C853" s="1">
        <f>IFERROR(__xludf.DUMMYFUNCTION("""COMPUTED_VALUE"""),9.311065176E9)</f>
        <v>9311065176</v>
      </c>
      <c r="D853" s="1">
        <f>IFERROR(__xludf.DUMMYFUNCTION("""COMPUTED_VALUE"""),1.0)</f>
        <v>1</v>
      </c>
      <c r="E853" s="3">
        <f>IFERROR(__xludf.DUMMYFUNCTION("""COMPUTED_VALUE"""),0.53125)</f>
        <v>0.53125</v>
      </c>
      <c r="F853" s="1" t="str">
        <f>IFERROR(__xludf.DUMMYFUNCTION("""COMPUTED_VALUE"""),"Diamond")</f>
        <v>Diamond</v>
      </c>
      <c r="G853" s="1" t="str">
        <f>IFERROR(__xludf.DUMMYFUNCTION("""COMPUTED_VALUE"""),"Preeti")</f>
        <v>Preeti</v>
      </c>
      <c r="H853" s="1" t="str">
        <f>IFERROR(__xludf.DUMMYFUNCTION("""COMPUTED_VALUE"""),"Diamond sets ")</f>
        <v>Diamond sets </v>
      </c>
      <c r="I853" s="1" t="str">
        <f>IFERROR(__xludf.DUMMYFUNCTION("""COMPUTED_VALUE"""),"2 diamond sets approval than discuss with fmly and visit")</f>
        <v>2 diamond sets approval than discuss with fmly and visit</v>
      </c>
      <c r="J853" s="1"/>
      <c r="K853" s="3">
        <f>IFERROR(__xludf.DUMMYFUNCTION("""COMPUTED_VALUE"""),0.5590277777810115)</f>
        <v>0.5590277778</v>
      </c>
      <c r="L853" s="1" t="str">
        <f>IFERROR(__xludf.DUMMYFUNCTION("""COMPUTED_VALUE"""),"Yes")</f>
        <v>Yes</v>
      </c>
      <c r="M853" s="1" t="str">
        <f>IFERROR(__xludf.DUMMYFUNCTION("""COMPUTED_VALUE"""),"Already done ")</f>
        <v>Already done </v>
      </c>
      <c r="N853" s="1" t="str">
        <f>IFERROR(__xludf.DUMMYFUNCTION("""COMPUTED_VALUE"""),"Already done ")</f>
        <v>Already done </v>
      </c>
      <c r="O853" s="1" t="str">
        <f>IFERROR(__xludf.DUMMYFUNCTION("""COMPUTED_VALUE"""),"WA ONLY, CALL")</f>
        <v>WA ONLY, CALL</v>
      </c>
      <c r="P853" s="1" t="str">
        <f>IFERROR(__xludf.DUMMYFUNCTION("""COMPUTED_VALUE"""),"Madam")</f>
        <v>Madam</v>
      </c>
      <c r="Q853" s="1" t="str">
        <f>IFERROR(__xludf.DUMMYFUNCTION("""COMPUTED_VALUE"""),"No")</f>
        <v>No</v>
      </c>
      <c r="R853" s="1" t="str">
        <f>IFERROR(__xludf.DUMMYFUNCTION("""COMPUTED_VALUE"""),"OLD")</f>
        <v>OLD</v>
      </c>
      <c r="S853" s="1" t="str">
        <f>IFERROR(__xludf.DUMMYFUNCTION("""COMPUTED_VALUE"""),"No")</f>
        <v>No</v>
      </c>
    </row>
    <row r="854">
      <c r="A854" s="2">
        <f>IFERROR(__xludf.DUMMYFUNCTION("""COMPUTED_VALUE"""),45616.63110297454)</f>
        <v>45616.6311</v>
      </c>
      <c r="B854" s="1" t="str">
        <f>IFERROR(__xludf.DUMMYFUNCTION("""COMPUTED_VALUE"""),"Rajeev deo")</f>
        <v>Rajeev deo</v>
      </c>
      <c r="C854" s="1">
        <f>IFERROR(__xludf.DUMMYFUNCTION("""COMPUTED_VALUE"""),9.650852037E9)</f>
        <v>9650852037</v>
      </c>
      <c r="D854" s="1">
        <f>IFERROR(__xludf.DUMMYFUNCTION("""COMPUTED_VALUE"""),2.0)</f>
        <v>2</v>
      </c>
      <c r="E854" s="3">
        <f>IFERROR(__xludf.DUMMYFUNCTION("""COMPUTED_VALUE"""),0.5736111111109494)</f>
        <v>0.5736111111</v>
      </c>
      <c r="F854" s="1" t="str">
        <f>IFERROR(__xludf.DUMMYFUNCTION("""COMPUTED_VALUE"""),"Plain Gold")</f>
        <v>Plain Gold</v>
      </c>
      <c r="G854" s="1" t="str">
        <f>IFERROR(__xludf.DUMMYFUNCTION("""COMPUTED_VALUE"""),"Tannu")</f>
        <v>Tannu</v>
      </c>
      <c r="H854" s="1" t="str">
        <f>IFERROR(__xludf.DUMMYFUNCTION("""COMPUTED_VALUE"""),"Silver thal,glass,katori,chamch")</f>
        <v>Silver thal,glass,katori,chamch</v>
      </c>
      <c r="I854" s="1"/>
      <c r="J854" s="1"/>
      <c r="K854" s="3">
        <f>IFERROR(__xludf.DUMMYFUNCTION("""COMPUTED_VALUE"""),0.5958333333328483)</f>
        <v>0.5958333333</v>
      </c>
      <c r="L854" s="1" t="str">
        <f>IFERROR(__xludf.DUMMYFUNCTION("""COMPUTED_VALUE"""),"Yes")</f>
        <v>Yes</v>
      </c>
      <c r="M854" s="1" t="str">
        <f>IFERROR(__xludf.DUMMYFUNCTION("""COMPUTED_VALUE"""),"Yes")</f>
        <v>Yes</v>
      </c>
      <c r="N854" s="1" t="str">
        <f>IFERROR(__xludf.DUMMYFUNCTION("""COMPUTED_VALUE"""),"Yes")</f>
        <v>Yes</v>
      </c>
      <c r="O854" s="1" t="str">
        <f>IFERROR(__xludf.DUMMYFUNCTION("""COMPUTED_VALUE"""),"WA ONLY, CALL")</f>
        <v>WA ONLY, CALL</v>
      </c>
      <c r="P854" s="1" t="str">
        <f>IFERROR(__xludf.DUMMYFUNCTION("""COMPUTED_VALUE"""),"Sir")</f>
        <v>Sir</v>
      </c>
      <c r="Q854" s="1" t="str">
        <f>IFERROR(__xludf.DUMMYFUNCTION("""COMPUTED_VALUE"""),"No")</f>
        <v>No</v>
      </c>
      <c r="R854" s="1" t="str">
        <f>IFERROR(__xludf.DUMMYFUNCTION("""COMPUTED_VALUE"""),"NEW WALK IN")</f>
        <v>NEW WALK IN</v>
      </c>
      <c r="S854" s="1" t="str">
        <f>IFERROR(__xludf.DUMMYFUNCTION("""COMPUTED_VALUE"""),"Yes")</f>
        <v>Yes</v>
      </c>
    </row>
    <row r="855">
      <c r="A855" s="2">
        <f>IFERROR(__xludf.DUMMYFUNCTION("""COMPUTED_VALUE"""),45616.64126340278)</f>
        <v>45616.64126</v>
      </c>
      <c r="B855" s="1" t="str">
        <f>IFERROR(__xludf.DUMMYFUNCTION("""COMPUTED_VALUE"""),"Aanchal")</f>
        <v>Aanchal</v>
      </c>
      <c r="C855" s="1">
        <f>IFERROR(__xludf.DUMMYFUNCTION("""COMPUTED_VALUE"""),9.711063633E9)</f>
        <v>9711063633</v>
      </c>
      <c r="D855" s="1">
        <f>IFERROR(__xludf.DUMMYFUNCTION("""COMPUTED_VALUE"""),1.0)</f>
        <v>1</v>
      </c>
      <c r="E855" s="3">
        <f>IFERROR(__xludf.DUMMYFUNCTION("""COMPUTED_VALUE"""),0.625)</f>
        <v>0.625</v>
      </c>
      <c r="F855" s="1" t="str">
        <f>IFERROR(__xludf.DUMMYFUNCTION("""COMPUTED_VALUE"""),"Plain Gold")</f>
        <v>Plain Gold</v>
      </c>
      <c r="G855" s="1" t="str">
        <f>IFERROR(__xludf.DUMMYFUNCTION("""COMPUTED_VALUE"""),"Tannu")</f>
        <v>Tannu</v>
      </c>
      <c r="H855" s="1" t="str">
        <f>IFERROR(__xludf.DUMMYFUNCTION("""COMPUTED_VALUE"""),"10 gm gold coin")</f>
        <v>10 gm gold coin</v>
      </c>
      <c r="I855" s="1"/>
      <c r="J855" s="1"/>
      <c r="K855" s="3">
        <f>IFERROR(__xludf.DUMMYFUNCTION("""COMPUTED_VALUE"""),0.640972222223354)</f>
        <v>0.6409722222</v>
      </c>
      <c r="L855" s="1" t="str">
        <f>IFERROR(__xludf.DUMMYFUNCTION("""COMPUTED_VALUE"""),"Yes")</f>
        <v>Yes</v>
      </c>
      <c r="M855" s="1" t="str">
        <f>IFERROR(__xludf.DUMMYFUNCTION("""COMPUTED_VALUE"""),"Already done ")</f>
        <v>Already done </v>
      </c>
      <c r="N855" s="1" t="str">
        <f>IFERROR(__xludf.DUMMYFUNCTION("""COMPUTED_VALUE"""),"Already done ")</f>
        <v>Already done </v>
      </c>
      <c r="O855" s="1" t="str">
        <f>IFERROR(__xludf.DUMMYFUNCTION("""COMPUTED_VALUE"""),"WA ONLY, CALL")</f>
        <v>WA ONLY, CALL</v>
      </c>
      <c r="P855" s="1" t="str">
        <f>IFERROR(__xludf.DUMMYFUNCTION("""COMPUTED_VALUE"""),"Madam")</f>
        <v>Madam</v>
      </c>
      <c r="Q855" s="1" t="str">
        <f>IFERROR(__xludf.DUMMYFUNCTION("""COMPUTED_VALUE"""),"No")</f>
        <v>No</v>
      </c>
      <c r="R855" s="1" t="str">
        <f>IFERROR(__xludf.DUMMYFUNCTION("""COMPUTED_VALUE"""),"OLD")</f>
        <v>OLD</v>
      </c>
      <c r="S855" s="1" t="str">
        <f>IFERROR(__xludf.DUMMYFUNCTION("""COMPUTED_VALUE"""),"Yes")</f>
        <v>Yes</v>
      </c>
    </row>
    <row r="856">
      <c r="A856" s="2">
        <f>IFERROR(__xludf.DUMMYFUNCTION("""COMPUTED_VALUE"""),45616.75329758102)</f>
        <v>45616.7533</v>
      </c>
      <c r="B856" s="1" t="str">
        <f>IFERROR(__xludf.DUMMYFUNCTION("""COMPUTED_VALUE"""),"Beena rawal")</f>
        <v>Beena rawal</v>
      </c>
      <c r="C856" s="1">
        <f>IFERROR(__xludf.DUMMYFUNCTION("""COMPUTED_VALUE"""),9.99932322E9)</f>
        <v>9999323220</v>
      </c>
      <c r="D856" s="1">
        <f>IFERROR(__xludf.DUMMYFUNCTION("""COMPUTED_VALUE"""),2.0)</f>
        <v>2</v>
      </c>
      <c r="E856" s="3">
        <f>IFERROR(__xludf.DUMMYFUNCTION("""COMPUTED_VALUE"""),0.6236111111065838)</f>
        <v>0.6236111111</v>
      </c>
      <c r="F856" s="1" t="str">
        <f>IFERROR(__xludf.DUMMYFUNCTION("""COMPUTED_VALUE"""),"Antique Gold")</f>
        <v>Antique Gold</v>
      </c>
      <c r="G856" s="1" t="str">
        <f>IFERROR(__xludf.DUMMYFUNCTION("""COMPUTED_VALUE"""),"Pooja")</f>
        <v>Pooja</v>
      </c>
      <c r="H856" s="1" t="str">
        <f>IFERROR(__xludf.DUMMYFUNCTION("""COMPUTED_VALUE"""),"Gold set,ring,bangles ")</f>
        <v>Gold set,ring,bangles </v>
      </c>
      <c r="I856" s="1"/>
      <c r="J856" s="1"/>
      <c r="K856" s="3">
        <f>IFERROR(__xludf.DUMMYFUNCTION("""COMPUTED_VALUE"""),0.7479166666671517)</f>
        <v>0.7479166667</v>
      </c>
      <c r="L856" s="1" t="str">
        <f>IFERROR(__xludf.DUMMYFUNCTION("""COMPUTED_VALUE"""),"Yes")</f>
        <v>Yes</v>
      </c>
      <c r="M856" s="1" t="str">
        <f>IFERROR(__xludf.DUMMYFUNCTION("""COMPUTED_VALUE"""),"Already done ")</f>
        <v>Already done </v>
      </c>
      <c r="N856" s="1" t="str">
        <f>IFERROR(__xludf.DUMMYFUNCTION("""COMPUTED_VALUE"""),"Already done ")</f>
        <v>Already done </v>
      </c>
      <c r="O856" s="1" t="str">
        <f>IFERROR(__xludf.DUMMYFUNCTION("""COMPUTED_VALUE"""),"WA ONLY, CALL")</f>
        <v>WA ONLY, CALL</v>
      </c>
      <c r="P856" s="1" t="str">
        <f>IFERROR(__xludf.DUMMYFUNCTION("""COMPUTED_VALUE"""),"Madam")</f>
        <v>Madam</v>
      </c>
      <c r="Q856" s="1" t="str">
        <f>IFERROR(__xludf.DUMMYFUNCTION("""COMPUTED_VALUE"""),"No")</f>
        <v>No</v>
      </c>
      <c r="R856" s="1" t="str">
        <f>IFERROR(__xludf.DUMMYFUNCTION("""COMPUTED_VALUE"""),"OLD")</f>
        <v>OLD</v>
      </c>
      <c r="S856" s="1" t="str">
        <f>IFERROR(__xludf.DUMMYFUNCTION("""COMPUTED_VALUE"""),"Yes")</f>
        <v>Yes</v>
      </c>
    </row>
    <row r="857">
      <c r="A857" s="2">
        <f>IFERROR(__xludf.DUMMYFUNCTION("""COMPUTED_VALUE"""),45617.73587130787)</f>
        <v>45617.73587</v>
      </c>
      <c r="B857" s="1" t="str">
        <f>IFERROR(__xludf.DUMMYFUNCTION("""COMPUTED_VALUE"""),"Shivangi")</f>
        <v>Shivangi</v>
      </c>
      <c r="C857" s="1">
        <f>IFERROR(__xludf.DUMMYFUNCTION("""COMPUTED_VALUE"""),9.867585898E9)</f>
        <v>9867585898</v>
      </c>
      <c r="D857" s="1">
        <f>IFERROR(__xludf.DUMMYFUNCTION("""COMPUTED_VALUE"""),1.0)</f>
        <v>1</v>
      </c>
      <c r="E857" s="3">
        <f>IFERROR(__xludf.DUMMYFUNCTION("""COMPUTED_VALUE"""),0.5298611111065838)</f>
        <v>0.5298611111</v>
      </c>
      <c r="F857" s="1" t="str">
        <f>IFERROR(__xludf.DUMMYFUNCTION("""COMPUTED_VALUE"""),"Antique Gold")</f>
        <v>Antique Gold</v>
      </c>
      <c r="G857" s="1" t="str">
        <f>IFERROR(__xludf.DUMMYFUNCTION("""COMPUTED_VALUE"""),"Preeti")</f>
        <v>Preeti</v>
      </c>
      <c r="H857" s="1" t="str">
        <f>IFERROR(__xludf.DUMMYFUNCTION("""COMPUTED_VALUE"""),"Hold antique set, diamond breslet ")</f>
        <v>Hold antique set, diamond breslet </v>
      </c>
      <c r="I857" s="1" t="str">
        <f>IFERROR(__xludf.DUMMYFUNCTION("""COMPUTED_VALUE"""),"Cheak the order ")</f>
        <v>Cheak the order </v>
      </c>
      <c r="J857" s="1"/>
      <c r="K857" s="3">
        <f>IFERROR(__xludf.DUMMYFUNCTION("""COMPUTED_VALUE"""),0.65625)</f>
        <v>0.65625</v>
      </c>
      <c r="L857" s="1" t="str">
        <f>IFERROR(__xludf.DUMMYFUNCTION("""COMPUTED_VALUE"""),"Yes")</f>
        <v>Yes</v>
      </c>
      <c r="M857" s="1" t="str">
        <f>IFERROR(__xludf.DUMMYFUNCTION("""COMPUTED_VALUE"""),"Already done ")</f>
        <v>Already done </v>
      </c>
      <c r="N857" s="1" t="str">
        <f>IFERROR(__xludf.DUMMYFUNCTION("""COMPUTED_VALUE"""),"Already done ")</f>
        <v>Already done </v>
      </c>
      <c r="O857" s="1" t="str">
        <f>IFERROR(__xludf.DUMMYFUNCTION("""COMPUTED_VALUE"""),"WA ONLY, CALL")</f>
        <v>WA ONLY, CALL</v>
      </c>
      <c r="P857" s="1" t="str">
        <f>IFERROR(__xludf.DUMMYFUNCTION("""COMPUTED_VALUE"""),"Madam")</f>
        <v>Madam</v>
      </c>
      <c r="Q857" s="1" t="str">
        <f>IFERROR(__xludf.DUMMYFUNCTION("""COMPUTED_VALUE"""),"No")</f>
        <v>No</v>
      </c>
      <c r="R857" s="1" t="str">
        <f>IFERROR(__xludf.DUMMYFUNCTION("""COMPUTED_VALUE"""),"OLD")</f>
        <v>OLD</v>
      </c>
      <c r="S857" s="1" t="str">
        <f>IFERROR(__xludf.DUMMYFUNCTION("""COMPUTED_VALUE"""),"No")</f>
        <v>No</v>
      </c>
    </row>
    <row r="858">
      <c r="A858" s="2">
        <f>IFERROR(__xludf.DUMMYFUNCTION("""COMPUTED_VALUE"""),45617.73663668981)</f>
        <v>45617.73664</v>
      </c>
      <c r="B858" s="1" t="str">
        <f>IFERROR(__xludf.DUMMYFUNCTION("""COMPUTED_VALUE"""),"Nasir")</f>
        <v>Nasir</v>
      </c>
      <c r="C858" s="1">
        <f>IFERROR(__xludf.DUMMYFUNCTION("""COMPUTED_VALUE"""),7.042775899E9)</f>
        <v>7042775899</v>
      </c>
      <c r="D858" s="1">
        <f>IFERROR(__xludf.DUMMYFUNCTION("""COMPUTED_VALUE"""),2.0)</f>
        <v>2</v>
      </c>
      <c r="E858" s="3">
        <f>IFERROR(__xludf.DUMMYFUNCTION("""COMPUTED_VALUE"""),0.6708333333372138)</f>
        <v>0.6708333333</v>
      </c>
      <c r="F858" s="1" t="str">
        <f>IFERROR(__xludf.DUMMYFUNCTION("""COMPUTED_VALUE"""),"Antique Gold")</f>
        <v>Antique Gold</v>
      </c>
      <c r="G858" s="1" t="str">
        <f>IFERROR(__xludf.DUMMYFUNCTION("""COMPUTED_VALUE"""),"Pooja")</f>
        <v>Pooja</v>
      </c>
      <c r="H858" s="1" t="str">
        <f>IFERROR(__xludf.DUMMYFUNCTION("""COMPUTED_VALUE"""),"Gold antique set")</f>
        <v>Gold antique set</v>
      </c>
      <c r="I858" s="1"/>
      <c r="J858" s="1"/>
      <c r="K858" s="3">
        <f>IFERROR(__xludf.DUMMYFUNCTION("""COMPUTED_VALUE"""),0.7118055555547471)</f>
        <v>0.7118055556</v>
      </c>
      <c r="L858" s="1" t="str">
        <f>IFERROR(__xludf.DUMMYFUNCTION("""COMPUTED_VALUE"""),"Yes")</f>
        <v>Yes</v>
      </c>
      <c r="M858" s="1" t="str">
        <f>IFERROR(__xludf.DUMMYFUNCTION("""COMPUTED_VALUE"""),"Already done ")</f>
        <v>Already done </v>
      </c>
      <c r="N858" s="1" t="str">
        <f>IFERROR(__xludf.DUMMYFUNCTION("""COMPUTED_VALUE"""),"Already done ")</f>
        <v>Already done </v>
      </c>
      <c r="O858" s="1" t="str">
        <f>IFERROR(__xludf.DUMMYFUNCTION("""COMPUTED_VALUE"""),"WA ONLY, CALL")</f>
        <v>WA ONLY, CALL</v>
      </c>
      <c r="P858" s="1" t="str">
        <f>IFERROR(__xludf.DUMMYFUNCTION("""COMPUTED_VALUE"""),"Sir")</f>
        <v>Sir</v>
      </c>
      <c r="Q858" s="1" t="str">
        <f>IFERROR(__xludf.DUMMYFUNCTION("""COMPUTED_VALUE"""),"No")</f>
        <v>No</v>
      </c>
      <c r="R858" s="1" t="str">
        <f>IFERROR(__xludf.DUMMYFUNCTION("""COMPUTED_VALUE"""),"OLD")</f>
        <v>OLD</v>
      </c>
      <c r="S858" s="1" t="str">
        <f>IFERROR(__xludf.DUMMYFUNCTION("""COMPUTED_VALUE"""),"Yes")</f>
        <v>Yes</v>
      </c>
    </row>
    <row r="859">
      <c r="A859" s="2">
        <f>IFERROR(__xludf.DUMMYFUNCTION("""COMPUTED_VALUE"""),45617.73732032407)</f>
        <v>45617.73732</v>
      </c>
      <c r="B859" s="1" t="str">
        <f>IFERROR(__xludf.DUMMYFUNCTION("""COMPUTED_VALUE"""),"Aman")</f>
        <v>Aman</v>
      </c>
      <c r="C859" s="1">
        <f>IFERROR(__xludf.DUMMYFUNCTION("""COMPUTED_VALUE"""),7.503982731E9)</f>
        <v>7503982731</v>
      </c>
      <c r="D859" s="1">
        <f>IFERROR(__xludf.DUMMYFUNCTION("""COMPUTED_VALUE"""),2.0)</f>
        <v>2</v>
      </c>
      <c r="E859" s="3">
        <f>IFERROR(__xludf.DUMMYFUNCTION("""COMPUTED_VALUE"""),0.6979166666642413)</f>
        <v>0.6979166667</v>
      </c>
      <c r="F859" s="1" t="str">
        <f>IFERROR(__xludf.DUMMYFUNCTION("""COMPUTED_VALUE"""),"Plain Gold")</f>
        <v>Plain Gold</v>
      </c>
      <c r="G859" s="1" t="str">
        <f>IFERROR(__xludf.DUMMYFUNCTION("""COMPUTED_VALUE"""),"Tannu")</f>
        <v>Tannu</v>
      </c>
      <c r="H859" s="1" t="str">
        <f>IFERROR(__xludf.DUMMYFUNCTION("""COMPUTED_VALUE"""),"Gold tops")</f>
        <v>Gold tops</v>
      </c>
      <c r="I859" s="1" t="str">
        <f>IFERROR(__xludf.DUMMYFUNCTION("""COMPUTED_VALUE"""),"Visit Again in 1 Month")</f>
        <v>Visit Again in 1 Month</v>
      </c>
      <c r="J859" s="1"/>
      <c r="K859" s="3">
        <f>IFERROR(__xludf.DUMMYFUNCTION("""COMPUTED_VALUE"""),0.7291666666642413)</f>
        <v>0.7291666667</v>
      </c>
      <c r="L859" s="1" t="str">
        <f>IFERROR(__xludf.DUMMYFUNCTION("""COMPUTED_VALUE"""),"No")</f>
        <v>No</v>
      </c>
      <c r="M859" s="1" t="str">
        <f>IFERROR(__xludf.DUMMYFUNCTION("""COMPUTED_VALUE"""),"No")</f>
        <v>No</v>
      </c>
      <c r="N859" s="1" t="str">
        <f>IFERROR(__xludf.DUMMYFUNCTION("""COMPUTED_VALUE"""),"No")</f>
        <v>No</v>
      </c>
      <c r="O859" s="1" t="str">
        <f>IFERROR(__xludf.DUMMYFUNCTION("""COMPUTED_VALUE"""),"WA ONLY, CALL")</f>
        <v>WA ONLY, CALL</v>
      </c>
      <c r="P859" s="1" t="str">
        <f>IFERROR(__xludf.DUMMYFUNCTION("""COMPUTED_VALUE"""),"Sir")</f>
        <v>Sir</v>
      </c>
      <c r="Q859" s="1" t="str">
        <f>IFERROR(__xludf.DUMMYFUNCTION("""COMPUTED_VALUE"""),"No")</f>
        <v>No</v>
      </c>
      <c r="R859" s="1" t="str">
        <f>IFERROR(__xludf.DUMMYFUNCTION("""COMPUTED_VALUE"""),"NEW WALK IN")</f>
        <v>NEW WALK IN</v>
      </c>
      <c r="S859" s="1" t="str">
        <f>IFERROR(__xludf.DUMMYFUNCTION("""COMPUTED_VALUE"""),"No")</f>
        <v>No</v>
      </c>
    </row>
    <row r="860">
      <c r="A860" s="2">
        <f>IFERROR(__xludf.DUMMYFUNCTION("""COMPUTED_VALUE"""),45617.82443666666)</f>
        <v>45617.82444</v>
      </c>
      <c r="B860" s="1" t="str">
        <f>IFERROR(__xludf.DUMMYFUNCTION("""COMPUTED_VALUE"""),"Vaishali")</f>
        <v>Vaishali</v>
      </c>
      <c r="C860" s="1">
        <f>IFERROR(__xludf.DUMMYFUNCTION("""COMPUTED_VALUE"""),8.13098475E9)</f>
        <v>8130984750</v>
      </c>
      <c r="D860" s="1">
        <f>IFERROR(__xludf.DUMMYFUNCTION("""COMPUTED_VALUE"""),2.0)</f>
        <v>2</v>
      </c>
      <c r="E860" s="3">
        <f>IFERROR(__xludf.DUMMYFUNCTION("""COMPUTED_VALUE"""),0.8111111111065838)</f>
        <v>0.8111111111</v>
      </c>
      <c r="F860" s="1" t="str">
        <f>IFERROR(__xludf.DUMMYFUNCTION("""COMPUTED_VALUE"""),"Plain Gold")</f>
        <v>Plain Gold</v>
      </c>
      <c r="G860" s="1" t="str">
        <f>IFERROR(__xludf.DUMMYFUNCTION("""COMPUTED_VALUE"""),"Preeti")</f>
        <v>Preeti</v>
      </c>
      <c r="H860" s="1" t="str">
        <f>IFERROR(__xludf.DUMMYFUNCTION("""COMPUTED_VALUE"""),"Gold breslet ")</f>
        <v>Gold breslet </v>
      </c>
      <c r="I860" s="1" t="str">
        <f>IFERROR(__xludf.DUMMYFUNCTION("""COMPUTED_VALUE"""),"Visit Tuesday with husband ")</f>
        <v>Visit Tuesday with husband </v>
      </c>
      <c r="J860" s="1"/>
      <c r="K860" s="3">
        <f>IFERROR(__xludf.DUMMYFUNCTION("""COMPUTED_VALUE"""),0.8229166666642413)</f>
        <v>0.8229166667</v>
      </c>
      <c r="L860" s="1" t="str">
        <f>IFERROR(__xludf.DUMMYFUNCTION("""COMPUTED_VALUE"""),"No")</f>
        <v>No</v>
      </c>
      <c r="M860" s="1" t="str">
        <f>IFERROR(__xludf.DUMMYFUNCTION("""COMPUTED_VALUE"""),"No")</f>
        <v>No</v>
      </c>
      <c r="N860" s="1" t="str">
        <f>IFERROR(__xludf.DUMMYFUNCTION("""COMPUTED_VALUE"""),"No")</f>
        <v>No</v>
      </c>
      <c r="O860" s="1" t="str">
        <f>IFERROR(__xludf.DUMMYFUNCTION("""COMPUTED_VALUE"""),"WA ONLY, CALL")</f>
        <v>WA ONLY, CALL</v>
      </c>
      <c r="P860" s="1" t="str">
        <f>IFERROR(__xludf.DUMMYFUNCTION("""COMPUTED_VALUE"""),"Madam")</f>
        <v>Madam</v>
      </c>
      <c r="Q860" s="1" t="str">
        <f>IFERROR(__xludf.DUMMYFUNCTION("""COMPUTED_VALUE"""),"No")</f>
        <v>No</v>
      </c>
      <c r="R860" s="1" t="str">
        <f>IFERROR(__xludf.DUMMYFUNCTION("""COMPUTED_VALUE"""),"NEW WALK IN")</f>
        <v>NEW WALK IN</v>
      </c>
      <c r="S860" s="1" t="str">
        <f>IFERROR(__xludf.DUMMYFUNCTION("""COMPUTED_VALUE"""),"No")</f>
        <v>No</v>
      </c>
    </row>
    <row r="861">
      <c r="A861" s="2">
        <f>IFERROR(__xludf.DUMMYFUNCTION("""COMPUTED_VALUE"""),45618.76642918981)</f>
        <v>45618.76643</v>
      </c>
      <c r="B861" s="1" t="str">
        <f>IFERROR(__xludf.DUMMYFUNCTION("""COMPUTED_VALUE"""),"Charu")</f>
        <v>Charu</v>
      </c>
      <c r="C861" s="1">
        <f>IFERROR(__xludf.DUMMYFUNCTION("""COMPUTED_VALUE"""),9.871089414E9)</f>
        <v>9871089414</v>
      </c>
      <c r="D861" s="1">
        <f>IFERROR(__xludf.DUMMYFUNCTION("""COMPUTED_VALUE"""),2.0)</f>
        <v>2</v>
      </c>
      <c r="E861" s="3">
        <f>IFERROR(__xludf.DUMMYFUNCTION("""COMPUTED_VALUE"""),0.6041666666642413)</f>
        <v>0.6041666667</v>
      </c>
      <c r="F861" s="1" t="str">
        <f>IFERROR(__xludf.DUMMYFUNCTION("""COMPUTED_VALUE"""),"Diamond")</f>
        <v>Diamond</v>
      </c>
      <c r="G861" s="1" t="str">
        <f>IFERROR(__xludf.DUMMYFUNCTION("""COMPUTED_VALUE"""),"Pooja")</f>
        <v>Pooja</v>
      </c>
      <c r="H861" s="1" t="str">
        <f>IFERROR(__xludf.DUMMYFUNCTION("""COMPUTED_VALUE"""),"Diamond set,ring")</f>
        <v>Diamond set,ring</v>
      </c>
      <c r="I861" s="1"/>
      <c r="J861" s="1"/>
      <c r="K861" s="3">
        <f>IFERROR(__xludf.DUMMYFUNCTION("""COMPUTED_VALUE"""),0.6875)</f>
        <v>0.6875</v>
      </c>
      <c r="L861" s="1" t="str">
        <f>IFERROR(__xludf.DUMMYFUNCTION("""COMPUTED_VALUE"""),"Yes")</f>
        <v>Yes</v>
      </c>
      <c r="M861" s="1" t="str">
        <f>IFERROR(__xludf.DUMMYFUNCTION("""COMPUTED_VALUE"""),"Already done ")</f>
        <v>Already done </v>
      </c>
      <c r="N861" s="1" t="str">
        <f>IFERROR(__xludf.DUMMYFUNCTION("""COMPUTED_VALUE"""),"Already done ")</f>
        <v>Already done </v>
      </c>
      <c r="O861" s="1" t="str">
        <f>IFERROR(__xludf.DUMMYFUNCTION("""COMPUTED_VALUE"""),"WA ONLY, CALL")</f>
        <v>WA ONLY, CALL</v>
      </c>
      <c r="P861" s="1" t="str">
        <f>IFERROR(__xludf.DUMMYFUNCTION("""COMPUTED_VALUE"""),"Madam")</f>
        <v>Madam</v>
      </c>
      <c r="Q861" s="1" t="str">
        <f>IFERROR(__xludf.DUMMYFUNCTION("""COMPUTED_VALUE"""),"No")</f>
        <v>No</v>
      </c>
      <c r="R861" s="1" t="str">
        <f>IFERROR(__xludf.DUMMYFUNCTION("""COMPUTED_VALUE"""),"OLD")</f>
        <v>OLD</v>
      </c>
      <c r="S861" s="1" t="str">
        <f>IFERROR(__xludf.DUMMYFUNCTION("""COMPUTED_VALUE"""),"No")</f>
        <v>No</v>
      </c>
    </row>
    <row r="862">
      <c r="A862" s="2">
        <f>IFERROR(__xludf.DUMMYFUNCTION("""COMPUTED_VALUE"""),45618.79995822917)</f>
        <v>45618.79996</v>
      </c>
      <c r="B862" s="1" t="str">
        <f>IFERROR(__xludf.DUMMYFUNCTION("""COMPUTED_VALUE"""),"Dr.mannak")</f>
        <v>Dr.mannak</v>
      </c>
      <c r="C862" s="1">
        <f>IFERROR(__xludf.DUMMYFUNCTION("""COMPUTED_VALUE"""),7.982125833E9)</f>
        <v>7982125833</v>
      </c>
      <c r="D862" s="1">
        <f>IFERROR(__xludf.DUMMYFUNCTION("""COMPUTED_VALUE"""),1.0)</f>
        <v>1</v>
      </c>
      <c r="E862" s="3">
        <f>IFERROR(__xludf.DUMMYFUNCTION("""COMPUTED_VALUE"""),0.75)</f>
        <v>0.75</v>
      </c>
      <c r="F862" s="1" t="str">
        <f>IFERROR(__xludf.DUMMYFUNCTION("""COMPUTED_VALUE"""),"Plain Gold")</f>
        <v>Plain Gold</v>
      </c>
      <c r="G862" s="1" t="str">
        <f>IFERROR(__xludf.DUMMYFUNCTION("""COMPUTED_VALUE"""),"Tannu")</f>
        <v>Tannu</v>
      </c>
      <c r="H862" s="1" t="str">
        <f>IFERROR(__xludf.DUMMYFUNCTION("""COMPUTED_VALUE"""),"Silver band")</f>
        <v>Silver band</v>
      </c>
      <c r="I862" s="1" t="str">
        <f>IFERROR(__xludf.DUMMYFUNCTION("""COMPUTED_VALUE"""),"Silver band order ")</f>
        <v>Silver band order </v>
      </c>
      <c r="J862" s="1"/>
      <c r="K862" s="3">
        <f>IFERROR(__xludf.DUMMYFUNCTION("""COMPUTED_VALUE"""),0.7993055555562023)</f>
        <v>0.7993055556</v>
      </c>
      <c r="L862" s="1" t="str">
        <f>IFERROR(__xludf.DUMMYFUNCTION("""COMPUTED_VALUE"""),"No")</f>
        <v>No</v>
      </c>
      <c r="M862" s="1" t="str">
        <f>IFERROR(__xludf.DUMMYFUNCTION("""COMPUTED_VALUE"""),"No")</f>
        <v>No</v>
      </c>
      <c r="N862" s="1" t="str">
        <f>IFERROR(__xludf.DUMMYFUNCTION("""COMPUTED_VALUE"""),"No")</f>
        <v>No</v>
      </c>
      <c r="O862" s="1" t="str">
        <f>IFERROR(__xludf.DUMMYFUNCTION("""COMPUTED_VALUE"""),"WA ONLY, CALL")</f>
        <v>WA ONLY, CALL</v>
      </c>
      <c r="P862" s="1" t="str">
        <f>IFERROR(__xludf.DUMMYFUNCTION("""COMPUTED_VALUE"""),"Sir")</f>
        <v>Sir</v>
      </c>
      <c r="Q862" s="1"/>
      <c r="R862" s="1" t="str">
        <f>IFERROR(__xludf.DUMMYFUNCTION("""COMPUTED_VALUE"""),"NEW WALK IN")</f>
        <v>NEW WALK IN</v>
      </c>
      <c r="S862" s="1" t="str">
        <f>IFERROR(__xludf.DUMMYFUNCTION("""COMPUTED_VALUE"""),"Yes")</f>
        <v>Yes</v>
      </c>
    </row>
    <row r="863">
      <c r="A863" s="2">
        <f>IFERROR(__xludf.DUMMYFUNCTION("""COMPUTED_VALUE"""),45619.78660486111)</f>
        <v>45619.7866</v>
      </c>
      <c r="B863" s="1" t="str">
        <f>IFERROR(__xludf.DUMMYFUNCTION("""COMPUTED_VALUE"""),"Riya")</f>
        <v>Riya</v>
      </c>
      <c r="C863" s="1">
        <f>IFERROR(__xludf.DUMMYFUNCTION("""COMPUTED_VALUE"""),8.860647524E9)</f>
        <v>8860647524</v>
      </c>
      <c r="D863" s="1">
        <f>IFERROR(__xludf.DUMMYFUNCTION("""COMPUTED_VALUE"""),2.0)</f>
        <v>2</v>
      </c>
      <c r="E863" s="3">
        <f>IFERROR(__xludf.DUMMYFUNCTION("""COMPUTED_VALUE"""),0.6618055555591127)</f>
        <v>0.6618055556</v>
      </c>
      <c r="F863" s="1" t="str">
        <f>IFERROR(__xludf.DUMMYFUNCTION("""COMPUTED_VALUE"""),"Plain Gold")</f>
        <v>Plain Gold</v>
      </c>
      <c r="G863" s="1" t="str">
        <f>IFERROR(__xludf.DUMMYFUNCTION("""COMPUTED_VALUE"""),"Tannu")</f>
        <v>Tannu</v>
      </c>
      <c r="H863" s="1" t="str">
        <f>IFERROR(__xludf.DUMMYFUNCTION("""COMPUTED_VALUE"""),"Gold tops")</f>
        <v>Gold tops</v>
      </c>
      <c r="I863" s="1" t="str">
        <f>IFERROR(__xludf.DUMMYFUNCTION("""COMPUTED_VALUE"""),"Want to see More Variety")</f>
        <v>Want to see More Variety</v>
      </c>
      <c r="J863" s="1"/>
      <c r="K863" s="3">
        <f>IFERROR(__xludf.DUMMYFUNCTION("""COMPUTED_VALUE"""),0.6763888888890506)</f>
        <v>0.6763888889</v>
      </c>
      <c r="L863" s="1" t="str">
        <f>IFERROR(__xludf.DUMMYFUNCTION("""COMPUTED_VALUE"""),"No")</f>
        <v>No</v>
      </c>
      <c r="M863" s="1" t="str">
        <f>IFERROR(__xludf.DUMMYFUNCTION("""COMPUTED_VALUE"""),"No")</f>
        <v>No</v>
      </c>
      <c r="N863" s="1" t="str">
        <f>IFERROR(__xludf.DUMMYFUNCTION("""COMPUTED_VALUE"""),"No")</f>
        <v>No</v>
      </c>
      <c r="O863" s="1" t="str">
        <f>IFERROR(__xludf.DUMMYFUNCTION("""COMPUTED_VALUE"""),"WA ONLY, CALL")</f>
        <v>WA ONLY, CALL</v>
      </c>
      <c r="P863" s="1" t="str">
        <f>IFERROR(__xludf.DUMMYFUNCTION("""COMPUTED_VALUE"""),"Madam")</f>
        <v>Madam</v>
      </c>
      <c r="Q863" s="1" t="str">
        <f>IFERROR(__xludf.DUMMYFUNCTION("""COMPUTED_VALUE"""),"No")</f>
        <v>No</v>
      </c>
      <c r="R863" s="1" t="str">
        <f>IFERROR(__xludf.DUMMYFUNCTION("""COMPUTED_VALUE"""),"NEW WALK IN")</f>
        <v>NEW WALK IN</v>
      </c>
      <c r="S863" s="1" t="str">
        <f>IFERROR(__xludf.DUMMYFUNCTION("""COMPUTED_VALUE"""),"No")</f>
        <v>No</v>
      </c>
    </row>
    <row r="864">
      <c r="A864" s="2">
        <f>IFERROR(__xludf.DUMMYFUNCTION("""COMPUTED_VALUE"""),45620.71138283565)</f>
        <v>45620.71138</v>
      </c>
      <c r="B864" s="1" t="str">
        <f>IFERROR(__xludf.DUMMYFUNCTION("""COMPUTED_VALUE"""),"Mohshin")</f>
        <v>Mohshin</v>
      </c>
      <c r="C864" s="1">
        <f>IFERROR(__xludf.DUMMYFUNCTION("""COMPUTED_VALUE"""),9.810287478E9)</f>
        <v>9810287478</v>
      </c>
      <c r="D864" s="1">
        <f>IFERROR(__xludf.DUMMYFUNCTION("""COMPUTED_VALUE"""),2.0)</f>
        <v>2</v>
      </c>
      <c r="E864" s="3">
        <f>IFERROR(__xludf.DUMMYFUNCTION("""COMPUTED_VALUE"""),0.6041666666642413)</f>
        <v>0.6041666667</v>
      </c>
      <c r="F864" s="1" t="str">
        <f>IFERROR(__xludf.DUMMYFUNCTION("""COMPUTED_VALUE"""),"Antique Gold")</f>
        <v>Antique Gold</v>
      </c>
      <c r="G864" s="1" t="str">
        <f>IFERROR(__xludf.DUMMYFUNCTION("""COMPUTED_VALUE"""),"Tannu")</f>
        <v>Tannu</v>
      </c>
      <c r="H864" s="1" t="str">
        <f>IFERROR(__xludf.DUMMYFUNCTION("""COMPUTED_VALUE"""),"Daimontops")</f>
        <v>Daimontops</v>
      </c>
      <c r="I864" s="1"/>
      <c r="J864" s="1"/>
      <c r="K864" s="3">
        <f>IFERROR(__xludf.DUMMYFUNCTION("""COMPUTED_VALUE"""),0.6340277777781012)</f>
        <v>0.6340277778</v>
      </c>
      <c r="L864" s="1" t="str">
        <f>IFERROR(__xludf.DUMMYFUNCTION("""COMPUTED_VALUE"""),"Yes")</f>
        <v>Yes</v>
      </c>
      <c r="M864" s="1" t="str">
        <f>IFERROR(__xludf.DUMMYFUNCTION("""COMPUTED_VALUE"""),"Already done ")</f>
        <v>Already done </v>
      </c>
      <c r="N864" s="1" t="str">
        <f>IFERROR(__xludf.DUMMYFUNCTION("""COMPUTED_VALUE"""),"Already done ")</f>
        <v>Already done </v>
      </c>
      <c r="O864" s="1" t="str">
        <f>IFERROR(__xludf.DUMMYFUNCTION("""COMPUTED_VALUE"""),"WA ONLY, CALL")</f>
        <v>WA ONLY, CALL</v>
      </c>
      <c r="P864" s="1" t="str">
        <f>IFERROR(__xludf.DUMMYFUNCTION("""COMPUTED_VALUE"""),"Sir")</f>
        <v>Sir</v>
      </c>
      <c r="Q864" s="1" t="str">
        <f>IFERROR(__xludf.DUMMYFUNCTION("""COMPUTED_VALUE"""),"No")</f>
        <v>No</v>
      </c>
      <c r="R864" s="1" t="str">
        <f>IFERROR(__xludf.DUMMYFUNCTION("""COMPUTED_VALUE"""),"OLD")</f>
        <v>OLD</v>
      </c>
      <c r="S864" s="1" t="str">
        <f>IFERROR(__xludf.DUMMYFUNCTION("""COMPUTED_VALUE"""),"Yes")</f>
        <v>Yes</v>
      </c>
    </row>
    <row r="865">
      <c r="A865" s="2">
        <f>IFERROR(__xludf.DUMMYFUNCTION("""COMPUTED_VALUE"""),45620.71246902778)</f>
        <v>45620.71247</v>
      </c>
      <c r="B865" s="1" t="str">
        <f>IFERROR(__xludf.DUMMYFUNCTION("""COMPUTED_VALUE"""),"Bani")</f>
        <v>Bani</v>
      </c>
      <c r="C865" s="1">
        <f>IFERROR(__xludf.DUMMYFUNCTION("""COMPUTED_VALUE"""),8.010768209E9)</f>
        <v>8010768209</v>
      </c>
      <c r="D865" s="1">
        <f>IFERROR(__xludf.DUMMYFUNCTION("""COMPUTED_VALUE"""),2.0)</f>
        <v>2</v>
      </c>
      <c r="E865" s="3">
        <f>IFERROR(__xludf.DUMMYFUNCTION("""COMPUTED_VALUE"""),0.625)</f>
        <v>0.625</v>
      </c>
      <c r="F865" s="1" t="str">
        <f>IFERROR(__xludf.DUMMYFUNCTION("""COMPUTED_VALUE"""),"Diamond")</f>
        <v>Diamond</v>
      </c>
      <c r="G865" s="1" t="str">
        <f>IFERROR(__xludf.DUMMYFUNCTION("""COMPUTED_VALUE"""),"Preeti")</f>
        <v>Preeti</v>
      </c>
      <c r="H865" s="1" t="str">
        <f>IFERROR(__xludf.DUMMYFUNCTION("""COMPUTED_VALUE"""),"Diamond bangle,breslet ")</f>
        <v>Diamond bangle,breslet </v>
      </c>
      <c r="I865" s="1" t="str">
        <f>IFERROR(__xludf.DUMMYFUNCTION("""COMPUTED_VALUE"""),"Visit Again in 1 Month")</f>
        <v>Visit Again in 1 Month</v>
      </c>
      <c r="J865" s="1"/>
      <c r="K865" s="3">
        <f>IFERROR(__xludf.DUMMYFUNCTION("""COMPUTED_VALUE"""),0.6500000000014552)</f>
        <v>0.65</v>
      </c>
      <c r="L865" s="1" t="str">
        <f>IFERROR(__xludf.DUMMYFUNCTION("""COMPUTED_VALUE"""),"No")</f>
        <v>No</v>
      </c>
      <c r="M865" s="1" t="str">
        <f>IFERROR(__xludf.DUMMYFUNCTION("""COMPUTED_VALUE"""),"No")</f>
        <v>No</v>
      </c>
      <c r="N865" s="1" t="str">
        <f>IFERROR(__xludf.DUMMYFUNCTION("""COMPUTED_VALUE"""),"No")</f>
        <v>No</v>
      </c>
      <c r="O865" s="1" t="str">
        <f>IFERROR(__xludf.DUMMYFUNCTION("""COMPUTED_VALUE"""),"WA ONLY, CALL")</f>
        <v>WA ONLY, CALL</v>
      </c>
      <c r="P865" s="1" t="str">
        <f>IFERROR(__xludf.DUMMYFUNCTION("""COMPUTED_VALUE"""),"Madam")</f>
        <v>Madam</v>
      </c>
      <c r="Q865" s="1" t="str">
        <f>IFERROR(__xludf.DUMMYFUNCTION("""COMPUTED_VALUE"""),"Yes")</f>
        <v>Yes</v>
      </c>
      <c r="R865" s="1" t="str">
        <f>IFERROR(__xludf.DUMMYFUNCTION("""COMPUTED_VALUE"""),"NEW WALK IN")</f>
        <v>NEW WALK IN</v>
      </c>
      <c r="S865" s="1" t="str">
        <f>IFERROR(__xludf.DUMMYFUNCTION("""COMPUTED_VALUE"""),"No")</f>
        <v>No</v>
      </c>
    </row>
    <row r="866">
      <c r="A866" s="2">
        <f>IFERROR(__xludf.DUMMYFUNCTION("""COMPUTED_VALUE"""),45622.682912766206)</f>
        <v>45622.68291</v>
      </c>
      <c r="B866" s="1" t="str">
        <f>IFERROR(__xludf.DUMMYFUNCTION("""COMPUTED_VALUE"""),"Monika arora")</f>
        <v>Monika arora</v>
      </c>
      <c r="C866" s="1">
        <f>IFERROR(__xludf.DUMMYFUNCTION("""COMPUTED_VALUE"""),9.212399066E9)</f>
        <v>9212399066</v>
      </c>
      <c r="D866" s="1">
        <f>IFERROR(__xludf.DUMMYFUNCTION("""COMPUTED_VALUE"""),2.0)</f>
        <v>2</v>
      </c>
      <c r="E866" s="3">
        <f>IFERROR(__xludf.DUMMYFUNCTION("""COMPUTED_VALUE"""),0.5416666666642413)</f>
        <v>0.5416666667</v>
      </c>
      <c r="F866" s="1" t="str">
        <f>IFERROR(__xludf.DUMMYFUNCTION("""COMPUTED_VALUE"""),"Plain Gold")</f>
        <v>Plain Gold</v>
      </c>
      <c r="G866" s="1" t="str">
        <f>IFERROR(__xludf.DUMMYFUNCTION("""COMPUTED_VALUE"""),"Tannu")</f>
        <v>Tannu</v>
      </c>
      <c r="H866" s="1" t="str">
        <f>IFERROR(__xludf.DUMMYFUNCTION("""COMPUTED_VALUE"""),"Silver murti")</f>
        <v>Silver murti</v>
      </c>
      <c r="I866" s="1" t="str">
        <f>IFERROR(__xludf.DUMMYFUNCTION("""COMPUTED_VALUE"""),"Repair silver murti")</f>
        <v>Repair silver murti</v>
      </c>
      <c r="J866" s="1"/>
      <c r="K866" s="3">
        <f>IFERROR(__xludf.DUMMYFUNCTION("""COMPUTED_VALUE"""),0.5729166666642413)</f>
        <v>0.5729166667</v>
      </c>
      <c r="L866" s="1" t="str">
        <f>IFERROR(__xludf.DUMMYFUNCTION("""COMPUTED_VALUE"""),"Yes")</f>
        <v>Yes</v>
      </c>
      <c r="M866" s="1" t="str">
        <f>IFERROR(__xludf.DUMMYFUNCTION("""COMPUTED_VALUE"""),"Already done ")</f>
        <v>Already done </v>
      </c>
      <c r="N866" s="1" t="str">
        <f>IFERROR(__xludf.DUMMYFUNCTION("""COMPUTED_VALUE"""),"Already done ")</f>
        <v>Already done </v>
      </c>
      <c r="O866" s="1" t="str">
        <f>IFERROR(__xludf.DUMMYFUNCTION("""COMPUTED_VALUE"""),"WA ONLY, CALL")</f>
        <v>WA ONLY, CALL</v>
      </c>
      <c r="P866" s="1" t="str">
        <f>IFERROR(__xludf.DUMMYFUNCTION("""COMPUTED_VALUE"""),"Madam")</f>
        <v>Madam</v>
      </c>
      <c r="Q866" s="1" t="str">
        <f>IFERROR(__xludf.DUMMYFUNCTION("""COMPUTED_VALUE"""),"No")</f>
        <v>No</v>
      </c>
      <c r="R866" s="1" t="str">
        <f>IFERROR(__xludf.DUMMYFUNCTION("""COMPUTED_VALUE"""),"OLD")</f>
        <v>OLD</v>
      </c>
      <c r="S866" s="1" t="str">
        <f>IFERROR(__xludf.DUMMYFUNCTION("""COMPUTED_VALUE"""),"No")</f>
        <v>No</v>
      </c>
    </row>
    <row r="867">
      <c r="A867" s="2">
        <f>IFERROR(__xludf.DUMMYFUNCTION("""COMPUTED_VALUE"""),45622.68393490741)</f>
        <v>45622.68393</v>
      </c>
      <c r="B867" s="1" t="str">
        <f>IFERROR(__xludf.DUMMYFUNCTION("""COMPUTED_VALUE"""),"Sapna varma")</f>
        <v>Sapna varma</v>
      </c>
      <c r="C867" s="1">
        <f>IFERROR(__xludf.DUMMYFUNCTION("""COMPUTED_VALUE"""),8.373954151E9)</f>
        <v>8373954151</v>
      </c>
      <c r="D867" s="1">
        <f>IFERROR(__xludf.DUMMYFUNCTION("""COMPUTED_VALUE"""),1.0)</f>
        <v>1</v>
      </c>
      <c r="E867" s="3">
        <f>IFERROR(__xludf.DUMMYFUNCTION("""COMPUTED_VALUE"""),0.5833333333357587)</f>
        <v>0.5833333333</v>
      </c>
      <c r="F867" s="1" t="str">
        <f>IFERROR(__xludf.DUMMYFUNCTION("""COMPUTED_VALUE"""),"Plain Gold")</f>
        <v>Plain Gold</v>
      </c>
      <c r="G867" s="1" t="str">
        <f>IFERROR(__xludf.DUMMYFUNCTION("""COMPUTED_VALUE"""),"Tannu")</f>
        <v>Tannu</v>
      </c>
      <c r="H867" s="1" t="str">
        <f>IFERROR(__xludf.DUMMYFUNCTION("""COMPUTED_VALUE"""),"Silver kada gents,breslet ")</f>
        <v>Silver kada gents,breslet </v>
      </c>
      <c r="I867" s="1" t="str">
        <f>IFERROR(__xludf.DUMMYFUNCTION("""COMPUTED_VALUE"""),"Will ask family and come with them")</f>
        <v>Will ask family and come with them</v>
      </c>
      <c r="J867" s="1"/>
      <c r="K867" s="3">
        <f>IFERROR(__xludf.DUMMYFUNCTION("""COMPUTED_VALUE"""),0.6041666666642413)</f>
        <v>0.6041666667</v>
      </c>
      <c r="L867" s="1" t="str">
        <f>IFERROR(__xludf.DUMMYFUNCTION("""COMPUTED_VALUE"""),"Yes")</f>
        <v>Yes</v>
      </c>
      <c r="M867" s="1" t="str">
        <f>IFERROR(__xludf.DUMMYFUNCTION("""COMPUTED_VALUE"""),"Already done ")</f>
        <v>Already done </v>
      </c>
      <c r="N867" s="1" t="str">
        <f>IFERROR(__xludf.DUMMYFUNCTION("""COMPUTED_VALUE"""),"Already done ")</f>
        <v>Already done </v>
      </c>
      <c r="O867" s="1" t="str">
        <f>IFERROR(__xludf.DUMMYFUNCTION("""COMPUTED_VALUE"""),"WA ONLY, CALL")</f>
        <v>WA ONLY, CALL</v>
      </c>
      <c r="P867" s="1" t="str">
        <f>IFERROR(__xludf.DUMMYFUNCTION("""COMPUTED_VALUE"""),"Madam")</f>
        <v>Madam</v>
      </c>
      <c r="Q867" s="1" t="str">
        <f>IFERROR(__xludf.DUMMYFUNCTION("""COMPUTED_VALUE"""),"No")</f>
        <v>No</v>
      </c>
      <c r="R867" s="1" t="str">
        <f>IFERROR(__xludf.DUMMYFUNCTION("""COMPUTED_VALUE"""),"OLD")</f>
        <v>OLD</v>
      </c>
      <c r="S867" s="1" t="str">
        <f>IFERROR(__xludf.DUMMYFUNCTION("""COMPUTED_VALUE"""),"No")</f>
        <v>No</v>
      </c>
    </row>
    <row r="868">
      <c r="A868" s="2">
        <f>IFERROR(__xludf.DUMMYFUNCTION("""COMPUTED_VALUE"""),45622.80782508102)</f>
        <v>45622.80783</v>
      </c>
      <c r="B868" s="1" t="str">
        <f>IFERROR(__xludf.DUMMYFUNCTION("""COMPUTED_VALUE"""),"Misaib raza")</f>
        <v>Misaib raza</v>
      </c>
      <c r="C868" s="1">
        <f>IFERROR(__xludf.DUMMYFUNCTION("""COMPUTED_VALUE"""),9.650798068E9)</f>
        <v>9650798068</v>
      </c>
      <c r="D868" s="1">
        <f>IFERROR(__xludf.DUMMYFUNCTION("""COMPUTED_VALUE"""),1.0)</f>
        <v>1</v>
      </c>
      <c r="E868" s="3">
        <f>IFERROR(__xludf.DUMMYFUNCTION("""COMPUTED_VALUE"""),0.7395833333357587)</f>
        <v>0.7395833333</v>
      </c>
      <c r="F868" s="1" t="str">
        <f>IFERROR(__xludf.DUMMYFUNCTION("""COMPUTED_VALUE"""),"Plain Gold")</f>
        <v>Plain Gold</v>
      </c>
      <c r="G868" s="1" t="str">
        <f>IFERROR(__xludf.DUMMYFUNCTION("""COMPUTED_VALUE"""),"Tannu")</f>
        <v>Tannu</v>
      </c>
      <c r="H868" s="1" t="str">
        <f>IFERROR(__xludf.DUMMYFUNCTION("""COMPUTED_VALUE"""),"Gold chain,gold ring")</f>
        <v>Gold chain,gold ring</v>
      </c>
      <c r="I868" s="1"/>
      <c r="J868" s="1"/>
      <c r="K868" s="3">
        <f>IFERROR(__xludf.DUMMYFUNCTION("""COMPUTED_VALUE"""),0.7847222222189885)</f>
        <v>0.7847222222</v>
      </c>
      <c r="L868" s="1" t="str">
        <f>IFERROR(__xludf.DUMMYFUNCTION("""COMPUTED_VALUE"""),"Yes")</f>
        <v>Yes</v>
      </c>
      <c r="M868" s="1" t="str">
        <f>IFERROR(__xludf.DUMMYFUNCTION("""COMPUTED_VALUE"""),"Already done ")</f>
        <v>Already done </v>
      </c>
      <c r="N868" s="1" t="str">
        <f>IFERROR(__xludf.DUMMYFUNCTION("""COMPUTED_VALUE"""),"Already done ")</f>
        <v>Already done </v>
      </c>
      <c r="O868" s="1" t="str">
        <f>IFERROR(__xludf.DUMMYFUNCTION("""COMPUTED_VALUE"""),"WA ONLY, CALL")</f>
        <v>WA ONLY, CALL</v>
      </c>
      <c r="P868" s="1" t="str">
        <f>IFERROR(__xludf.DUMMYFUNCTION("""COMPUTED_VALUE"""),"Sir")</f>
        <v>Sir</v>
      </c>
      <c r="Q868" s="1" t="str">
        <f>IFERROR(__xludf.DUMMYFUNCTION("""COMPUTED_VALUE"""),"No")</f>
        <v>No</v>
      </c>
      <c r="R868" s="1" t="str">
        <f>IFERROR(__xludf.DUMMYFUNCTION("""COMPUTED_VALUE"""),"OLD")</f>
        <v>OLD</v>
      </c>
      <c r="S868" s="1" t="str">
        <f>IFERROR(__xludf.DUMMYFUNCTION("""COMPUTED_VALUE"""),"Yes")</f>
        <v>Yes</v>
      </c>
    </row>
    <row r="869">
      <c r="A869" s="2">
        <f>IFERROR(__xludf.DUMMYFUNCTION("""COMPUTED_VALUE"""),45624.50330111111)</f>
        <v>45624.5033</v>
      </c>
      <c r="B869" s="1" t="str">
        <f>IFERROR(__xludf.DUMMYFUNCTION("""COMPUTED_VALUE"""),"Rekha avasti")</f>
        <v>Rekha avasti</v>
      </c>
      <c r="C869" s="1">
        <f>IFERROR(__xludf.DUMMYFUNCTION("""COMPUTED_VALUE"""),9.312263494E9)</f>
        <v>9312263494</v>
      </c>
      <c r="D869" s="1">
        <f>IFERROR(__xludf.DUMMYFUNCTION("""COMPUTED_VALUE"""),2.0)</f>
        <v>2</v>
      </c>
      <c r="E869" s="3">
        <f>IFERROR(__xludf.DUMMYFUNCTION("""COMPUTED_VALUE"""),0.5215277777751908)</f>
        <v>0.5215277778</v>
      </c>
      <c r="F869" s="1" t="str">
        <f>IFERROR(__xludf.DUMMYFUNCTION("""COMPUTED_VALUE"""),"Plain Gold")</f>
        <v>Plain Gold</v>
      </c>
      <c r="G869" s="1" t="str">
        <f>IFERROR(__xludf.DUMMYFUNCTION("""COMPUTED_VALUE"""),"Tannu")</f>
        <v>Tannu</v>
      </c>
      <c r="H869" s="1" t="str">
        <f>IFERROR(__xludf.DUMMYFUNCTION("""COMPUTED_VALUE"""),"Gold chain")</f>
        <v>Gold chain</v>
      </c>
      <c r="I869" s="1"/>
      <c r="J869" s="1"/>
      <c r="K869" s="3">
        <f>IFERROR(__xludf.DUMMYFUNCTION("""COMPUTED_VALUE"""),0.5833333333357587)</f>
        <v>0.5833333333</v>
      </c>
      <c r="L869" s="1" t="str">
        <f>IFERROR(__xludf.DUMMYFUNCTION("""COMPUTED_VALUE"""),"Yes")</f>
        <v>Yes</v>
      </c>
      <c r="M869" s="1" t="str">
        <f>IFERROR(__xludf.DUMMYFUNCTION("""COMPUTED_VALUE"""),"Already done ")</f>
        <v>Already done </v>
      </c>
      <c r="N869" s="1" t="str">
        <f>IFERROR(__xludf.DUMMYFUNCTION("""COMPUTED_VALUE"""),"Already done ")</f>
        <v>Already done </v>
      </c>
      <c r="O869" s="1" t="str">
        <f>IFERROR(__xludf.DUMMYFUNCTION("""COMPUTED_VALUE"""),"WA ONLY, CALL")</f>
        <v>WA ONLY, CALL</v>
      </c>
      <c r="P869" s="1" t="str">
        <f>IFERROR(__xludf.DUMMYFUNCTION("""COMPUTED_VALUE"""),"Madam")</f>
        <v>Madam</v>
      </c>
      <c r="Q869" s="1" t="str">
        <f>IFERROR(__xludf.DUMMYFUNCTION("""COMPUTED_VALUE"""),"No")</f>
        <v>No</v>
      </c>
      <c r="R869" s="1" t="str">
        <f>IFERROR(__xludf.DUMMYFUNCTION("""COMPUTED_VALUE"""),"OLD")</f>
        <v>OLD</v>
      </c>
      <c r="S869" s="1" t="str">
        <f>IFERROR(__xludf.DUMMYFUNCTION("""COMPUTED_VALUE"""),"Yes")</f>
        <v>Yes</v>
      </c>
    </row>
    <row r="870">
      <c r="A870" s="2">
        <f>IFERROR(__xludf.DUMMYFUNCTION("""COMPUTED_VALUE"""),45624.504912662036)</f>
        <v>45624.50491</v>
      </c>
      <c r="B870" s="1" t="str">
        <f>IFERROR(__xludf.DUMMYFUNCTION("""COMPUTED_VALUE"""),"Seema")</f>
        <v>Seema</v>
      </c>
      <c r="C870" s="1">
        <f>IFERROR(__xludf.DUMMYFUNCTION("""COMPUTED_VALUE"""),9.810413272E9)</f>
        <v>9810413272</v>
      </c>
      <c r="D870" s="1">
        <f>IFERROR(__xludf.DUMMYFUNCTION("""COMPUTED_VALUE"""),2.0)</f>
        <v>2</v>
      </c>
      <c r="E870" s="3">
        <f>IFERROR(__xludf.DUMMYFUNCTION("""COMPUTED_VALUE"""),0.5229166666686069)</f>
        <v>0.5229166667</v>
      </c>
      <c r="F870" s="1" t="str">
        <f>IFERROR(__xludf.DUMMYFUNCTION("""COMPUTED_VALUE"""),"Antique Gold")</f>
        <v>Antique Gold</v>
      </c>
      <c r="G870" s="1" t="str">
        <f>IFERROR(__xludf.DUMMYFUNCTION("""COMPUTED_VALUE"""),"Pooja")</f>
        <v>Pooja</v>
      </c>
      <c r="H870" s="1" t="str">
        <f>IFERROR(__xludf.DUMMYFUNCTION("""COMPUTED_VALUE"""),"Silver ganesh laxshmi, gold baar.")</f>
        <v>Silver ganesh laxshmi, gold baar.</v>
      </c>
      <c r="I870" s="1"/>
      <c r="J870" s="1"/>
      <c r="K870" s="3">
        <f>IFERROR(__xludf.DUMMYFUNCTION("""COMPUTED_VALUE"""),0.5999999999985448)</f>
        <v>0.6</v>
      </c>
      <c r="L870" s="1" t="str">
        <f>IFERROR(__xludf.DUMMYFUNCTION("""COMPUTED_VALUE"""),"Yes")</f>
        <v>Yes</v>
      </c>
      <c r="M870" s="1" t="str">
        <f>IFERROR(__xludf.DUMMYFUNCTION("""COMPUTED_VALUE"""),"Already done ")</f>
        <v>Already done </v>
      </c>
      <c r="N870" s="1" t="str">
        <f>IFERROR(__xludf.DUMMYFUNCTION("""COMPUTED_VALUE"""),"Already done ")</f>
        <v>Already done </v>
      </c>
      <c r="O870" s="1" t="str">
        <f>IFERROR(__xludf.DUMMYFUNCTION("""COMPUTED_VALUE"""),"WA ONLY, CALL")</f>
        <v>WA ONLY, CALL</v>
      </c>
      <c r="P870" s="1" t="str">
        <f>IFERROR(__xludf.DUMMYFUNCTION("""COMPUTED_VALUE"""),"Madam")</f>
        <v>Madam</v>
      </c>
      <c r="Q870" s="1" t="str">
        <f>IFERROR(__xludf.DUMMYFUNCTION("""COMPUTED_VALUE"""),"Yes")</f>
        <v>Yes</v>
      </c>
      <c r="R870" s="1" t="str">
        <f>IFERROR(__xludf.DUMMYFUNCTION("""COMPUTED_VALUE"""),"OLD")</f>
        <v>OLD</v>
      </c>
      <c r="S870" s="1" t="str">
        <f>IFERROR(__xludf.DUMMYFUNCTION("""COMPUTED_VALUE"""),"Yes")</f>
        <v>Yes</v>
      </c>
    </row>
    <row r="871">
      <c r="A871" s="2">
        <f>IFERROR(__xludf.DUMMYFUNCTION("""COMPUTED_VALUE"""),45624.50656902778)</f>
        <v>45624.50657</v>
      </c>
      <c r="B871" s="1" t="str">
        <f>IFERROR(__xludf.DUMMYFUNCTION("""COMPUTED_VALUE"""),"Poonam")</f>
        <v>Poonam</v>
      </c>
      <c r="C871" s="1">
        <f>IFERROR(__xludf.DUMMYFUNCTION("""COMPUTED_VALUE"""),9.910812E9)</f>
        <v>9910812000</v>
      </c>
      <c r="D871" s="1">
        <f>IFERROR(__xludf.DUMMYFUNCTION("""COMPUTED_VALUE"""),2.0)</f>
        <v>2</v>
      </c>
      <c r="E871" s="3">
        <f>IFERROR(__xludf.DUMMYFUNCTION("""COMPUTED_VALUE"""),0.5972222222189885)</f>
        <v>0.5972222222</v>
      </c>
      <c r="F871" s="1" t="str">
        <f>IFERROR(__xludf.DUMMYFUNCTION("""COMPUTED_VALUE"""),"Antique Gold")</f>
        <v>Antique Gold</v>
      </c>
      <c r="G871" s="1" t="str">
        <f>IFERROR(__xludf.DUMMYFUNCTION("""COMPUTED_VALUE"""),"Pooja")</f>
        <v>Pooja</v>
      </c>
      <c r="H871" s="1" t="str">
        <f>IFERROR(__xludf.DUMMYFUNCTION("""COMPUTED_VALUE"""),".")</f>
        <v>.</v>
      </c>
      <c r="I871" s="1" t="str">
        <f>IFERROR(__xludf.DUMMYFUNCTION("""COMPUTED_VALUE"""),"Repair ")</f>
        <v>Repair </v>
      </c>
      <c r="J871" s="1"/>
      <c r="K871" s="3">
        <f>IFERROR(__xludf.DUMMYFUNCTION("""COMPUTED_VALUE"""),0.6361111111109494)</f>
        <v>0.6361111111</v>
      </c>
      <c r="L871" s="1" t="str">
        <f>IFERROR(__xludf.DUMMYFUNCTION("""COMPUTED_VALUE"""),"Yes")</f>
        <v>Yes</v>
      </c>
      <c r="M871" s="1" t="str">
        <f>IFERROR(__xludf.DUMMYFUNCTION("""COMPUTED_VALUE"""),"Already done ")</f>
        <v>Already done </v>
      </c>
      <c r="N871" s="1" t="str">
        <f>IFERROR(__xludf.DUMMYFUNCTION("""COMPUTED_VALUE"""),"Already done ")</f>
        <v>Already done </v>
      </c>
      <c r="O871" s="1" t="str">
        <f>IFERROR(__xludf.DUMMYFUNCTION("""COMPUTED_VALUE"""),"WA ONLY, CALL")</f>
        <v>WA ONLY, CALL</v>
      </c>
      <c r="P871" s="1" t="str">
        <f>IFERROR(__xludf.DUMMYFUNCTION("""COMPUTED_VALUE"""),"Madam")</f>
        <v>Madam</v>
      </c>
      <c r="Q871" s="1" t="str">
        <f>IFERROR(__xludf.DUMMYFUNCTION("""COMPUTED_VALUE"""),"No")</f>
        <v>No</v>
      </c>
      <c r="R871" s="1" t="str">
        <f>IFERROR(__xludf.DUMMYFUNCTION("""COMPUTED_VALUE"""),"OLD")</f>
        <v>OLD</v>
      </c>
      <c r="S871" s="1" t="str">
        <f>IFERROR(__xludf.DUMMYFUNCTION("""COMPUTED_VALUE"""),"No")</f>
        <v>No</v>
      </c>
    </row>
    <row r="872">
      <c r="A872" s="2">
        <f>IFERROR(__xludf.DUMMYFUNCTION("""COMPUTED_VALUE"""),45624.50764202546)</f>
        <v>45624.50764</v>
      </c>
      <c r="B872" s="1" t="str">
        <f>IFERROR(__xludf.DUMMYFUNCTION("""COMPUTED_VALUE"""),"Sunil")</f>
        <v>Sunil</v>
      </c>
      <c r="C872" s="1">
        <f>IFERROR(__xludf.DUMMYFUNCTION("""COMPUTED_VALUE"""),9.419190227E9)</f>
        <v>9419190227</v>
      </c>
      <c r="D872" s="1">
        <f>IFERROR(__xludf.DUMMYFUNCTION("""COMPUTED_VALUE"""),2.0)</f>
        <v>2</v>
      </c>
      <c r="E872" s="3">
        <f>IFERROR(__xludf.DUMMYFUNCTION("""COMPUTED_VALUE"""),0.6569444444467081)</f>
        <v>0.6569444444</v>
      </c>
      <c r="F872" s="1" t="str">
        <f>IFERROR(__xludf.DUMMYFUNCTION("""COMPUTED_VALUE"""),"Diamond")</f>
        <v>Diamond</v>
      </c>
      <c r="G872" s="1" t="str">
        <f>IFERROR(__xludf.DUMMYFUNCTION("""COMPUTED_VALUE"""),"Preeti")</f>
        <v>Preeti</v>
      </c>
      <c r="H872" s="1" t="str">
        <f>IFERROR(__xludf.DUMMYFUNCTION("""COMPUTED_VALUE"""),"Gold bangles, manglsutr,gold pendent,silver chutki,silver payal")</f>
        <v>Gold bangles, manglsutr,gold pendent,silver chutki,silver payal</v>
      </c>
      <c r="I872" s="1"/>
      <c r="J872" s="1"/>
      <c r="K872" s="3">
        <f>IFERROR(__xludf.DUMMYFUNCTION("""COMPUTED_VALUE"""),0.7708333333357587)</f>
        <v>0.7708333333</v>
      </c>
      <c r="L872" s="1" t="str">
        <f>IFERROR(__xludf.DUMMYFUNCTION("""COMPUTED_VALUE"""),"Yes")</f>
        <v>Yes</v>
      </c>
      <c r="M872" s="1" t="str">
        <f>IFERROR(__xludf.DUMMYFUNCTION("""COMPUTED_VALUE"""),"Already done ")</f>
        <v>Already done </v>
      </c>
      <c r="N872" s="1" t="str">
        <f>IFERROR(__xludf.DUMMYFUNCTION("""COMPUTED_VALUE"""),"Already done ")</f>
        <v>Already done </v>
      </c>
      <c r="O872" s="1" t="str">
        <f>IFERROR(__xludf.DUMMYFUNCTION("""COMPUTED_VALUE"""),"WA ONLY, CALL")</f>
        <v>WA ONLY, CALL</v>
      </c>
      <c r="P872" s="1" t="str">
        <f>IFERROR(__xludf.DUMMYFUNCTION("""COMPUTED_VALUE"""),"Madam")</f>
        <v>Madam</v>
      </c>
      <c r="Q872" s="1" t="str">
        <f>IFERROR(__xludf.DUMMYFUNCTION("""COMPUTED_VALUE"""),"No")</f>
        <v>No</v>
      </c>
      <c r="R872" s="1" t="str">
        <f>IFERROR(__xludf.DUMMYFUNCTION("""COMPUTED_VALUE"""),"OLD")</f>
        <v>OLD</v>
      </c>
      <c r="S872" s="1" t="str">
        <f>IFERROR(__xludf.DUMMYFUNCTION("""COMPUTED_VALUE"""),"Yes")</f>
        <v>Yes</v>
      </c>
    </row>
    <row r="873">
      <c r="A873" s="2">
        <f>IFERROR(__xludf.DUMMYFUNCTION("""COMPUTED_VALUE"""),45624.508586979166)</f>
        <v>45624.50859</v>
      </c>
      <c r="B873" s="1" t="str">
        <f>IFERROR(__xludf.DUMMYFUNCTION("""COMPUTED_VALUE"""),"V.kumar")</f>
        <v>V.kumar</v>
      </c>
      <c r="C873" s="1">
        <f>IFERROR(__xludf.DUMMYFUNCTION("""COMPUTED_VALUE"""),9.013329595E9)</f>
        <v>9013329595</v>
      </c>
      <c r="D873" s="1">
        <f>IFERROR(__xludf.DUMMYFUNCTION("""COMPUTED_VALUE"""),2.0)</f>
        <v>2</v>
      </c>
      <c r="E873" s="3">
        <f>IFERROR(__xludf.DUMMYFUNCTION("""COMPUTED_VALUE"""),0.6937499999985448)</f>
        <v>0.69375</v>
      </c>
      <c r="F873" s="1" t="str">
        <f>IFERROR(__xludf.DUMMYFUNCTION("""COMPUTED_VALUE"""),"Plain Gold")</f>
        <v>Plain Gold</v>
      </c>
      <c r="G873" s="1" t="str">
        <f>IFERROR(__xludf.DUMMYFUNCTION("""COMPUTED_VALUE"""),"Tannu")</f>
        <v>Tannu</v>
      </c>
      <c r="H873" s="1" t="str">
        <f>IFERROR(__xludf.DUMMYFUNCTION("""COMPUTED_VALUE"""),"Gold ring,breslet ")</f>
        <v>Gold ring,breslet </v>
      </c>
      <c r="I873" s="1"/>
      <c r="J873" s="1"/>
      <c r="K873" s="3">
        <f>IFERROR(__xludf.DUMMYFUNCTION("""COMPUTED_VALUE"""),0.7118055555547471)</f>
        <v>0.7118055556</v>
      </c>
      <c r="L873" s="1" t="str">
        <f>IFERROR(__xludf.DUMMYFUNCTION("""COMPUTED_VALUE"""),"No")</f>
        <v>No</v>
      </c>
      <c r="M873" s="1" t="str">
        <f>IFERROR(__xludf.DUMMYFUNCTION("""COMPUTED_VALUE"""),"No")</f>
        <v>No</v>
      </c>
      <c r="N873" s="1" t="str">
        <f>IFERROR(__xludf.DUMMYFUNCTION("""COMPUTED_VALUE"""),"No")</f>
        <v>No</v>
      </c>
      <c r="O873" s="1" t="str">
        <f>IFERROR(__xludf.DUMMYFUNCTION("""COMPUTED_VALUE"""),"WA ONLY, CALL")</f>
        <v>WA ONLY, CALL</v>
      </c>
      <c r="P873" s="1" t="str">
        <f>IFERROR(__xludf.DUMMYFUNCTION("""COMPUTED_VALUE"""),"Sir")</f>
        <v>Sir</v>
      </c>
      <c r="Q873" s="1" t="str">
        <f>IFERROR(__xludf.DUMMYFUNCTION("""COMPUTED_VALUE"""),"No")</f>
        <v>No</v>
      </c>
      <c r="R873" s="1" t="str">
        <f>IFERROR(__xludf.DUMMYFUNCTION("""COMPUTED_VALUE"""),"NEW WALK IN")</f>
        <v>NEW WALK IN</v>
      </c>
      <c r="S873" s="1" t="str">
        <f>IFERROR(__xludf.DUMMYFUNCTION("""COMPUTED_VALUE"""),"No")</f>
        <v>No</v>
      </c>
    </row>
    <row r="874">
      <c r="A874" s="2">
        <f>IFERROR(__xludf.DUMMYFUNCTION("""COMPUTED_VALUE"""),45624.50948832176)</f>
        <v>45624.50949</v>
      </c>
      <c r="B874" s="1" t="str">
        <f>IFERROR(__xludf.DUMMYFUNCTION("""COMPUTED_VALUE"""),"Anjnay")</f>
        <v>Anjnay</v>
      </c>
      <c r="C874" s="1">
        <f>IFERROR(__xludf.DUMMYFUNCTION("""COMPUTED_VALUE"""),8.29923193E9)</f>
        <v>8299231930</v>
      </c>
      <c r="D874" s="1">
        <f>IFERROR(__xludf.DUMMYFUNCTION("""COMPUTED_VALUE"""),3.0)</f>
        <v>3</v>
      </c>
      <c r="E874" s="3">
        <f>IFERROR(__xludf.DUMMYFUNCTION("""COMPUTED_VALUE"""),0.6770833333357587)</f>
        <v>0.6770833333</v>
      </c>
      <c r="F874" s="1" t="str">
        <f>IFERROR(__xludf.DUMMYFUNCTION("""COMPUTED_VALUE"""),"Antique Gold")</f>
        <v>Antique Gold</v>
      </c>
      <c r="G874" s="1" t="str">
        <f>IFERROR(__xludf.DUMMYFUNCTION("""COMPUTED_VALUE"""),"Pooja")</f>
        <v>Pooja</v>
      </c>
      <c r="H874" s="1" t="str">
        <f>IFERROR(__xludf.DUMMYFUNCTION("""COMPUTED_VALUE"""),"Gold kids ring")</f>
        <v>Gold kids ring</v>
      </c>
      <c r="I874" s="1"/>
      <c r="J874" s="1"/>
      <c r="K874" s="3">
        <f>IFERROR(__xludf.DUMMYFUNCTION("""COMPUTED_VALUE"""),0.7395833333357587)</f>
        <v>0.7395833333</v>
      </c>
      <c r="L874" s="1" t="str">
        <f>IFERROR(__xludf.DUMMYFUNCTION("""COMPUTED_VALUE"""),"Yes")</f>
        <v>Yes</v>
      </c>
      <c r="M874" s="1" t="str">
        <f>IFERROR(__xludf.DUMMYFUNCTION("""COMPUTED_VALUE"""),"Yes")</f>
        <v>Yes</v>
      </c>
      <c r="N874" s="1" t="str">
        <f>IFERROR(__xludf.DUMMYFUNCTION("""COMPUTED_VALUE"""),"Yes")</f>
        <v>Yes</v>
      </c>
      <c r="O874" s="1" t="str">
        <f>IFERROR(__xludf.DUMMYFUNCTION("""COMPUTED_VALUE"""),"WA ONLY, CALL")</f>
        <v>WA ONLY, CALL</v>
      </c>
      <c r="P874" s="1" t="str">
        <f>IFERROR(__xludf.DUMMYFUNCTION("""COMPUTED_VALUE"""),"Madam")</f>
        <v>Madam</v>
      </c>
      <c r="Q874" s="1" t="str">
        <f>IFERROR(__xludf.DUMMYFUNCTION("""COMPUTED_VALUE"""),"No")</f>
        <v>No</v>
      </c>
      <c r="R874" s="1" t="str">
        <f>IFERROR(__xludf.DUMMYFUNCTION("""COMPUTED_VALUE"""),"OLD")</f>
        <v>OLD</v>
      </c>
      <c r="S874" s="1" t="str">
        <f>IFERROR(__xludf.DUMMYFUNCTION("""COMPUTED_VALUE"""),"Yes")</f>
        <v>Yes</v>
      </c>
    </row>
    <row r="875">
      <c r="A875" s="2">
        <f>IFERROR(__xludf.DUMMYFUNCTION("""COMPUTED_VALUE"""),45624.5121025463)</f>
        <v>45624.5121</v>
      </c>
      <c r="B875" s="1" t="str">
        <f>IFERROR(__xludf.DUMMYFUNCTION("""COMPUTED_VALUE"""),"Kritika")</f>
        <v>Kritika</v>
      </c>
      <c r="C875" s="1">
        <f>IFERROR(__xludf.DUMMYFUNCTION("""COMPUTED_VALUE"""),8.368117424E9)</f>
        <v>8368117424</v>
      </c>
      <c r="D875" s="1">
        <f>IFERROR(__xludf.DUMMYFUNCTION("""COMPUTED_VALUE"""),4.0)</f>
        <v>4</v>
      </c>
      <c r="E875" s="3">
        <f>IFERROR(__xludf.DUMMYFUNCTION("""COMPUTED_VALUE"""),0.75)</f>
        <v>0.75</v>
      </c>
      <c r="F875" s="1" t="str">
        <f>IFERROR(__xludf.DUMMYFUNCTION("""COMPUTED_VALUE"""),"Plain Gold")</f>
        <v>Plain Gold</v>
      </c>
      <c r="G875" s="1" t="str">
        <f>IFERROR(__xludf.DUMMYFUNCTION("""COMPUTED_VALUE"""),"Tannu")</f>
        <v>Tannu</v>
      </c>
      <c r="H875" s="1" t="str">
        <f>IFERROR(__xludf.DUMMYFUNCTION("""COMPUTED_VALUE"""),"Gold antique set,ring,silver payal.")</f>
        <v>Gold antique set,ring,silver payal.</v>
      </c>
      <c r="I875" s="1"/>
      <c r="J875" s="1"/>
      <c r="K875" s="3">
        <f>IFERROR(__xludf.DUMMYFUNCTION("""COMPUTED_VALUE"""),0.8333333333357587)</f>
        <v>0.8333333333</v>
      </c>
      <c r="L875" s="1" t="str">
        <f>IFERROR(__xludf.DUMMYFUNCTION("""COMPUTED_VALUE"""),"Yes")</f>
        <v>Yes</v>
      </c>
      <c r="M875" s="1" t="str">
        <f>IFERROR(__xludf.DUMMYFUNCTION("""COMPUTED_VALUE"""),"Yes")</f>
        <v>Yes</v>
      </c>
      <c r="N875" s="1" t="str">
        <f>IFERROR(__xludf.DUMMYFUNCTION("""COMPUTED_VALUE"""),"Yes")</f>
        <v>Yes</v>
      </c>
      <c r="O875" s="1" t="str">
        <f>IFERROR(__xludf.DUMMYFUNCTION("""COMPUTED_VALUE"""),"WA ONLY, CALL")</f>
        <v>WA ONLY, CALL</v>
      </c>
      <c r="P875" s="1" t="str">
        <f>IFERROR(__xludf.DUMMYFUNCTION("""COMPUTED_VALUE"""),"Madam")</f>
        <v>Madam</v>
      </c>
      <c r="Q875" s="1" t="str">
        <f>IFERROR(__xludf.DUMMYFUNCTION("""COMPUTED_VALUE"""),"No")</f>
        <v>No</v>
      </c>
      <c r="R875" s="1" t="str">
        <f>IFERROR(__xludf.DUMMYFUNCTION("""COMPUTED_VALUE"""),"NEW WALK IN")</f>
        <v>NEW WALK IN</v>
      </c>
      <c r="S875" s="1" t="str">
        <f>IFERROR(__xludf.DUMMYFUNCTION("""COMPUTED_VALUE"""),"Yes")</f>
        <v>Yes</v>
      </c>
    </row>
    <row r="876">
      <c r="A876" s="2">
        <f>IFERROR(__xludf.DUMMYFUNCTION("""COMPUTED_VALUE"""),45624.75875525463)</f>
        <v>45624.75876</v>
      </c>
      <c r="B876" s="1" t="str">
        <f>IFERROR(__xludf.DUMMYFUNCTION("""COMPUTED_VALUE"""),"Parveen l.sharvna")</f>
        <v>Parveen l.sharvna</v>
      </c>
      <c r="C876" s="1" t="str">
        <f>IFERROR(__xludf.DUMMYFUNCTION("""COMPUTED_VALUE"""),"916-2963605")</f>
        <v>916-2963605</v>
      </c>
      <c r="D876" s="1">
        <f>IFERROR(__xludf.DUMMYFUNCTION("""COMPUTED_VALUE"""),3.0)</f>
        <v>3</v>
      </c>
      <c r="E876" s="3">
        <f>IFERROR(__xludf.DUMMYFUNCTION("""COMPUTED_VALUE"""),0.6666666666642413)</f>
        <v>0.6666666667</v>
      </c>
      <c r="F876" s="1" t="str">
        <f>IFERROR(__xludf.DUMMYFUNCTION("""COMPUTED_VALUE"""),"Plain Gold")</f>
        <v>Plain Gold</v>
      </c>
      <c r="G876" s="1" t="str">
        <f>IFERROR(__xludf.DUMMYFUNCTION("""COMPUTED_VALUE"""),"Tannu")</f>
        <v>Tannu</v>
      </c>
      <c r="H876" s="1" t="str">
        <f>IFERROR(__xludf.DUMMYFUNCTION("""COMPUTED_VALUE"""),"Gold se,t chain,gold jhumki")</f>
        <v>Gold se,t chain,gold jhumki</v>
      </c>
      <c r="I876" s="1"/>
      <c r="J876" s="1"/>
      <c r="K876" s="3">
        <f>IFERROR(__xludf.DUMMYFUNCTION("""COMPUTED_VALUE"""),0.7708333333357587)</f>
        <v>0.7708333333</v>
      </c>
      <c r="L876" s="1" t="str">
        <f>IFERROR(__xludf.DUMMYFUNCTION("""COMPUTED_VALUE"""),"Yes")</f>
        <v>Yes</v>
      </c>
      <c r="M876" s="1" t="str">
        <f>IFERROR(__xludf.DUMMYFUNCTION("""COMPUTED_VALUE"""),"Yes")</f>
        <v>Yes</v>
      </c>
      <c r="N876" s="1" t="str">
        <f>IFERROR(__xludf.DUMMYFUNCTION("""COMPUTED_VALUE"""),"Yes")</f>
        <v>Yes</v>
      </c>
      <c r="O876" s="1" t="str">
        <f>IFERROR(__xludf.DUMMYFUNCTION("""COMPUTED_VALUE"""),"WA ONLY, CALL")</f>
        <v>WA ONLY, CALL</v>
      </c>
      <c r="P876" s="1" t="str">
        <f>IFERROR(__xludf.DUMMYFUNCTION("""COMPUTED_VALUE"""),"Sir")</f>
        <v>Sir</v>
      </c>
      <c r="Q876" s="1" t="str">
        <f>IFERROR(__xludf.DUMMYFUNCTION("""COMPUTED_VALUE"""),"No")</f>
        <v>No</v>
      </c>
      <c r="R876" s="1" t="str">
        <f>IFERROR(__xludf.DUMMYFUNCTION("""COMPUTED_VALUE"""),"NEW WALK IN")</f>
        <v>NEW WALK IN</v>
      </c>
      <c r="S876" s="1" t="str">
        <f>IFERROR(__xludf.DUMMYFUNCTION("""COMPUTED_VALUE"""),"Yes")</f>
        <v>Yes</v>
      </c>
    </row>
    <row r="877">
      <c r="A877" s="2">
        <f>IFERROR(__xludf.DUMMYFUNCTION("""COMPUTED_VALUE"""),45624.760347777774)</f>
        <v>45624.76035</v>
      </c>
      <c r="B877" s="1" t="str">
        <f>IFERROR(__xludf.DUMMYFUNCTION("""COMPUTED_VALUE"""),"Ish kumar")</f>
        <v>Ish kumar</v>
      </c>
      <c r="C877" s="1">
        <f>IFERROR(__xludf.DUMMYFUNCTION("""COMPUTED_VALUE"""),9.368877011E9)</f>
        <v>9368877011</v>
      </c>
      <c r="D877" s="1">
        <f>IFERROR(__xludf.DUMMYFUNCTION("""COMPUTED_VALUE"""),3.0)</f>
        <v>3</v>
      </c>
      <c r="E877" s="3">
        <f>IFERROR(__xludf.DUMMYFUNCTION("""COMPUTED_VALUE"""),0.6145833333357587)</f>
        <v>0.6145833333</v>
      </c>
      <c r="F877" s="1" t="str">
        <f>IFERROR(__xludf.DUMMYFUNCTION("""COMPUTED_VALUE"""),"Diamond")</f>
        <v>Diamond</v>
      </c>
      <c r="G877" s="1" t="str">
        <f>IFERROR(__xludf.DUMMYFUNCTION("""COMPUTED_VALUE"""),"Preeti")</f>
        <v>Preeti</v>
      </c>
      <c r="H877" s="1" t="str">
        <f>IFERROR(__xludf.DUMMYFUNCTION("""COMPUTED_VALUE"""),"Diamond br antique bangles  silver bowl,fish,pan")</f>
        <v>Diamond br antique bangles  silver bowl,fish,pan</v>
      </c>
      <c r="I877" s="1"/>
      <c r="J877" s="1"/>
      <c r="K877" s="3">
        <f>IFERROR(__xludf.DUMMYFUNCTION("""COMPUTED_VALUE"""),0.75)</f>
        <v>0.75</v>
      </c>
      <c r="L877" s="1" t="str">
        <f>IFERROR(__xludf.DUMMYFUNCTION("""COMPUTED_VALUE"""),"Yes")</f>
        <v>Yes</v>
      </c>
      <c r="M877" s="1" t="str">
        <f>IFERROR(__xludf.DUMMYFUNCTION("""COMPUTED_VALUE"""),"Already done ")</f>
        <v>Already done </v>
      </c>
      <c r="N877" s="1" t="str">
        <f>IFERROR(__xludf.DUMMYFUNCTION("""COMPUTED_VALUE"""),"Already done ")</f>
        <v>Already done </v>
      </c>
      <c r="O877" s="1" t="str">
        <f>IFERROR(__xludf.DUMMYFUNCTION("""COMPUTED_VALUE"""),"WA ONLY, CALL")</f>
        <v>WA ONLY, CALL</v>
      </c>
      <c r="P877" s="1" t="str">
        <f>IFERROR(__xludf.DUMMYFUNCTION("""COMPUTED_VALUE"""),"Sir")</f>
        <v>Sir</v>
      </c>
      <c r="Q877" s="1" t="str">
        <f>IFERROR(__xludf.DUMMYFUNCTION("""COMPUTED_VALUE"""),"No")</f>
        <v>No</v>
      </c>
      <c r="R877" s="1" t="str">
        <f>IFERROR(__xludf.DUMMYFUNCTION("""COMPUTED_VALUE"""),"OLD")</f>
        <v>OLD</v>
      </c>
      <c r="S877" s="1" t="str">
        <f>IFERROR(__xludf.DUMMYFUNCTION("""COMPUTED_VALUE"""),"Yes")</f>
        <v>Yes</v>
      </c>
    </row>
    <row r="878">
      <c r="A878" s="2">
        <f>IFERROR(__xludf.DUMMYFUNCTION("""COMPUTED_VALUE"""),45624.76137478009)</f>
        <v>45624.76137</v>
      </c>
      <c r="B878" s="1" t="str">
        <f>IFERROR(__xludf.DUMMYFUNCTION("""COMPUTED_VALUE"""),"Nidhi goyal")</f>
        <v>Nidhi goyal</v>
      </c>
      <c r="C878" s="1">
        <f>IFERROR(__xludf.DUMMYFUNCTION("""COMPUTED_VALUE"""),9.31105226E9)</f>
        <v>9311052260</v>
      </c>
      <c r="D878" s="1">
        <f>IFERROR(__xludf.DUMMYFUNCTION("""COMPUTED_VALUE"""),1.0)</f>
        <v>1</v>
      </c>
      <c r="E878" s="3">
        <f>IFERROR(__xludf.DUMMYFUNCTION("""COMPUTED_VALUE"""),0.6388888888905058)</f>
        <v>0.6388888889</v>
      </c>
      <c r="F878" s="1" t="str">
        <f>IFERROR(__xludf.DUMMYFUNCTION("""COMPUTED_VALUE"""),"Plain Gold")</f>
        <v>Plain Gold</v>
      </c>
      <c r="G878" s="1" t="str">
        <f>IFERROR(__xludf.DUMMYFUNCTION("""COMPUTED_VALUE"""),"Tannu")</f>
        <v>Tannu</v>
      </c>
      <c r="H878" s="1" t="str">
        <f>IFERROR(__xludf.DUMMYFUNCTION("""COMPUTED_VALUE"""),"Gold pendent set")</f>
        <v>Gold pendent set</v>
      </c>
      <c r="I878" s="1"/>
      <c r="J878" s="1"/>
      <c r="K878" s="3">
        <f>IFERROR(__xludf.DUMMYFUNCTION("""COMPUTED_VALUE"""),0.7083333333357587)</f>
        <v>0.7083333333</v>
      </c>
      <c r="L878" s="1" t="str">
        <f>IFERROR(__xludf.DUMMYFUNCTION("""COMPUTED_VALUE"""),"Yes")</f>
        <v>Yes</v>
      </c>
      <c r="M878" s="1" t="str">
        <f>IFERROR(__xludf.DUMMYFUNCTION("""COMPUTED_VALUE"""),"Already done ")</f>
        <v>Already done </v>
      </c>
      <c r="N878" s="1" t="str">
        <f>IFERROR(__xludf.DUMMYFUNCTION("""COMPUTED_VALUE"""),"Already done ")</f>
        <v>Already done </v>
      </c>
      <c r="O878" s="1" t="str">
        <f>IFERROR(__xludf.DUMMYFUNCTION("""COMPUTED_VALUE"""),"WA ONLY, CALL")</f>
        <v>WA ONLY, CALL</v>
      </c>
      <c r="P878" s="1" t="str">
        <f>IFERROR(__xludf.DUMMYFUNCTION("""COMPUTED_VALUE"""),"Madam")</f>
        <v>Madam</v>
      </c>
      <c r="Q878" s="1" t="str">
        <f>IFERROR(__xludf.DUMMYFUNCTION("""COMPUTED_VALUE"""),"No")</f>
        <v>No</v>
      </c>
      <c r="R878" s="1" t="str">
        <f>IFERROR(__xludf.DUMMYFUNCTION("""COMPUTED_VALUE"""),"OLD")</f>
        <v>OLD</v>
      </c>
      <c r="S878" s="1" t="str">
        <f>IFERROR(__xludf.DUMMYFUNCTION("""COMPUTED_VALUE"""),"Yes")</f>
        <v>Yes</v>
      </c>
    </row>
    <row r="879">
      <c r="A879" s="2">
        <f>IFERROR(__xludf.DUMMYFUNCTION("""COMPUTED_VALUE"""),45625.4688252662)</f>
        <v>45625.46883</v>
      </c>
      <c r="B879" s="1" t="str">
        <f>IFERROR(__xludf.DUMMYFUNCTION("""COMPUTED_VALUE"""),"Geeta makhija")</f>
        <v>Geeta makhija</v>
      </c>
      <c r="C879" s="1">
        <f>IFERROR(__xludf.DUMMYFUNCTION("""COMPUTED_VALUE"""),8.130477446E9)</f>
        <v>8130477446</v>
      </c>
      <c r="D879" s="1">
        <f>IFERROR(__xludf.DUMMYFUNCTION("""COMPUTED_VALUE"""),3.0)</f>
        <v>3</v>
      </c>
      <c r="E879" s="3">
        <f>IFERROR(__xludf.DUMMYFUNCTION("""COMPUTED_VALUE"""),0.6527777777810115)</f>
        <v>0.6527777778</v>
      </c>
      <c r="F879" s="1" t="str">
        <f>IFERROR(__xludf.DUMMYFUNCTION("""COMPUTED_VALUE"""),"Antique Gold")</f>
        <v>Antique Gold</v>
      </c>
      <c r="G879" s="1" t="str">
        <f>IFERROR(__xludf.DUMMYFUNCTION("""COMPUTED_VALUE"""),"Pooja")</f>
        <v>Pooja</v>
      </c>
      <c r="H879" s="1" t="str">
        <f>IFERROR(__xludf.DUMMYFUNCTION("""COMPUTED_VALUE"""),"Italian breslet ")</f>
        <v>Italian breslet </v>
      </c>
      <c r="I879" s="1"/>
      <c r="J879" s="1"/>
      <c r="K879" s="3">
        <f>IFERROR(__xludf.DUMMYFUNCTION("""COMPUTED_VALUE"""),0.7916666666642413)</f>
        <v>0.7916666667</v>
      </c>
      <c r="L879" s="1" t="str">
        <f>IFERROR(__xludf.DUMMYFUNCTION("""COMPUTED_VALUE"""),"Yes")</f>
        <v>Yes</v>
      </c>
      <c r="M879" s="1" t="str">
        <f>IFERROR(__xludf.DUMMYFUNCTION("""COMPUTED_VALUE"""),"Yes")</f>
        <v>Yes</v>
      </c>
      <c r="N879" s="1" t="str">
        <f>IFERROR(__xludf.DUMMYFUNCTION("""COMPUTED_VALUE"""),"Yes")</f>
        <v>Yes</v>
      </c>
      <c r="O879" s="1" t="str">
        <f>IFERROR(__xludf.DUMMYFUNCTION("""COMPUTED_VALUE"""),"WA ONLY, CALL")</f>
        <v>WA ONLY, CALL</v>
      </c>
      <c r="P879" s="1" t="str">
        <f>IFERROR(__xludf.DUMMYFUNCTION("""COMPUTED_VALUE"""),"Madam")</f>
        <v>Madam</v>
      </c>
      <c r="Q879" s="1" t="str">
        <f>IFERROR(__xludf.DUMMYFUNCTION("""COMPUTED_VALUE"""),"No")</f>
        <v>No</v>
      </c>
      <c r="R879" s="1" t="str">
        <f>IFERROR(__xludf.DUMMYFUNCTION("""COMPUTED_VALUE"""),"OLD")</f>
        <v>OLD</v>
      </c>
      <c r="S879" s="1" t="str">
        <f>IFERROR(__xludf.DUMMYFUNCTION("""COMPUTED_VALUE"""),"Yes")</f>
        <v>Yes</v>
      </c>
    </row>
    <row r="880">
      <c r="A880" s="2">
        <f>IFERROR(__xludf.DUMMYFUNCTION("""COMPUTED_VALUE"""),45625.712109479166)</f>
        <v>45625.71211</v>
      </c>
      <c r="B880" s="1" t="str">
        <f>IFERROR(__xludf.DUMMYFUNCTION("""COMPUTED_VALUE"""),"Swati malik")</f>
        <v>Swati malik</v>
      </c>
      <c r="C880" s="1">
        <f>IFERROR(__xludf.DUMMYFUNCTION("""COMPUTED_VALUE"""),9.818752857E9)</f>
        <v>9818752857</v>
      </c>
      <c r="D880" s="1">
        <f>IFERROR(__xludf.DUMMYFUNCTION("""COMPUTED_VALUE"""),2.0)</f>
        <v>2</v>
      </c>
      <c r="E880" s="3">
        <f>IFERROR(__xludf.DUMMYFUNCTION("""COMPUTED_VALUE"""),0.5)</f>
        <v>0.5</v>
      </c>
      <c r="F880" s="1" t="str">
        <f>IFERROR(__xludf.DUMMYFUNCTION("""COMPUTED_VALUE"""),"Plain Gold")</f>
        <v>Plain Gold</v>
      </c>
      <c r="G880" s="1" t="str">
        <f>IFERROR(__xludf.DUMMYFUNCTION("""COMPUTED_VALUE"""),"Tannu")</f>
        <v>Tannu</v>
      </c>
      <c r="H880" s="1" t="str">
        <f>IFERROR(__xludf.DUMMYFUNCTION("""COMPUTED_VALUE"""),"Confrim the bill")</f>
        <v>Confrim the bill</v>
      </c>
      <c r="I880" s="1"/>
      <c r="J880" s="1"/>
      <c r="K880" s="3">
        <f>IFERROR(__xludf.DUMMYFUNCTION("""COMPUTED_VALUE"""),0.5416666666642413)</f>
        <v>0.5416666667</v>
      </c>
      <c r="L880" s="1" t="str">
        <f>IFERROR(__xludf.DUMMYFUNCTION("""COMPUTED_VALUE"""),"Yes")</f>
        <v>Yes</v>
      </c>
      <c r="M880" s="1" t="str">
        <f>IFERROR(__xludf.DUMMYFUNCTION("""COMPUTED_VALUE"""),"Already done ")</f>
        <v>Already done </v>
      </c>
      <c r="N880" s="1" t="str">
        <f>IFERROR(__xludf.DUMMYFUNCTION("""COMPUTED_VALUE"""),"Already done ")</f>
        <v>Already done </v>
      </c>
      <c r="O880" s="1" t="str">
        <f>IFERROR(__xludf.DUMMYFUNCTION("""COMPUTED_VALUE"""),"WA ONLY, CALL")</f>
        <v>WA ONLY, CALL</v>
      </c>
      <c r="P880" s="1" t="str">
        <f>IFERROR(__xludf.DUMMYFUNCTION("""COMPUTED_VALUE"""),"Madam")</f>
        <v>Madam</v>
      </c>
      <c r="Q880" s="1" t="str">
        <f>IFERROR(__xludf.DUMMYFUNCTION("""COMPUTED_VALUE"""),"No")</f>
        <v>No</v>
      </c>
      <c r="R880" s="1" t="str">
        <f>IFERROR(__xludf.DUMMYFUNCTION("""COMPUTED_VALUE"""),"OLD")</f>
        <v>OLD</v>
      </c>
      <c r="S880" s="1" t="str">
        <f>IFERROR(__xludf.DUMMYFUNCTION("""COMPUTED_VALUE"""),"No")</f>
        <v>No</v>
      </c>
    </row>
    <row r="881">
      <c r="A881" s="2">
        <f>IFERROR(__xludf.DUMMYFUNCTION("""COMPUTED_VALUE"""),45625.71355115741)</f>
        <v>45625.71355</v>
      </c>
      <c r="B881" s="1" t="str">
        <f>IFERROR(__xludf.DUMMYFUNCTION("""COMPUTED_VALUE"""),"Devesh nigam")</f>
        <v>Devesh nigam</v>
      </c>
      <c r="C881" s="1">
        <f>IFERROR(__xludf.DUMMYFUNCTION("""COMPUTED_VALUE"""),8.187961053E9)</f>
        <v>8187961053</v>
      </c>
      <c r="D881" s="1">
        <f>IFERROR(__xludf.DUMMYFUNCTION("""COMPUTED_VALUE"""),2.0)</f>
        <v>2</v>
      </c>
      <c r="E881" s="3">
        <f>IFERROR(__xludf.DUMMYFUNCTION("""COMPUTED_VALUE"""),0.5347222222189885)</f>
        <v>0.5347222222</v>
      </c>
      <c r="F881" s="1" t="str">
        <f>IFERROR(__xludf.DUMMYFUNCTION("""COMPUTED_VALUE"""),"Plain Gold")</f>
        <v>Plain Gold</v>
      </c>
      <c r="G881" s="1" t="str">
        <f>IFERROR(__xludf.DUMMYFUNCTION("""COMPUTED_VALUE"""),"Tannu")</f>
        <v>Tannu</v>
      </c>
      <c r="H881" s="1" t="str">
        <f>IFERROR(__xludf.DUMMYFUNCTION("""COMPUTED_VALUE"""),"Hold chain")</f>
        <v>Hold chain</v>
      </c>
      <c r="I881" s="1"/>
      <c r="J881" s="1" t="str">
        <f>IFERROR(__xludf.DUMMYFUNCTION("""COMPUTED_VALUE"""),"5000 per month LUCKY DRAW 7 EVERY MONTH")</f>
        <v>5000 per month LUCKY DRAW 7 EVERY MONTH</v>
      </c>
      <c r="K881" s="3">
        <f>IFERROR(__xludf.DUMMYFUNCTION("""COMPUTED_VALUE"""),0.5694444444452529)</f>
        <v>0.5694444444</v>
      </c>
      <c r="L881" s="1" t="str">
        <f>IFERROR(__xludf.DUMMYFUNCTION("""COMPUTED_VALUE"""),"Yes")</f>
        <v>Yes</v>
      </c>
      <c r="M881" s="1" t="str">
        <f>IFERROR(__xludf.DUMMYFUNCTION("""COMPUTED_VALUE"""),"Yes")</f>
        <v>Yes</v>
      </c>
      <c r="N881" s="1" t="str">
        <f>IFERROR(__xludf.DUMMYFUNCTION("""COMPUTED_VALUE"""),"Yes")</f>
        <v>Yes</v>
      </c>
      <c r="O881" s="1" t="str">
        <f>IFERROR(__xludf.DUMMYFUNCTION("""COMPUTED_VALUE"""),"WA ONLY, CALL")</f>
        <v>WA ONLY, CALL</v>
      </c>
      <c r="P881" s="1" t="str">
        <f>IFERROR(__xludf.DUMMYFUNCTION("""COMPUTED_VALUE"""),"Sir")</f>
        <v>Sir</v>
      </c>
      <c r="Q881" s="1" t="str">
        <f>IFERROR(__xludf.DUMMYFUNCTION("""COMPUTED_VALUE"""),"Yes")</f>
        <v>Yes</v>
      </c>
      <c r="R881" s="1" t="str">
        <f>IFERROR(__xludf.DUMMYFUNCTION("""COMPUTED_VALUE"""),"NEW WALK IN")</f>
        <v>NEW WALK IN</v>
      </c>
      <c r="S881" s="1" t="str">
        <f>IFERROR(__xludf.DUMMYFUNCTION("""COMPUTED_VALUE"""),"Yes")</f>
        <v>Yes</v>
      </c>
    </row>
    <row r="882">
      <c r="A882" s="2">
        <f>IFERROR(__xludf.DUMMYFUNCTION("""COMPUTED_VALUE"""),45625.733675613425)</f>
        <v>45625.73368</v>
      </c>
      <c r="B882" s="1" t="str">
        <f>IFERROR(__xludf.DUMMYFUNCTION("""COMPUTED_VALUE"""),"Taiba")</f>
        <v>Taiba</v>
      </c>
      <c r="C882" s="1">
        <f>IFERROR(__xludf.DUMMYFUNCTION("""COMPUTED_VALUE"""),7.006511249E9)</f>
        <v>7006511249</v>
      </c>
      <c r="D882" s="1">
        <f>IFERROR(__xludf.DUMMYFUNCTION("""COMPUTED_VALUE"""),2.0)</f>
        <v>2</v>
      </c>
      <c r="E882" s="3">
        <f>IFERROR(__xludf.DUMMYFUNCTION("""COMPUTED_VALUE"""),0.5381944444452529)</f>
        <v>0.5381944444</v>
      </c>
      <c r="F882" s="1" t="str">
        <f>IFERROR(__xludf.DUMMYFUNCTION("""COMPUTED_VALUE"""),"Antique Gold")</f>
        <v>Antique Gold</v>
      </c>
      <c r="G882" s="1" t="str">
        <f>IFERROR(__xludf.DUMMYFUNCTION("""COMPUTED_VALUE"""),"Pooja")</f>
        <v>Pooja</v>
      </c>
      <c r="H882" s="1" t="str">
        <f>IFERROR(__xludf.DUMMYFUNCTION("""COMPUTED_VALUE"""),"Antique gold set")</f>
        <v>Antique gold set</v>
      </c>
      <c r="I882" s="1"/>
      <c r="J882" s="1"/>
      <c r="K882" s="3">
        <f>IFERROR(__xludf.DUMMYFUNCTION("""COMPUTED_VALUE"""),0.6145833333357587)</f>
        <v>0.6145833333</v>
      </c>
      <c r="L882" s="1" t="str">
        <f>IFERROR(__xludf.DUMMYFUNCTION("""COMPUTED_VALUE"""),"Yes")</f>
        <v>Yes</v>
      </c>
      <c r="M882" s="1" t="str">
        <f>IFERROR(__xludf.DUMMYFUNCTION("""COMPUTED_VALUE"""),"Yes")</f>
        <v>Yes</v>
      </c>
      <c r="N882" s="1" t="str">
        <f>IFERROR(__xludf.DUMMYFUNCTION("""COMPUTED_VALUE"""),"Yes")</f>
        <v>Yes</v>
      </c>
      <c r="O882" s="1" t="str">
        <f>IFERROR(__xludf.DUMMYFUNCTION("""COMPUTED_VALUE"""),"WA ONLY, CALL")</f>
        <v>WA ONLY, CALL</v>
      </c>
      <c r="P882" s="1" t="str">
        <f>IFERROR(__xludf.DUMMYFUNCTION("""COMPUTED_VALUE"""),"Madam")</f>
        <v>Madam</v>
      </c>
      <c r="Q882" s="1" t="str">
        <f>IFERROR(__xludf.DUMMYFUNCTION("""COMPUTED_VALUE"""),"No")</f>
        <v>No</v>
      </c>
      <c r="R882" s="1" t="str">
        <f>IFERROR(__xludf.DUMMYFUNCTION("""COMPUTED_VALUE"""),"NEW WALK IN")</f>
        <v>NEW WALK IN</v>
      </c>
      <c r="S882" s="1" t="str">
        <f>IFERROR(__xludf.DUMMYFUNCTION("""COMPUTED_VALUE"""),"Yes")</f>
        <v>Yes</v>
      </c>
    </row>
    <row r="883">
      <c r="A883" s="2">
        <f>IFERROR(__xludf.DUMMYFUNCTION("""COMPUTED_VALUE"""),45625.73447782407)</f>
        <v>45625.73448</v>
      </c>
      <c r="B883" s="1" t="str">
        <f>IFERROR(__xludf.DUMMYFUNCTION("""COMPUTED_VALUE"""),"Gaurav ")</f>
        <v>Gaurav </v>
      </c>
      <c r="C883" s="1">
        <f>IFERROR(__xludf.DUMMYFUNCTION("""COMPUTED_VALUE"""),9.89920043E8)</f>
        <v>989920043</v>
      </c>
      <c r="D883" s="1">
        <f>IFERROR(__xludf.DUMMYFUNCTION("""COMPUTED_VALUE"""),1.0)</f>
        <v>1</v>
      </c>
      <c r="E883" s="3">
        <f>IFERROR(__xludf.DUMMYFUNCTION("""COMPUTED_VALUE"""),0.6298611111124046)</f>
        <v>0.6298611111</v>
      </c>
      <c r="F883" s="1" t="str">
        <f>IFERROR(__xludf.DUMMYFUNCTION("""COMPUTED_VALUE"""),"Plain Gold")</f>
        <v>Plain Gold</v>
      </c>
      <c r="G883" s="1" t="str">
        <f>IFERROR(__xludf.DUMMYFUNCTION("""COMPUTED_VALUE"""),"Tannu")</f>
        <v>Tannu</v>
      </c>
      <c r="H883" s="1" t="str">
        <f>IFERROR(__xludf.DUMMYFUNCTION("""COMPUTED_VALUE"""),"Gold pendent set")</f>
        <v>Gold pendent set</v>
      </c>
      <c r="I883" s="1"/>
      <c r="J883" s="1"/>
      <c r="K883" s="3">
        <f>IFERROR(__xludf.DUMMYFUNCTION("""COMPUTED_VALUE"""),0.6770833333357587)</f>
        <v>0.6770833333</v>
      </c>
      <c r="L883" s="1" t="str">
        <f>IFERROR(__xludf.DUMMYFUNCTION("""COMPUTED_VALUE"""),"Yes")</f>
        <v>Yes</v>
      </c>
      <c r="M883" s="1" t="str">
        <f>IFERROR(__xludf.DUMMYFUNCTION("""COMPUTED_VALUE"""),"Yes")</f>
        <v>Yes</v>
      </c>
      <c r="N883" s="1" t="str">
        <f>IFERROR(__xludf.DUMMYFUNCTION("""COMPUTED_VALUE"""),"Yes")</f>
        <v>Yes</v>
      </c>
      <c r="O883" s="1" t="str">
        <f>IFERROR(__xludf.DUMMYFUNCTION("""COMPUTED_VALUE"""),"WA ONLY, CALL")</f>
        <v>WA ONLY, CALL</v>
      </c>
      <c r="P883" s="1" t="str">
        <f>IFERROR(__xludf.DUMMYFUNCTION("""COMPUTED_VALUE"""),"Sir")</f>
        <v>Sir</v>
      </c>
      <c r="Q883" s="1" t="str">
        <f>IFERROR(__xludf.DUMMYFUNCTION("""COMPUTED_VALUE"""),"No")</f>
        <v>No</v>
      </c>
      <c r="R883" s="1" t="str">
        <f>IFERROR(__xludf.DUMMYFUNCTION("""COMPUTED_VALUE"""),"NEW WALK IN")</f>
        <v>NEW WALK IN</v>
      </c>
      <c r="S883" s="1" t="str">
        <f>IFERROR(__xludf.DUMMYFUNCTION("""COMPUTED_VALUE"""),"Yes")</f>
        <v>Yes</v>
      </c>
    </row>
    <row r="884">
      <c r="A884" s="2">
        <f>IFERROR(__xludf.DUMMYFUNCTION("""COMPUTED_VALUE"""),45625.73626880787)</f>
        <v>45625.73627</v>
      </c>
      <c r="B884" s="1" t="str">
        <f>IFERROR(__xludf.DUMMYFUNCTION("""COMPUTED_VALUE"""),"Himanshu")</f>
        <v>Himanshu</v>
      </c>
      <c r="C884" s="1">
        <f>IFERROR(__xludf.DUMMYFUNCTION("""COMPUTED_VALUE"""),9.62532792E9)</f>
        <v>9625327920</v>
      </c>
      <c r="D884" s="1">
        <f>IFERROR(__xludf.DUMMYFUNCTION("""COMPUTED_VALUE"""),1.0)</f>
        <v>1</v>
      </c>
      <c r="E884" s="3">
        <f>IFERROR(__xludf.DUMMYFUNCTION("""COMPUTED_VALUE"""),0.6458333333357587)</f>
        <v>0.6458333333</v>
      </c>
      <c r="F884" s="1" t="str">
        <f>IFERROR(__xludf.DUMMYFUNCTION("""COMPUTED_VALUE"""),"Antique Gold")</f>
        <v>Antique Gold</v>
      </c>
      <c r="G884" s="1" t="str">
        <f>IFERROR(__xludf.DUMMYFUNCTION("""COMPUTED_VALUE"""),"Pooja")</f>
        <v>Pooja</v>
      </c>
      <c r="H884" s="1" t="str">
        <f>IFERROR(__xludf.DUMMYFUNCTION("""COMPUTED_VALUE"""),"Silver chain")</f>
        <v>Silver chain</v>
      </c>
      <c r="I884" s="1" t="str">
        <f>IFERROR(__xludf.DUMMYFUNCTION("""COMPUTED_VALUE"""),"Designs Not Liked")</f>
        <v>Designs Not Liked</v>
      </c>
      <c r="J884" s="1"/>
      <c r="K884" s="3">
        <f>IFERROR(__xludf.DUMMYFUNCTION("""COMPUTED_VALUE"""),0.6840277777810115)</f>
        <v>0.6840277778</v>
      </c>
      <c r="L884" s="1" t="str">
        <f>IFERROR(__xludf.DUMMYFUNCTION("""COMPUTED_VALUE"""),"No")</f>
        <v>No</v>
      </c>
      <c r="M884" s="1" t="str">
        <f>IFERROR(__xludf.DUMMYFUNCTION("""COMPUTED_VALUE"""),"No")</f>
        <v>No</v>
      </c>
      <c r="N884" s="1" t="str">
        <f>IFERROR(__xludf.DUMMYFUNCTION("""COMPUTED_VALUE"""),"No")</f>
        <v>No</v>
      </c>
      <c r="O884" s="1" t="str">
        <f>IFERROR(__xludf.DUMMYFUNCTION("""COMPUTED_VALUE"""),"WA ONLY, CALL")</f>
        <v>WA ONLY, CALL</v>
      </c>
      <c r="P884" s="1" t="str">
        <f>IFERROR(__xludf.DUMMYFUNCTION("""COMPUTED_VALUE"""),"Madam")</f>
        <v>Madam</v>
      </c>
      <c r="Q884" s="1" t="str">
        <f>IFERROR(__xludf.DUMMYFUNCTION("""COMPUTED_VALUE"""),"No")</f>
        <v>No</v>
      </c>
      <c r="R884" s="1" t="str">
        <f>IFERROR(__xludf.DUMMYFUNCTION("""COMPUTED_VALUE"""),"NEW WALK IN")</f>
        <v>NEW WALK IN</v>
      </c>
      <c r="S884" s="1" t="str">
        <f>IFERROR(__xludf.DUMMYFUNCTION("""COMPUTED_VALUE"""),"No")</f>
        <v>No</v>
      </c>
    </row>
    <row r="885">
      <c r="A885" s="2">
        <f>IFERROR(__xludf.DUMMYFUNCTION("""COMPUTED_VALUE"""),45625.737677997684)</f>
        <v>45625.73768</v>
      </c>
      <c r="B885" s="1" t="str">
        <f>IFERROR(__xludf.DUMMYFUNCTION("""COMPUTED_VALUE"""),"Mamta")</f>
        <v>Mamta</v>
      </c>
      <c r="C885" s="1">
        <f>IFERROR(__xludf.DUMMYFUNCTION("""COMPUTED_VALUE"""),7.838042351E9)</f>
        <v>7838042351</v>
      </c>
      <c r="D885" s="1">
        <f>IFERROR(__xludf.DUMMYFUNCTION("""COMPUTED_VALUE"""),2.0)</f>
        <v>2</v>
      </c>
      <c r="E885" s="3">
        <f>IFERROR(__xludf.DUMMYFUNCTION("""COMPUTED_VALUE"""),0.6770833333357587)</f>
        <v>0.6770833333</v>
      </c>
      <c r="F885" s="1" t="str">
        <f>IFERROR(__xludf.DUMMYFUNCTION("""COMPUTED_VALUE"""),"Plain Gold")</f>
        <v>Plain Gold</v>
      </c>
      <c r="G885" s="1" t="str">
        <f>IFERROR(__xludf.DUMMYFUNCTION("""COMPUTED_VALUE"""),"Pooja")</f>
        <v>Pooja</v>
      </c>
      <c r="H885" s="1" t="str">
        <f>IFERROR(__xludf.DUMMYFUNCTION("""COMPUTED_VALUE"""),"Gold manglsutr,gold long set")</f>
        <v>Gold manglsutr,gold long set</v>
      </c>
      <c r="I885" s="1"/>
      <c r="J885" s="1"/>
      <c r="K885" s="3">
        <f>IFERROR(__xludf.DUMMYFUNCTION("""COMPUTED_VALUE"""),0.7256944444452529)</f>
        <v>0.7256944444</v>
      </c>
      <c r="L885" s="1" t="str">
        <f>IFERROR(__xludf.DUMMYFUNCTION("""COMPUTED_VALUE"""),"Yes")</f>
        <v>Yes</v>
      </c>
      <c r="M885" s="1" t="str">
        <f>IFERROR(__xludf.DUMMYFUNCTION("""COMPUTED_VALUE"""),"Not use ")</f>
        <v>Not use </v>
      </c>
      <c r="N885" s="1" t="str">
        <f>IFERROR(__xludf.DUMMYFUNCTION("""COMPUTED_VALUE"""),"Not use")</f>
        <v>Not use</v>
      </c>
      <c r="O885" s="1" t="str">
        <f>IFERROR(__xludf.DUMMYFUNCTION("""COMPUTED_VALUE"""),"WA ONLY, CALL")</f>
        <v>WA ONLY, CALL</v>
      </c>
      <c r="P885" s="1" t="str">
        <f>IFERROR(__xludf.DUMMYFUNCTION("""COMPUTED_VALUE"""),"Madam")</f>
        <v>Madam</v>
      </c>
      <c r="Q885" s="1" t="str">
        <f>IFERROR(__xludf.DUMMYFUNCTION("""COMPUTED_VALUE"""),"No")</f>
        <v>No</v>
      </c>
      <c r="R885" s="1" t="str">
        <f>IFERROR(__xludf.DUMMYFUNCTION("""COMPUTED_VALUE"""),"NEW WALK IN")</f>
        <v>NEW WALK IN</v>
      </c>
      <c r="S885" s="1" t="str">
        <f>IFERROR(__xludf.DUMMYFUNCTION("""COMPUTED_VALUE"""),"Yes")</f>
        <v>Yes</v>
      </c>
    </row>
    <row r="886">
      <c r="A886" s="2">
        <f>IFERROR(__xludf.DUMMYFUNCTION("""COMPUTED_VALUE"""),45625.73879005787)</f>
        <v>45625.73879</v>
      </c>
      <c r="B886" s="1" t="str">
        <f>IFERROR(__xludf.DUMMYFUNCTION("""COMPUTED_VALUE"""),"Ansh")</f>
        <v>Ansh</v>
      </c>
      <c r="C886" s="1">
        <f>IFERROR(__xludf.DUMMYFUNCTION("""COMPUTED_VALUE"""),8.269328532E9)</f>
        <v>8269328532</v>
      </c>
      <c r="D886" s="1">
        <f>IFERROR(__xludf.DUMMYFUNCTION("""COMPUTED_VALUE"""),1.0)</f>
        <v>1</v>
      </c>
      <c r="E886" s="3">
        <f>IFERROR(__xludf.DUMMYFUNCTION("""COMPUTED_VALUE"""),0.7062500000029104)</f>
        <v>0.70625</v>
      </c>
      <c r="F886" s="1" t="str">
        <f>IFERROR(__xludf.DUMMYFUNCTION("""COMPUTED_VALUE"""),"Antique Gold")</f>
        <v>Antique Gold</v>
      </c>
      <c r="G886" s="1" t="str">
        <f>IFERROR(__xludf.DUMMYFUNCTION("""COMPUTED_VALUE"""),"Pooja")</f>
        <v>Pooja</v>
      </c>
      <c r="H886" s="1" t="str">
        <f>IFERROR(__xludf.DUMMYFUNCTION("""COMPUTED_VALUE"""),"Gold ms breslet ")</f>
        <v>Gold ms breslet </v>
      </c>
      <c r="I886" s="1" t="str">
        <f>IFERROR(__xludf.DUMMYFUNCTION("""COMPUTED_VALUE"""),"Want to see More Variety")</f>
        <v>Want to see More Variety</v>
      </c>
      <c r="J886" s="1"/>
      <c r="K886" s="3">
        <f>IFERROR(__xludf.DUMMYFUNCTION("""COMPUTED_VALUE"""),0.726388888884685)</f>
        <v>0.7263888889</v>
      </c>
      <c r="L886" s="1" t="str">
        <f>IFERROR(__xludf.DUMMYFUNCTION("""COMPUTED_VALUE"""),"No")</f>
        <v>No</v>
      </c>
      <c r="M886" s="1" t="str">
        <f>IFERROR(__xludf.DUMMYFUNCTION("""COMPUTED_VALUE"""),"No")</f>
        <v>No</v>
      </c>
      <c r="N886" s="1" t="str">
        <f>IFERROR(__xludf.DUMMYFUNCTION("""COMPUTED_VALUE"""),"No")</f>
        <v>No</v>
      </c>
      <c r="O886" s="1" t="str">
        <f>IFERROR(__xludf.DUMMYFUNCTION("""COMPUTED_VALUE"""),"WA ONLY, CALL")</f>
        <v>WA ONLY, CALL</v>
      </c>
      <c r="P886" s="1" t="str">
        <f>IFERROR(__xludf.DUMMYFUNCTION("""COMPUTED_VALUE"""),"Sir")</f>
        <v>Sir</v>
      </c>
      <c r="Q886" s="1" t="str">
        <f>IFERROR(__xludf.DUMMYFUNCTION("""COMPUTED_VALUE"""),"No")</f>
        <v>No</v>
      </c>
      <c r="R886" s="1" t="str">
        <f>IFERROR(__xludf.DUMMYFUNCTION("""COMPUTED_VALUE"""),"NEW WALK IN")</f>
        <v>NEW WALK IN</v>
      </c>
      <c r="S886" s="1" t="str">
        <f>IFERROR(__xludf.DUMMYFUNCTION("""COMPUTED_VALUE"""),"No")</f>
        <v>No</v>
      </c>
    </row>
    <row r="887">
      <c r="A887" s="2">
        <f>IFERROR(__xludf.DUMMYFUNCTION("""COMPUTED_VALUE"""),45625.74474637731)</f>
        <v>45625.74475</v>
      </c>
      <c r="B887" s="1" t="str">
        <f>IFERROR(__xludf.DUMMYFUNCTION("""COMPUTED_VALUE"""),"Ishu kumar")</f>
        <v>Ishu kumar</v>
      </c>
      <c r="C887" s="1">
        <f>IFERROR(__xludf.DUMMYFUNCTION("""COMPUTED_VALUE"""),9.368877011E9)</f>
        <v>9368877011</v>
      </c>
      <c r="D887" s="1">
        <f>IFERROR(__xludf.DUMMYFUNCTION("""COMPUTED_VALUE"""),1.0)</f>
        <v>1</v>
      </c>
      <c r="E887" s="3">
        <f>IFERROR(__xludf.DUMMYFUNCTION("""COMPUTED_VALUE"""),0.7083333333357587)</f>
        <v>0.7083333333</v>
      </c>
      <c r="F887" s="1" t="str">
        <f>IFERROR(__xludf.DUMMYFUNCTION("""COMPUTED_VALUE"""),"Diamond")</f>
        <v>Diamond</v>
      </c>
      <c r="G887" s="1" t="str">
        <f>IFERROR(__xludf.DUMMYFUNCTION("""COMPUTED_VALUE"""),"Preeti")</f>
        <v>Preeti</v>
      </c>
      <c r="H887" s="1" t="str">
        <f>IFERROR(__xludf.DUMMYFUNCTION("""COMPUTED_VALUE"""),".")</f>
        <v>.</v>
      </c>
      <c r="I887" s="1" t="str">
        <f>IFERROR(__xludf.DUMMYFUNCTION("""COMPUTED_VALUE"""),"Repair done")</f>
        <v>Repair done</v>
      </c>
      <c r="J887" s="1"/>
      <c r="K887" s="3">
        <f>IFERROR(__xludf.DUMMYFUNCTION("""COMPUTED_VALUE"""),0.7430555555547471)</f>
        <v>0.7430555556</v>
      </c>
      <c r="L887" s="1" t="str">
        <f>IFERROR(__xludf.DUMMYFUNCTION("""COMPUTED_VALUE"""),"Yes")</f>
        <v>Yes</v>
      </c>
      <c r="M887" s="1" t="str">
        <f>IFERROR(__xludf.DUMMYFUNCTION("""COMPUTED_VALUE"""),"Already done ")</f>
        <v>Already done </v>
      </c>
      <c r="N887" s="1" t="str">
        <f>IFERROR(__xludf.DUMMYFUNCTION("""COMPUTED_VALUE"""),"Already done ")</f>
        <v>Already done </v>
      </c>
      <c r="O887" s="1" t="str">
        <f>IFERROR(__xludf.DUMMYFUNCTION("""COMPUTED_VALUE"""),"WA ONLY, CALL")</f>
        <v>WA ONLY, CALL</v>
      </c>
      <c r="P887" s="1" t="str">
        <f>IFERROR(__xludf.DUMMYFUNCTION("""COMPUTED_VALUE"""),"Sir")</f>
        <v>Sir</v>
      </c>
      <c r="Q887" s="1" t="str">
        <f>IFERROR(__xludf.DUMMYFUNCTION("""COMPUTED_VALUE"""),"No")</f>
        <v>No</v>
      </c>
      <c r="R887" s="1" t="str">
        <f>IFERROR(__xludf.DUMMYFUNCTION("""COMPUTED_VALUE"""),"OLD")</f>
        <v>OLD</v>
      </c>
      <c r="S887" s="1" t="str">
        <f>IFERROR(__xludf.DUMMYFUNCTION("""COMPUTED_VALUE"""),"No")</f>
        <v>No</v>
      </c>
    </row>
    <row r="888">
      <c r="A888" s="2">
        <f>IFERROR(__xludf.DUMMYFUNCTION("""COMPUTED_VALUE"""),45627.6503437963)</f>
        <v>45627.65034</v>
      </c>
      <c r="B888" s="1" t="str">
        <f>IFERROR(__xludf.DUMMYFUNCTION("""COMPUTED_VALUE"""),"Manju ")</f>
        <v>Manju </v>
      </c>
      <c r="C888" s="1">
        <f>IFERROR(__xludf.DUMMYFUNCTION("""COMPUTED_VALUE"""),9.810113462E9)</f>
        <v>9810113462</v>
      </c>
      <c r="D888" s="1">
        <f>IFERROR(__xludf.DUMMYFUNCTION("""COMPUTED_VALUE"""),2.0)</f>
        <v>2</v>
      </c>
      <c r="E888" s="3">
        <f>IFERROR(__xludf.DUMMYFUNCTION("""COMPUTED_VALUE"""),0.5930555555532919)</f>
        <v>0.5930555556</v>
      </c>
      <c r="F888" s="1" t="str">
        <f>IFERROR(__xludf.DUMMYFUNCTION("""COMPUTED_VALUE"""),"Antique Gold")</f>
        <v>Antique Gold</v>
      </c>
      <c r="G888" s="1" t="str">
        <f>IFERROR(__xludf.DUMMYFUNCTION("""COMPUTED_VALUE"""),"Sapna")</f>
        <v>Sapna</v>
      </c>
      <c r="H888" s="1" t="str">
        <f>IFERROR(__xludf.DUMMYFUNCTION("""COMPUTED_VALUE"""),"Gold chain")</f>
        <v>Gold chain</v>
      </c>
      <c r="I888" s="1"/>
      <c r="J888" s="1"/>
      <c r="K888" s="3">
        <f>IFERROR(__xludf.DUMMYFUNCTION("""COMPUTED_VALUE"""),0.625)</f>
        <v>0.625</v>
      </c>
      <c r="L888" s="1" t="str">
        <f>IFERROR(__xludf.DUMMYFUNCTION("""COMPUTED_VALUE"""),"Yes")</f>
        <v>Yes</v>
      </c>
      <c r="M888" s="1" t="str">
        <f>IFERROR(__xludf.DUMMYFUNCTION("""COMPUTED_VALUE"""),"Already done ")</f>
        <v>Already done </v>
      </c>
      <c r="N888" s="1" t="str">
        <f>IFERROR(__xludf.DUMMYFUNCTION("""COMPUTED_VALUE"""),"Already done ")</f>
        <v>Already done </v>
      </c>
      <c r="O888" s="1" t="str">
        <f>IFERROR(__xludf.DUMMYFUNCTION("""COMPUTED_VALUE"""),"WA ONLY, CALL")</f>
        <v>WA ONLY, CALL</v>
      </c>
      <c r="P888" s="1" t="str">
        <f>IFERROR(__xludf.DUMMYFUNCTION("""COMPUTED_VALUE"""),"Madam")</f>
        <v>Madam</v>
      </c>
      <c r="Q888" s="1" t="str">
        <f>IFERROR(__xludf.DUMMYFUNCTION("""COMPUTED_VALUE"""),"No")</f>
        <v>No</v>
      </c>
      <c r="R888" s="1" t="str">
        <f>IFERROR(__xludf.DUMMYFUNCTION("""COMPUTED_VALUE"""),"OLD")</f>
        <v>OLD</v>
      </c>
      <c r="S888" s="1" t="str">
        <f>IFERROR(__xludf.DUMMYFUNCTION("""COMPUTED_VALUE"""),"Yes")</f>
        <v>Yes</v>
      </c>
    </row>
    <row r="889">
      <c r="A889" s="2">
        <f>IFERROR(__xludf.DUMMYFUNCTION("""COMPUTED_VALUE"""),45627.65416334491)</f>
        <v>45627.65416</v>
      </c>
      <c r="B889" s="1" t="str">
        <f>IFERROR(__xludf.DUMMYFUNCTION("""COMPUTED_VALUE"""),"Anupama amita")</f>
        <v>Anupama amita</v>
      </c>
      <c r="C889" s="1">
        <f>IFERROR(__xludf.DUMMYFUNCTION("""COMPUTED_VALUE"""),9.919674399E9)</f>
        <v>9919674399</v>
      </c>
      <c r="D889" s="1">
        <f>IFERROR(__xludf.DUMMYFUNCTION("""COMPUTED_VALUE"""),4.0)</f>
        <v>4</v>
      </c>
      <c r="E889" s="3">
        <f>IFERROR(__xludf.DUMMYFUNCTION("""COMPUTED_VALUE"""),0.6215277777810115)</f>
        <v>0.6215277778</v>
      </c>
      <c r="F889" s="1" t="str">
        <f>IFERROR(__xludf.DUMMYFUNCTION("""COMPUTED_VALUE"""),"Plain Gold")</f>
        <v>Plain Gold</v>
      </c>
      <c r="G889" s="1" t="str">
        <f>IFERROR(__xludf.DUMMYFUNCTION("""COMPUTED_VALUE"""),"Deepali")</f>
        <v>Deepali</v>
      </c>
      <c r="H889" s="1" t="str">
        <f>IFERROR(__xludf.DUMMYFUNCTION("""COMPUTED_VALUE"""),"Gold ring,chain")</f>
        <v>Gold ring,chain</v>
      </c>
      <c r="I889" s="1"/>
      <c r="J889" s="1"/>
      <c r="K889" s="3">
        <f>IFERROR(__xludf.DUMMYFUNCTION("""COMPUTED_VALUE"""),0.6368055555576575)</f>
        <v>0.6368055556</v>
      </c>
      <c r="L889" s="1" t="str">
        <f>IFERROR(__xludf.DUMMYFUNCTION("""COMPUTED_VALUE"""),"Yes")</f>
        <v>Yes</v>
      </c>
      <c r="M889" s="1" t="str">
        <f>IFERROR(__xludf.DUMMYFUNCTION("""COMPUTED_VALUE"""),"Yes")</f>
        <v>Yes</v>
      </c>
      <c r="N889" s="1" t="str">
        <f>IFERROR(__xludf.DUMMYFUNCTION("""COMPUTED_VALUE"""),"Yes")</f>
        <v>Yes</v>
      </c>
      <c r="O889" s="1" t="str">
        <f>IFERROR(__xludf.DUMMYFUNCTION("""COMPUTED_VALUE"""),"WA ONLY, CALL")</f>
        <v>WA ONLY, CALL</v>
      </c>
      <c r="P889" s="1" t="str">
        <f>IFERROR(__xludf.DUMMYFUNCTION("""COMPUTED_VALUE"""),"Madam")</f>
        <v>Madam</v>
      </c>
      <c r="Q889" s="1" t="str">
        <f>IFERROR(__xludf.DUMMYFUNCTION("""COMPUTED_VALUE"""),"No")</f>
        <v>No</v>
      </c>
      <c r="R889" s="1" t="str">
        <f>IFERROR(__xludf.DUMMYFUNCTION("""COMPUTED_VALUE"""),"NEW WALK IN")</f>
        <v>NEW WALK IN</v>
      </c>
      <c r="S889" s="1" t="str">
        <f>IFERROR(__xludf.DUMMYFUNCTION("""COMPUTED_VALUE"""),"Yes")</f>
        <v>Yes</v>
      </c>
    </row>
    <row r="890">
      <c r="A890" s="2">
        <f>IFERROR(__xludf.DUMMYFUNCTION("""COMPUTED_VALUE"""),45627.73621423611)</f>
        <v>45627.73621</v>
      </c>
      <c r="B890" s="1" t="str">
        <f>IFERROR(__xludf.DUMMYFUNCTION("""COMPUTED_VALUE"""),"Mansi singal")</f>
        <v>Mansi singal</v>
      </c>
      <c r="C890" s="1">
        <f>IFERROR(__xludf.DUMMYFUNCTION("""COMPUTED_VALUE"""),9.871973908E9)</f>
        <v>9871973908</v>
      </c>
      <c r="D890" s="1">
        <f>IFERROR(__xludf.DUMMYFUNCTION("""COMPUTED_VALUE"""),2.0)</f>
        <v>2</v>
      </c>
      <c r="E890" s="3">
        <f>IFERROR(__xludf.DUMMYFUNCTION("""COMPUTED_VALUE"""),0.5625)</f>
        <v>0.5625</v>
      </c>
      <c r="F890" s="1" t="str">
        <f>IFERROR(__xludf.DUMMYFUNCTION("""COMPUTED_VALUE"""),"Diamond")</f>
        <v>Diamond</v>
      </c>
      <c r="G890" s="1" t="str">
        <f>IFERROR(__xludf.DUMMYFUNCTION("""COMPUTED_VALUE"""),"Preeti")</f>
        <v>Preeti</v>
      </c>
      <c r="H890" s="1" t="str">
        <f>IFERROR(__xludf.DUMMYFUNCTION("""COMPUTED_VALUE"""),"2 Silver coin 50gm, 2 100gm silver coin,dilver payal,2 gold chain 4 pair balim")</f>
        <v>2 Silver coin 50gm, 2 100gm silver coin,dilver payal,2 gold chain 4 pair balim</v>
      </c>
      <c r="I890" s="1"/>
      <c r="J890" s="1"/>
      <c r="K890" s="3">
        <f>IFERROR(__xludf.DUMMYFUNCTION("""COMPUTED_VALUE"""),0.6458333333357587)</f>
        <v>0.6458333333</v>
      </c>
      <c r="L890" s="1" t="str">
        <f>IFERROR(__xludf.DUMMYFUNCTION("""COMPUTED_VALUE"""),"Yes")</f>
        <v>Yes</v>
      </c>
      <c r="M890" s="1" t="str">
        <f>IFERROR(__xludf.DUMMYFUNCTION("""COMPUTED_VALUE"""),"Already done ")</f>
        <v>Already done </v>
      </c>
      <c r="N890" s="1" t="str">
        <f>IFERROR(__xludf.DUMMYFUNCTION("""COMPUTED_VALUE"""),"Already done ")</f>
        <v>Already done </v>
      </c>
      <c r="O890" s="1" t="str">
        <f>IFERROR(__xludf.DUMMYFUNCTION("""COMPUTED_VALUE"""),"WA ONLY, CALL")</f>
        <v>WA ONLY, CALL</v>
      </c>
      <c r="P890" s="1" t="str">
        <f>IFERROR(__xludf.DUMMYFUNCTION("""COMPUTED_VALUE"""),"Madam")</f>
        <v>Madam</v>
      </c>
      <c r="Q890" s="1" t="str">
        <f>IFERROR(__xludf.DUMMYFUNCTION("""COMPUTED_VALUE"""),"No")</f>
        <v>No</v>
      </c>
      <c r="R890" s="1" t="str">
        <f>IFERROR(__xludf.DUMMYFUNCTION("""COMPUTED_VALUE"""),"OLD")</f>
        <v>OLD</v>
      </c>
      <c r="S890" s="1" t="str">
        <f>IFERROR(__xludf.DUMMYFUNCTION("""COMPUTED_VALUE"""),"Yes")</f>
        <v>Yes</v>
      </c>
    </row>
    <row r="891">
      <c r="A891" s="2">
        <f>IFERROR(__xludf.DUMMYFUNCTION("""COMPUTED_VALUE"""),45627.73776428241)</f>
        <v>45627.73776</v>
      </c>
      <c r="B891" s="1" t="str">
        <f>IFERROR(__xludf.DUMMYFUNCTION("""COMPUTED_VALUE"""),"Gaurav ")</f>
        <v>Gaurav </v>
      </c>
      <c r="C891" s="1">
        <f>IFERROR(__xludf.DUMMYFUNCTION("""COMPUTED_VALUE"""),9.899200043E9)</f>
        <v>9899200043</v>
      </c>
      <c r="D891" s="1">
        <f>IFERROR(__xludf.DUMMYFUNCTION("""COMPUTED_VALUE"""),2.0)</f>
        <v>2</v>
      </c>
      <c r="E891" s="3">
        <f>IFERROR(__xludf.DUMMYFUNCTION("""COMPUTED_VALUE"""),0.65625)</f>
        <v>0.65625</v>
      </c>
      <c r="F891" s="1" t="str">
        <f>IFERROR(__xludf.DUMMYFUNCTION("""COMPUTED_VALUE"""),"Plain Gold")</f>
        <v>Plain Gold</v>
      </c>
      <c r="G891" s="1" t="str">
        <f>IFERROR(__xludf.DUMMYFUNCTION("""COMPUTED_VALUE"""),"Deepali")</f>
        <v>Deepali</v>
      </c>
      <c r="H891" s="1" t="str">
        <f>IFERROR(__xludf.DUMMYFUNCTION("""COMPUTED_VALUE"""),"Gold breslet ")</f>
        <v>Gold breslet </v>
      </c>
      <c r="I891" s="1" t="str">
        <f>IFERROR(__xludf.DUMMYFUNCTION("""COMPUTED_VALUE"""),"Return pendent set")</f>
        <v>Return pendent set</v>
      </c>
      <c r="J891" s="1"/>
      <c r="K891" s="3">
        <f>IFERROR(__xludf.DUMMYFUNCTION("""COMPUTED_VALUE"""),0.6770833333357587)</f>
        <v>0.6770833333</v>
      </c>
      <c r="L891" s="1" t="str">
        <f>IFERROR(__xludf.DUMMYFUNCTION("""COMPUTED_VALUE"""),"Yes")</f>
        <v>Yes</v>
      </c>
      <c r="M891" s="1" t="str">
        <f>IFERROR(__xludf.DUMMYFUNCTION("""COMPUTED_VALUE"""),"Already done ")</f>
        <v>Already done </v>
      </c>
      <c r="N891" s="1" t="str">
        <f>IFERROR(__xludf.DUMMYFUNCTION("""COMPUTED_VALUE"""),"Already done ")</f>
        <v>Already done </v>
      </c>
      <c r="O891" s="1" t="str">
        <f>IFERROR(__xludf.DUMMYFUNCTION("""COMPUTED_VALUE"""),"WA ONLY, CALL")</f>
        <v>WA ONLY, CALL</v>
      </c>
      <c r="P891" s="1" t="str">
        <f>IFERROR(__xludf.DUMMYFUNCTION("""COMPUTED_VALUE"""),"Sir")</f>
        <v>Sir</v>
      </c>
      <c r="Q891" s="1" t="str">
        <f>IFERROR(__xludf.DUMMYFUNCTION("""COMPUTED_VALUE"""),"No")</f>
        <v>No</v>
      </c>
      <c r="R891" s="1" t="str">
        <f>IFERROR(__xludf.DUMMYFUNCTION("""COMPUTED_VALUE"""),"OLD")</f>
        <v>OLD</v>
      </c>
      <c r="S891" s="1" t="str">
        <f>IFERROR(__xludf.DUMMYFUNCTION("""COMPUTED_VALUE"""),"No")</f>
        <v>No</v>
      </c>
    </row>
    <row r="892">
      <c r="A892" s="2">
        <f>IFERROR(__xludf.DUMMYFUNCTION("""COMPUTED_VALUE"""),45627.738752997684)</f>
        <v>45627.73875</v>
      </c>
      <c r="B892" s="1" t="str">
        <f>IFERROR(__xludf.DUMMYFUNCTION("""COMPUTED_VALUE"""),"Kush")</f>
        <v>Kush</v>
      </c>
      <c r="C892" s="1">
        <f>IFERROR(__xludf.DUMMYFUNCTION("""COMPUTED_VALUE"""),9.99978954E9)</f>
        <v>9999789540</v>
      </c>
      <c r="D892" s="1">
        <f>IFERROR(__xludf.DUMMYFUNCTION("""COMPUTED_VALUE"""),2.0)</f>
        <v>2</v>
      </c>
      <c r="E892" s="3">
        <f>IFERROR(__xludf.DUMMYFUNCTION("""COMPUTED_VALUE"""),0.6736111111094942)</f>
        <v>0.6736111111</v>
      </c>
      <c r="F892" s="1" t="str">
        <f>IFERROR(__xludf.DUMMYFUNCTION("""COMPUTED_VALUE"""),"Plain Gold")</f>
        <v>Plain Gold</v>
      </c>
      <c r="G892" s="1" t="str">
        <f>IFERROR(__xludf.DUMMYFUNCTION("""COMPUTED_VALUE"""),"Deepali")</f>
        <v>Deepali</v>
      </c>
      <c r="H892" s="1" t="str">
        <f>IFERROR(__xludf.DUMMYFUNCTION("""COMPUTED_VALUE"""),"1 gold coin mmtc,2 gm gold coin mmtc,5gm gold coin mmtc")</f>
        <v>1 gold coin mmtc,2 gm gold coin mmtc,5gm gold coin mmtc</v>
      </c>
      <c r="I892" s="1"/>
      <c r="J892" s="1"/>
      <c r="K892" s="3">
        <f>IFERROR(__xludf.DUMMYFUNCTION("""COMPUTED_VALUE"""),0.6958333333313931)</f>
        <v>0.6958333333</v>
      </c>
      <c r="L892" s="1" t="str">
        <f>IFERROR(__xludf.DUMMYFUNCTION("""COMPUTED_VALUE"""),"Yes")</f>
        <v>Yes</v>
      </c>
      <c r="M892" s="1" t="str">
        <f>IFERROR(__xludf.DUMMYFUNCTION("""COMPUTED_VALUE"""),"Yes")</f>
        <v>Yes</v>
      </c>
      <c r="N892" s="1" t="str">
        <f>IFERROR(__xludf.DUMMYFUNCTION("""COMPUTED_VALUE"""),"Yes")</f>
        <v>Yes</v>
      </c>
      <c r="O892" s="1" t="str">
        <f>IFERROR(__xludf.DUMMYFUNCTION("""COMPUTED_VALUE"""),"WA ONLY, CALL")</f>
        <v>WA ONLY, CALL</v>
      </c>
      <c r="P892" s="1" t="str">
        <f>IFERROR(__xludf.DUMMYFUNCTION("""COMPUTED_VALUE"""),"Sir")</f>
        <v>Sir</v>
      </c>
      <c r="Q892" s="1" t="str">
        <f>IFERROR(__xludf.DUMMYFUNCTION("""COMPUTED_VALUE"""),"No")</f>
        <v>No</v>
      </c>
      <c r="R892" s="1" t="str">
        <f>IFERROR(__xludf.DUMMYFUNCTION("""COMPUTED_VALUE"""),"NEW WALK IN")</f>
        <v>NEW WALK IN</v>
      </c>
      <c r="S892" s="1" t="str">
        <f>IFERROR(__xludf.DUMMYFUNCTION("""COMPUTED_VALUE"""),"Yes")</f>
        <v>Yes</v>
      </c>
    </row>
    <row r="893">
      <c r="A893" s="2">
        <f>IFERROR(__xludf.DUMMYFUNCTION("""COMPUTED_VALUE"""),45627.80551015046)</f>
        <v>45627.80551</v>
      </c>
      <c r="B893" s="1" t="str">
        <f>IFERROR(__xludf.DUMMYFUNCTION("""COMPUTED_VALUE"""),"Darshika ")</f>
        <v>Darshika </v>
      </c>
      <c r="C893" s="1">
        <f>IFERROR(__xludf.DUMMYFUNCTION("""COMPUTED_VALUE"""),9.971001415E9)</f>
        <v>9971001415</v>
      </c>
      <c r="D893" s="1">
        <f>IFERROR(__xludf.DUMMYFUNCTION("""COMPUTED_VALUE"""),2.0)</f>
        <v>2</v>
      </c>
      <c r="E893" s="3">
        <f>IFERROR(__xludf.DUMMYFUNCTION("""COMPUTED_VALUE"""),0.625)</f>
        <v>0.625</v>
      </c>
      <c r="F893" s="1" t="str">
        <f>IFERROR(__xludf.DUMMYFUNCTION("""COMPUTED_VALUE"""),"Diamond")</f>
        <v>Diamond</v>
      </c>
      <c r="G893" s="1" t="str">
        <f>IFERROR(__xludf.DUMMYFUNCTION("""COMPUTED_VALUE"""),"Preeti")</f>
        <v>Preeti</v>
      </c>
      <c r="H893" s="1" t="str">
        <f>IFERROR(__xludf.DUMMYFUNCTION("""COMPUTED_VALUE"""),"Polki set")</f>
        <v>Polki set</v>
      </c>
      <c r="I893" s="1"/>
      <c r="J893" s="1"/>
      <c r="K893" s="3">
        <f>IFERROR(__xludf.DUMMYFUNCTION("""COMPUTED_VALUE"""),0.6729166666627862)</f>
        <v>0.6729166667</v>
      </c>
      <c r="L893" s="1" t="str">
        <f>IFERROR(__xludf.DUMMYFUNCTION("""COMPUTED_VALUE"""),"Yes")</f>
        <v>Yes</v>
      </c>
      <c r="M893" s="1" t="str">
        <f>IFERROR(__xludf.DUMMYFUNCTION("""COMPUTED_VALUE"""),"Already done ")</f>
        <v>Already done </v>
      </c>
      <c r="N893" s="1" t="str">
        <f>IFERROR(__xludf.DUMMYFUNCTION("""COMPUTED_VALUE"""),"Already done ")</f>
        <v>Already done </v>
      </c>
      <c r="O893" s="1" t="str">
        <f>IFERROR(__xludf.DUMMYFUNCTION("""COMPUTED_VALUE"""),"WA ONLY, CALL")</f>
        <v>WA ONLY, CALL</v>
      </c>
      <c r="P893" s="1" t="str">
        <f>IFERROR(__xludf.DUMMYFUNCTION("""COMPUTED_VALUE"""),"Madam")</f>
        <v>Madam</v>
      </c>
      <c r="Q893" s="1" t="str">
        <f>IFERROR(__xludf.DUMMYFUNCTION("""COMPUTED_VALUE"""),"Yes")</f>
        <v>Yes</v>
      </c>
      <c r="R893" s="1" t="str">
        <f>IFERROR(__xludf.DUMMYFUNCTION("""COMPUTED_VALUE"""),"OLD")</f>
        <v>OLD</v>
      </c>
      <c r="S893" s="1" t="str">
        <f>IFERROR(__xludf.DUMMYFUNCTION("""COMPUTED_VALUE"""),"Yes")</f>
        <v>Yes</v>
      </c>
    </row>
    <row r="894">
      <c r="A894" s="2">
        <f>IFERROR(__xludf.DUMMYFUNCTION("""COMPUTED_VALUE"""),45627.80622434028)</f>
        <v>45627.80622</v>
      </c>
      <c r="B894" s="1" t="str">
        <f>IFERROR(__xludf.DUMMYFUNCTION("""COMPUTED_VALUE"""),"Ranbeer kour")</f>
        <v>Ranbeer kour</v>
      </c>
      <c r="C894" s="1">
        <f>IFERROR(__xludf.DUMMYFUNCTION("""COMPUTED_VALUE"""),9.910100011E9)</f>
        <v>9910100011</v>
      </c>
      <c r="D894" s="1">
        <f>IFERROR(__xludf.DUMMYFUNCTION("""COMPUTED_VALUE"""),2.0)</f>
        <v>2</v>
      </c>
      <c r="E894" s="3">
        <f>IFERROR(__xludf.DUMMYFUNCTION("""COMPUTED_VALUE"""),0.6444444444423425)</f>
        <v>0.6444444444</v>
      </c>
      <c r="F894" s="1" t="str">
        <f>IFERROR(__xludf.DUMMYFUNCTION("""COMPUTED_VALUE"""),"Diamond")</f>
        <v>Diamond</v>
      </c>
      <c r="G894" s="1" t="str">
        <f>IFERROR(__xludf.DUMMYFUNCTION("""COMPUTED_VALUE"""),"Sapna")</f>
        <v>Sapna</v>
      </c>
      <c r="H894" s="1" t="str">
        <f>IFERROR(__xludf.DUMMYFUNCTION("""COMPUTED_VALUE"""),"Gold chain")</f>
        <v>Gold chain</v>
      </c>
      <c r="I894" s="1"/>
      <c r="J894" s="1"/>
      <c r="K894" s="3">
        <f>IFERROR(__xludf.DUMMYFUNCTION("""COMPUTED_VALUE"""),0.6979166666642413)</f>
        <v>0.6979166667</v>
      </c>
      <c r="L894" s="1" t="str">
        <f>IFERROR(__xludf.DUMMYFUNCTION("""COMPUTED_VALUE"""),"Yes")</f>
        <v>Yes</v>
      </c>
      <c r="M894" s="1" t="str">
        <f>IFERROR(__xludf.DUMMYFUNCTION("""COMPUTED_VALUE"""),"Already done ")</f>
        <v>Already done </v>
      </c>
      <c r="N894" s="1" t="str">
        <f>IFERROR(__xludf.DUMMYFUNCTION("""COMPUTED_VALUE"""),"Already done ")</f>
        <v>Already done </v>
      </c>
      <c r="O894" s="1" t="str">
        <f>IFERROR(__xludf.DUMMYFUNCTION("""COMPUTED_VALUE"""),"WA ONLY, CALL")</f>
        <v>WA ONLY, CALL</v>
      </c>
      <c r="P894" s="1" t="str">
        <f>IFERROR(__xludf.DUMMYFUNCTION("""COMPUTED_VALUE"""),"Madam")</f>
        <v>Madam</v>
      </c>
      <c r="Q894" s="1" t="str">
        <f>IFERROR(__xludf.DUMMYFUNCTION("""COMPUTED_VALUE"""),"No")</f>
        <v>No</v>
      </c>
      <c r="R894" s="1" t="str">
        <f>IFERROR(__xludf.DUMMYFUNCTION("""COMPUTED_VALUE"""),"OLD")</f>
        <v>OLD</v>
      </c>
      <c r="S894" s="1" t="str">
        <f>IFERROR(__xludf.DUMMYFUNCTION("""COMPUTED_VALUE"""),"Yes")</f>
        <v>Yes</v>
      </c>
    </row>
    <row r="895">
      <c r="A895" s="2">
        <f>IFERROR(__xludf.DUMMYFUNCTION("""COMPUTED_VALUE"""),45627.80699549768)</f>
        <v>45627.807</v>
      </c>
      <c r="B895" s="1" t="str">
        <f>IFERROR(__xludf.DUMMYFUNCTION("""COMPUTED_VALUE"""),"Parkhar garg")</f>
        <v>Parkhar garg</v>
      </c>
      <c r="C895" s="1">
        <f>IFERROR(__xludf.DUMMYFUNCTION("""COMPUTED_VALUE"""),7.060482036E9)</f>
        <v>7060482036</v>
      </c>
      <c r="D895" s="1">
        <f>IFERROR(__xludf.DUMMYFUNCTION("""COMPUTED_VALUE"""),3.0)</f>
        <v>3</v>
      </c>
      <c r="E895" s="3">
        <f>IFERROR(__xludf.DUMMYFUNCTION("""COMPUTED_VALUE"""),0.711111111115315)</f>
        <v>0.7111111111</v>
      </c>
      <c r="F895" s="1" t="str">
        <f>IFERROR(__xludf.DUMMYFUNCTION("""COMPUTED_VALUE"""),"Diamond")</f>
        <v>Diamond</v>
      </c>
      <c r="G895" s="1" t="str">
        <f>IFERROR(__xludf.DUMMYFUNCTION("""COMPUTED_VALUE"""),"Preeti")</f>
        <v>Preeti</v>
      </c>
      <c r="H895" s="1" t="str">
        <f>IFERROR(__xludf.DUMMYFUNCTION("""COMPUTED_VALUE"""),"Diamond ring")</f>
        <v>Diamond ring</v>
      </c>
      <c r="I895" s="1" t="str">
        <f>IFERROR(__xludf.DUMMYFUNCTION("""COMPUTED_VALUE"""),"Will ask family and come with them")</f>
        <v>Will ask family and come with them</v>
      </c>
      <c r="J895" s="1"/>
      <c r="K895" s="3">
        <f>IFERROR(__xludf.DUMMYFUNCTION("""COMPUTED_VALUE"""),0.7222222222189885)</f>
        <v>0.7222222222</v>
      </c>
      <c r="L895" s="1" t="str">
        <f>IFERROR(__xludf.DUMMYFUNCTION("""COMPUTED_VALUE"""),"No")</f>
        <v>No</v>
      </c>
      <c r="M895" s="1" t="str">
        <f>IFERROR(__xludf.DUMMYFUNCTION("""COMPUTED_VALUE"""),"No")</f>
        <v>No</v>
      </c>
      <c r="N895" s="1" t="str">
        <f>IFERROR(__xludf.DUMMYFUNCTION("""COMPUTED_VALUE"""),"No")</f>
        <v>No</v>
      </c>
      <c r="O895" s="1" t="str">
        <f>IFERROR(__xludf.DUMMYFUNCTION("""COMPUTED_VALUE"""),"WA ONLY, CALL")</f>
        <v>WA ONLY, CALL</v>
      </c>
      <c r="P895" s="1" t="str">
        <f>IFERROR(__xludf.DUMMYFUNCTION("""COMPUTED_VALUE"""),"Sir")</f>
        <v>Sir</v>
      </c>
      <c r="Q895" s="1" t="str">
        <f>IFERROR(__xludf.DUMMYFUNCTION("""COMPUTED_VALUE"""),"No")</f>
        <v>No</v>
      </c>
      <c r="R895" s="1" t="str">
        <f>IFERROR(__xludf.DUMMYFUNCTION("""COMPUTED_VALUE"""),"NEW WALK IN")</f>
        <v>NEW WALK IN</v>
      </c>
      <c r="S895" s="1" t="str">
        <f>IFERROR(__xludf.DUMMYFUNCTION("""COMPUTED_VALUE"""),"No")</f>
        <v>No</v>
      </c>
    </row>
    <row r="896">
      <c r="A896" s="2">
        <f>IFERROR(__xludf.DUMMYFUNCTION("""COMPUTED_VALUE"""),45627.807815671295)</f>
        <v>45627.80782</v>
      </c>
      <c r="B896" s="1" t="str">
        <f>IFERROR(__xludf.DUMMYFUNCTION("""COMPUTED_VALUE"""),"Yash ")</f>
        <v>Yash </v>
      </c>
      <c r="C896" s="1">
        <f>IFERROR(__xludf.DUMMYFUNCTION("""COMPUTED_VALUE"""),8.860339734E9)</f>
        <v>8860339734</v>
      </c>
      <c r="D896" s="1">
        <f>IFERROR(__xludf.DUMMYFUNCTION("""COMPUTED_VALUE"""),2.0)</f>
        <v>2</v>
      </c>
      <c r="E896" s="3">
        <f>IFERROR(__xludf.DUMMYFUNCTION("""COMPUTED_VALUE"""),0.7131944444408873)</f>
        <v>0.7131944444</v>
      </c>
      <c r="F896" s="1" t="str">
        <f>IFERROR(__xludf.DUMMYFUNCTION("""COMPUTED_VALUE"""),"Plain Gold")</f>
        <v>Plain Gold</v>
      </c>
      <c r="G896" s="1" t="str">
        <f>IFERROR(__xludf.DUMMYFUNCTION("""COMPUTED_VALUE"""),"Sapna")</f>
        <v>Sapna</v>
      </c>
      <c r="H896" s="1" t="str">
        <f>IFERROR(__xludf.DUMMYFUNCTION("""COMPUTED_VALUE"""),"Gold ring,diamond ring")</f>
        <v>Gold ring,diamond ring</v>
      </c>
      <c r="I896" s="1"/>
      <c r="J896" s="1"/>
      <c r="K896" s="3">
        <f>IFERROR(__xludf.DUMMYFUNCTION("""COMPUTED_VALUE"""),0.7708333333357587)</f>
        <v>0.7708333333</v>
      </c>
      <c r="L896" s="1" t="str">
        <f>IFERROR(__xludf.DUMMYFUNCTION("""COMPUTED_VALUE"""),"No")</f>
        <v>No</v>
      </c>
      <c r="M896" s="1" t="str">
        <f>IFERROR(__xludf.DUMMYFUNCTION("""COMPUTED_VALUE"""),"No")</f>
        <v>No</v>
      </c>
      <c r="N896" s="1" t="str">
        <f>IFERROR(__xludf.DUMMYFUNCTION("""COMPUTED_VALUE"""),"No")</f>
        <v>No</v>
      </c>
      <c r="O896" s="1" t="str">
        <f>IFERROR(__xludf.DUMMYFUNCTION("""COMPUTED_VALUE"""),"WA ONLY, CALL")</f>
        <v>WA ONLY, CALL</v>
      </c>
      <c r="P896" s="1" t="str">
        <f>IFERROR(__xludf.DUMMYFUNCTION("""COMPUTED_VALUE"""),"Sir")</f>
        <v>Sir</v>
      </c>
      <c r="Q896" s="1" t="str">
        <f>IFERROR(__xludf.DUMMYFUNCTION("""COMPUTED_VALUE"""),"No")</f>
        <v>No</v>
      </c>
      <c r="R896" s="1" t="str">
        <f>IFERROR(__xludf.DUMMYFUNCTION("""COMPUTED_VALUE"""),"NEW WALK IN")</f>
        <v>NEW WALK IN</v>
      </c>
      <c r="S896" s="1" t="str">
        <f>IFERROR(__xludf.DUMMYFUNCTION("""COMPUTED_VALUE"""),"Yes")</f>
        <v>Yes</v>
      </c>
    </row>
    <row r="897">
      <c r="A897" s="2">
        <f>IFERROR(__xludf.DUMMYFUNCTION("""COMPUTED_VALUE"""),45627.80839663194)</f>
        <v>45627.8084</v>
      </c>
      <c r="B897" s="1" t="str">
        <f>IFERROR(__xludf.DUMMYFUNCTION("""COMPUTED_VALUE"""),"Swati")</f>
        <v>Swati</v>
      </c>
      <c r="C897" s="1">
        <f>IFERROR(__xludf.DUMMYFUNCTION("""COMPUTED_VALUE"""),6.397181896E9)</f>
        <v>6397181896</v>
      </c>
      <c r="D897" s="1">
        <f>IFERROR(__xludf.DUMMYFUNCTION("""COMPUTED_VALUE"""),3.0)</f>
        <v>3</v>
      </c>
      <c r="E897" s="3">
        <f>IFERROR(__xludf.DUMMYFUNCTION("""COMPUTED_VALUE"""),0.75)</f>
        <v>0.75</v>
      </c>
      <c r="F897" s="1" t="str">
        <f>IFERROR(__xludf.DUMMYFUNCTION("""COMPUTED_VALUE"""),"Antique Gold")</f>
        <v>Antique Gold</v>
      </c>
      <c r="G897" s="1" t="str">
        <f>IFERROR(__xludf.DUMMYFUNCTION("""COMPUTED_VALUE"""),"Deepali")</f>
        <v>Deepali</v>
      </c>
      <c r="H897" s="1" t="str">
        <f>IFERROR(__xludf.DUMMYFUNCTION("""COMPUTED_VALUE"""),"Gold set")</f>
        <v>Gold set</v>
      </c>
      <c r="I897" s="1"/>
      <c r="J897" s="1"/>
      <c r="K897" s="3">
        <f>IFERROR(__xludf.DUMMYFUNCTION("""COMPUTED_VALUE"""),0.7986111111094942)</f>
        <v>0.7986111111</v>
      </c>
      <c r="L897" s="1" t="str">
        <f>IFERROR(__xludf.DUMMYFUNCTION("""COMPUTED_VALUE"""),"Yes")</f>
        <v>Yes</v>
      </c>
      <c r="M897" s="1" t="str">
        <f>IFERROR(__xludf.DUMMYFUNCTION("""COMPUTED_VALUE"""),"Yes")</f>
        <v>Yes</v>
      </c>
      <c r="N897" s="1" t="str">
        <f>IFERROR(__xludf.DUMMYFUNCTION("""COMPUTED_VALUE"""),"Yes")</f>
        <v>Yes</v>
      </c>
      <c r="O897" s="1" t="str">
        <f>IFERROR(__xludf.DUMMYFUNCTION("""COMPUTED_VALUE"""),"WA ONLY, CALL")</f>
        <v>WA ONLY, CALL</v>
      </c>
      <c r="P897" s="1" t="str">
        <f>IFERROR(__xludf.DUMMYFUNCTION("""COMPUTED_VALUE"""),"Madam")</f>
        <v>Madam</v>
      </c>
      <c r="Q897" s="1" t="str">
        <f>IFERROR(__xludf.DUMMYFUNCTION("""COMPUTED_VALUE"""),"No")</f>
        <v>No</v>
      </c>
      <c r="R897" s="1" t="str">
        <f>IFERROR(__xludf.DUMMYFUNCTION("""COMPUTED_VALUE"""),"NEW WALK IN")</f>
        <v>NEW WALK IN</v>
      </c>
      <c r="S897" s="1" t="str">
        <f>IFERROR(__xludf.DUMMYFUNCTION("""COMPUTED_VALUE"""),"Yes")</f>
        <v>Yes</v>
      </c>
    </row>
    <row r="898">
      <c r="A898" s="2">
        <f>IFERROR(__xludf.DUMMYFUNCTION("""COMPUTED_VALUE"""),45629.70177196759)</f>
        <v>45629.70177</v>
      </c>
      <c r="B898" s="1" t="str">
        <f>IFERROR(__xludf.DUMMYFUNCTION("""COMPUTED_VALUE"""),"Soniya")</f>
        <v>Soniya</v>
      </c>
      <c r="C898" s="1">
        <f>IFERROR(__xludf.DUMMYFUNCTION("""COMPUTED_VALUE"""),8.882231502E9)</f>
        <v>8882231502</v>
      </c>
      <c r="D898" s="1">
        <f>IFERROR(__xludf.DUMMYFUNCTION("""COMPUTED_VALUE"""),2.0)</f>
        <v>2</v>
      </c>
      <c r="E898" s="3">
        <f>IFERROR(__xludf.DUMMYFUNCTION("""COMPUTED_VALUE"""),0.6388888888905058)</f>
        <v>0.6388888889</v>
      </c>
      <c r="F898" s="1" t="str">
        <f>IFERROR(__xludf.DUMMYFUNCTION("""COMPUTED_VALUE"""),"Plain Gold")</f>
        <v>Plain Gold</v>
      </c>
      <c r="G898" s="1" t="str">
        <f>IFERROR(__xludf.DUMMYFUNCTION("""COMPUTED_VALUE"""),"Sapna")</f>
        <v>Sapna</v>
      </c>
      <c r="H898" s="1" t="str">
        <f>IFERROR(__xludf.DUMMYFUNCTION("""COMPUTED_VALUE"""),"Gold nose pin")</f>
        <v>Gold nose pin</v>
      </c>
      <c r="I898" s="1"/>
      <c r="J898" s="1"/>
      <c r="K898" s="3">
        <f>IFERROR(__xludf.DUMMYFUNCTION("""COMPUTED_VALUE"""),0.6666666666642413)</f>
        <v>0.6666666667</v>
      </c>
      <c r="L898" s="1" t="str">
        <f>IFERROR(__xludf.DUMMYFUNCTION("""COMPUTED_VALUE"""),"Yes")</f>
        <v>Yes</v>
      </c>
      <c r="M898" s="1" t="str">
        <f>IFERROR(__xludf.DUMMYFUNCTION("""COMPUTED_VALUE"""),"Yes")</f>
        <v>Yes</v>
      </c>
      <c r="N898" s="1" t="str">
        <f>IFERROR(__xludf.DUMMYFUNCTION("""COMPUTED_VALUE"""),"Yes")</f>
        <v>Yes</v>
      </c>
      <c r="O898" s="1" t="str">
        <f>IFERROR(__xludf.DUMMYFUNCTION("""COMPUTED_VALUE"""),"WA ONLY, CALL")</f>
        <v>WA ONLY, CALL</v>
      </c>
      <c r="P898" s="1" t="str">
        <f>IFERROR(__xludf.DUMMYFUNCTION("""COMPUTED_VALUE"""),"Madam")</f>
        <v>Madam</v>
      </c>
      <c r="Q898" s="1" t="str">
        <f>IFERROR(__xludf.DUMMYFUNCTION("""COMPUTED_VALUE"""),"No")</f>
        <v>No</v>
      </c>
      <c r="R898" s="1" t="str">
        <f>IFERROR(__xludf.DUMMYFUNCTION("""COMPUTED_VALUE"""),"NEW WALK IN")</f>
        <v>NEW WALK IN</v>
      </c>
      <c r="S898" s="1" t="str">
        <f>IFERROR(__xludf.DUMMYFUNCTION("""COMPUTED_VALUE"""),"Yes")</f>
        <v>Yes</v>
      </c>
    </row>
    <row r="899">
      <c r="A899" s="2">
        <f>IFERROR(__xludf.DUMMYFUNCTION("""COMPUTED_VALUE"""),45629.70392050926)</f>
        <v>45629.70392</v>
      </c>
      <c r="B899" s="1" t="str">
        <f>IFERROR(__xludf.DUMMYFUNCTION("""COMPUTED_VALUE"""),"Gurpreet kour")</f>
        <v>Gurpreet kour</v>
      </c>
      <c r="C899" s="1">
        <f>IFERROR(__xludf.DUMMYFUNCTION("""COMPUTED_VALUE"""),9.89920709E9)</f>
        <v>9899207090</v>
      </c>
      <c r="D899" s="1">
        <f>IFERROR(__xludf.DUMMYFUNCTION("""COMPUTED_VALUE"""),3.0)</f>
        <v>3</v>
      </c>
      <c r="E899" s="3">
        <f>IFERROR(__xludf.DUMMYFUNCTION("""COMPUTED_VALUE"""),0.6680555555576575)</f>
        <v>0.6680555556</v>
      </c>
      <c r="F899" s="1" t="str">
        <f>IFERROR(__xludf.DUMMYFUNCTION("""COMPUTED_VALUE"""),"Antique Gold")</f>
        <v>Antique Gold</v>
      </c>
      <c r="G899" s="1" t="str">
        <f>IFERROR(__xludf.DUMMYFUNCTION("""COMPUTED_VALUE"""),"Tannu")</f>
        <v>Tannu</v>
      </c>
      <c r="H899" s="1" t="str">
        <f>IFERROR(__xludf.DUMMYFUNCTION("""COMPUTED_VALUE"""),"Silver lada in sikki")</f>
        <v>Silver lada in sikki</v>
      </c>
      <c r="I899" s="1" t="str">
        <f>IFERROR(__xludf.DUMMYFUNCTION("""COMPUTED_VALUE"""),"Want to see More Variety")</f>
        <v>Want to see More Variety</v>
      </c>
      <c r="J899" s="1"/>
      <c r="K899" s="3">
        <f>IFERROR(__xludf.DUMMYFUNCTION("""COMPUTED_VALUE"""),0.6736111111094942)</f>
        <v>0.6736111111</v>
      </c>
      <c r="L899" s="1" t="str">
        <f>IFERROR(__xludf.DUMMYFUNCTION("""COMPUTED_VALUE"""),"No")</f>
        <v>No</v>
      </c>
      <c r="M899" s="1" t="str">
        <f>IFERROR(__xludf.DUMMYFUNCTION("""COMPUTED_VALUE"""),"No")</f>
        <v>No</v>
      </c>
      <c r="N899" s="1" t="str">
        <f>IFERROR(__xludf.DUMMYFUNCTION("""COMPUTED_VALUE"""),"No")</f>
        <v>No</v>
      </c>
      <c r="O899" s="1" t="str">
        <f>IFERROR(__xludf.DUMMYFUNCTION("""COMPUTED_VALUE"""),"WA ONLY, CALL")</f>
        <v>WA ONLY, CALL</v>
      </c>
      <c r="P899" s="1" t="str">
        <f>IFERROR(__xludf.DUMMYFUNCTION("""COMPUTED_VALUE"""),"Madam")</f>
        <v>Madam</v>
      </c>
      <c r="Q899" s="1" t="str">
        <f>IFERROR(__xludf.DUMMYFUNCTION("""COMPUTED_VALUE"""),"No")</f>
        <v>No</v>
      </c>
      <c r="R899" s="1" t="str">
        <f>IFERROR(__xludf.DUMMYFUNCTION("""COMPUTED_VALUE"""),"NEW WALK IN")</f>
        <v>NEW WALK IN</v>
      </c>
      <c r="S899" s="1" t="str">
        <f>IFERROR(__xludf.DUMMYFUNCTION("""COMPUTED_VALUE"""),"No")</f>
        <v>No</v>
      </c>
    </row>
    <row r="900">
      <c r="A900" s="2">
        <f>IFERROR(__xludf.DUMMYFUNCTION("""COMPUTED_VALUE"""),45629.73313832176)</f>
        <v>45629.73314</v>
      </c>
      <c r="B900" s="1" t="str">
        <f>IFERROR(__xludf.DUMMYFUNCTION("""COMPUTED_VALUE"""),"Rakesh Chandra vedi")</f>
        <v>Rakesh Chandra vedi</v>
      </c>
      <c r="C900" s="1">
        <f>IFERROR(__xludf.DUMMYFUNCTION("""COMPUTED_VALUE"""),8.750564968E9)</f>
        <v>8750564968</v>
      </c>
      <c r="D900" s="1">
        <f>IFERROR(__xludf.DUMMYFUNCTION("""COMPUTED_VALUE"""),2.0)</f>
        <v>2</v>
      </c>
      <c r="E900" s="3">
        <f>IFERROR(__xludf.DUMMYFUNCTION("""COMPUTED_VALUE"""),0.6958333333313931)</f>
        <v>0.6958333333</v>
      </c>
      <c r="F900" s="1" t="str">
        <f>IFERROR(__xludf.DUMMYFUNCTION("""COMPUTED_VALUE"""),"Plain Gold")</f>
        <v>Plain Gold</v>
      </c>
      <c r="G900" s="1" t="str">
        <f>IFERROR(__xludf.DUMMYFUNCTION("""COMPUTED_VALUE"""),"Sapna")</f>
        <v>Sapna</v>
      </c>
      <c r="H900" s="1" t="str">
        <f>IFERROR(__xludf.DUMMYFUNCTION("""COMPUTED_VALUE"""),"Gold ring")</f>
        <v>Gold ring</v>
      </c>
      <c r="I900" s="1"/>
      <c r="J900" s="1"/>
      <c r="K900" s="3">
        <f>IFERROR(__xludf.DUMMYFUNCTION("""COMPUTED_VALUE"""),0.7145833333343035)</f>
        <v>0.7145833333</v>
      </c>
      <c r="L900" s="1" t="str">
        <f>IFERROR(__xludf.DUMMYFUNCTION("""COMPUTED_VALUE"""),"Yes")</f>
        <v>Yes</v>
      </c>
      <c r="M900" s="1" t="str">
        <f>IFERROR(__xludf.DUMMYFUNCTION("""COMPUTED_VALUE"""),"Yes")</f>
        <v>Yes</v>
      </c>
      <c r="N900" s="1" t="str">
        <f>IFERROR(__xludf.DUMMYFUNCTION("""COMPUTED_VALUE"""),"Yes")</f>
        <v>Yes</v>
      </c>
      <c r="O900" s="1" t="str">
        <f>IFERROR(__xludf.DUMMYFUNCTION("""COMPUTED_VALUE"""),"WA ONLY, CALL")</f>
        <v>WA ONLY, CALL</v>
      </c>
      <c r="P900" s="1" t="str">
        <f>IFERROR(__xludf.DUMMYFUNCTION("""COMPUTED_VALUE"""),"Sir")</f>
        <v>Sir</v>
      </c>
      <c r="Q900" s="1" t="str">
        <f>IFERROR(__xludf.DUMMYFUNCTION("""COMPUTED_VALUE"""),"No")</f>
        <v>No</v>
      </c>
      <c r="R900" s="1" t="str">
        <f>IFERROR(__xludf.DUMMYFUNCTION("""COMPUTED_VALUE"""),"OLD")</f>
        <v>OLD</v>
      </c>
      <c r="S900" s="1" t="str">
        <f>IFERROR(__xludf.DUMMYFUNCTION("""COMPUTED_VALUE"""),"Yes")</f>
        <v>Yes</v>
      </c>
    </row>
    <row r="901">
      <c r="A901" s="2">
        <f>IFERROR(__xludf.DUMMYFUNCTION("""COMPUTED_VALUE"""),45629.73389344907)</f>
        <v>45629.73389</v>
      </c>
      <c r="B901" s="1" t="str">
        <f>IFERROR(__xludf.DUMMYFUNCTION("""COMPUTED_VALUE"""),"Suman")</f>
        <v>Suman</v>
      </c>
      <c r="C901" s="1">
        <f>IFERROR(__xludf.DUMMYFUNCTION("""COMPUTED_VALUE"""),8.750949393E9)</f>
        <v>8750949393</v>
      </c>
      <c r="D901" s="1">
        <f>IFERROR(__xludf.DUMMYFUNCTION("""COMPUTED_VALUE"""),1.0)</f>
        <v>1</v>
      </c>
      <c r="E901" s="3">
        <f>IFERROR(__xludf.DUMMYFUNCTION("""COMPUTED_VALUE"""),0.7083333333357587)</f>
        <v>0.7083333333</v>
      </c>
      <c r="F901" s="1" t="str">
        <f>IFERROR(__xludf.DUMMYFUNCTION("""COMPUTED_VALUE"""),"Antique Gold")</f>
        <v>Antique Gold</v>
      </c>
      <c r="G901" s="1" t="str">
        <f>IFERROR(__xludf.DUMMYFUNCTION("""COMPUTED_VALUE"""),"Tannu")</f>
        <v>Tannu</v>
      </c>
      <c r="H901" s="1" t="str">
        <f>IFERROR(__xludf.DUMMYFUNCTION("""COMPUTED_VALUE"""),"Silver chutki")</f>
        <v>Silver chutki</v>
      </c>
      <c r="I901" s="1"/>
      <c r="J901" s="1"/>
      <c r="K901" s="3">
        <f>IFERROR(__xludf.DUMMYFUNCTION("""COMPUTED_VALUE"""),0.7222222222189885)</f>
        <v>0.7222222222</v>
      </c>
      <c r="L901" s="1" t="str">
        <f>IFERROR(__xludf.DUMMYFUNCTION("""COMPUTED_VALUE"""),"Yes")</f>
        <v>Yes</v>
      </c>
      <c r="M901" s="1" t="str">
        <f>IFERROR(__xludf.DUMMYFUNCTION("""COMPUTED_VALUE"""),"Yes")</f>
        <v>Yes</v>
      </c>
      <c r="N901" s="1" t="str">
        <f>IFERROR(__xludf.DUMMYFUNCTION("""COMPUTED_VALUE"""),"Yes")</f>
        <v>Yes</v>
      </c>
      <c r="O901" s="1" t="str">
        <f>IFERROR(__xludf.DUMMYFUNCTION("""COMPUTED_VALUE"""),"WA ONLY, CALL")</f>
        <v>WA ONLY, CALL</v>
      </c>
      <c r="P901" s="1" t="str">
        <f>IFERROR(__xludf.DUMMYFUNCTION("""COMPUTED_VALUE"""),"Madam")</f>
        <v>Madam</v>
      </c>
      <c r="Q901" s="1" t="str">
        <f>IFERROR(__xludf.DUMMYFUNCTION("""COMPUTED_VALUE"""),"No")</f>
        <v>No</v>
      </c>
      <c r="R901" s="1" t="str">
        <f>IFERROR(__xludf.DUMMYFUNCTION("""COMPUTED_VALUE"""),"NEW WALK IN")</f>
        <v>NEW WALK IN</v>
      </c>
      <c r="S901" s="1" t="str">
        <f>IFERROR(__xludf.DUMMYFUNCTION("""COMPUTED_VALUE"""),"Yes")</f>
        <v>Yes</v>
      </c>
    </row>
    <row r="902">
      <c r="A902" s="2">
        <f>IFERROR(__xludf.DUMMYFUNCTION("""COMPUTED_VALUE"""),45629.78408158565)</f>
        <v>45629.78408</v>
      </c>
      <c r="B902" s="1" t="str">
        <f>IFERROR(__xludf.DUMMYFUNCTION("""COMPUTED_VALUE"""),"J.k seth")</f>
        <v>J.k seth</v>
      </c>
      <c r="C902" s="1">
        <f>IFERROR(__xludf.DUMMYFUNCTION("""COMPUTED_VALUE"""),9.810040357E9)</f>
        <v>9810040357</v>
      </c>
      <c r="D902" s="1">
        <f>IFERROR(__xludf.DUMMYFUNCTION("""COMPUTED_VALUE"""),2.0)</f>
        <v>2</v>
      </c>
      <c r="E902" s="3">
        <f>IFERROR(__xludf.DUMMYFUNCTION("""COMPUTED_VALUE"""),0.6979166666642413)</f>
        <v>0.6979166667</v>
      </c>
      <c r="F902" s="1" t="str">
        <f>IFERROR(__xludf.DUMMYFUNCTION("""COMPUTED_VALUE"""),"Antique Gold")</f>
        <v>Antique Gold</v>
      </c>
      <c r="G902" s="1" t="str">
        <f>IFERROR(__xludf.DUMMYFUNCTION("""COMPUTED_VALUE"""),"Pooja")</f>
        <v>Pooja</v>
      </c>
      <c r="H902" s="1" t="str">
        <f>IFERROR(__xludf.DUMMYFUNCTION("""COMPUTED_VALUE"""),"Antique gold bangles ")</f>
        <v>Antique gold bangles </v>
      </c>
      <c r="I902" s="1"/>
      <c r="J902" s="1"/>
      <c r="K902" s="3">
        <f>IFERROR(__xludf.DUMMYFUNCTION("""COMPUTED_VALUE"""),0.7569444444452529)</f>
        <v>0.7569444444</v>
      </c>
      <c r="L902" s="1" t="str">
        <f>IFERROR(__xludf.DUMMYFUNCTION("""COMPUTED_VALUE"""),"Yes")</f>
        <v>Yes</v>
      </c>
      <c r="M902" s="1" t="str">
        <f>IFERROR(__xludf.DUMMYFUNCTION("""COMPUTED_VALUE"""),"Already done ")</f>
        <v>Already done </v>
      </c>
      <c r="N902" s="1" t="str">
        <f>IFERROR(__xludf.DUMMYFUNCTION("""COMPUTED_VALUE"""),"Already done ")</f>
        <v>Already done </v>
      </c>
      <c r="O902" s="1" t="str">
        <f>IFERROR(__xludf.DUMMYFUNCTION("""COMPUTED_VALUE"""),"WA ONLY, CALL")</f>
        <v>WA ONLY, CALL</v>
      </c>
      <c r="P902" s="1" t="str">
        <f>IFERROR(__xludf.DUMMYFUNCTION("""COMPUTED_VALUE"""),"Sir")</f>
        <v>Sir</v>
      </c>
      <c r="Q902" s="1" t="str">
        <f>IFERROR(__xludf.DUMMYFUNCTION("""COMPUTED_VALUE"""),"No")</f>
        <v>No</v>
      </c>
      <c r="R902" s="1" t="str">
        <f>IFERROR(__xludf.DUMMYFUNCTION("""COMPUTED_VALUE"""),"OLD")</f>
        <v>OLD</v>
      </c>
      <c r="S902" s="1" t="str">
        <f>IFERROR(__xludf.DUMMYFUNCTION("""COMPUTED_VALUE"""),"Yes")</f>
        <v>Yes</v>
      </c>
    </row>
    <row r="903">
      <c r="A903" s="2">
        <f>IFERROR(__xludf.DUMMYFUNCTION("""COMPUTED_VALUE"""),45629.80981415509)</f>
        <v>45629.80981</v>
      </c>
      <c r="B903" s="1" t="str">
        <f>IFERROR(__xludf.DUMMYFUNCTION("""COMPUTED_VALUE"""),"Rupanki")</f>
        <v>Rupanki</v>
      </c>
      <c r="C903" s="1">
        <f>IFERROR(__xludf.DUMMYFUNCTION("""COMPUTED_VALUE"""),9.871767175E9)</f>
        <v>9871767175</v>
      </c>
      <c r="D903" s="1">
        <f>IFERROR(__xludf.DUMMYFUNCTION("""COMPUTED_VALUE"""),2.0)</f>
        <v>2</v>
      </c>
      <c r="E903" s="3">
        <f>IFERROR(__xludf.DUMMYFUNCTION("""COMPUTED_VALUE"""),0.6576388888934162)</f>
        <v>0.6576388889</v>
      </c>
      <c r="F903" s="1" t="str">
        <f>IFERROR(__xludf.DUMMYFUNCTION("""COMPUTED_VALUE"""),"Diamond")</f>
        <v>Diamond</v>
      </c>
      <c r="G903" s="1" t="str">
        <f>IFERROR(__xludf.DUMMYFUNCTION("""COMPUTED_VALUE"""),"Preeti")</f>
        <v>Preeti</v>
      </c>
      <c r="H903" s="1" t="str">
        <f>IFERROR(__xludf.DUMMYFUNCTION("""COMPUTED_VALUE"""),"Diamond tops,diamond pendent ")</f>
        <v>Diamond tops,diamond pendent </v>
      </c>
      <c r="I903" s="1"/>
      <c r="J903" s="1"/>
      <c r="K903" s="3">
        <f>IFERROR(__xludf.DUMMYFUNCTION("""COMPUTED_VALUE"""),0.7638888888905058)</f>
        <v>0.7638888889</v>
      </c>
      <c r="L903" s="1" t="str">
        <f>IFERROR(__xludf.DUMMYFUNCTION("""COMPUTED_VALUE"""),"Yes")</f>
        <v>Yes</v>
      </c>
      <c r="M903" s="1" t="str">
        <f>IFERROR(__xludf.DUMMYFUNCTION("""COMPUTED_VALUE"""),"Already done ")</f>
        <v>Already done </v>
      </c>
      <c r="N903" s="1" t="str">
        <f>IFERROR(__xludf.DUMMYFUNCTION("""COMPUTED_VALUE"""),"Already done ")</f>
        <v>Already done </v>
      </c>
      <c r="O903" s="1" t="str">
        <f>IFERROR(__xludf.DUMMYFUNCTION("""COMPUTED_VALUE"""),"WA ONLY, CALL")</f>
        <v>WA ONLY, CALL</v>
      </c>
      <c r="P903" s="1" t="str">
        <f>IFERROR(__xludf.DUMMYFUNCTION("""COMPUTED_VALUE"""),"Madam")</f>
        <v>Madam</v>
      </c>
      <c r="Q903" s="1" t="str">
        <f>IFERROR(__xludf.DUMMYFUNCTION("""COMPUTED_VALUE"""),"No")</f>
        <v>No</v>
      </c>
      <c r="R903" s="1" t="str">
        <f>IFERROR(__xludf.DUMMYFUNCTION("""COMPUTED_VALUE"""),"OLD")</f>
        <v>OLD</v>
      </c>
      <c r="S903" s="1" t="str">
        <f>IFERROR(__xludf.DUMMYFUNCTION("""COMPUTED_VALUE"""),"Yes")</f>
        <v>Yes</v>
      </c>
    </row>
    <row r="904">
      <c r="A904" s="2">
        <f>IFERROR(__xludf.DUMMYFUNCTION("""COMPUTED_VALUE"""),45630.70739253472)</f>
        <v>45630.70739</v>
      </c>
      <c r="B904" s="1" t="str">
        <f>IFERROR(__xludf.DUMMYFUNCTION("""COMPUTED_VALUE"""),"Aalim")</f>
        <v>Aalim</v>
      </c>
      <c r="C904" s="1">
        <f>IFERROR(__xludf.DUMMYFUNCTION("""COMPUTED_VALUE"""),7.997588888E9)</f>
        <v>7997588888</v>
      </c>
      <c r="D904" s="1">
        <f>IFERROR(__xludf.DUMMYFUNCTION("""COMPUTED_VALUE"""),1.0)</f>
        <v>1</v>
      </c>
      <c r="E904" s="3">
        <f>IFERROR(__xludf.DUMMYFUNCTION("""COMPUTED_VALUE"""),0.5958333333328483)</f>
        <v>0.5958333333</v>
      </c>
      <c r="F904" s="1" t="str">
        <f>IFERROR(__xludf.DUMMYFUNCTION("""COMPUTED_VALUE"""),"Diamond")</f>
        <v>Diamond</v>
      </c>
      <c r="G904" s="1" t="str">
        <f>IFERROR(__xludf.DUMMYFUNCTION("""COMPUTED_VALUE"""),"Preeti")</f>
        <v>Preeti</v>
      </c>
      <c r="H904" s="1" t="str">
        <f>IFERROR(__xludf.DUMMYFUNCTION("""COMPUTED_VALUE"""),"Gold polki set,diamond set.")</f>
        <v>Gold polki set,diamond set.</v>
      </c>
      <c r="I904" s="1" t="str">
        <f>IFERROR(__xludf.DUMMYFUNCTION("""COMPUTED_VALUE"""),"Visit Again in 1 Month")</f>
        <v>Visit Again in 1 Month</v>
      </c>
      <c r="J904" s="1"/>
      <c r="K904" s="3">
        <f>IFERROR(__xludf.DUMMYFUNCTION("""COMPUTED_VALUE"""),0.6465277777751908)</f>
        <v>0.6465277778</v>
      </c>
      <c r="L904" s="1" t="str">
        <f>IFERROR(__xludf.DUMMYFUNCTION("""COMPUTED_VALUE"""),"No")</f>
        <v>No</v>
      </c>
      <c r="M904" s="1" t="str">
        <f>IFERROR(__xludf.DUMMYFUNCTION("""COMPUTED_VALUE"""),"No")</f>
        <v>No</v>
      </c>
      <c r="N904" s="1" t="str">
        <f>IFERROR(__xludf.DUMMYFUNCTION("""COMPUTED_VALUE"""),"No")</f>
        <v>No</v>
      </c>
      <c r="O904" s="1" t="str">
        <f>IFERROR(__xludf.DUMMYFUNCTION("""COMPUTED_VALUE"""),"WA ONLY, CALL")</f>
        <v>WA ONLY, CALL</v>
      </c>
      <c r="P904" s="1" t="str">
        <f>IFERROR(__xludf.DUMMYFUNCTION("""COMPUTED_VALUE"""),"Sir")</f>
        <v>Sir</v>
      </c>
      <c r="Q904" s="1" t="str">
        <f>IFERROR(__xludf.DUMMYFUNCTION("""COMPUTED_VALUE"""),"No")</f>
        <v>No</v>
      </c>
      <c r="R904" s="1" t="str">
        <f>IFERROR(__xludf.DUMMYFUNCTION("""COMPUTED_VALUE"""),"NEW WALK IN")</f>
        <v>NEW WALK IN</v>
      </c>
      <c r="S904" s="1" t="str">
        <f>IFERROR(__xludf.DUMMYFUNCTION("""COMPUTED_VALUE"""),"No")</f>
        <v>No</v>
      </c>
    </row>
    <row r="905">
      <c r="A905" s="2">
        <f>IFERROR(__xludf.DUMMYFUNCTION("""COMPUTED_VALUE"""),45630.70830304398)</f>
        <v>45630.7083</v>
      </c>
      <c r="B905" s="1" t="str">
        <f>IFERROR(__xludf.DUMMYFUNCTION("""COMPUTED_VALUE"""),"Parantap shekhar")</f>
        <v>Parantap shekhar</v>
      </c>
      <c r="C905" s="1">
        <f>IFERROR(__xludf.DUMMYFUNCTION("""COMPUTED_VALUE"""),8.800440222E9)</f>
        <v>8800440222</v>
      </c>
      <c r="D905" s="1">
        <f>IFERROR(__xludf.DUMMYFUNCTION("""COMPUTED_VALUE"""),3.0)</f>
        <v>3</v>
      </c>
      <c r="E905" s="3">
        <f>IFERROR(__xludf.DUMMYFUNCTION("""COMPUTED_VALUE"""),0.5972222222189885)</f>
        <v>0.5972222222</v>
      </c>
      <c r="F905" s="1" t="str">
        <f>IFERROR(__xludf.DUMMYFUNCTION("""COMPUTED_VALUE"""),"Antique Gold")</f>
        <v>Antique Gold</v>
      </c>
      <c r="G905" s="1" t="str">
        <f>IFERROR(__xludf.DUMMYFUNCTION("""COMPUTED_VALUE"""),"Pooja")</f>
        <v>Pooja</v>
      </c>
      <c r="H905" s="1" t="str">
        <f>IFERROR(__xludf.DUMMYFUNCTION("""COMPUTED_VALUE"""),"Gold antique set")</f>
        <v>Gold antique set</v>
      </c>
      <c r="I905" s="1"/>
      <c r="J905" s="1"/>
      <c r="K905" s="3">
        <f>IFERROR(__xludf.DUMMYFUNCTION("""COMPUTED_VALUE"""),0.6618055555591127)</f>
        <v>0.6618055556</v>
      </c>
      <c r="L905" s="1" t="str">
        <f>IFERROR(__xludf.DUMMYFUNCTION("""COMPUTED_VALUE"""),"Yes")</f>
        <v>Yes</v>
      </c>
      <c r="M905" s="1" t="str">
        <f>IFERROR(__xludf.DUMMYFUNCTION("""COMPUTED_VALUE"""),"Already done ")</f>
        <v>Already done </v>
      </c>
      <c r="N905" s="1" t="str">
        <f>IFERROR(__xludf.DUMMYFUNCTION("""COMPUTED_VALUE"""),"Already done ")</f>
        <v>Already done </v>
      </c>
      <c r="O905" s="1" t="str">
        <f>IFERROR(__xludf.DUMMYFUNCTION("""COMPUTED_VALUE"""),"WA ONLY, CALL")</f>
        <v>WA ONLY, CALL</v>
      </c>
      <c r="P905" s="1" t="str">
        <f>IFERROR(__xludf.DUMMYFUNCTION("""COMPUTED_VALUE"""),"Sir")</f>
        <v>Sir</v>
      </c>
      <c r="Q905" s="1" t="str">
        <f>IFERROR(__xludf.DUMMYFUNCTION("""COMPUTED_VALUE"""),"No")</f>
        <v>No</v>
      </c>
      <c r="R905" s="1" t="str">
        <f>IFERROR(__xludf.DUMMYFUNCTION("""COMPUTED_VALUE"""),"OLD")</f>
        <v>OLD</v>
      </c>
      <c r="S905" s="1" t="str">
        <f>IFERROR(__xludf.DUMMYFUNCTION("""COMPUTED_VALUE"""),"No")</f>
        <v>No</v>
      </c>
    </row>
    <row r="906">
      <c r="A906" s="2">
        <f>IFERROR(__xludf.DUMMYFUNCTION("""COMPUTED_VALUE"""),45631.53594361111)</f>
        <v>45631.53594</v>
      </c>
      <c r="B906" s="1" t="str">
        <f>IFERROR(__xludf.DUMMYFUNCTION("""COMPUTED_VALUE"""),"Tannu")</f>
        <v>Tannu</v>
      </c>
      <c r="C906" s="1">
        <f>IFERROR(__xludf.DUMMYFUNCTION("""COMPUTED_VALUE"""),8.81016949E8)</f>
        <v>881016949</v>
      </c>
      <c r="D906" s="1">
        <f>IFERROR(__xludf.DUMMYFUNCTION("""COMPUTED_VALUE"""),5.0)</f>
        <v>5</v>
      </c>
      <c r="E906" s="3">
        <f>IFERROR(__xludf.DUMMYFUNCTION("""COMPUTED_VALUE"""),0.46527777778101154)</f>
        <v>0.4652777778</v>
      </c>
      <c r="F906" s="1" t="str">
        <f>IFERROR(__xludf.DUMMYFUNCTION("""COMPUTED_VALUE"""),"Diamond")</f>
        <v>Diamond</v>
      </c>
      <c r="G906" s="1" t="str">
        <f>IFERROR(__xludf.DUMMYFUNCTION("""COMPUTED_VALUE"""),"Tannu")</f>
        <v>Tannu</v>
      </c>
      <c r="H906" s="1" t="str">
        <f>IFERROR(__xludf.DUMMYFUNCTION("""COMPUTED_VALUE"""),"Diamond ledis ring")</f>
        <v>Diamond ledis ring</v>
      </c>
      <c r="I906" s="1" t="str">
        <f>IFERROR(__xludf.DUMMYFUNCTION("""COMPUTED_VALUE"""),"Visit Again in 1 Month")</f>
        <v>Visit Again in 1 Month</v>
      </c>
      <c r="J906" s="1"/>
      <c r="K906" s="3">
        <f>IFERROR(__xludf.DUMMYFUNCTION("""COMPUTED_VALUE"""),0.5069444444452529)</f>
        <v>0.5069444444</v>
      </c>
      <c r="L906" s="1" t="str">
        <f>IFERROR(__xludf.DUMMYFUNCTION("""COMPUTED_VALUE"""),"No")</f>
        <v>No</v>
      </c>
      <c r="M906" s="1" t="str">
        <f>IFERROR(__xludf.DUMMYFUNCTION("""COMPUTED_VALUE"""),"No")</f>
        <v>No</v>
      </c>
      <c r="N906" s="1" t="str">
        <f>IFERROR(__xludf.DUMMYFUNCTION("""COMPUTED_VALUE"""),"No")</f>
        <v>No</v>
      </c>
      <c r="O906" s="1" t="str">
        <f>IFERROR(__xludf.DUMMYFUNCTION("""COMPUTED_VALUE"""),"WA ONLY, CALL")</f>
        <v>WA ONLY, CALL</v>
      </c>
      <c r="P906" s="1" t="str">
        <f>IFERROR(__xludf.DUMMYFUNCTION("""COMPUTED_VALUE"""),"Madam")</f>
        <v>Madam</v>
      </c>
      <c r="Q906" s="1" t="str">
        <f>IFERROR(__xludf.DUMMYFUNCTION("""COMPUTED_VALUE"""),"No")</f>
        <v>No</v>
      </c>
      <c r="R906" s="1" t="str">
        <f>IFERROR(__xludf.DUMMYFUNCTION("""COMPUTED_VALUE"""),"NEW WALK IN")</f>
        <v>NEW WALK IN</v>
      </c>
      <c r="S906" s="1" t="str">
        <f>IFERROR(__xludf.DUMMYFUNCTION("""COMPUTED_VALUE"""),"No")</f>
        <v>No</v>
      </c>
    </row>
    <row r="907">
      <c r="A907" s="2">
        <f>IFERROR(__xludf.DUMMYFUNCTION("""COMPUTED_VALUE"""),45631.73553167824)</f>
        <v>45631.73553</v>
      </c>
      <c r="B907" s="1" t="str">
        <f>IFERROR(__xludf.DUMMYFUNCTION("""COMPUTED_VALUE"""),"Nidhi goyal")</f>
        <v>Nidhi goyal</v>
      </c>
      <c r="C907" s="1">
        <f>IFERROR(__xludf.DUMMYFUNCTION("""COMPUTED_VALUE"""),9.31105226E9)</f>
        <v>9311052260</v>
      </c>
      <c r="D907" s="1">
        <f>IFERROR(__xludf.DUMMYFUNCTION("""COMPUTED_VALUE"""),1.0)</f>
        <v>1</v>
      </c>
      <c r="E907" s="3">
        <f>IFERROR(__xludf.DUMMYFUNCTION("""COMPUTED_VALUE"""),0.6131944444423425)</f>
        <v>0.6131944444</v>
      </c>
      <c r="F907" s="1" t="str">
        <f>IFERROR(__xludf.DUMMYFUNCTION("""COMPUTED_VALUE"""),"Antique Gold")</f>
        <v>Antique Gold</v>
      </c>
      <c r="G907" s="1" t="str">
        <f>IFERROR(__xludf.DUMMYFUNCTION("""COMPUTED_VALUE"""),"Pooja")</f>
        <v>Pooja</v>
      </c>
      <c r="H907" s="1"/>
      <c r="I907" s="1" t="str">
        <f>IFERROR(__xludf.DUMMYFUNCTION("""COMPUTED_VALUE"""),"Pick up Order")</f>
        <v>Pick up Order</v>
      </c>
      <c r="J907" s="1"/>
      <c r="K907" s="3">
        <f>IFERROR(__xludf.DUMMYFUNCTION("""COMPUTED_VALUE"""),0.6277777777795563)</f>
        <v>0.6277777778</v>
      </c>
      <c r="L907" s="1" t="str">
        <f>IFERROR(__xludf.DUMMYFUNCTION("""COMPUTED_VALUE"""),"Yes")</f>
        <v>Yes</v>
      </c>
      <c r="M907" s="1" t="str">
        <f>IFERROR(__xludf.DUMMYFUNCTION("""COMPUTED_VALUE"""),"Already done ")</f>
        <v>Already done </v>
      </c>
      <c r="N907" s="1" t="str">
        <f>IFERROR(__xludf.DUMMYFUNCTION("""COMPUTED_VALUE"""),"Already done ")</f>
        <v>Already done </v>
      </c>
      <c r="O907" s="1" t="str">
        <f>IFERROR(__xludf.DUMMYFUNCTION("""COMPUTED_VALUE"""),"WA ONLY, CALL")</f>
        <v>WA ONLY, CALL</v>
      </c>
      <c r="P907" s="1" t="str">
        <f>IFERROR(__xludf.DUMMYFUNCTION("""COMPUTED_VALUE"""),"Madam")</f>
        <v>Madam</v>
      </c>
      <c r="Q907" s="1" t="str">
        <f>IFERROR(__xludf.DUMMYFUNCTION("""COMPUTED_VALUE"""),"No")</f>
        <v>No</v>
      </c>
      <c r="R907" s="1" t="str">
        <f>IFERROR(__xludf.DUMMYFUNCTION("""COMPUTED_VALUE"""),"OLD")</f>
        <v>OLD</v>
      </c>
      <c r="S907" s="1" t="str">
        <f>IFERROR(__xludf.DUMMYFUNCTION("""COMPUTED_VALUE"""),"No")</f>
        <v>No</v>
      </c>
    </row>
    <row r="908">
      <c r="A908" s="2">
        <f>IFERROR(__xludf.DUMMYFUNCTION("""COMPUTED_VALUE"""),45631.73629663195)</f>
        <v>45631.7363</v>
      </c>
      <c r="B908" s="1" t="str">
        <f>IFERROR(__xludf.DUMMYFUNCTION("""COMPUTED_VALUE"""),"Sneha")</f>
        <v>Sneha</v>
      </c>
      <c r="C908" s="1">
        <f>IFERROR(__xludf.DUMMYFUNCTION("""COMPUTED_VALUE"""),9.87037422E9)</f>
        <v>9870374220</v>
      </c>
      <c r="D908" s="1">
        <f>IFERROR(__xludf.DUMMYFUNCTION("""COMPUTED_VALUE"""),1.0)</f>
        <v>1</v>
      </c>
      <c r="E908" s="3">
        <f>IFERROR(__xludf.DUMMYFUNCTION("""COMPUTED_VALUE"""),0.7083333333357587)</f>
        <v>0.7083333333</v>
      </c>
      <c r="F908" s="1" t="str">
        <f>IFERROR(__xludf.DUMMYFUNCTION("""COMPUTED_VALUE"""),"Plain Gold")</f>
        <v>Plain Gold</v>
      </c>
      <c r="G908" s="1" t="str">
        <f>IFERROR(__xludf.DUMMYFUNCTION("""COMPUTED_VALUE"""),"Sapna")</f>
        <v>Sapna</v>
      </c>
      <c r="H908" s="1" t="str">
        <f>IFERROR(__xludf.DUMMYFUNCTION("""COMPUTED_VALUE"""),"Silver chain")</f>
        <v>Silver chain</v>
      </c>
      <c r="I908" s="1" t="str">
        <f>IFERROR(__xludf.DUMMYFUNCTION("""COMPUTED_VALUE"""),"Want to see More Variety")</f>
        <v>Want to see More Variety</v>
      </c>
      <c r="J908" s="1"/>
      <c r="K908" s="3">
        <f>IFERROR(__xludf.DUMMYFUNCTION("""COMPUTED_VALUE"""),0.7277777777781012)</f>
        <v>0.7277777778</v>
      </c>
      <c r="L908" s="1" t="str">
        <f>IFERROR(__xludf.DUMMYFUNCTION("""COMPUTED_VALUE"""),"No")</f>
        <v>No</v>
      </c>
      <c r="M908" s="1" t="str">
        <f>IFERROR(__xludf.DUMMYFUNCTION("""COMPUTED_VALUE"""),"No")</f>
        <v>No</v>
      </c>
      <c r="N908" s="1" t="str">
        <f>IFERROR(__xludf.DUMMYFUNCTION("""COMPUTED_VALUE"""),"No")</f>
        <v>No</v>
      </c>
      <c r="O908" s="1" t="str">
        <f>IFERROR(__xludf.DUMMYFUNCTION("""COMPUTED_VALUE"""),"WA ONLY, CALL")</f>
        <v>WA ONLY, CALL</v>
      </c>
      <c r="P908" s="1" t="str">
        <f>IFERROR(__xludf.DUMMYFUNCTION("""COMPUTED_VALUE"""),"Madam")</f>
        <v>Madam</v>
      </c>
      <c r="Q908" s="1" t="str">
        <f>IFERROR(__xludf.DUMMYFUNCTION("""COMPUTED_VALUE"""),"No")</f>
        <v>No</v>
      </c>
      <c r="R908" s="1" t="str">
        <f>IFERROR(__xludf.DUMMYFUNCTION("""COMPUTED_VALUE"""),"NEW WALK IN")</f>
        <v>NEW WALK IN</v>
      </c>
      <c r="S908" s="1" t="str">
        <f>IFERROR(__xludf.DUMMYFUNCTION("""COMPUTED_VALUE"""),"No")</f>
        <v>No</v>
      </c>
    </row>
    <row r="909">
      <c r="A909" s="2">
        <f>IFERROR(__xludf.DUMMYFUNCTION("""COMPUTED_VALUE"""),45631.74883306713)</f>
        <v>45631.74883</v>
      </c>
      <c r="B909" s="1" t="str">
        <f>IFERROR(__xludf.DUMMYFUNCTION("""COMPUTED_VALUE"""),"Md. Irfan")</f>
        <v>Md. Irfan</v>
      </c>
      <c r="C909" s="1">
        <f>IFERROR(__xludf.DUMMYFUNCTION("""COMPUTED_VALUE"""),9.810764341E9)</f>
        <v>9810764341</v>
      </c>
      <c r="D909" s="1">
        <f>IFERROR(__xludf.DUMMYFUNCTION("""COMPUTED_VALUE"""),3.0)</f>
        <v>3</v>
      </c>
      <c r="E909" s="3">
        <f>IFERROR(__xludf.DUMMYFUNCTION("""COMPUTED_VALUE"""),0.7277777777781012)</f>
        <v>0.7277777778</v>
      </c>
      <c r="F909" s="1" t="str">
        <f>IFERROR(__xludf.DUMMYFUNCTION("""COMPUTED_VALUE"""),"Plain Gold")</f>
        <v>Plain Gold</v>
      </c>
      <c r="G909" s="1" t="str">
        <f>IFERROR(__xludf.DUMMYFUNCTION("""COMPUTED_VALUE"""),"Sapna")</f>
        <v>Sapna</v>
      </c>
      <c r="H909" s="1" t="str">
        <f>IFERROR(__xludf.DUMMYFUNCTION("""COMPUTED_VALUE"""),"Silver payal")</f>
        <v>Silver payal</v>
      </c>
      <c r="I909" s="1" t="str">
        <f>IFERROR(__xludf.DUMMYFUNCTION("""COMPUTED_VALUE"""),"Customer wants hand made payal but not available in the stok")</f>
        <v>Customer wants hand made payal but not available in the stok</v>
      </c>
      <c r="J909" s="1"/>
      <c r="K909" s="3">
        <f>IFERROR(__xludf.DUMMYFUNCTION("""COMPUTED_VALUE"""),0.7437500000014552)</f>
        <v>0.74375</v>
      </c>
      <c r="L909" s="1" t="str">
        <f>IFERROR(__xludf.DUMMYFUNCTION("""COMPUTED_VALUE"""),"No")</f>
        <v>No</v>
      </c>
      <c r="M909" s="1" t="str">
        <f>IFERROR(__xludf.DUMMYFUNCTION("""COMPUTED_VALUE"""),"No")</f>
        <v>No</v>
      </c>
      <c r="N909" s="1" t="str">
        <f>IFERROR(__xludf.DUMMYFUNCTION("""COMPUTED_VALUE"""),"No")</f>
        <v>No</v>
      </c>
      <c r="O909" s="1" t="str">
        <f>IFERROR(__xludf.DUMMYFUNCTION("""COMPUTED_VALUE"""),"WA ONLY, CALL")</f>
        <v>WA ONLY, CALL</v>
      </c>
      <c r="P909" s="1" t="str">
        <f>IFERROR(__xludf.DUMMYFUNCTION("""COMPUTED_VALUE"""),"Sir")</f>
        <v>Sir</v>
      </c>
      <c r="Q909" s="1" t="str">
        <f>IFERROR(__xludf.DUMMYFUNCTION("""COMPUTED_VALUE"""),"No")</f>
        <v>No</v>
      </c>
      <c r="R909" s="1" t="str">
        <f>IFERROR(__xludf.DUMMYFUNCTION("""COMPUTED_VALUE"""),"NEW WALK IN")</f>
        <v>NEW WALK IN</v>
      </c>
      <c r="S909" s="1" t="str">
        <f>IFERROR(__xludf.DUMMYFUNCTION("""COMPUTED_VALUE"""),"No")</f>
        <v>No</v>
      </c>
    </row>
    <row r="910">
      <c r="A910" s="2">
        <f>IFERROR(__xludf.DUMMYFUNCTION("""COMPUTED_VALUE"""),45631.781671516204)</f>
        <v>45631.78167</v>
      </c>
      <c r="B910" s="1" t="str">
        <f>IFERROR(__xludf.DUMMYFUNCTION("""COMPUTED_VALUE"""),"Sheetal")</f>
        <v>Sheetal</v>
      </c>
      <c r="C910" s="1">
        <f>IFERROR(__xludf.DUMMYFUNCTION("""COMPUTED_VALUE"""),9.717700546E9)</f>
        <v>9717700546</v>
      </c>
      <c r="D910" s="1">
        <f>IFERROR(__xludf.DUMMYFUNCTION("""COMPUTED_VALUE"""),3.0)</f>
        <v>3</v>
      </c>
      <c r="E910" s="3">
        <f>IFERROR(__xludf.DUMMYFUNCTION("""COMPUTED_VALUE"""),0.6354166666642413)</f>
        <v>0.6354166667</v>
      </c>
      <c r="F910" s="1" t="str">
        <f>IFERROR(__xludf.DUMMYFUNCTION("""COMPUTED_VALUE"""),"Diamond")</f>
        <v>Diamond</v>
      </c>
      <c r="G910" s="1" t="str">
        <f>IFERROR(__xludf.DUMMYFUNCTION("""COMPUTED_VALUE"""),"Pooja")</f>
        <v>Pooja</v>
      </c>
      <c r="H910" s="1" t="str">
        <f>IFERROR(__xludf.DUMMYFUNCTION("""COMPUTED_VALUE"""),"Antique gold set,diamond bangle ")</f>
        <v>Antique gold set,diamond bangle </v>
      </c>
      <c r="I910" s="1" t="str">
        <f>IFERROR(__xludf.DUMMYFUNCTION("""COMPUTED_VALUE"""),"Repair ")</f>
        <v>Repair </v>
      </c>
      <c r="J910" s="1"/>
      <c r="K910" s="3">
        <f>IFERROR(__xludf.DUMMYFUNCTION("""COMPUTED_VALUE"""),0.7777777777810115)</f>
        <v>0.7777777778</v>
      </c>
      <c r="L910" s="1" t="str">
        <f>IFERROR(__xludf.DUMMYFUNCTION("""COMPUTED_VALUE"""),"Yes")</f>
        <v>Yes</v>
      </c>
      <c r="M910" s="1" t="str">
        <f>IFERROR(__xludf.DUMMYFUNCTION("""COMPUTED_VALUE"""),"Already done ")</f>
        <v>Already done </v>
      </c>
      <c r="N910" s="1" t="str">
        <f>IFERROR(__xludf.DUMMYFUNCTION("""COMPUTED_VALUE"""),"Already done ")</f>
        <v>Already done </v>
      </c>
      <c r="O910" s="1" t="str">
        <f>IFERROR(__xludf.DUMMYFUNCTION("""COMPUTED_VALUE"""),"WA ONLY, CALL")</f>
        <v>WA ONLY, CALL</v>
      </c>
      <c r="P910" s="1" t="str">
        <f>IFERROR(__xludf.DUMMYFUNCTION("""COMPUTED_VALUE"""),"Madam")</f>
        <v>Madam</v>
      </c>
      <c r="Q910" s="1" t="str">
        <f>IFERROR(__xludf.DUMMYFUNCTION("""COMPUTED_VALUE"""),"No")</f>
        <v>No</v>
      </c>
      <c r="R910" s="1" t="str">
        <f>IFERROR(__xludf.DUMMYFUNCTION("""COMPUTED_VALUE"""),"OLD")</f>
        <v>OLD</v>
      </c>
      <c r="S910" s="1" t="str">
        <f>IFERROR(__xludf.DUMMYFUNCTION("""COMPUTED_VALUE"""),"No")</f>
        <v>No</v>
      </c>
    </row>
    <row r="911">
      <c r="A911" s="2">
        <f>IFERROR(__xludf.DUMMYFUNCTION("""COMPUTED_VALUE"""),45631.79520435185)</f>
        <v>45631.7952</v>
      </c>
      <c r="B911" s="1" t="str">
        <f>IFERROR(__xludf.DUMMYFUNCTION("""COMPUTED_VALUE"""),"Reva")</f>
        <v>Reva</v>
      </c>
      <c r="C911" s="1">
        <f>IFERROR(__xludf.DUMMYFUNCTION("""COMPUTED_VALUE"""),9.315387153E9)</f>
        <v>9315387153</v>
      </c>
      <c r="D911" s="1">
        <f>IFERROR(__xludf.DUMMYFUNCTION("""COMPUTED_VALUE"""),2.0)</f>
        <v>2</v>
      </c>
      <c r="E911" s="3">
        <f>IFERROR(__xludf.DUMMYFUNCTION("""COMPUTED_VALUE"""),0.7729166666686069)</f>
        <v>0.7729166667</v>
      </c>
      <c r="F911" s="1" t="str">
        <f>IFERROR(__xludf.DUMMYFUNCTION("""COMPUTED_VALUE"""),"Plain Gold")</f>
        <v>Plain Gold</v>
      </c>
      <c r="G911" s="1" t="str">
        <f>IFERROR(__xludf.DUMMYFUNCTION("""COMPUTED_VALUE"""),"Sapna")</f>
        <v>Sapna</v>
      </c>
      <c r="H911" s="1" t="str">
        <f>IFERROR(__xludf.DUMMYFUNCTION("""COMPUTED_VALUE"""),"Gold coin 5gm,2gm normal and mmtc coin")</f>
        <v>Gold coin 5gm,2gm normal and mmtc coin</v>
      </c>
      <c r="I911" s="1" t="str">
        <f>IFERROR(__xludf.DUMMYFUNCTION("""COMPUTED_VALUE"""),"Customer give own old gold but not rdy to melting ")</f>
        <v>Customer give own old gold but not rdy to melting </v>
      </c>
      <c r="J911" s="1"/>
      <c r="K911" s="3">
        <f>IFERROR(__xludf.DUMMYFUNCTION("""COMPUTED_VALUE"""),0.7916666666642413)</f>
        <v>0.7916666667</v>
      </c>
      <c r="L911" s="1" t="str">
        <f>IFERROR(__xludf.DUMMYFUNCTION("""COMPUTED_VALUE"""),"No")</f>
        <v>No</v>
      </c>
      <c r="M911" s="1" t="str">
        <f>IFERROR(__xludf.DUMMYFUNCTION("""COMPUTED_VALUE"""),"No")</f>
        <v>No</v>
      </c>
      <c r="N911" s="1" t="str">
        <f>IFERROR(__xludf.DUMMYFUNCTION("""COMPUTED_VALUE"""),"No")</f>
        <v>No</v>
      </c>
      <c r="O911" s="1" t="str">
        <f>IFERROR(__xludf.DUMMYFUNCTION("""COMPUTED_VALUE"""),"WA ONLY, CALL")</f>
        <v>WA ONLY, CALL</v>
      </c>
      <c r="P911" s="1" t="str">
        <f>IFERROR(__xludf.DUMMYFUNCTION("""COMPUTED_VALUE"""),"Madam")</f>
        <v>Madam</v>
      </c>
      <c r="Q911" s="1" t="str">
        <f>IFERROR(__xludf.DUMMYFUNCTION("""COMPUTED_VALUE"""),"No")</f>
        <v>No</v>
      </c>
      <c r="R911" s="1" t="str">
        <f>IFERROR(__xludf.DUMMYFUNCTION("""COMPUTED_VALUE"""),"NEW WALK IN")</f>
        <v>NEW WALK IN</v>
      </c>
      <c r="S911" s="1" t="str">
        <f>IFERROR(__xludf.DUMMYFUNCTION("""COMPUTED_VALUE"""),"No")</f>
        <v>No</v>
      </c>
    </row>
    <row r="912">
      <c r="A912" s="2">
        <f>IFERROR(__xludf.DUMMYFUNCTION("""COMPUTED_VALUE"""),45631.820940509264)</f>
        <v>45631.82094</v>
      </c>
      <c r="B912" s="1" t="str">
        <f>IFERROR(__xludf.DUMMYFUNCTION("""COMPUTED_VALUE"""),"Rajat")</f>
        <v>Rajat</v>
      </c>
      <c r="C912" s="1">
        <f>IFERROR(__xludf.DUMMYFUNCTION("""COMPUTED_VALUE"""),9.694947447E9)</f>
        <v>9694947447</v>
      </c>
      <c r="D912" s="1">
        <f>IFERROR(__xludf.DUMMYFUNCTION("""COMPUTED_VALUE"""),3.0)</f>
        <v>3</v>
      </c>
      <c r="E912" s="3">
        <f>IFERROR(__xludf.DUMMYFUNCTION("""COMPUTED_VALUE"""),0.8111111111065838)</f>
        <v>0.8111111111</v>
      </c>
      <c r="F912" s="1" t="str">
        <f>IFERROR(__xludf.DUMMYFUNCTION("""COMPUTED_VALUE"""),"Diamond")</f>
        <v>Diamond</v>
      </c>
      <c r="G912" s="1" t="str">
        <f>IFERROR(__xludf.DUMMYFUNCTION("""COMPUTED_VALUE"""),"Preeti")</f>
        <v>Preeti</v>
      </c>
      <c r="H912" s="1" t="str">
        <f>IFERROR(__xludf.DUMMYFUNCTION("""COMPUTED_VALUE"""),"Diamond manglsutr ")</f>
        <v>Diamond manglsutr </v>
      </c>
      <c r="I912" s="1" t="str">
        <f>IFERROR(__xludf.DUMMYFUNCTION("""COMPUTED_VALUE"""),"Explore the shops and visit again")</f>
        <v>Explore the shops and visit again</v>
      </c>
      <c r="J912" s="1"/>
      <c r="K912" s="3">
        <f>IFERROR(__xludf.DUMMYFUNCTION("""COMPUTED_VALUE"""),0.8125)</f>
        <v>0.8125</v>
      </c>
      <c r="L912" s="1" t="str">
        <f>IFERROR(__xludf.DUMMYFUNCTION("""COMPUTED_VALUE"""),"No")</f>
        <v>No</v>
      </c>
      <c r="M912" s="1" t="str">
        <f>IFERROR(__xludf.DUMMYFUNCTION("""COMPUTED_VALUE"""),"No")</f>
        <v>No</v>
      </c>
      <c r="N912" s="1" t="str">
        <f>IFERROR(__xludf.DUMMYFUNCTION("""COMPUTED_VALUE"""),"No")</f>
        <v>No</v>
      </c>
      <c r="O912" s="1" t="str">
        <f>IFERROR(__xludf.DUMMYFUNCTION("""COMPUTED_VALUE"""),"WA ONLY, CALL")</f>
        <v>WA ONLY, CALL</v>
      </c>
      <c r="P912" s="1" t="str">
        <f>IFERROR(__xludf.DUMMYFUNCTION("""COMPUTED_VALUE"""),"Sir")</f>
        <v>Sir</v>
      </c>
      <c r="Q912" s="1" t="str">
        <f>IFERROR(__xludf.DUMMYFUNCTION("""COMPUTED_VALUE"""),"No")</f>
        <v>No</v>
      </c>
      <c r="R912" s="1" t="str">
        <f>IFERROR(__xludf.DUMMYFUNCTION("""COMPUTED_VALUE"""),"NEW WALK IN")</f>
        <v>NEW WALK IN</v>
      </c>
      <c r="S912" s="1" t="str">
        <f>IFERROR(__xludf.DUMMYFUNCTION("""COMPUTED_VALUE"""),"No")</f>
        <v>No</v>
      </c>
    </row>
    <row r="913">
      <c r="A913" s="2">
        <f>IFERROR(__xludf.DUMMYFUNCTION("""COMPUTED_VALUE"""),45632.623061770835)</f>
        <v>45632.62306</v>
      </c>
      <c r="B913" s="1" t="str">
        <f>IFERROR(__xludf.DUMMYFUNCTION("""COMPUTED_VALUE"""),"Nidhi")</f>
        <v>Nidhi</v>
      </c>
      <c r="C913" s="1">
        <f>IFERROR(__xludf.DUMMYFUNCTION("""COMPUTED_VALUE"""),9.810658206E9)</f>
        <v>9810658206</v>
      </c>
      <c r="D913" s="1">
        <f>IFERROR(__xludf.DUMMYFUNCTION("""COMPUTED_VALUE"""),2.0)</f>
        <v>2</v>
      </c>
      <c r="E913" s="3">
        <f>IFERROR(__xludf.DUMMYFUNCTION("""COMPUTED_VALUE"""),0.5034722222189885)</f>
        <v>0.5034722222</v>
      </c>
      <c r="F913" s="1" t="str">
        <f>IFERROR(__xludf.DUMMYFUNCTION("""COMPUTED_VALUE"""),"Plain Gold")</f>
        <v>Plain Gold</v>
      </c>
      <c r="G913" s="1" t="str">
        <f>IFERROR(__xludf.DUMMYFUNCTION("""COMPUTED_VALUE"""),"Sapna")</f>
        <v>Sapna</v>
      </c>
      <c r="H913" s="1" t="str">
        <f>IFERROR(__xludf.DUMMYFUNCTION("""COMPUTED_VALUE"""),"Gold tops")</f>
        <v>Gold tops</v>
      </c>
      <c r="I913" s="1"/>
      <c r="J913" s="1"/>
      <c r="K913" s="3">
        <f>IFERROR(__xludf.DUMMYFUNCTION("""COMPUTED_VALUE"""),0.5520833333357587)</f>
        <v>0.5520833333</v>
      </c>
      <c r="L913" s="1" t="str">
        <f>IFERROR(__xludf.DUMMYFUNCTION("""COMPUTED_VALUE"""),"Yes")</f>
        <v>Yes</v>
      </c>
      <c r="M913" s="1" t="str">
        <f>IFERROR(__xludf.DUMMYFUNCTION("""COMPUTED_VALUE"""),"Yes")</f>
        <v>Yes</v>
      </c>
      <c r="N913" s="1" t="str">
        <f>IFERROR(__xludf.DUMMYFUNCTION("""COMPUTED_VALUE"""),"Yes")</f>
        <v>Yes</v>
      </c>
      <c r="O913" s="1" t="str">
        <f>IFERROR(__xludf.DUMMYFUNCTION("""COMPUTED_VALUE"""),"WA ONLY, CALL")</f>
        <v>WA ONLY, CALL</v>
      </c>
      <c r="P913" s="1" t="str">
        <f>IFERROR(__xludf.DUMMYFUNCTION("""COMPUTED_VALUE"""),"Madam")</f>
        <v>Madam</v>
      </c>
      <c r="Q913" s="1" t="str">
        <f>IFERROR(__xludf.DUMMYFUNCTION("""COMPUTED_VALUE"""),"No")</f>
        <v>No</v>
      </c>
      <c r="R913" s="1"/>
      <c r="S913" s="1" t="str">
        <f>IFERROR(__xludf.DUMMYFUNCTION("""COMPUTED_VALUE"""),"Yes")</f>
        <v>Yes</v>
      </c>
    </row>
    <row r="914">
      <c r="A914" s="2">
        <f>IFERROR(__xludf.DUMMYFUNCTION("""COMPUTED_VALUE"""),45632.624062523144)</f>
        <v>45632.62406</v>
      </c>
      <c r="B914" s="1" t="str">
        <f>IFERROR(__xludf.DUMMYFUNCTION("""COMPUTED_VALUE"""),"Yash")</f>
        <v>Yash</v>
      </c>
      <c r="C914" s="1">
        <f>IFERROR(__xludf.DUMMYFUNCTION("""COMPUTED_VALUE"""),8.860339733E9)</f>
        <v>8860339733</v>
      </c>
      <c r="D914" s="1">
        <f>IFERROR(__xludf.DUMMYFUNCTION("""COMPUTED_VALUE"""),2.0)</f>
        <v>2</v>
      </c>
      <c r="E914" s="3">
        <f>IFERROR(__xludf.DUMMYFUNCTION("""COMPUTED_VALUE"""),0.5222222222218988)</f>
        <v>0.5222222222</v>
      </c>
      <c r="F914" s="1" t="str">
        <f>IFERROR(__xludf.DUMMYFUNCTION("""COMPUTED_VALUE"""),"Diamond")</f>
        <v>Diamond</v>
      </c>
      <c r="G914" s="1" t="str">
        <f>IFERROR(__xludf.DUMMYFUNCTION("""COMPUTED_VALUE"""),"Pooja")</f>
        <v>Pooja</v>
      </c>
      <c r="H914" s="1" t="str">
        <f>IFERROR(__xludf.DUMMYFUNCTION("""COMPUTED_VALUE"""),"Diamond ring")</f>
        <v>Diamond ring</v>
      </c>
      <c r="I914" s="1"/>
      <c r="J914" s="1"/>
      <c r="K914" s="3">
        <f>IFERROR(__xludf.DUMMYFUNCTION("""COMPUTED_VALUE"""),0.5833333333357587)</f>
        <v>0.5833333333</v>
      </c>
      <c r="L914" s="1" t="str">
        <f>IFERROR(__xludf.DUMMYFUNCTION("""COMPUTED_VALUE"""),"Yes")</f>
        <v>Yes</v>
      </c>
      <c r="M914" s="1" t="str">
        <f>IFERROR(__xludf.DUMMYFUNCTION("""COMPUTED_VALUE"""),"Already done ")</f>
        <v>Already done </v>
      </c>
      <c r="N914" s="1" t="str">
        <f>IFERROR(__xludf.DUMMYFUNCTION("""COMPUTED_VALUE"""),"Already done ")</f>
        <v>Already done </v>
      </c>
      <c r="O914" s="1" t="str">
        <f>IFERROR(__xludf.DUMMYFUNCTION("""COMPUTED_VALUE"""),"WA ONLY, CALL")</f>
        <v>WA ONLY, CALL</v>
      </c>
      <c r="P914" s="1" t="str">
        <f>IFERROR(__xludf.DUMMYFUNCTION("""COMPUTED_VALUE"""),"Sir")</f>
        <v>Sir</v>
      </c>
      <c r="Q914" s="1" t="str">
        <f>IFERROR(__xludf.DUMMYFUNCTION("""COMPUTED_VALUE"""),"No")</f>
        <v>No</v>
      </c>
      <c r="R914" s="1" t="str">
        <f>IFERROR(__xludf.DUMMYFUNCTION("""COMPUTED_VALUE"""),"OLD")</f>
        <v>OLD</v>
      </c>
      <c r="S914" s="1" t="str">
        <f>IFERROR(__xludf.DUMMYFUNCTION("""COMPUTED_VALUE"""),"Yes")</f>
        <v>Yes</v>
      </c>
    </row>
    <row r="915">
      <c r="A915" s="2">
        <f>IFERROR(__xludf.DUMMYFUNCTION("""COMPUTED_VALUE"""),45632.62480871528)</f>
        <v>45632.62481</v>
      </c>
      <c r="B915" s="1" t="str">
        <f>IFERROR(__xludf.DUMMYFUNCTION("""COMPUTED_VALUE"""),"Raj")</f>
        <v>Raj</v>
      </c>
      <c r="C915" s="1">
        <f>IFERROR(__xludf.DUMMYFUNCTION("""COMPUTED_VALUE"""),8.384049838E9)</f>
        <v>8384049838</v>
      </c>
      <c r="D915" s="1">
        <f>IFERROR(__xludf.DUMMYFUNCTION("""COMPUTED_VALUE"""),4.0)</f>
        <v>4</v>
      </c>
      <c r="E915" s="3">
        <f>IFERROR(__xludf.DUMMYFUNCTION("""COMPUTED_VALUE"""),0.5277777777810115)</f>
        <v>0.5277777778</v>
      </c>
      <c r="F915" s="1" t="str">
        <f>IFERROR(__xludf.DUMMYFUNCTION("""COMPUTED_VALUE"""),"Antique Gold")</f>
        <v>Antique Gold</v>
      </c>
      <c r="G915" s="1" t="str">
        <f>IFERROR(__xludf.DUMMYFUNCTION("""COMPUTED_VALUE"""),"Tannu")</f>
        <v>Tannu</v>
      </c>
      <c r="H915" s="1" t="str">
        <f>IFERROR(__xludf.DUMMYFUNCTION("""COMPUTED_VALUE"""),"Gold tops")</f>
        <v>Gold tops</v>
      </c>
      <c r="I915" s="1"/>
      <c r="J915" s="1"/>
      <c r="K915" s="3">
        <f>IFERROR(__xludf.DUMMYFUNCTION("""COMPUTED_VALUE"""),0.6006944444452529)</f>
        <v>0.6006944444</v>
      </c>
      <c r="L915" s="1" t="str">
        <f>IFERROR(__xludf.DUMMYFUNCTION("""COMPUTED_VALUE"""),"Yes")</f>
        <v>Yes</v>
      </c>
      <c r="M915" s="1" t="str">
        <f>IFERROR(__xludf.DUMMYFUNCTION("""COMPUTED_VALUE"""),"Already done ")</f>
        <v>Already done </v>
      </c>
      <c r="N915" s="1" t="str">
        <f>IFERROR(__xludf.DUMMYFUNCTION("""COMPUTED_VALUE"""),"Already done ")</f>
        <v>Already done </v>
      </c>
      <c r="O915" s="1" t="str">
        <f>IFERROR(__xludf.DUMMYFUNCTION("""COMPUTED_VALUE"""),"WA ONLY, CALL")</f>
        <v>WA ONLY, CALL</v>
      </c>
      <c r="P915" s="1" t="str">
        <f>IFERROR(__xludf.DUMMYFUNCTION("""COMPUTED_VALUE"""),"Madam")</f>
        <v>Madam</v>
      </c>
      <c r="Q915" s="1" t="str">
        <f>IFERROR(__xludf.DUMMYFUNCTION("""COMPUTED_VALUE"""),"Yes")</f>
        <v>Yes</v>
      </c>
      <c r="R915" s="1" t="str">
        <f>IFERROR(__xludf.DUMMYFUNCTION("""COMPUTED_VALUE"""),"OLD")</f>
        <v>OLD</v>
      </c>
      <c r="S915" s="1" t="str">
        <f>IFERROR(__xludf.DUMMYFUNCTION("""COMPUTED_VALUE"""),"Yes")</f>
        <v>Yes</v>
      </c>
    </row>
    <row r="916">
      <c r="A916" s="2">
        <f>IFERROR(__xludf.DUMMYFUNCTION("""COMPUTED_VALUE"""),45632.656803136575)</f>
        <v>45632.6568</v>
      </c>
      <c r="B916" s="1" t="str">
        <f>IFERROR(__xludf.DUMMYFUNCTION("""COMPUTED_VALUE"""),"Parnav")</f>
        <v>Parnav</v>
      </c>
      <c r="C916" s="1">
        <f>IFERROR(__xludf.DUMMYFUNCTION("""COMPUTED_VALUE"""),9.811557564E9)</f>
        <v>9811557564</v>
      </c>
      <c r="D916" s="1">
        <f>IFERROR(__xludf.DUMMYFUNCTION("""COMPUTED_VALUE"""),1.0)</f>
        <v>1</v>
      </c>
      <c r="E916" s="3">
        <f>IFERROR(__xludf.DUMMYFUNCTION("""COMPUTED_VALUE"""),0.6493055555547471)</f>
        <v>0.6493055556</v>
      </c>
      <c r="F916" s="1" t="str">
        <f>IFERROR(__xludf.DUMMYFUNCTION("""COMPUTED_VALUE"""),"Antique Gold")</f>
        <v>Antique Gold</v>
      </c>
      <c r="G916" s="1" t="str">
        <f>IFERROR(__xludf.DUMMYFUNCTION("""COMPUTED_VALUE"""),"Pooja")</f>
        <v>Pooja</v>
      </c>
      <c r="H916" s="1" t="str">
        <f>IFERROR(__xludf.DUMMYFUNCTION("""COMPUTED_VALUE"""),"10gm gold baar")</f>
        <v>10gm gold baar</v>
      </c>
      <c r="I916" s="1" t="str">
        <f>IFERROR(__xludf.DUMMYFUNCTION("""COMPUTED_VALUE"""),"Explore the other shops than visit ")</f>
        <v>Explore the other shops than visit </v>
      </c>
      <c r="J916" s="1"/>
      <c r="K916" s="3">
        <f>IFERROR(__xludf.DUMMYFUNCTION("""COMPUTED_VALUE"""),0.6534722222204437)</f>
        <v>0.6534722222</v>
      </c>
      <c r="L916" s="1" t="str">
        <f>IFERROR(__xludf.DUMMYFUNCTION("""COMPUTED_VALUE"""),"No")</f>
        <v>No</v>
      </c>
      <c r="M916" s="1" t="str">
        <f>IFERROR(__xludf.DUMMYFUNCTION("""COMPUTED_VALUE"""),"No")</f>
        <v>No</v>
      </c>
      <c r="N916" s="1" t="str">
        <f>IFERROR(__xludf.DUMMYFUNCTION("""COMPUTED_VALUE"""),"No")</f>
        <v>No</v>
      </c>
      <c r="O916" s="1" t="str">
        <f>IFERROR(__xludf.DUMMYFUNCTION("""COMPUTED_VALUE"""),"WA ONLY, CALL")</f>
        <v>WA ONLY, CALL</v>
      </c>
      <c r="P916" s="1" t="str">
        <f>IFERROR(__xludf.DUMMYFUNCTION("""COMPUTED_VALUE"""),"Sir")</f>
        <v>Sir</v>
      </c>
      <c r="Q916" s="1" t="str">
        <f>IFERROR(__xludf.DUMMYFUNCTION("""COMPUTED_VALUE"""),"No")</f>
        <v>No</v>
      </c>
      <c r="R916" s="1" t="str">
        <f>IFERROR(__xludf.DUMMYFUNCTION("""COMPUTED_VALUE"""),"NEW WALK IN")</f>
        <v>NEW WALK IN</v>
      </c>
      <c r="S916" s="1" t="str">
        <f>IFERROR(__xludf.DUMMYFUNCTION("""COMPUTED_VALUE"""),"No")</f>
        <v>No</v>
      </c>
    </row>
    <row r="917">
      <c r="A917" s="2">
        <f>IFERROR(__xludf.DUMMYFUNCTION("""COMPUTED_VALUE"""),45632.69868592593)</f>
        <v>45632.69869</v>
      </c>
      <c r="B917" s="1" t="str">
        <f>IFERROR(__xludf.DUMMYFUNCTION("""COMPUTED_VALUE"""),"Parkash")</f>
        <v>Parkash</v>
      </c>
      <c r="C917" s="1">
        <f>IFERROR(__xludf.DUMMYFUNCTION("""COMPUTED_VALUE"""),9.311193547E9)</f>
        <v>9311193547</v>
      </c>
      <c r="D917" s="1">
        <f>IFERROR(__xludf.DUMMYFUNCTION("""COMPUTED_VALUE"""),2.0)</f>
        <v>2</v>
      </c>
      <c r="E917" s="3">
        <f>IFERROR(__xludf.DUMMYFUNCTION("""COMPUTED_VALUE"""),0.6368055555576575)</f>
        <v>0.6368055556</v>
      </c>
      <c r="F917" s="1" t="str">
        <f>IFERROR(__xludf.DUMMYFUNCTION("""COMPUTED_VALUE"""),"Plain Gold")</f>
        <v>Plain Gold</v>
      </c>
      <c r="G917" s="1" t="str">
        <f>IFERROR(__xludf.DUMMYFUNCTION("""COMPUTED_VALUE"""),"Sapna")</f>
        <v>Sapna</v>
      </c>
      <c r="H917" s="1" t="str">
        <f>IFERROR(__xludf.DUMMYFUNCTION("""COMPUTED_VALUE"""),"Gold manglsutr pendent ")</f>
        <v>Gold manglsutr pendent </v>
      </c>
      <c r="I917" s="1" t="str">
        <f>IFERROR(__xludf.DUMMYFUNCTION("""COMPUTED_VALUE"""),"Visit Again in 1 Month")</f>
        <v>Visit Again in 1 Month</v>
      </c>
      <c r="J917" s="1"/>
      <c r="K917" s="3">
        <f>IFERROR(__xludf.DUMMYFUNCTION("""COMPUTED_VALUE"""),0.6569444444467081)</f>
        <v>0.6569444444</v>
      </c>
      <c r="L917" s="1" t="str">
        <f>IFERROR(__xludf.DUMMYFUNCTION("""COMPUTED_VALUE"""),"Yes")</f>
        <v>Yes</v>
      </c>
      <c r="M917" s="1" t="str">
        <f>IFERROR(__xludf.DUMMYFUNCTION("""COMPUTED_VALUE"""),"Already done ")</f>
        <v>Already done </v>
      </c>
      <c r="N917" s="1" t="str">
        <f>IFERROR(__xludf.DUMMYFUNCTION("""COMPUTED_VALUE"""),"Already done ")</f>
        <v>Already done </v>
      </c>
      <c r="O917" s="1" t="str">
        <f>IFERROR(__xludf.DUMMYFUNCTION("""COMPUTED_VALUE"""),"WA ONLY, CALL")</f>
        <v>WA ONLY, CALL</v>
      </c>
      <c r="P917" s="1" t="str">
        <f>IFERROR(__xludf.DUMMYFUNCTION("""COMPUTED_VALUE"""),"Sir")</f>
        <v>Sir</v>
      </c>
      <c r="Q917" s="1" t="str">
        <f>IFERROR(__xludf.DUMMYFUNCTION("""COMPUTED_VALUE"""),"No")</f>
        <v>No</v>
      </c>
      <c r="R917" s="1" t="str">
        <f>IFERROR(__xludf.DUMMYFUNCTION("""COMPUTED_VALUE"""),"OLD")</f>
        <v>OLD</v>
      </c>
      <c r="S917" s="1" t="str">
        <f>IFERROR(__xludf.DUMMYFUNCTION("""COMPUTED_VALUE"""),"No")</f>
        <v>No</v>
      </c>
    </row>
    <row r="918">
      <c r="A918" s="2">
        <f>IFERROR(__xludf.DUMMYFUNCTION("""COMPUTED_VALUE"""),45632.69952480324)</f>
        <v>45632.69952</v>
      </c>
      <c r="B918" s="1" t="str">
        <f>IFERROR(__xludf.DUMMYFUNCTION("""COMPUTED_VALUE"""),"Parnav")</f>
        <v>Parnav</v>
      </c>
      <c r="C918" s="1">
        <f>IFERROR(__xludf.DUMMYFUNCTION("""COMPUTED_VALUE"""),9.811557564E9)</f>
        <v>9811557564</v>
      </c>
      <c r="D918" s="1">
        <f>IFERROR(__xludf.DUMMYFUNCTION("""COMPUTED_VALUE"""),1.0)</f>
        <v>1</v>
      </c>
      <c r="E918" s="3">
        <f>IFERROR(__xludf.DUMMYFUNCTION("""COMPUTED_VALUE"""),0.6666666666642413)</f>
        <v>0.6666666667</v>
      </c>
      <c r="F918" s="1" t="str">
        <f>IFERROR(__xludf.DUMMYFUNCTION("""COMPUTED_VALUE"""),"Diamond")</f>
        <v>Diamond</v>
      </c>
      <c r="G918" s="1" t="str">
        <f>IFERROR(__xludf.DUMMYFUNCTION("""COMPUTED_VALUE"""),"Preeti")</f>
        <v>Preeti</v>
      </c>
      <c r="H918" s="1" t="str">
        <f>IFERROR(__xludf.DUMMYFUNCTION("""COMPUTED_VALUE"""),"Gold baar 9.640 gm")</f>
        <v>Gold baar 9.640 gm</v>
      </c>
      <c r="I918" s="1"/>
      <c r="J918" s="1"/>
      <c r="K918" s="3">
        <f>IFERROR(__xludf.DUMMYFUNCTION("""COMPUTED_VALUE"""),0.6840277777810115)</f>
        <v>0.6840277778</v>
      </c>
      <c r="L918" s="1" t="str">
        <f>IFERROR(__xludf.DUMMYFUNCTION("""COMPUTED_VALUE"""),"Yes")</f>
        <v>Yes</v>
      </c>
      <c r="M918" s="1" t="str">
        <f>IFERROR(__xludf.DUMMYFUNCTION("""COMPUTED_VALUE"""),"Yes")</f>
        <v>Yes</v>
      </c>
      <c r="N918" s="1" t="str">
        <f>IFERROR(__xludf.DUMMYFUNCTION("""COMPUTED_VALUE"""),"Yes")</f>
        <v>Yes</v>
      </c>
      <c r="O918" s="1" t="str">
        <f>IFERROR(__xludf.DUMMYFUNCTION("""COMPUTED_VALUE"""),"WA ONLY, CALL")</f>
        <v>WA ONLY, CALL</v>
      </c>
      <c r="P918" s="1" t="str">
        <f>IFERROR(__xludf.DUMMYFUNCTION("""COMPUTED_VALUE"""),"Sir")</f>
        <v>Sir</v>
      </c>
      <c r="Q918" s="1" t="str">
        <f>IFERROR(__xludf.DUMMYFUNCTION("""COMPUTED_VALUE"""),"No")</f>
        <v>No</v>
      </c>
      <c r="R918" s="1" t="str">
        <f>IFERROR(__xludf.DUMMYFUNCTION("""COMPUTED_VALUE"""),"NEW WALK IN")</f>
        <v>NEW WALK IN</v>
      </c>
      <c r="S918" s="1" t="str">
        <f>IFERROR(__xludf.DUMMYFUNCTION("""COMPUTED_VALUE"""),"Yes")</f>
        <v>Yes</v>
      </c>
    </row>
    <row r="919">
      <c r="A919" s="2">
        <f>IFERROR(__xludf.DUMMYFUNCTION("""COMPUTED_VALUE"""),45633.65908744213)</f>
        <v>45633.65909</v>
      </c>
      <c r="B919" s="1" t="str">
        <f>IFERROR(__xludf.DUMMYFUNCTION("""COMPUTED_VALUE"""),"Manoj  ")</f>
        <v>Manoj  </v>
      </c>
      <c r="C919" s="1">
        <f>IFERROR(__xludf.DUMMYFUNCTION("""COMPUTED_VALUE"""),9.910544267E9)</f>
        <v>9910544267</v>
      </c>
      <c r="D919" s="1">
        <f>IFERROR(__xludf.DUMMYFUNCTION("""COMPUTED_VALUE"""),3.0)</f>
        <v>3</v>
      </c>
      <c r="E919" s="3">
        <f>IFERROR(__xludf.DUMMYFUNCTION("""COMPUTED_VALUE"""),0.5097222222248092)</f>
        <v>0.5097222222</v>
      </c>
      <c r="F919" s="1"/>
      <c r="G919" s="1" t="str">
        <f>IFERROR(__xludf.DUMMYFUNCTION("""COMPUTED_VALUE"""),"Pooja")</f>
        <v>Pooja</v>
      </c>
      <c r="H919" s="1" t="str">
        <f>IFERROR(__xludf.DUMMYFUNCTION("""COMPUTED_VALUE"""),"Silver tagdi,gold baar")</f>
        <v>Silver tagdi,gold baar</v>
      </c>
      <c r="I919" s="1"/>
      <c r="J919" s="1"/>
      <c r="K919" s="3">
        <f>IFERROR(__xludf.DUMMYFUNCTION("""COMPUTED_VALUE"""),0.6006944444452529)</f>
        <v>0.6006944444</v>
      </c>
      <c r="L919" s="1" t="str">
        <f>IFERROR(__xludf.DUMMYFUNCTION("""COMPUTED_VALUE"""),"Yes")</f>
        <v>Yes</v>
      </c>
      <c r="M919" s="1" t="str">
        <f>IFERROR(__xludf.DUMMYFUNCTION("""COMPUTED_VALUE"""),"Already done ")</f>
        <v>Already done </v>
      </c>
      <c r="N919" s="1" t="str">
        <f>IFERROR(__xludf.DUMMYFUNCTION("""COMPUTED_VALUE"""),"Already done ")</f>
        <v>Already done </v>
      </c>
      <c r="O919" s="1" t="str">
        <f>IFERROR(__xludf.DUMMYFUNCTION("""COMPUTED_VALUE"""),"WA ONLY, CALL")</f>
        <v>WA ONLY, CALL</v>
      </c>
      <c r="P919" s="1" t="str">
        <f>IFERROR(__xludf.DUMMYFUNCTION("""COMPUTED_VALUE"""),"Sir")</f>
        <v>Sir</v>
      </c>
      <c r="Q919" s="1" t="str">
        <f>IFERROR(__xludf.DUMMYFUNCTION("""COMPUTED_VALUE"""),"Yes")</f>
        <v>Yes</v>
      </c>
      <c r="R919" s="1" t="str">
        <f>IFERROR(__xludf.DUMMYFUNCTION("""COMPUTED_VALUE"""),"OLD")</f>
        <v>OLD</v>
      </c>
      <c r="S919" s="1" t="str">
        <f>IFERROR(__xludf.DUMMYFUNCTION("""COMPUTED_VALUE"""),"Yes")</f>
        <v>Yes</v>
      </c>
    </row>
    <row r="920">
      <c r="A920" s="2">
        <f>IFERROR(__xludf.DUMMYFUNCTION("""COMPUTED_VALUE"""),45633.66007039352)</f>
        <v>45633.66007</v>
      </c>
      <c r="B920" s="1" t="str">
        <f>IFERROR(__xludf.DUMMYFUNCTION("""COMPUTED_VALUE"""),"Mona diwan")</f>
        <v>Mona diwan</v>
      </c>
      <c r="C920" s="1">
        <f>IFERROR(__xludf.DUMMYFUNCTION("""COMPUTED_VALUE"""),9.810100576E9)</f>
        <v>9810100576</v>
      </c>
      <c r="D920" s="1">
        <f>IFERROR(__xludf.DUMMYFUNCTION("""COMPUTED_VALUE"""),2.0)</f>
        <v>2</v>
      </c>
      <c r="E920" s="3">
        <f>IFERROR(__xludf.DUMMYFUNCTION("""COMPUTED_VALUE"""),0.5979166666656965)</f>
        <v>0.5979166667</v>
      </c>
      <c r="F920" s="1" t="str">
        <f>IFERROR(__xludf.DUMMYFUNCTION("""COMPUTED_VALUE"""),"Plain Gold")</f>
        <v>Plain Gold</v>
      </c>
      <c r="G920" s="1" t="str">
        <f>IFERROR(__xludf.DUMMYFUNCTION("""COMPUTED_VALUE"""),"Sapna")</f>
        <v>Sapna</v>
      </c>
      <c r="H920" s="1" t="str">
        <f>IFERROR(__xludf.DUMMYFUNCTION("""COMPUTED_VALUE"""),"Silver boy chain")</f>
        <v>Silver boy chain</v>
      </c>
      <c r="I920" s="1"/>
      <c r="J920" s="1"/>
      <c r="K920" s="3">
        <f>IFERROR(__xludf.DUMMYFUNCTION("""COMPUTED_VALUE"""),0.6243055555532919)</f>
        <v>0.6243055556</v>
      </c>
      <c r="L920" s="1" t="str">
        <f>IFERROR(__xludf.DUMMYFUNCTION("""COMPUTED_VALUE"""),"Yes")</f>
        <v>Yes</v>
      </c>
      <c r="M920" s="1" t="str">
        <f>IFERROR(__xludf.DUMMYFUNCTION("""COMPUTED_VALUE"""),"Yes")</f>
        <v>Yes</v>
      </c>
      <c r="N920" s="1" t="str">
        <f>IFERROR(__xludf.DUMMYFUNCTION("""COMPUTED_VALUE"""),"Yes")</f>
        <v>Yes</v>
      </c>
      <c r="O920" s="1" t="str">
        <f>IFERROR(__xludf.DUMMYFUNCTION("""COMPUTED_VALUE"""),"WA ONLY, CALL")</f>
        <v>WA ONLY, CALL</v>
      </c>
      <c r="P920" s="1" t="str">
        <f>IFERROR(__xludf.DUMMYFUNCTION("""COMPUTED_VALUE"""),"Madam")</f>
        <v>Madam</v>
      </c>
      <c r="Q920" s="1" t="str">
        <f>IFERROR(__xludf.DUMMYFUNCTION("""COMPUTED_VALUE"""),"Yes")</f>
        <v>Yes</v>
      </c>
      <c r="R920" s="1" t="str">
        <f>IFERROR(__xludf.DUMMYFUNCTION("""COMPUTED_VALUE"""),"OLD")</f>
        <v>OLD</v>
      </c>
      <c r="S920" s="1" t="str">
        <f>IFERROR(__xludf.DUMMYFUNCTION("""COMPUTED_VALUE"""),"Yes")</f>
        <v>Yes</v>
      </c>
    </row>
    <row r="921">
      <c r="A921" s="2">
        <f>IFERROR(__xludf.DUMMYFUNCTION("""COMPUTED_VALUE"""),45633.6613178588)</f>
        <v>45633.66132</v>
      </c>
      <c r="B921" s="1" t="str">
        <f>IFERROR(__xludf.DUMMYFUNCTION("""COMPUTED_VALUE"""),"Arti singh")</f>
        <v>Arti singh</v>
      </c>
      <c r="C921" s="1">
        <f>IFERROR(__xludf.DUMMYFUNCTION("""COMPUTED_VALUE"""),7.087868187E9)</f>
        <v>7087868187</v>
      </c>
      <c r="D921" s="1">
        <f>IFERROR(__xludf.DUMMYFUNCTION("""COMPUTED_VALUE"""),2.0)</f>
        <v>2</v>
      </c>
      <c r="E921" s="3">
        <f>IFERROR(__xludf.DUMMYFUNCTION("""COMPUTED_VALUE"""),0.6048611111109494)</f>
        <v>0.6048611111</v>
      </c>
      <c r="F921" s="1" t="str">
        <f>IFERROR(__xludf.DUMMYFUNCTION("""COMPUTED_VALUE"""),"Antique Gold")</f>
        <v>Antique Gold</v>
      </c>
      <c r="G921" s="1" t="str">
        <f>IFERROR(__xludf.DUMMYFUNCTION("""COMPUTED_VALUE"""),"Pooja")</f>
        <v>Pooja</v>
      </c>
      <c r="H921" s="1" t="str">
        <f>IFERROR(__xludf.DUMMYFUNCTION("""COMPUTED_VALUE"""),"Gold tops,diamond tops,gold ring")</f>
        <v>Gold tops,diamond tops,gold ring</v>
      </c>
      <c r="I921" s="1"/>
      <c r="J921" s="1"/>
      <c r="K921" s="3">
        <f>IFERROR(__xludf.DUMMYFUNCTION("""COMPUTED_VALUE"""),0.6527777777810115)</f>
        <v>0.6527777778</v>
      </c>
      <c r="L921" s="1" t="str">
        <f>IFERROR(__xludf.DUMMYFUNCTION("""COMPUTED_VALUE"""),"Yes")</f>
        <v>Yes</v>
      </c>
      <c r="M921" s="1" t="str">
        <f>IFERROR(__xludf.DUMMYFUNCTION("""COMPUTED_VALUE"""),"Yes")</f>
        <v>Yes</v>
      </c>
      <c r="N921" s="1" t="str">
        <f>IFERROR(__xludf.DUMMYFUNCTION("""COMPUTED_VALUE"""),"Yes ")</f>
        <v>Yes </v>
      </c>
      <c r="O921" s="1" t="str">
        <f>IFERROR(__xludf.DUMMYFUNCTION("""COMPUTED_VALUE"""),"WA ONLY, CALL")</f>
        <v>WA ONLY, CALL</v>
      </c>
      <c r="P921" s="1" t="str">
        <f>IFERROR(__xludf.DUMMYFUNCTION("""COMPUTED_VALUE"""),"Madam")</f>
        <v>Madam</v>
      </c>
      <c r="Q921" s="1" t="str">
        <f>IFERROR(__xludf.DUMMYFUNCTION("""COMPUTED_VALUE"""),"No")</f>
        <v>No</v>
      </c>
      <c r="R921" s="1" t="str">
        <f>IFERROR(__xludf.DUMMYFUNCTION("""COMPUTED_VALUE"""),"NEW WALK IN")</f>
        <v>NEW WALK IN</v>
      </c>
      <c r="S921" s="1" t="str">
        <f>IFERROR(__xludf.DUMMYFUNCTION("""COMPUTED_VALUE"""),"Yes")</f>
        <v>Yes</v>
      </c>
    </row>
    <row r="922">
      <c r="A922" s="2">
        <f>IFERROR(__xludf.DUMMYFUNCTION("""COMPUTED_VALUE"""),45633.79823252315)</f>
        <v>45633.79823</v>
      </c>
      <c r="B922" s="1" t="str">
        <f>IFERROR(__xludf.DUMMYFUNCTION("""COMPUTED_VALUE"""),"Mini sachdeva")</f>
        <v>Mini sachdeva</v>
      </c>
      <c r="C922" s="1">
        <f>IFERROR(__xludf.DUMMYFUNCTION("""COMPUTED_VALUE"""),9.910797272E9)</f>
        <v>9910797272</v>
      </c>
      <c r="D922" s="1">
        <f>IFERROR(__xludf.DUMMYFUNCTION("""COMPUTED_VALUE"""),2.0)</f>
        <v>2</v>
      </c>
      <c r="E922" s="3">
        <f>IFERROR(__xludf.DUMMYFUNCTION("""COMPUTED_VALUE"""),0.7673611111094942)</f>
        <v>0.7673611111</v>
      </c>
      <c r="F922" s="1" t="str">
        <f>IFERROR(__xludf.DUMMYFUNCTION("""COMPUTED_VALUE"""),"Antique Gold")</f>
        <v>Antique Gold</v>
      </c>
      <c r="G922" s="1" t="str">
        <f>IFERROR(__xludf.DUMMYFUNCTION("""COMPUTED_VALUE"""),"Pooja")</f>
        <v>Pooja</v>
      </c>
      <c r="H922" s="1" t="str">
        <f>IFERROR(__xludf.DUMMYFUNCTION("""COMPUTED_VALUE"""),"Diamond pendent ")</f>
        <v>Diamond pendent </v>
      </c>
      <c r="I922" s="1" t="str">
        <f>IFERROR(__xludf.DUMMYFUNCTION("""COMPUTED_VALUE"""),"Ring rodiam ")</f>
        <v>Ring rodiam </v>
      </c>
      <c r="J922" s="1"/>
      <c r="K922" s="3">
        <f>IFERROR(__xludf.DUMMYFUNCTION("""COMPUTED_VALUE"""),0.7826388888934162)</f>
        <v>0.7826388889</v>
      </c>
      <c r="L922" s="1" t="str">
        <f>IFERROR(__xludf.DUMMYFUNCTION("""COMPUTED_VALUE"""),"Yes")</f>
        <v>Yes</v>
      </c>
      <c r="M922" s="1" t="str">
        <f>IFERROR(__xludf.DUMMYFUNCTION("""COMPUTED_VALUE"""),"Already done ")</f>
        <v>Already done </v>
      </c>
      <c r="N922" s="1" t="str">
        <f>IFERROR(__xludf.DUMMYFUNCTION("""COMPUTED_VALUE"""),"Already done ")</f>
        <v>Already done </v>
      </c>
      <c r="O922" s="1" t="str">
        <f>IFERROR(__xludf.DUMMYFUNCTION("""COMPUTED_VALUE"""),"WA ONLY, CALL")</f>
        <v>WA ONLY, CALL</v>
      </c>
      <c r="P922" s="1" t="str">
        <f>IFERROR(__xludf.DUMMYFUNCTION("""COMPUTED_VALUE"""),"Madam")</f>
        <v>Madam</v>
      </c>
      <c r="Q922" s="1" t="str">
        <f>IFERROR(__xludf.DUMMYFUNCTION("""COMPUTED_VALUE"""),"No")</f>
        <v>No</v>
      </c>
      <c r="R922" s="1" t="str">
        <f>IFERROR(__xludf.DUMMYFUNCTION("""COMPUTED_VALUE"""),"OLD")</f>
        <v>OLD</v>
      </c>
      <c r="S922" s="1" t="str">
        <f>IFERROR(__xludf.DUMMYFUNCTION("""COMPUTED_VALUE"""),"No")</f>
        <v>No</v>
      </c>
    </row>
    <row r="923">
      <c r="A923" s="2">
        <f>IFERROR(__xludf.DUMMYFUNCTION("""COMPUTED_VALUE"""),45633.80770780092)</f>
        <v>45633.80771</v>
      </c>
      <c r="B923" s="1" t="str">
        <f>IFERROR(__xludf.DUMMYFUNCTION("""COMPUTED_VALUE"""),"Rajeev gera ")</f>
        <v>Rajeev gera </v>
      </c>
      <c r="C923" s="1">
        <f>IFERROR(__xludf.DUMMYFUNCTION("""COMPUTED_VALUE"""),9.990145453E9)</f>
        <v>9990145453</v>
      </c>
      <c r="D923" s="1">
        <f>IFERROR(__xludf.DUMMYFUNCTION("""COMPUTED_VALUE"""),2.0)</f>
        <v>2</v>
      </c>
      <c r="E923" s="3">
        <f>IFERROR(__xludf.DUMMYFUNCTION("""COMPUTED_VALUE"""),0.7604166666642413)</f>
        <v>0.7604166667</v>
      </c>
      <c r="F923" s="1" t="str">
        <f>IFERROR(__xludf.DUMMYFUNCTION("""COMPUTED_VALUE"""),"Diamond")</f>
        <v>Diamond</v>
      </c>
      <c r="G923" s="1" t="str">
        <f>IFERROR(__xludf.DUMMYFUNCTION("""COMPUTED_VALUE"""),"Tannu")</f>
        <v>Tannu</v>
      </c>
      <c r="H923" s="1" t="str">
        <f>IFERROR(__xludf.DUMMYFUNCTION("""COMPUTED_VALUE"""),"Gold pendent ")</f>
        <v>Gold pendent </v>
      </c>
      <c r="I923" s="1" t="str">
        <f>IFERROR(__xludf.DUMMYFUNCTION("""COMPUTED_VALUE"""),"Pick up Order")</f>
        <v>Pick up Order</v>
      </c>
      <c r="J923" s="1"/>
      <c r="K923" s="3">
        <f>IFERROR(__xludf.DUMMYFUNCTION("""COMPUTED_VALUE"""),0.8062500000014552)</f>
        <v>0.80625</v>
      </c>
      <c r="L923" s="1" t="str">
        <f>IFERROR(__xludf.DUMMYFUNCTION("""COMPUTED_VALUE"""),"Yes")</f>
        <v>Yes</v>
      </c>
      <c r="M923" s="1" t="str">
        <f>IFERROR(__xludf.DUMMYFUNCTION("""COMPUTED_VALUE"""),"Yes")</f>
        <v>Yes</v>
      </c>
      <c r="N923" s="1" t="str">
        <f>IFERROR(__xludf.DUMMYFUNCTION("""COMPUTED_VALUE"""),"Yes")</f>
        <v>Yes</v>
      </c>
      <c r="O923" s="1" t="str">
        <f>IFERROR(__xludf.DUMMYFUNCTION("""COMPUTED_VALUE"""),"WA ONLY, CALL")</f>
        <v>WA ONLY, CALL</v>
      </c>
      <c r="P923" s="1" t="str">
        <f>IFERROR(__xludf.DUMMYFUNCTION("""COMPUTED_VALUE"""),"Sir")</f>
        <v>Sir</v>
      </c>
      <c r="Q923" s="1" t="str">
        <f>IFERROR(__xludf.DUMMYFUNCTION("""COMPUTED_VALUE"""),"No")</f>
        <v>No</v>
      </c>
      <c r="R923" s="1" t="str">
        <f>IFERROR(__xludf.DUMMYFUNCTION("""COMPUTED_VALUE"""),"OLD")</f>
        <v>OLD</v>
      </c>
      <c r="S923" s="1" t="str">
        <f>IFERROR(__xludf.DUMMYFUNCTION("""COMPUTED_VALUE"""),"No")</f>
        <v>No</v>
      </c>
    </row>
    <row r="924">
      <c r="A924" s="2">
        <f>IFERROR(__xludf.DUMMYFUNCTION("""COMPUTED_VALUE"""),45634.71240471065)</f>
        <v>45634.7124</v>
      </c>
      <c r="B924" s="1" t="str">
        <f>IFERROR(__xludf.DUMMYFUNCTION("""COMPUTED_VALUE"""),"Manjeet")</f>
        <v>Manjeet</v>
      </c>
      <c r="C924" s="1">
        <f>IFERROR(__xludf.DUMMYFUNCTION("""COMPUTED_VALUE"""),9.999966187E9)</f>
        <v>9999966187</v>
      </c>
      <c r="D924" s="1">
        <f>IFERROR(__xludf.DUMMYFUNCTION("""COMPUTED_VALUE"""),2.0)</f>
        <v>2</v>
      </c>
      <c r="E924" s="3">
        <f>IFERROR(__xludf.DUMMYFUNCTION("""COMPUTED_VALUE"""),0.6354166666642413)</f>
        <v>0.6354166667</v>
      </c>
      <c r="F924" s="1" t="str">
        <f>IFERROR(__xludf.DUMMYFUNCTION("""COMPUTED_VALUE"""),"Antique Gold")</f>
        <v>Antique Gold</v>
      </c>
      <c r="G924" s="1" t="str">
        <f>IFERROR(__xludf.DUMMYFUNCTION("""COMPUTED_VALUE"""),"Pooja")</f>
        <v>Pooja</v>
      </c>
      <c r="H924" s="1" t="str">
        <f>IFERROR(__xludf.DUMMYFUNCTION("""COMPUTED_VALUE"""),"Gold baar 100gn")</f>
        <v>Gold baar 100gn</v>
      </c>
      <c r="I924" s="1" t="str">
        <f>IFERROR(__xludf.DUMMYFUNCTION("""COMPUTED_VALUE"""),"Visit Again in 1 Month")</f>
        <v>Visit Again in 1 Month</v>
      </c>
      <c r="J924" s="1"/>
      <c r="K924" s="3">
        <f>IFERROR(__xludf.DUMMYFUNCTION("""COMPUTED_VALUE"""),0.6506944444408873)</f>
        <v>0.6506944444</v>
      </c>
      <c r="L924" s="1" t="str">
        <f>IFERROR(__xludf.DUMMYFUNCTION("""COMPUTED_VALUE"""),"No")</f>
        <v>No</v>
      </c>
      <c r="M924" s="1" t="str">
        <f>IFERROR(__xludf.DUMMYFUNCTION("""COMPUTED_VALUE"""),"No")</f>
        <v>No</v>
      </c>
      <c r="N924" s="1" t="str">
        <f>IFERROR(__xludf.DUMMYFUNCTION("""COMPUTED_VALUE"""),"No")</f>
        <v>No</v>
      </c>
      <c r="O924" s="1" t="str">
        <f>IFERROR(__xludf.DUMMYFUNCTION("""COMPUTED_VALUE"""),"WA ONLY, CALL")</f>
        <v>WA ONLY, CALL</v>
      </c>
      <c r="P924" s="1" t="str">
        <f>IFERROR(__xludf.DUMMYFUNCTION("""COMPUTED_VALUE"""),"Sir")</f>
        <v>Sir</v>
      </c>
      <c r="Q924" s="1" t="str">
        <f>IFERROR(__xludf.DUMMYFUNCTION("""COMPUTED_VALUE"""),"No")</f>
        <v>No</v>
      </c>
      <c r="R924" s="1" t="str">
        <f>IFERROR(__xludf.DUMMYFUNCTION("""COMPUTED_VALUE"""),"NEW WALK IN")</f>
        <v>NEW WALK IN</v>
      </c>
      <c r="S924" s="1" t="str">
        <f>IFERROR(__xludf.DUMMYFUNCTION("""COMPUTED_VALUE"""),"No")</f>
        <v>No</v>
      </c>
    </row>
    <row r="925">
      <c r="A925" s="2">
        <f>IFERROR(__xludf.DUMMYFUNCTION("""COMPUTED_VALUE"""),45634.715937175926)</f>
        <v>45634.71594</v>
      </c>
      <c r="B925" s="1" t="str">
        <f>IFERROR(__xludf.DUMMYFUNCTION("""COMPUTED_VALUE"""),"Atoshi")</f>
        <v>Atoshi</v>
      </c>
      <c r="C925" s="1">
        <f>IFERROR(__xludf.DUMMYFUNCTION("""COMPUTED_VALUE"""),8.384049838E9)</f>
        <v>8384049838</v>
      </c>
      <c r="D925" s="1">
        <f>IFERROR(__xludf.DUMMYFUNCTION("""COMPUTED_VALUE"""),3.0)</f>
        <v>3</v>
      </c>
      <c r="E925" s="3">
        <f>IFERROR(__xludf.DUMMYFUNCTION("""COMPUTED_VALUE"""),0.5625)</f>
        <v>0.5625</v>
      </c>
      <c r="F925" s="1" t="str">
        <f>IFERROR(__xludf.DUMMYFUNCTION("""COMPUTED_VALUE"""),"Antique Gold")</f>
        <v>Antique Gold</v>
      </c>
      <c r="G925" s="1" t="str">
        <f>IFERROR(__xludf.DUMMYFUNCTION("""COMPUTED_VALUE"""),"Tannu")</f>
        <v>Tannu</v>
      </c>
      <c r="H925" s="1"/>
      <c r="I925" s="1" t="str">
        <f>IFERROR(__xludf.DUMMYFUNCTION("""COMPUTED_VALUE"""),"Kitty payment done")</f>
        <v>Kitty payment done</v>
      </c>
      <c r="J925" s="1"/>
      <c r="K925" s="3">
        <f>IFERROR(__xludf.DUMMYFUNCTION("""COMPUTED_VALUE"""),0.6041666666642413)</f>
        <v>0.6041666667</v>
      </c>
      <c r="L925" s="1" t="str">
        <f>IFERROR(__xludf.DUMMYFUNCTION("""COMPUTED_VALUE"""),"Yes")</f>
        <v>Yes</v>
      </c>
      <c r="M925" s="1" t="str">
        <f>IFERROR(__xludf.DUMMYFUNCTION("""COMPUTED_VALUE"""),"Already done ")</f>
        <v>Already done </v>
      </c>
      <c r="N925" s="1" t="str">
        <f>IFERROR(__xludf.DUMMYFUNCTION("""COMPUTED_VALUE"""),"Already done ")</f>
        <v>Already done </v>
      </c>
      <c r="O925" s="1" t="str">
        <f>IFERROR(__xludf.DUMMYFUNCTION("""COMPUTED_VALUE"""),"WA ONLY, CALL")</f>
        <v>WA ONLY, CALL</v>
      </c>
      <c r="P925" s="1" t="str">
        <f>IFERROR(__xludf.DUMMYFUNCTION("""COMPUTED_VALUE"""),"Madam")</f>
        <v>Madam</v>
      </c>
      <c r="Q925" s="1" t="str">
        <f>IFERROR(__xludf.DUMMYFUNCTION("""COMPUTED_VALUE"""),"No")</f>
        <v>No</v>
      </c>
      <c r="R925" s="1" t="str">
        <f>IFERROR(__xludf.DUMMYFUNCTION("""COMPUTED_VALUE"""),"OLD")</f>
        <v>OLD</v>
      </c>
      <c r="S925" s="1" t="str">
        <f>IFERROR(__xludf.DUMMYFUNCTION("""COMPUTED_VALUE"""),"No")</f>
        <v>No</v>
      </c>
    </row>
    <row r="926">
      <c r="A926" s="2">
        <f>IFERROR(__xludf.DUMMYFUNCTION("""COMPUTED_VALUE"""),45634.7169271412)</f>
        <v>45634.71693</v>
      </c>
      <c r="B926" s="1" t="str">
        <f>IFERROR(__xludf.DUMMYFUNCTION("""COMPUTED_VALUE"""),"Shrikan")</f>
        <v>Shrikan</v>
      </c>
      <c r="C926" s="1">
        <f>IFERROR(__xludf.DUMMYFUNCTION("""COMPUTED_VALUE"""),9.582929727E9)</f>
        <v>9582929727</v>
      </c>
      <c r="D926" s="1">
        <f>IFERROR(__xludf.DUMMYFUNCTION("""COMPUTED_VALUE"""),2.0)</f>
        <v>2</v>
      </c>
      <c r="E926" s="3">
        <f>IFERROR(__xludf.DUMMYFUNCTION("""COMPUTED_VALUE"""),0.59375)</f>
        <v>0.59375</v>
      </c>
      <c r="F926" s="1" t="str">
        <f>IFERROR(__xludf.DUMMYFUNCTION("""COMPUTED_VALUE"""),"Plain Gold")</f>
        <v>Plain Gold</v>
      </c>
      <c r="G926" s="1" t="str">
        <f>IFERROR(__xludf.DUMMYFUNCTION("""COMPUTED_VALUE"""),"Sapna")</f>
        <v>Sapna</v>
      </c>
      <c r="H926" s="1" t="str">
        <f>IFERROR(__xludf.DUMMYFUNCTION("""COMPUTED_VALUE"""),"Gold tops")</f>
        <v>Gold tops</v>
      </c>
      <c r="I926" s="1"/>
      <c r="J926" s="1"/>
      <c r="K926" s="3">
        <f>IFERROR(__xludf.DUMMYFUNCTION("""COMPUTED_VALUE"""),0.6666666666642413)</f>
        <v>0.6666666667</v>
      </c>
      <c r="L926" s="1" t="str">
        <f>IFERROR(__xludf.DUMMYFUNCTION("""COMPUTED_VALUE"""),"Yes")</f>
        <v>Yes</v>
      </c>
      <c r="M926" s="1" t="str">
        <f>IFERROR(__xludf.DUMMYFUNCTION("""COMPUTED_VALUE"""),"Yes")</f>
        <v>Yes</v>
      </c>
      <c r="N926" s="1" t="str">
        <f>IFERROR(__xludf.DUMMYFUNCTION("""COMPUTED_VALUE"""),"Yes")</f>
        <v>Yes</v>
      </c>
      <c r="O926" s="1" t="str">
        <f>IFERROR(__xludf.DUMMYFUNCTION("""COMPUTED_VALUE"""),"WA ONLY, CALL")</f>
        <v>WA ONLY, CALL</v>
      </c>
      <c r="P926" s="1" t="str">
        <f>IFERROR(__xludf.DUMMYFUNCTION("""COMPUTED_VALUE"""),"Sir")</f>
        <v>Sir</v>
      </c>
      <c r="Q926" s="1" t="str">
        <f>IFERROR(__xludf.DUMMYFUNCTION("""COMPUTED_VALUE"""),"No")</f>
        <v>No</v>
      </c>
      <c r="R926" s="1" t="str">
        <f>IFERROR(__xludf.DUMMYFUNCTION("""COMPUTED_VALUE"""),"OLD")</f>
        <v>OLD</v>
      </c>
      <c r="S926" s="1" t="str">
        <f>IFERROR(__xludf.DUMMYFUNCTION("""COMPUTED_VALUE"""),"Yes")</f>
        <v>Yes</v>
      </c>
    </row>
    <row r="927">
      <c r="A927" s="2">
        <f>IFERROR(__xludf.DUMMYFUNCTION("""COMPUTED_VALUE"""),45634.717731412034)</f>
        <v>45634.71773</v>
      </c>
      <c r="B927" s="1" t="str">
        <f>IFERROR(__xludf.DUMMYFUNCTION("""COMPUTED_VALUE"""),"Mukesh mehta")</f>
        <v>Mukesh mehta</v>
      </c>
      <c r="C927" s="1">
        <f>IFERROR(__xludf.DUMMYFUNCTION("""COMPUTED_VALUE"""),9.312401235E9)</f>
        <v>9312401235</v>
      </c>
      <c r="D927" s="1">
        <f>IFERROR(__xludf.DUMMYFUNCTION("""COMPUTED_VALUE"""),4.0)</f>
        <v>4</v>
      </c>
      <c r="E927" s="3">
        <f>IFERROR(__xludf.DUMMYFUNCTION("""COMPUTED_VALUE"""),0.6388888888905058)</f>
        <v>0.6388888889</v>
      </c>
      <c r="F927" s="1" t="str">
        <f>IFERROR(__xludf.DUMMYFUNCTION("""COMPUTED_VALUE"""),"Diamond")</f>
        <v>Diamond</v>
      </c>
      <c r="G927" s="1" t="str">
        <f>IFERROR(__xludf.DUMMYFUNCTION("""COMPUTED_VALUE"""),"Preeti")</f>
        <v>Preeti</v>
      </c>
      <c r="H927" s="1" t="str">
        <f>IFERROR(__xludf.DUMMYFUNCTION("""COMPUTED_VALUE"""),"Gold ring tops")</f>
        <v>Gold ring tops</v>
      </c>
      <c r="I927" s="1"/>
      <c r="J927" s="1"/>
      <c r="K927" s="3">
        <f>IFERROR(__xludf.DUMMYFUNCTION("""COMPUTED_VALUE"""),0.7013888888905058)</f>
        <v>0.7013888889</v>
      </c>
      <c r="L927" s="1" t="str">
        <f>IFERROR(__xludf.DUMMYFUNCTION("""COMPUTED_VALUE"""),"Yes")</f>
        <v>Yes</v>
      </c>
      <c r="M927" s="1" t="str">
        <f>IFERROR(__xludf.DUMMYFUNCTION("""COMPUTED_VALUE"""),"Already done ")</f>
        <v>Already done </v>
      </c>
      <c r="N927" s="1" t="str">
        <f>IFERROR(__xludf.DUMMYFUNCTION("""COMPUTED_VALUE"""),"Already done ")</f>
        <v>Already done </v>
      </c>
      <c r="O927" s="1" t="str">
        <f>IFERROR(__xludf.DUMMYFUNCTION("""COMPUTED_VALUE"""),"WA ONLY, CALL")</f>
        <v>WA ONLY, CALL</v>
      </c>
      <c r="P927" s="1" t="str">
        <f>IFERROR(__xludf.DUMMYFUNCTION("""COMPUTED_VALUE"""),"Sir")</f>
        <v>Sir</v>
      </c>
      <c r="Q927" s="1" t="str">
        <f>IFERROR(__xludf.DUMMYFUNCTION("""COMPUTED_VALUE"""),"No")</f>
        <v>No</v>
      </c>
      <c r="R927" s="1" t="str">
        <f>IFERROR(__xludf.DUMMYFUNCTION("""COMPUTED_VALUE"""),"OLD")</f>
        <v>OLD</v>
      </c>
      <c r="S927" s="1" t="str">
        <f>IFERROR(__xludf.DUMMYFUNCTION("""COMPUTED_VALUE"""),"Yes")</f>
        <v>Yes</v>
      </c>
    </row>
    <row r="928">
      <c r="A928" s="2">
        <f>IFERROR(__xludf.DUMMYFUNCTION("""COMPUTED_VALUE"""),45634.718408368055)</f>
        <v>45634.71841</v>
      </c>
      <c r="B928" s="1" t="str">
        <f>IFERROR(__xludf.DUMMYFUNCTION("""COMPUTED_VALUE"""),"Bhumika")</f>
        <v>Bhumika</v>
      </c>
      <c r="C928" s="1">
        <f>IFERROR(__xludf.DUMMYFUNCTION("""COMPUTED_VALUE"""),8.80299419E8)</f>
        <v>880299419</v>
      </c>
      <c r="D928" s="1">
        <f>IFERROR(__xludf.DUMMYFUNCTION("""COMPUTED_VALUE"""),1.0)</f>
        <v>1</v>
      </c>
      <c r="E928" s="3">
        <f>IFERROR(__xludf.DUMMYFUNCTION("""COMPUTED_VALUE"""),0.6805555555547471)</f>
        <v>0.6805555556</v>
      </c>
      <c r="F928" s="1" t="str">
        <f>IFERROR(__xludf.DUMMYFUNCTION("""COMPUTED_VALUE"""),"Antique Gold")</f>
        <v>Antique Gold</v>
      </c>
      <c r="G928" s="1" t="str">
        <f>IFERROR(__xludf.DUMMYFUNCTION("""COMPUTED_VALUE"""),"Tannu")</f>
        <v>Tannu</v>
      </c>
      <c r="H928" s="1" t="str">
        <f>IFERROR(__xludf.DUMMYFUNCTION("""COMPUTED_VALUE"""),"Diamond ring")</f>
        <v>Diamond ring</v>
      </c>
      <c r="I928" s="1" t="str">
        <f>IFERROR(__xludf.DUMMYFUNCTION("""COMPUTED_VALUE"""),"Visit Again in 1 Month")</f>
        <v>Visit Again in 1 Month</v>
      </c>
      <c r="J928" s="1"/>
      <c r="K928" s="3">
        <f>IFERROR(__xludf.DUMMYFUNCTION("""COMPUTED_VALUE"""),0.6937499999985448)</f>
        <v>0.69375</v>
      </c>
      <c r="L928" s="1" t="str">
        <f>IFERROR(__xludf.DUMMYFUNCTION("""COMPUTED_VALUE"""),"No")</f>
        <v>No</v>
      </c>
      <c r="M928" s="1" t="str">
        <f>IFERROR(__xludf.DUMMYFUNCTION("""COMPUTED_VALUE"""),"No")</f>
        <v>No</v>
      </c>
      <c r="N928" s="1" t="str">
        <f>IFERROR(__xludf.DUMMYFUNCTION("""COMPUTED_VALUE"""),"No")</f>
        <v>No</v>
      </c>
      <c r="O928" s="1" t="str">
        <f>IFERROR(__xludf.DUMMYFUNCTION("""COMPUTED_VALUE"""),"WA ONLY, CALL")</f>
        <v>WA ONLY, CALL</v>
      </c>
      <c r="P928" s="1" t="str">
        <f>IFERROR(__xludf.DUMMYFUNCTION("""COMPUTED_VALUE"""),"Madam")</f>
        <v>Madam</v>
      </c>
      <c r="Q928" s="1" t="str">
        <f>IFERROR(__xludf.DUMMYFUNCTION("""COMPUTED_VALUE"""),"No")</f>
        <v>No</v>
      </c>
      <c r="R928" s="1" t="str">
        <f>IFERROR(__xludf.DUMMYFUNCTION("""COMPUTED_VALUE"""),"NEW WALK IN")</f>
        <v>NEW WALK IN</v>
      </c>
      <c r="S928" s="1" t="str">
        <f>IFERROR(__xludf.DUMMYFUNCTION("""COMPUTED_VALUE"""),"No")</f>
        <v>No</v>
      </c>
    </row>
    <row r="929">
      <c r="A929" s="2">
        <f>IFERROR(__xludf.DUMMYFUNCTION("""COMPUTED_VALUE"""),45636.77753717593)</f>
        <v>45636.77754</v>
      </c>
      <c r="B929" s="1" t="str">
        <f>IFERROR(__xludf.DUMMYFUNCTION("""COMPUTED_VALUE"""),"Sunita chadda ")</f>
        <v>Sunita chadda </v>
      </c>
      <c r="C929" s="1">
        <f>IFERROR(__xludf.DUMMYFUNCTION("""COMPUTED_VALUE"""),9.310338843E9)</f>
        <v>9310338843</v>
      </c>
      <c r="D929" s="1">
        <f>IFERROR(__xludf.DUMMYFUNCTION("""COMPUTED_VALUE"""),1.0)</f>
        <v>1</v>
      </c>
      <c r="E929" s="3">
        <f>IFERROR(__xludf.DUMMYFUNCTION("""COMPUTED_VALUE"""),0.5729166666642413)</f>
        <v>0.5729166667</v>
      </c>
      <c r="F929" s="1" t="str">
        <f>IFERROR(__xludf.DUMMYFUNCTION("""COMPUTED_VALUE"""),"Diamond")</f>
        <v>Diamond</v>
      </c>
      <c r="G929" s="1" t="str">
        <f>IFERROR(__xludf.DUMMYFUNCTION("""COMPUTED_VALUE"""),"Preeti")</f>
        <v>Preeti</v>
      </c>
      <c r="H929" s="1"/>
      <c r="I929" s="1" t="str">
        <f>IFERROR(__xludf.DUMMYFUNCTION("""COMPUTED_VALUE"""),"Pick up Order")</f>
        <v>Pick up Order</v>
      </c>
      <c r="J929" s="1"/>
      <c r="K929" s="3">
        <f>IFERROR(__xludf.DUMMYFUNCTION("""COMPUTED_VALUE"""),0.5826388888890506)</f>
        <v>0.5826388889</v>
      </c>
      <c r="L929" s="1" t="str">
        <f>IFERROR(__xludf.DUMMYFUNCTION("""COMPUTED_VALUE"""),"Yes")</f>
        <v>Yes</v>
      </c>
      <c r="M929" s="1" t="str">
        <f>IFERROR(__xludf.DUMMYFUNCTION("""COMPUTED_VALUE"""),"Already done ")</f>
        <v>Already done </v>
      </c>
      <c r="N929" s="1" t="str">
        <f>IFERROR(__xludf.DUMMYFUNCTION("""COMPUTED_VALUE"""),"Already done ")</f>
        <v>Already done </v>
      </c>
      <c r="O929" s="1" t="str">
        <f>IFERROR(__xludf.DUMMYFUNCTION("""COMPUTED_VALUE"""),"WA ONLY, CALL")</f>
        <v>WA ONLY, CALL</v>
      </c>
      <c r="P929" s="1" t="str">
        <f>IFERROR(__xludf.DUMMYFUNCTION("""COMPUTED_VALUE"""),"Madam")</f>
        <v>Madam</v>
      </c>
      <c r="Q929" s="1" t="str">
        <f>IFERROR(__xludf.DUMMYFUNCTION("""COMPUTED_VALUE"""),"No")</f>
        <v>No</v>
      </c>
      <c r="R929" s="1" t="str">
        <f>IFERROR(__xludf.DUMMYFUNCTION("""COMPUTED_VALUE"""),"OLD")</f>
        <v>OLD</v>
      </c>
      <c r="S929" s="1" t="str">
        <f>IFERROR(__xludf.DUMMYFUNCTION("""COMPUTED_VALUE"""),"No")</f>
        <v>No</v>
      </c>
    </row>
    <row r="930">
      <c r="A930" s="2">
        <f>IFERROR(__xludf.DUMMYFUNCTION("""COMPUTED_VALUE"""),45636.77880399306)</f>
        <v>45636.7788</v>
      </c>
      <c r="B930" s="1" t="str">
        <f>IFERROR(__xludf.DUMMYFUNCTION("""COMPUTED_VALUE"""),"Dr.maynak")</f>
        <v>Dr.maynak</v>
      </c>
      <c r="C930" s="1">
        <f>IFERROR(__xludf.DUMMYFUNCTION("""COMPUTED_VALUE"""),7.982125833E9)</f>
        <v>7982125833</v>
      </c>
      <c r="D930" s="1">
        <f>IFERROR(__xludf.DUMMYFUNCTION("""COMPUTED_VALUE"""),1.0)</f>
        <v>1</v>
      </c>
      <c r="E930" s="3">
        <f>IFERROR(__xludf.DUMMYFUNCTION("""COMPUTED_VALUE"""),0.7430555555547471)</f>
        <v>0.7430555556</v>
      </c>
      <c r="F930" s="1" t="str">
        <f>IFERROR(__xludf.DUMMYFUNCTION("""COMPUTED_VALUE"""),"Plain Gold")</f>
        <v>Plain Gold</v>
      </c>
      <c r="G930" s="1" t="str">
        <f>IFERROR(__xludf.DUMMYFUNCTION("""COMPUTED_VALUE"""),"Sapna")</f>
        <v>Sapna</v>
      </c>
      <c r="H930" s="1" t="str">
        <f>IFERROR(__xludf.DUMMYFUNCTION("""COMPUTED_VALUE"""),"Ledis silver breslet ")</f>
        <v>Ledis silver breslet </v>
      </c>
      <c r="I930" s="1" t="str">
        <f>IFERROR(__xludf.DUMMYFUNCTION("""COMPUTED_VALUE"""),"Money shot customer visit again")</f>
        <v>Money shot customer visit again</v>
      </c>
      <c r="J930" s="1"/>
      <c r="K930" s="3">
        <f>IFERROR(__xludf.DUMMYFUNCTION("""COMPUTED_VALUE"""),0.7611111111109494)</f>
        <v>0.7611111111</v>
      </c>
      <c r="L930" s="1" t="str">
        <f>IFERROR(__xludf.DUMMYFUNCTION("""COMPUTED_VALUE"""),"Yes")</f>
        <v>Yes</v>
      </c>
      <c r="M930" s="1" t="str">
        <f>IFERROR(__xludf.DUMMYFUNCTION("""COMPUTED_VALUE"""),"Already done ")</f>
        <v>Already done </v>
      </c>
      <c r="N930" s="1" t="str">
        <f>IFERROR(__xludf.DUMMYFUNCTION("""COMPUTED_VALUE"""),"Already done ")</f>
        <v>Already done </v>
      </c>
      <c r="O930" s="1" t="str">
        <f>IFERROR(__xludf.DUMMYFUNCTION("""COMPUTED_VALUE"""),"WA ONLY, CALL")</f>
        <v>WA ONLY, CALL</v>
      </c>
      <c r="P930" s="1" t="str">
        <f>IFERROR(__xludf.DUMMYFUNCTION("""COMPUTED_VALUE"""),"Sir")</f>
        <v>Sir</v>
      </c>
      <c r="Q930" s="1" t="str">
        <f>IFERROR(__xludf.DUMMYFUNCTION("""COMPUTED_VALUE"""),"No")</f>
        <v>No</v>
      </c>
      <c r="R930" s="1" t="str">
        <f>IFERROR(__xludf.DUMMYFUNCTION("""COMPUTED_VALUE"""),"OLD")</f>
        <v>OLD</v>
      </c>
      <c r="S930" s="1" t="str">
        <f>IFERROR(__xludf.DUMMYFUNCTION("""COMPUTED_VALUE"""),"No")</f>
        <v>No</v>
      </c>
    </row>
    <row r="931">
      <c r="A931" s="2">
        <f>IFERROR(__xludf.DUMMYFUNCTION("""COMPUTED_VALUE"""),45637.756906145834)</f>
        <v>45637.75691</v>
      </c>
      <c r="B931" s="1" t="str">
        <f>IFERROR(__xludf.DUMMYFUNCTION("""COMPUTED_VALUE"""),"Shalu nagpal")</f>
        <v>Shalu nagpal</v>
      </c>
      <c r="C931" s="1">
        <f>IFERROR(__xludf.DUMMYFUNCTION("""COMPUTED_VALUE"""),9.355031025E9)</f>
        <v>9355031025</v>
      </c>
      <c r="D931" s="1">
        <f>IFERROR(__xludf.DUMMYFUNCTION("""COMPUTED_VALUE"""),2.0)</f>
        <v>2</v>
      </c>
      <c r="E931" s="3">
        <f>IFERROR(__xludf.DUMMYFUNCTION("""COMPUTED_VALUE"""),0.625)</f>
        <v>0.625</v>
      </c>
      <c r="F931" s="1"/>
      <c r="G931" s="1" t="str">
        <f>IFERROR(__xludf.DUMMYFUNCTION("""COMPUTED_VALUE"""),"Preeti")</f>
        <v>Preeti</v>
      </c>
      <c r="H931" s="1" t="str">
        <f>IFERROR(__xludf.DUMMYFUNCTION("""COMPUTED_VALUE"""),"Gold tops,diamond ring,gold chain")</f>
        <v>Gold tops,diamond ring,gold chain</v>
      </c>
      <c r="I931" s="1"/>
      <c r="J931" s="1"/>
      <c r="K931" s="3">
        <f>IFERROR(__xludf.DUMMYFUNCTION("""COMPUTED_VALUE"""),0.6965277777781012)</f>
        <v>0.6965277778</v>
      </c>
      <c r="L931" s="1" t="str">
        <f>IFERROR(__xludf.DUMMYFUNCTION("""COMPUTED_VALUE"""),"Yes")</f>
        <v>Yes</v>
      </c>
      <c r="M931" s="1" t="str">
        <f>IFERROR(__xludf.DUMMYFUNCTION("""COMPUTED_VALUE"""),"Yes")</f>
        <v>Yes</v>
      </c>
      <c r="N931" s="1" t="str">
        <f>IFERROR(__xludf.DUMMYFUNCTION("""COMPUTED_VALUE"""),"Yes")</f>
        <v>Yes</v>
      </c>
      <c r="O931" s="1" t="str">
        <f>IFERROR(__xludf.DUMMYFUNCTION("""COMPUTED_VALUE"""),"WA ONLY, CALL")</f>
        <v>WA ONLY, CALL</v>
      </c>
      <c r="P931" s="1" t="str">
        <f>IFERROR(__xludf.DUMMYFUNCTION("""COMPUTED_VALUE"""),"Madam")</f>
        <v>Madam</v>
      </c>
      <c r="Q931" s="1" t="str">
        <f>IFERROR(__xludf.DUMMYFUNCTION("""COMPUTED_VALUE"""),"Yes")</f>
        <v>Yes</v>
      </c>
      <c r="R931" s="1" t="str">
        <f>IFERROR(__xludf.DUMMYFUNCTION("""COMPUTED_VALUE"""),"OLD")</f>
        <v>OLD</v>
      </c>
      <c r="S931" s="1" t="str">
        <f>IFERROR(__xludf.DUMMYFUNCTION("""COMPUTED_VALUE"""),"Yes")</f>
        <v>Yes</v>
      </c>
    </row>
    <row r="932">
      <c r="A932" s="2">
        <f>IFERROR(__xludf.DUMMYFUNCTION("""COMPUTED_VALUE"""),45638.665500243056)</f>
        <v>45638.6655</v>
      </c>
      <c r="B932" s="1" t="str">
        <f>IFERROR(__xludf.DUMMYFUNCTION("""COMPUTED_VALUE"""),"Ayub khan")</f>
        <v>Ayub khan</v>
      </c>
      <c r="C932" s="1">
        <f>IFERROR(__xludf.DUMMYFUNCTION("""COMPUTED_VALUE"""),9.811575861E9)</f>
        <v>9811575861</v>
      </c>
      <c r="D932" s="1" t="str">
        <f>IFERROR(__xludf.DUMMYFUNCTION("""COMPUTED_VALUE"""),"Antique ")</f>
        <v>Antique </v>
      </c>
      <c r="E932" s="3">
        <f>IFERROR(__xludf.DUMMYFUNCTION("""COMPUTED_VALUE"""),0.5840277777751908)</f>
        <v>0.5840277778</v>
      </c>
      <c r="F932" s="1"/>
      <c r="G932" s="1" t="str">
        <f>IFERROR(__xludf.DUMMYFUNCTION("""COMPUTED_VALUE"""),"Tannu")</f>
        <v>Tannu</v>
      </c>
      <c r="H932" s="1"/>
      <c r="I932" s="1" t="str">
        <f>IFERROR(__xludf.DUMMYFUNCTION("""COMPUTED_VALUE"""),"Gold necklace set,long set repair ")</f>
        <v>Gold necklace set,long set repair </v>
      </c>
      <c r="J932" s="1"/>
      <c r="K932" s="3">
        <f>IFERROR(__xludf.DUMMYFUNCTION("""COMPUTED_VALUE"""),0.6458333333357587)</f>
        <v>0.6458333333</v>
      </c>
      <c r="L932" s="1" t="str">
        <f>IFERROR(__xludf.DUMMYFUNCTION("""COMPUTED_VALUE"""),"Yes")</f>
        <v>Yes</v>
      </c>
      <c r="M932" s="1" t="str">
        <f>IFERROR(__xludf.DUMMYFUNCTION("""COMPUTED_VALUE"""),"Already done ")</f>
        <v>Already done </v>
      </c>
      <c r="N932" s="1" t="str">
        <f>IFERROR(__xludf.DUMMYFUNCTION("""COMPUTED_VALUE"""),"Already done ")</f>
        <v>Already done </v>
      </c>
      <c r="O932" s="1" t="str">
        <f>IFERROR(__xludf.DUMMYFUNCTION("""COMPUTED_VALUE"""),"WA ONLY, CALL")</f>
        <v>WA ONLY, CALL</v>
      </c>
      <c r="P932" s="1" t="str">
        <f>IFERROR(__xludf.DUMMYFUNCTION("""COMPUTED_VALUE"""),"Sir")</f>
        <v>Sir</v>
      </c>
      <c r="Q932" s="1" t="str">
        <f>IFERROR(__xludf.DUMMYFUNCTION("""COMPUTED_VALUE"""),"No")</f>
        <v>No</v>
      </c>
      <c r="R932" s="1" t="str">
        <f>IFERROR(__xludf.DUMMYFUNCTION("""COMPUTED_VALUE"""),"OLD")</f>
        <v>OLD</v>
      </c>
      <c r="S932" s="1" t="str">
        <f>IFERROR(__xludf.DUMMYFUNCTION("""COMPUTED_VALUE"""),"No")</f>
        <v>No</v>
      </c>
    </row>
    <row r="933">
      <c r="A933" s="2">
        <f>IFERROR(__xludf.DUMMYFUNCTION("""COMPUTED_VALUE"""),45639.58958627315)</f>
        <v>45639.58959</v>
      </c>
      <c r="B933" s="1" t="str">
        <f>IFERROR(__xludf.DUMMYFUNCTION("""COMPUTED_VALUE"""),"Anupama")</f>
        <v>Anupama</v>
      </c>
      <c r="C933" s="1">
        <f>IFERROR(__xludf.DUMMYFUNCTION("""COMPUTED_VALUE"""),9.999008756E9)</f>
        <v>9999008756</v>
      </c>
      <c r="D933" s="1">
        <f>IFERROR(__xludf.DUMMYFUNCTION("""COMPUTED_VALUE"""),1.0)</f>
        <v>1</v>
      </c>
      <c r="E933" s="3">
        <f>IFERROR(__xludf.DUMMYFUNCTION("""COMPUTED_VALUE"""),0.5381944444452529)</f>
        <v>0.5381944444</v>
      </c>
      <c r="F933" s="1" t="str">
        <f>IFERROR(__xludf.DUMMYFUNCTION("""COMPUTED_VALUE"""),"Diamond")</f>
        <v>Diamond</v>
      </c>
      <c r="G933" s="1" t="str">
        <f>IFERROR(__xludf.DUMMYFUNCTION("""COMPUTED_VALUE"""),"Preeti")</f>
        <v>Preeti</v>
      </c>
      <c r="H933" s="1"/>
      <c r="I933" s="1" t="str">
        <f>IFERROR(__xludf.DUMMYFUNCTION("""COMPUTED_VALUE"""),"Repair done and remaking ")</f>
        <v>Repair done and remaking </v>
      </c>
      <c r="J933" s="1"/>
      <c r="K933" s="3">
        <f>IFERROR(__xludf.DUMMYFUNCTION("""COMPUTED_VALUE"""),0.5833333333357587)</f>
        <v>0.5833333333</v>
      </c>
      <c r="L933" s="1" t="str">
        <f>IFERROR(__xludf.DUMMYFUNCTION("""COMPUTED_VALUE"""),"Yes")</f>
        <v>Yes</v>
      </c>
      <c r="M933" s="1" t="str">
        <f>IFERROR(__xludf.DUMMYFUNCTION("""COMPUTED_VALUE"""),"Already done ")</f>
        <v>Already done </v>
      </c>
      <c r="N933" s="1" t="str">
        <f>IFERROR(__xludf.DUMMYFUNCTION("""COMPUTED_VALUE"""),"Already done ")</f>
        <v>Already done </v>
      </c>
      <c r="O933" s="1" t="str">
        <f>IFERROR(__xludf.DUMMYFUNCTION("""COMPUTED_VALUE"""),"WA ONLY, CALL")</f>
        <v>WA ONLY, CALL</v>
      </c>
      <c r="P933" s="1" t="str">
        <f>IFERROR(__xludf.DUMMYFUNCTION("""COMPUTED_VALUE"""),"Madam")</f>
        <v>Madam</v>
      </c>
      <c r="Q933" s="1" t="str">
        <f>IFERROR(__xludf.DUMMYFUNCTION("""COMPUTED_VALUE"""),"No")</f>
        <v>No</v>
      </c>
      <c r="R933" s="1" t="str">
        <f>IFERROR(__xludf.DUMMYFUNCTION("""COMPUTED_VALUE"""),"OLD")</f>
        <v>OLD</v>
      </c>
      <c r="S933" s="1" t="str">
        <f>IFERROR(__xludf.DUMMYFUNCTION("""COMPUTED_VALUE"""),"No")</f>
        <v>No</v>
      </c>
    </row>
    <row r="934">
      <c r="A934" s="2">
        <f>IFERROR(__xludf.DUMMYFUNCTION("""COMPUTED_VALUE"""),45639.753267858796)</f>
        <v>45639.75327</v>
      </c>
      <c r="B934" s="1" t="str">
        <f>IFERROR(__xludf.DUMMYFUNCTION("""COMPUTED_VALUE"""),"Mohit tiwari")</f>
        <v>Mohit tiwari</v>
      </c>
      <c r="C934" s="1">
        <f>IFERROR(__xludf.DUMMYFUNCTION("""COMPUTED_VALUE"""),7.726868778E9)</f>
        <v>7726868778</v>
      </c>
      <c r="D934" s="1">
        <f>IFERROR(__xludf.DUMMYFUNCTION("""COMPUTED_VALUE"""),2.0)</f>
        <v>2</v>
      </c>
      <c r="E934" s="3">
        <f>IFERROR(__xludf.DUMMYFUNCTION("""COMPUTED_VALUE"""),0.679861111115315)</f>
        <v>0.6798611111</v>
      </c>
      <c r="F934" s="1"/>
      <c r="G934" s="1" t="str">
        <f>IFERROR(__xludf.DUMMYFUNCTION("""COMPUTED_VALUE"""),"Sapna")</f>
        <v>Sapna</v>
      </c>
      <c r="H934" s="1" t="str">
        <f>IFERROR(__xludf.DUMMYFUNCTION("""COMPUTED_VALUE"""),"Gold ring,gold chain")</f>
        <v>Gold ring,gold chain</v>
      </c>
      <c r="I934" s="1"/>
      <c r="J934" s="1"/>
      <c r="K934" s="3">
        <f>IFERROR(__xludf.DUMMYFUNCTION("""COMPUTED_VALUE"""),0.7083333333357587)</f>
        <v>0.7083333333</v>
      </c>
      <c r="L934" s="1" t="str">
        <f>IFERROR(__xludf.DUMMYFUNCTION("""COMPUTED_VALUE"""),"Yes")</f>
        <v>Yes</v>
      </c>
      <c r="M934" s="1" t="str">
        <f>IFERROR(__xludf.DUMMYFUNCTION("""COMPUTED_VALUE"""),"Yes")</f>
        <v>Yes</v>
      </c>
      <c r="N934" s="1" t="str">
        <f>IFERROR(__xludf.DUMMYFUNCTION("""COMPUTED_VALUE"""),"Yes")</f>
        <v>Yes</v>
      </c>
      <c r="O934" s="1" t="str">
        <f>IFERROR(__xludf.DUMMYFUNCTION("""COMPUTED_VALUE"""),"WA ONLY, CALL")</f>
        <v>WA ONLY, CALL</v>
      </c>
      <c r="P934" s="1" t="str">
        <f>IFERROR(__xludf.DUMMYFUNCTION("""COMPUTED_VALUE"""),"Sir")</f>
        <v>Sir</v>
      </c>
      <c r="Q934" s="1" t="str">
        <f>IFERROR(__xludf.DUMMYFUNCTION("""COMPUTED_VALUE"""),"No")</f>
        <v>No</v>
      </c>
      <c r="R934" s="1" t="str">
        <f>IFERROR(__xludf.DUMMYFUNCTION("""COMPUTED_VALUE"""),"NEW WALK IN")</f>
        <v>NEW WALK IN</v>
      </c>
      <c r="S934" s="1" t="str">
        <f>IFERROR(__xludf.DUMMYFUNCTION("""COMPUTED_VALUE"""),"Yes")</f>
        <v>Yes</v>
      </c>
    </row>
    <row r="935">
      <c r="A935" s="2">
        <f>IFERROR(__xludf.DUMMYFUNCTION("""COMPUTED_VALUE"""),45639.781032349536)</f>
        <v>45639.78103</v>
      </c>
      <c r="B935" s="1" t="str">
        <f>IFERROR(__xludf.DUMMYFUNCTION("""COMPUTED_VALUE"""),"Shital arora")</f>
        <v>Shital arora</v>
      </c>
      <c r="C935" s="1">
        <f>IFERROR(__xludf.DUMMYFUNCTION("""COMPUTED_VALUE"""),9.717700546E9)</f>
        <v>9717700546</v>
      </c>
      <c r="D935" s="1">
        <f>IFERROR(__xludf.DUMMYFUNCTION("""COMPUTED_VALUE"""),2.0)</f>
        <v>2</v>
      </c>
      <c r="E935" s="3">
        <f>IFERROR(__xludf.DUMMYFUNCTION("""COMPUTED_VALUE"""),0.6791666666686069)</f>
        <v>0.6791666667</v>
      </c>
      <c r="F935" s="1" t="str">
        <f>IFERROR(__xludf.DUMMYFUNCTION("""COMPUTED_VALUE"""),"Diamond")</f>
        <v>Diamond</v>
      </c>
      <c r="G935" s="1" t="str">
        <f>IFERROR(__xludf.DUMMYFUNCTION("""COMPUTED_VALUE"""),"Tannu")</f>
        <v>Tannu</v>
      </c>
      <c r="H935" s="1" t="str">
        <f>IFERROR(__xludf.DUMMYFUNCTION("""COMPUTED_VALUE"""),"Silver pooja thali,long set")</f>
        <v>Silver pooja thali,long set</v>
      </c>
      <c r="I935" s="1"/>
      <c r="J935" s="1"/>
      <c r="K935" s="3">
        <f>IFERROR(__xludf.DUMMYFUNCTION("""COMPUTED_VALUE"""),0.7624999999970896)</f>
        <v>0.7625</v>
      </c>
      <c r="L935" s="1" t="str">
        <f>IFERROR(__xludf.DUMMYFUNCTION("""COMPUTED_VALUE"""),"Yes")</f>
        <v>Yes</v>
      </c>
      <c r="M935" s="1" t="str">
        <f>IFERROR(__xludf.DUMMYFUNCTION("""COMPUTED_VALUE"""),"Already done ")</f>
        <v>Already done </v>
      </c>
      <c r="N935" s="1" t="str">
        <f>IFERROR(__xludf.DUMMYFUNCTION("""COMPUTED_VALUE"""),"Already done ")</f>
        <v>Already done </v>
      </c>
      <c r="O935" s="1" t="str">
        <f>IFERROR(__xludf.DUMMYFUNCTION("""COMPUTED_VALUE"""),"WA ONLY, CALL")</f>
        <v>WA ONLY, CALL</v>
      </c>
      <c r="P935" s="1" t="str">
        <f>IFERROR(__xludf.DUMMYFUNCTION("""COMPUTED_VALUE"""),"Madam")</f>
        <v>Madam</v>
      </c>
      <c r="Q935" s="1"/>
      <c r="R935" s="1" t="str">
        <f>IFERROR(__xludf.DUMMYFUNCTION("""COMPUTED_VALUE"""),"OLD")</f>
        <v>OLD</v>
      </c>
      <c r="S935" s="1" t="str">
        <f>IFERROR(__xludf.DUMMYFUNCTION("""COMPUTED_VALUE"""),"Yes")</f>
        <v>Yes</v>
      </c>
    </row>
    <row r="936">
      <c r="A936" s="2">
        <f>IFERROR(__xludf.DUMMYFUNCTION("""COMPUTED_VALUE"""),45639.78243643518)</f>
        <v>45639.78244</v>
      </c>
      <c r="B936" s="1" t="str">
        <f>IFERROR(__xludf.DUMMYFUNCTION("""COMPUTED_VALUE"""),"Annan jalan")</f>
        <v>Annan jalan</v>
      </c>
      <c r="C936" s="1">
        <f>IFERROR(__xludf.DUMMYFUNCTION("""COMPUTED_VALUE"""),9.810857727E9)</f>
        <v>9810857727</v>
      </c>
      <c r="D936" s="1">
        <f>IFERROR(__xludf.DUMMYFUNCTION("""COMPUTED_VALUE"""),3.0)</f>
        <v>3</v>
      </c>
      <c r="E936" s="3">
        <f>IFERROR(__xludf.DUMMYFUNCTION("""COMPUTED_VALUE"""),0.7013888888905058)</f>
        <v>0.7013888889</v>
      </c>
      <c r="F936" s="1" t="str">
        <f>IFERROR(__xludf.DUMMYFUNCTION("""COMPUTED_VALUE"""),"Antique Gold")</f>
        <v>Antique Gold</v>
      </c>
      <c r="G936" s="1" t="str">
        <f>IFERROR(__xludf.DUMMYFUNCTION("""COMPUTED_VALUE"""),"Preeti")</f>
        <v>Preeti</v>
      </c>
      <c r="H936" s="1" t="str">
        <f>IFERROR(__xludf.DUMMYFUNCTION("""COMPUTED_VALUE"""),"Diamond breslet ")</f>
        <v>Diamond breslet </v>
      </c>
      <c r="I936" s="1" t="str">
        <f>IFERROR(__xludf.DUMMYFUNCTION("""COMPUTED_VALUE"""),"Repair done")</f>
        <v>Repair done</v>
      </c>
      <c r="J936" s="1"/>
      <c r="K936" s="3">
        <f>IFERROR(__xludf.DUMMYFUNCTION("""COMPUTED_VALUE"""),0.7708333333357587)</f>
        <v>0.7708333333</v>
      </c>
      <c r="L936" s="1" t="str">
        <f>IFERROR(__xludf.DUMMYFUNCTION("""COMPUTED_VALUE"""),"Yes")</f>
        <v>Yes</v>
      </c>
      <c r="M936" s="1" t="str">
        <f>IFERROR(__xludf.DUMMYFUNCTION("""COMPUTED_VALUE"""),"Already done ")</f>
        <v>Already done </v>
      </c>
      <c r="N936" s="1" t="str">
        <f>IFERROR(__xludf.DUMMYFUNCTION("""COMPUTED_VALUE"""),"Already done ")</f>
        <v>Already done </v>
      </c>
      <c r="O936" s="1" t="str">
        <f>IFERROR(__xludf.DUMMYFUNCTION("""COMPUTED_VALUE"""),"WA ONLY, CALL")</f>
        <v>WA ONLY, CALL</v>
      </c>
      <c r="P936" s="1" t="str">
        <f>IFERROR(__xludf.DUMMYFUNCTION("""COMPUTED_VALUE"""),"Sir")</f>
        <v>Sir</v>
      </c>
      <c r="Q936" s="1" t="str">
        <f>IFERROR(__xludf.DUMMYFUNCTION("""COMPUTED_VALUE"""),"No")</f>
        <v>No</v>
      </c>
      <c r="R936" s="1" t="str">
        <f>IFERROR(__xludf.DUMMYFUNCTION("""COMPUTED_VALUE"""),"OLD")</f>
        <v>OLD</v>
      </c>
      <c r="S936" s="1" t="str">
        <f>IFERROR(__xludf.DUMMYFUNCTION("""COMPUTED_VALUE"""),"No")</f>
        <v>No</v>
      </c>
    </row>
    <row r="937">
      <c r="A937" s="2">
        <f>IFERROR(__xludf.DUMMYFUNCTION("""COMPUTED_VALUE"""),45640.76468599537)</f>
        <v>45640.76469</v>
      </c>
      <c r="B937" s="1" t="str">
        <f>IFERROR(__xludf.DUMMYFUNCTION("""COMPUTED_VALUE"""),"Varsha")</f>
        <v>Varsha</v>
      </c>
      <c r="C937" s="1">
        <f>IFERROR(__xludf.DUMMYFUNCTION("""COMPUTED_VALUE"""),9.460907696E9)</f>
        <v>9460907696</v>
      </c>
      <c r="D937" s="1">
        <f>IFERROR(__xludf.DUMMYFUNCTION("""COMPUTED_VALUE"""),2.0)</f>
        <v>2</v>
      </c>
      <c r="E937" s="3">
        <f>IFERROR(__xludf.DUMMYFUNCTION("""COMPUTED_VALUE"""),0.6041666666642413)</f>
        <v>0.6041666667</v>
      </c>
      <c r="F937" s="1" t="str">
        <f>IFERROR(__xludf.DUMMYFUNCTION("""COMPUTED_VALUE"""),"Plain Gold")</f>
        <v>Plain Gold</v>
      </c>
      <c r="G937" s="1" t="str">
        <f>IFERROR(__xludf.DUMMYFUNCTION("""COMPUTED_VALUE"""),"Sapna")</f>
        <v>Sapna</v>
      </c>
      <c r="H937" s="1" t="str">
        <f>IFERROR(__xludf.DUMMYFUNCTION("""COMPUTED_VALUE"""),"Gems stone")</f>
        <v>Gems stone</v>
      </c>
      <c r="I937" s="1"/>
      <c r="J937" s="1"/>
      <c r="K937" s="3">
        <f>IFERROR(__xludf.DUMMYFUNCTION("""COMPUTED_VALUE"""),0.6909722222189885)</f>
        <v>0.6909722222</v>
      </c>
      <c r="L937" s="1" t="str">
        <f>IFERROR(__xludf.DUMMYFUNCTION("""COMPUTED_VALUE"""),"Yes")</f>
        <v>Yes</v>
      </c>
      <c r="M937" s="1" t="str">
        <f>IFERROR(__xludf.DUMMYFUNCTION("""COMPUTED_VALUE"""),"Already done ")</f>
        <v>Already done </v>
      </c>
      <c r="N937" s="1" t="str">
        <f>IFERROR(__xludf.DUMMYFUNCTION("""COMPUTED_VALUE"""),"Already done ")</f>
        <v>Already done </v>
      </c>
      <c r="O937" s="1" t="str">
        <f>IFERROR(__xludf.DUMMYFUNCTION("""COMPUTED_VALUE"""),"WA ONLY, CALL")</f>
        <v>WA ONLY, CALL</v>
      </c>
      <c r="P937" s="1" t="str">
        <f>IFERROR(__xludf.DUMMYFUNCTION("""COMPUTED_VALUE"""),"Madam")</f>
        <v>Madam</v>
      </c>
      <c r="Q937" s="1" t="str">
        <f>IFERROR(__xludf.DUMMYFUNCTION("""COMPUTED_VALUE"""),"No")</f>
        <v>No</v>
      </c>
      <c r="R937" s="1" t="str">
        <f>IFERROR(__xludf.DUMMYFUNCTION("""COMPUTED_VALUE"""),"OLD")</f>
        <v>OLD</v>
      </c>
      <c r="S937" s="1" t="str">
        <f>IFERROR(__xludf.DUMMYFUNCTION("""COMPUTED_VALUE"""),"No")</f>
        <v>No</v>
      </c>
    </row>
    <row r="938">
      <c r="A938" s="2">
        <f>IFERROR(__xludf.DUMMYFUNCTION("""COMPUTED_VALUE"""),45640.76556380787)</f>
        <v>45640.76556</v>
      </c>
      <c r="B938" s="1" t="str">
        <f>IFERROR(__xludf.DUMMYFUNCTION("""COMPUTED_VALUE"""),"Neeraj")</f>
        <v>Neeraj</v>
      </c>
      <c r="C938" s="1">
        <f>IFERROR(__xludf.DUMMYFUNCTION("""COMPUTED_VALUE"""),9.953533153E9)</f>
        <v>9953533153</v>
      </c>
      <c r="D938" s="1">
        <f>IFERROR(__xludf.DUMMYFUNCTION("""COMPUTED_VALUE"""),2.0)</f>
        <v>2</v>
      </c>
      <c r="E938" s="3">
        <f>IFERROR(__xludf.DUMMYFUNCTION("""COMPUTED_VALUE"""),0.6472222222218988)</f>
        <v>0.6472222222</v>
      </c>
      <c r="F938" s="1" t="str">
        <f>IFERROR(__xludf.DUMMYFUNCTION("""COMPUTED_VALUE"""),"Plain Gold")</f>
        <v>Plain Gold</v>
      </c>
      <c r="G938" s="1" t="str">
        <f>IFERROR(__xludf.DUMMYFUNCTION("""COMPUTED_VALUE"""),"Deepali")</f>
        <v>Deepali</v>
      </c>
      <c r="H938" s="1"/>
      <c r="I938" s="1" t="str">
        <f>IFERROR(__xludf.DUMMYFUNCTION("""COMPUTED_VALUE"""),"Gold ram mandir is not available ")</f>
        <v>Gold ram mandir is not available </v>
      </c>
      <c r="J938" s="1"/>
      <c r="K938" s="3">
        <f>IFERROR(__xludf.DUMMYFUNCTION("""COMPUTED_VALUE"""),0.6493055555547471)</f>
        <v>0.6493055556</v>
      </c>
      <c r="L938" s="1" t="str">
        <f>IFERROR(__xludf.DUMMYFUNCTION("""COMPUTED_VALUE"""),"No")</f>
        <v>No</v>
      </c>
      <c r="M938" s="1" t="str">
        <f>IFERROR(__xludf.DUMMYFUNCTION("""COMPUTED_VALUE"""),"No")</f>
        <v>No</v>
      </c>
      <c r="N938" s="1" t="str">
        <f>IFERROR(__xludf.DUMMYFUNCTION("""COMPUTED_VALUE"""),"No")</f>
        <v>No</v>
      </c>
      <c r="O938" s="1" t="str">
        <f>IFERROR(__xludf.DUMMYFUNCTION("""COMPUTED_VALUE"""),"WA ONLY, CALL")</f>
        <v>WA ONLY, CALL</v>
      </c>
      <c r="P938" s="1" t="str">
        <f>IFERROR(__xludf.DUMMYFUNCTION("""COMPUTED_VALUE"""),"Sir")</f>
        <v>Sir</v>
      </c>
      <c r="Q938" s="1" t="str">
        <f>IFERROR(__xludf.DUMMYFUNCTION("""COMPUTED_VALUE"""),"No")</f>
        <v>No</v>
      </c>
      <c r="R938" s="1" t="str">
        <f>IFERROR(__xludf.DUMMYFUNCTION("""COMPUTED_VALUE"""),"NEW WALK IN")</f>
        <v>NEW WALK IN</v>
      </c>
      <c r="S938" s="1" t="str">
        <f>IFERROR(__xludf.DUMMYFUNCTION("""COMPUTED_VALUE"""),"No")</f>
        <v>No</v>
      </c>
    </row>
    <row r="939">
      <c r="A939" s="2">
        <f>IFERROR(__xludf.DUMMYFUNCTION("""COMPUTED_VALUE"""),45640.76636494213)</f>
        <v>45640.76636</v>
      </c>
      <c r="B939" s="1" t="str">
        <f>IFERROR(__xludf.DUMMYFUNCTION("""COMPUTED_VALUE"""),"Puneet")</f>
        <v>Puneet</v>
      </c>
      <c r="C939" s="1">
        <f>IFERROR(__xludf.DUMMYFUNCTION("""COMPUTED_VALUE"""),9.926096416E9)</f>
        <v>9926096416</v>
      </c>
      <c r="D939" s="1">
        <f>IFERROR(__xludf.DUMMYFUNCTION("""COMPUTED_VALUE"""),3.0)</f>
        <v>3</v>
      </c>
      <c r="E939" s="3">
        <f>IFERROR(__xludf.DUMMYFUNCTION("""COMPUTED_VALUE"""),0.7222222222189885)</f>
        <v>0.7222222222</v>
      </c>
      <c r="F939" s="1" t="str">
        <f>IFERROR(__xludf.DUMMYFUNCTION("""COMPUTED_VALUE"""),"Diamond")</f>
        <v>Diamond</v>
      </c>
      <c r="G939" s="1" t="str">
        <f>IFERROR(__xludf.DUMMYFUNCTION("""COMPUTED_VALUE"""),"Sapna")</f>
        <v>Sapna</v>
      </c>
      <c r="H939" s="1" t="str">
        <f>IFERROR(__xludf.DUMMYFUNCTION("""COMPUTED_VALUE"""),"Cvd lose diamond ")</f>
        <v>Cvd lose diamond </v>
      </c>
      <c r="I939" s="1" t="str">
        <f>IFERROR(__xludf.DUMMYFUNCTION("""COMPUTED_VALUE"""),"Will ask family and come with them")</f>
        <v>Will ask family and come with them</v>
      </c>
      <c r="J939" s="1"/>
      <c r="K939" s="3">
        <f>IFERROR(__xludf.DUMMYFUNCTION("""COMPUTED_VALUE"""),0.7381944444423425)</f>
        <v>0.7381944444</v>
      </c>
      <c r="L939" s="1" t="str">
        <f>IFERROR(__xludf.DUMMYFUNCTION("""COMPUTED_VALUE"""),"Yes")</f>
        <v>Yes</v>
      </c>
      <c r="M939" s="1" t="str">
        <f>IFERROR(__xludf.DUMMYFUNCTION("""COMPUTED_VALUE"""),"Already done ")</f>
        <v>Already done </v>
      </c>
      <c r="N939" s="1" t="str">
        <f>IFERROR(__xludf.DUMMYFUNCTION("""COMPUTED_VALUE"""),"Already done ")</f>
        <v>Already done </v>
      </c>
      <c r="O939" s="1" t="str">
        <f>IFERROR(__xludf.DUMMYFUNCTION("""COMPUTED_VALUE"""),"WA ONLY, CALL")</f>
        <v>WA ONLY, CALL</v>
      </c>
      <c r="P939" s="1" t="str">
        <f>IFERROR(__xludf.DUMMYFUNCTION("""COMPUTED_VALUE"""),"Sir")</f>
        <v>Sir</v>
      </c>
      <c r="Q939" s="1" t="str">
        <f>IFERROR(__xludf.DUMMYFUNCTION("""COMPUTED_VALUE"""),"No")</f>
        <v>No</v>
      </c>
      <c r="R939" s="1" t="str">
        <f>IFERROR(__xludf.DUMMYFUNCTION("""COMPUTED_VALUE"""),"OLD")</f>
        <v>OLD</v>
      </c>
      <c r="S939" s="1" t="str">
        <f>IFERROR(__xludf.DUMMYFUNCTION("""COMPUTED_VALUE"""),"No")</f>
        <v>No</v>
      </c>
    </row>
    <row r="940">
      <c r="A940" s="2">
        <f>IFERROR(__xludf.DUMMYFUNCTION("""COMPUTED_VALUE"""),45640.76708929398)</f>
        <v>45640.76709</v>
      </c>
      <c r="B940" s="1" t="str">
        <f>IFERROR(__xludf.DUMMYFUNCTION("""COMPUTED_VALUE"""),"Junaid")</f>
        <v>Junaid</v>
      </c>
      <c r="C940" s="1">
        <f>IFERROR(__xludf.DUMMYFUNCTION("""COMPUTED_VALUE"""),9.582843222E9)</f>
        <v>9582843222</v>
      </c>
      <c r="D940" s="1">
        <f>IFERROR(__xludf.DUMMYFUNCTION("""COMPUTED_VALUE"""),2.0)</f>
        <v>2</v>
      </c>
      <c r="E940" s="3">
        <f>IFERROR(__xludf.DUMMYFUNCTION("""COMPUTED_VALUE"""),0.7291666666642413)</f>
        <v>0.7291666667</v>
      </c>
      <c r="F940" s="1" t="str">
        <f>IFERROR(__xludf.DUMMYFUNCTION("""COMPUTED_VALUE"""),"Plain Gold")</f>
        <v>Plain Gold</v>
      </c>
      <c r="G940" s="1" t="str">
        <f>IFERROR(__xludf.DUMMYFUNCTION("""COMPUTED_VALUE"""),"Tannu")</f>
        <v>Tannu</v>
      </c>
      <c r="H940" s="1" t="str">
        <f>IFERROR(__xludf.DUMMYFUNCTION("""COMPUTED_VALUE"""),"Gold nose pin")</f>
        <v>Gold nose pin</v>
      </c>
      <c r="I940" s="1"/>
      <c r="J940" s="1"/>
      <c r="K940" s="3">
        <f>IFERROR(__xludf.DUMMYFUNCTION("""COMPUTED_VALUE"""),0.7527777777795563)</f>
        <v>0.7527777778</v>
      </c>
      <c r="L940" s="1" t="str">
        <f>IFERROR(__xludf.DUMMYFUNCTION("""COMPUTED_VALUE"""),"Yes")</f>
        <v>Yes</v>
      </c>
      <c r="M940" s="1" t="str">
        <f>IFERROR(__xludf.DUMMYFUNCTION("""COMPUTED_VALUE"""),"Yes")</f>
        <v>Yes</v>
      </c>
      <c r="N940" s="1" t="str">
        <f>IFERROR(__xludf.DUMMYFUNCTION("""COMPUTED_VALUE"""),"Not use")</f>
        <v>Not use</v>
      </c>
      <c r="O940" s="1" t="str">
        <f>IFERROR(__xludf.DUMMYFUNCTION("""COMPUTED_VALUE"""),"WA ONLY, CALL")</f>
        <v>WA ONLY, CALL</v>
      </c>
      <c r="P940" s="1" t="str">
        <f>IFERROR(__xludf.DUMMYFUNCTION("""COMPUTED_VALUE"""),"Sir")</f>
        <v>Sir</v>
      </c>
      <c r="Q940" s="1" t="str">
        <f>IFERROR(__xludf.DUMMYFUNCTION("""COMPUTED_VALUE"""),"No")</f>
        <v>No</v>
      </c>
      <c r="R940" s="1" t="str">
        <f>IFERROR(__xludf.DUMMYFUNCTION("""COMPUTED_VALUE"""),"NEW WALK IN")</f>
        <v>NEW WALK IN</v>
      </c>
      <c r="S940" s="1" t="str">
        <f>IFERROR(__xludf.DUMMYFUNCTION("""COMPUTED_VALUE"""),"Yes")</f>
        <v>Yes</v>
      </c>
    </row>
    <row r="941">
      <c r="A941" s="2">
        <f>IFERROR(__xludf.DUMMYFUNCTION("""COMPUTED_VALUE"""),45640.787841655096)</f>
        <v>45640.78784</v>
      </c>
      <c r="B941" s="1"/>
      <c r="C941" s="1"/>
      <c r="D941" s="1">
        <f>IFERROR(__xludf.DUMMYFUNCTION("""COMPUTED_VALUE"""),3.0)</f>
        <v>3</v>
      </c>
      <c r="E941" s="3">
        <f>IFERROR(__xludf.DUMMYFUNCTION("""COMPUTED_VALUE"""),0.7465277777810115)</f>
        <v>0.7465277778</v>
      </c>
      <c r="F941" s="1" t="str">
        <f>IFERROR(__xludf.DUMMYFUNCTION("""COMPUTED_VALUE"""),"Diamond")</f>
        <v>Diamond</v>
      </c>
      <c r="G941" s="1" t="str">
        <f>IFERROR(__xludf.DUMMYFUNCTION("""COMPUTED_VALUE"""),"Preeti")</f>
        <v>Preeti</v>
      </c>
      <c r="H941" s="1"/>
      <c r="I941" s="1" t="str">
        <f>IFERROR(__xludf.DUMMYFUNCTION("""COMPUTED_VALUE"""),"Repair done")</f>
        <v>Repair done</v>
      </c>
      <c r="J941" s="1"/>
      <c r="K941" s="3">
        <f>IFERROR(__xludf.DUMMYFUNCTION("""COMPUTED_VALUE"""),0.7777777777810115)</f>
        <v>0.7777777778</v>
      </c>
      <c r="L941" s="1" t="str">
        <f>IFERROR(__xludf.DUMMYFUNCTION("""COMPUTED_VALUE"""),"Yes")</f>
        <v>Yes</v>
      </c>
      <c r="M941" s="1" t="str">
        <f>IFERROR(__xludf.DUMMYFUNCTION("""COMPUTED_VALUE"""),"Already done ")</f>
        <v>Already done </v>
      </c>
      <c r="N941" s="1" t="str">
        <f>IFERROR(__xludf.DUMMYFUNCTION("""COMPUTED_VALUE"""),"Already done ")</f>
        <v>Already done </v>
      </c>
      <c r="O941" s="1" t="str">
        <f>IFERROR(__xludf.DUMMYFUNCTION("""COMPUTED_VALUE"""),"WA ONLY, CALL")</f>
        <v>WA ONLY, CALL</v>
      </c>
      <c r="P941" s="1" t="str">
        <f>IFERROR(__xludf.DUMMYFUNCTION("""COMPUTED_VALUE"""),"Madam")</f>
        <v>Madam</v>
      </c>
      <c r="Q941" s="1" t="str">
        <f>IFERROR(__xludf.DUMMYFUNCTION("""COMPUTED_VALUE"""),"No")</f>
        <v>No</v>
      </c>
      <c r="R941" s="1" t="str">
        <f>IFERROR(__xludf.DUMMYFUNCTION("""COMPUTED_VALUE"""),"OLD")</f>
        <v>OLD</v>
      </c>
      <c r="S941" s="1" t="str">
        <f>IFERROR(__xludf.DUMMYFUNCTION("""COMPUTED_VALUE"""),"No")</f>
        <v>No</v>
      </c>
    </row>
    <row r="942">
      <c r="A942" s="2">
        <f>IFERROR(__xludf.DUMMYFUNCTION("""COMPUTED_VALUE"""),45641.619847615744)</f>
        <v>45641.61985</v>
      </c>
      <c r="B942" s="1" t="str">
        <f>IFERROR(__xludf.DUMMYFUNCTION("""COMPUTED_VALUE"""),"Supriya gandhi")</f>
        <v>Supriya gandhi</v>
      </c>
      <c r="C942" s="1">
        <f>IFERROR(__xludf.DUMMYFUNCTION("""COMPUTED_VALUE"""),8.860435565E9)</f>
        <v>8860435565</v>
      </c>
      <c r="D942" s="1">
        <f>IFERROR(__xludf.DUMMYFUNCTION("""COMPUTED_VALUE"""),4.0)</f>
        <v>4</v>
      </c>
      <c r="E942" s="3">
        <f>IFERROR(__xludf.DUMMYFUNCTION("""COMPUTED_VALUE"""),0.4930555555547471)</f>
        <v>0.4930555556</v>
      </c>
      <c r="F942" s="1" t="str">
        <f>IFERROR(__xludf.DUMMYFUNCTION("""COMPUTED_VALUE"""),"Antique Gold")</f>
        <v>Antique Gold</v>
      </c>
      <c r="G942" s="1" t="str">
        <f>IFERROR(__xludf.DUMMYFUNCTION("""COMPUTED_VALUE"""),"Tannu")</f>
        <v>Tannu</v>
      </c>
      <c r="H942" s="1" t="str">
        <f>IFERROR(__xludf.DUMMYFUNCTION("""COMPUTED_VALUE"""),"Gold set,antique chik patti,gold tops ")</f>
        <v>Gold set,antique chik patti,gold tops </v>
      </c>
      <c r="I942" s="1"/>
      <c r="J942" s="1"/>
      <c r="K942" s="3">
        <f>IFERROR(__xludf.DUMMYFUNCTION("""COMPUTED_VALUE"""),0.6083333333372138)</f>
        <v>0.6083333333</v>
      </c>
      <c r="L942" s="1" t="str">
        <f>IFERROR(__xludf.DUMMYFUNCTION("""COMPUTED_VALUE"""),"Yes")</f>
        <v>Yes</v>
      </c>
      <c r="M942" s="1" t="str">
        <f>IFERROR(__xludf.DUMMYFUNCTION("""COMPUTED_VALUE"""),"Yes")</f>
        <v>Yes</v>
      </c>
      <c r="N942" s="1" t="str">
        <f>IFERROR(__xludf.DUMMYFUNCTION("""COMPUTED_VALUE"""),"Yes")</f>
        <v>Yes</v>
      </c>
      <c r="O942" s="1" t="str">
        <f>IFERROR(__xludf.DUMMYFUNCTION("""COMPUTED_VALUE"""),"WA ONLY, CALL")</f>
        <v>WA ONLY, CALL</v>
      </c>
      <c r="P942" s="1" t="str">
        <f>IFERROR(__xludf.DUMMYFUNCTION("""COMPUTED_VALUE"""),"Madam")</f>
        <v>Madam</v>
      </c>
      <c r="Q942" s="1" t="str">
        <f>IFERROR(__xludf.DUMMYFUNCTION("""COMPUTED_VALUE"""),"No")</f>
        <v>No</v>
      </c>
      <c r="R942" s="1" t="str">
        <f>IFERROR(__xludf.DUMMYFUNCTION("""COMPUTED_VALUE"""),"OLD")</f>
        <v>OLD</v>
      </c>
      <c r="S942" s="1" t="str">
        <f>IFERROR(__xludf.DUMMYFUNCTION("""COMPUTED_VALUE"""),"Yes")</f>
        <v>Yes</v>
      </c>
    </row>
    <row r="943">
      <c r="A943" s="2">
        <f>IFERROR(__xludf.DUMMYFUNCTION("""COMPUTED_VALUE"""),45641.636747349534)</f>
        <v>45641.63675</v>
      </c>
      <c r="B943" s="1" t="str">
        <f>IFERROR(__xludf.DUMMYFUNCTION("""COMPUTED_VALUE"""),"Rohit ")</f>
        <v>Rohit </v>
      </c>
      <c r="C943" s="1">
        <f>IFERROR(__xludf.DUMMYFUNCTION("""COMPUTED_VALUE"""),9.896804072E9)</f>
        <v>9896804072</v>
      </c>
      <c r="D943" s="1">
        <f>IFERROR(__xludf.DUMMYFUNCTION("""COMPUTED_VALUE"""),2.0)</f>
        <v>2</v>
      </c>
      <c r="E943" s="3">
        <f>IFERROR(__xludf.DUMMYFUNCTION("""COMPUTED_VALUE"""),0.5222222222218988)</f>
        <v>0.5222222222</v>
      </c>
      <c r="F943" s="1" t="str">
        <f>IFERROR(__xludf.DUMMYFUNCTION("""COMPUTED_VALUE"""),"Plain Gold")</f>
        <v>Plain Gold</v>
      </c>
      <c r="G943" s="1" t="str">
        <f>IFERROR(__xludf.DUMMYFUNCTION("""COMPUTED_VALUE"""),"Sapna")</f>
        <v>Sapna</v>
      </c>
      <c r="H943" s="1" t="str">
        <f>IFERROR(__xludf.DUMMYFUNCTION("""COMPUTED_VALUE"""),"Gold tops")</f>
        <v>Gold tops</v>
      </c>
      <c r="I943" s="1" t="str">
        <f>IFERROR(__xludf.DUMMYFUNCTION("""COMPUTED_VALUE"""),"Visit Again in 1 Month")</f>
        <v>Visit Again in 1 Month</v>
      </c>
      <c r="J943" s="1"/>
      <c r="K943" s="3">
        <f>IFERROR(__xludf.DUMMYFUNCTION("""COMPUTED_VALUE"""),0.5416666666642413)</f>
        <v>0.5416666667</v>
      </c>
      <c r="L943" s="1" t="str">
        <f>IFERROR(__xludf.DUMMYFUNCTION("""COMPUTED_VALUE"""),"No")</f>
        <v>No</v>
      </c>
      <c r="M943" s="1" t="str">
        <f>IFERROR(__xludf.DUMMYFUNCTION("""COMPUTED_VALUE"""),"Yes")</f>
        <v>Yes</v>
      </c>
      <c r="N943" s="1" t="str">
        <f>IFERROR(__xludf.DUMMYFUNCTION("""COMPUTED_VALUE"""),"Not use")</f>
        <v>Not use</v>
      </c>
      <c r="O943" s="1" t="str">
        <f>IFERROR(__xludf.DUMMYFUNCTION("""COMPUTED_VALUE"""),"WA ONLY, CALL")</f>
        <v>WA ONLY, CALL</v>
      </c>
      <c r="P943" s="1" t="str">
        <f>IFERROR(__xludf.DUMMYFUNCTION("""COMPUTED_VALUE"""),"Sir")</f>
        <v>Sir</v>
      </c>
      <c r="Q943" s="1" t="str">
        <f>IFERROR(__xludf.DUMMYFUNCTION("""COMPUTED_VALUE"""),"No")</f>
        <v>No</v>
      </c>
      <c r="R943" s="1" t="str">
        <f>IFERROR(__xludf.DUMMYFUNCTION("""COMPUTED_VALUE"""),"NEW WALK IN")</f>
        <v>NEW WALK IN</v>
      </c>
      <c r="S943" s="1" t="str">
        <f>IFERROR(__xludf.DUMMYFUNCTION("""COMPUTED_VALUE"""),"No")</f>
        <v>No</v>
      </c>
    </row>
    <row r="944">
      <c r="A944" s="2">
        <f>IFERROR(__xludf.DUMMYFUNCTION("""COMPUTED_VALUE"""),45641.78136872685)</f>
        <v>45641.78137</v>
      </c>
      <c r="B944" s="1" t="str">
        <f>IFERROR(__xludf.DUMMYFUNCTION("""COMPUTED_VALUE"""),"Puneet suri")</f>
        <v>Puneet suri</v>
      </c>
      <c r="C944" s="1">
        <f>IFERROR(__xludf.DUMMYFUNCTION("""COMPUTED_VALUE"""),9.811101399E9)</f>
        <v>9811101399</v>
      </c>
      <c r="D944" s="1">
        <f>IFERROR(__xludf.DUMMYFUNCTION("""COMPUTED_VALUE"""),1.0)</f>
        <v>1</v>
      </c>
      <c r="E944" s="3">
        <f>IFERROR(__xludf.DUMMYFUNCTION("""COMPUTED_VALUE"""),0.75)</f>
        <v>0.75</v>
      </c>
      <c r="F944" s="1" t="str">
        <f>IFERROR(__xludf.DUMMYFUNCTION("""COMPUTED_VALUE"""),"Diamond")</f>
        <v>Diamond</v>
      </c>
      <c r="G944" s="1" t="str">
        <f>IFERROR(__xludf.DUMMYFUNCTION("""COMPUTED_VALUE"""),"Preeti")</f>
        <v>Preeti</v>
      </c>
      <c r="H944" s="1" t="str">
        <f>IFERROR(__xludf.DUMMYFUNCTION("""COMPUTED_VALUE"""),"F color diamond ")</f>
        <v>F color diamond </v>
      </c>
      <c r="I944" s="1" t="str">
        <f>IFERROR(__xludf.DUMMYFUNCTION("""COMPUTED_VALUE"""),"Visit Again in 1 Month")</f>
        <v>Visit Again in 1 Month</v>
      </c>
      <c r="J944" s="1"/>
      <c r="K944" s="3">
        <f>IFERROR(__xludf.DUMMYFUNCTION("""COMPUTED_VALUE"""),0.7687500000029104)</f>
        <v>0.76875</v>
      </c>
      <c r="L944" s="1" t="str">
        <f>IFERROR(__xludf.DUMMYFUNCTION("""COMPUTED_VALUE"""),"Yes")</f>
        <v>Yes</v>
      </c>
      <c r="M944" s="1" t="str">
        <f>IFERROR(__xludf.DUMMYFUNCTION("""COMPUTED_VALUE"""),"No")</f>
        <v>No</v>
      </c>
      <c r="N944" s="1" t="str">
        <f>IFERROR(__xludf.DUMMYFUNCTION("""COMPUTED_VALUE"""),"No")</f>
        <v>No</v>
      </c>
      <c r="O944" s="1" t="str">
        <f>IFERROR(__xludf.DUMMYFUNCTION("""COMPUTED_VALUE"""),"WA ONLY, CALL")</f>
        <v>WA ONLY, CALL</v>
      </c>
      <c r="P944" s="1" t="str">
        <f>IFERROR(__xludf.DUMMYFUNCTION("""COMPUTED_VALUE"""),"Sir")</f>
        <v>Sir</v>
      </c>
      <c r="Q944" s="1" t="str">
        <f>IFERROR(__xludf.DUMMYFUNCTION("""COMPUTED_VALUE"""),"No")</f>
        <v>No</v>
      </c>
      <c r="R944" s="1" t="str">
        <f>IFERROR(__xludf.DUMMYFUNCTION("""COMPUTED_VALUE"""),"NEW WALK IN")</f>
        <v>NEW WALK IN</v>
      </c>
      <c r="S944" s="1" t="str">
        <f>IFERROR(__xludf.DUMMYFUNCTION("""COMPUTED_VALUE"""),"No")</f>
        <v>No</v>
      </c>
    </row>
    <row r="945">
      <c r="A945" s="2">
        <f>IFERROR(__xludf.DUMMYFUNCTION("""COMPUTED_VALUE"""),45641.78220350694)</f>
        <v>45641.7822</v>
      </c>
      <c r="B945" s="1" t="str">
        <f>IFERROR(__xludf.DUMMYFUNCTION("""COMPUTED_VALUE"""),"Honey")</f>
        <v>Honey</v>
      </c>
      <c r="C945" s="1">
        <f>IFERROR(__xludf.DUMMYFUNCTION("""COMPUTED_VALUE"""),9.87392801E9)</f>
        <v>9873928010</v>
      </c>
      <c r="D945" s="1">
        <f>IFERROR(__xludf.DUMMYFUNCTION("""COMPUTED_VALUE"""),2.0)</f>
        <v>2</v>
      </c>
      <c r="E945" s="3">
        <f>IFERROR(__xludf.DUMMYFUNCTION("""COMPUTED_VALUE"""),0.7638888888905058)</f>
        <v>0.7638888889</v>
      </c>
      <c r="F945" s="1" t="str">
        <f>IFERROR(__xludf.DUMMYFUNCTION("""COMPUTED_VALUE"""),"Diamond")</f>
        <v>Diamond</v>
      </c>
      <c r="G945" s="1" t="str">
        <f>IFERROR(__xludf.DUMMYFUNCTION("""COMPUTED_VALUE"""),"Preeti")</f>
        <v>Preeti</v>
      </c>
      <c r="H945" s="1" t="str">
        <f>IFERROR(__xludf.DUMMYFUNCTION("""COMPUTED_VALUE"""),"Diamond gents ring")</f>
        <v>Diamond gents ring</v>
      </c>
      <c r="I945" s="1" t="str">
        <f>IFERROR(__xludf.DUMMYFUNCTION("""COMPUTED_VALUE"""),"Designs Not Liked")</f>
        <v>Designs Not Liked</v>
      </c>
      <c r="J945" s="1"/>
      <c r="K945" s="3">
        <f>IFERROR(__xludf.DUMMYFUNCTION("""COMPUTED_VALUE"""),0.7763888888875954)</f>
        <v>0.7763888889</v>
      </c>
      <c r="L945" s="1" t="str">
        <f>IFERROR(__xludf.DUMMYFUNCTION("""COMPUTED_VALUE"""),"No")</f>
        <v>No</v>
      </c>
      <c r="M945" s="1" t="str">
        <f>IFERROR(__xludf.DUMMYFUNCTION("""COMPUTED_VALUE"""),"No")</f>
        <v>No</v>
      </c>
      <c r="N945" s="1" t="str">
        <f>IFERROR(__xludf.DUMMYFUNCTION("""COMPUTED_VALUE"""),"No")</f>
        <v>No</v>
      </c>
      <c r="O945" s="1" t="str">
        <f>IFERROR(__xludf.DUMMYFUNCTION("""COMPUTED_VALUE"""),"WA ONLY, CALL")</f>
        <v>WA ONLY, CALL</v>
      </c>
      <c r="P945" s="1" t="str">
        <f>IFERROR(__xludf.DUMMYFUNCTION("""COMPUTED_VALUE"""),"Sir")</f>
        <v>Sir</v>
      </c>
      <c r="Q945" s="1" t="str">
        <f>IFERROR(__xludf.DUMMYFUNCTION("""COMPUTED_VALUE"""),"No")</f>
        <v>No</v>
      </c>
      <c r="R945" s="1" t="str">
        <f>IFERROR(__xludf.DUMMYFUNCTION("""COMPUTED_VALUE"""),"NEW WALK IN")</f>
        <v>NEW WALK IN</v>
      </c>
      <c r="S945" s="1" t="str">
        <f>IFERROR(__xludf.DUMMYFUNCTION("""COMPUTED_VALUE"""),"No")</f>
        <v>No</v>
      </c>
    </row>
    <row r="946">
      <c r="A946" s="2">
        <f>IFERROR(__xludf.DUMMYFUNCTION("""COMPUTED_VALUE"""),45643.71157408565)</f>
        <v>45643.71157</v>
      </c>
      <c r="B946" s="1" t="str">
        <f>IFERROR(__xludf.DUMMYFUNCTION("""COMPUTED_VALUE"""),"Nidhi")</f>
        <v>Nidhi</v>
      </c>
      <c r="C946" s="1">
        <f>IFERROR(__xludf.DUMMYFUNCTION("""COMPUTED_VALUE"""),9.810658206E9)</f>
        <v>9810658206</v>
      </c>
      <c r="D946" s="1">
        <f>IFERROR(__xludf.DUMMYFUNCTION("""COMPUTED_VALUE"""),1.0)</f>
        <v>1</v>
      </c>
      <c r="E946" s="3">
        <f>IFERROR(__xludf.DUMMYFUNCTION("""COMPUTED_VALUE"""),0.6805555555547471)</f>
        <v>0.6805555556</v>
      </c>
      <c r="F946" s="1" t="str">
        <f>IFERROR(__xludf.DUMMYFUNCTION("""COMPUTED_VALUE"""),"Plain Gold")</f>
        <v>Plain Gold</v>
      </c>
      <c r="G946" s="1" t="str">
        <f>IFERROR(__xludf.DUMMYFUNCTION("""COMPUTED_VALUE"""),"Sapna")</f>
        <v>Sapna</v>
      </c>
      <c r="H946" s="1"/>
      <c r="I946" s="1" t="str">
        <f>IFERROR(__xludf.DUMMYFUNCTION("""COMPUTED_VALUE"""),"Repair done")</f>
        <v>Repair done</v>
      </c>
      <c r="J946" s="1"/>
      <c r="K946" s="3">
        <f>IFERROR(__xludf.DUMMYFUNCTION("""COMPUTED_VALUE"""),0.7041666666627862)</f>
        <v>0.7041666667</v>
      </c>
      <c r="L946" s="1" t="str">
        <f>IFERROR(__xludf.DUMMYFUNCTION("""COMPUTED_VALUE"""),"Yes")</f>
        <v>Yes</v>
      </c>
      <c r="M946" s="1" t="str">
        <f>IFERROR(__xludf.DUMMYFUNCTION("""COMPUTED_VALUE"""),"Already done ")</f>
        <v>Already done </v>
      </c>
      <c r="N946" s="1" t="str">
        <f>IFERROR(__xludf.DUMMYFUNCTION("""COMPUTED_VALUE"""),"Already done ")</f>
        <v>Already done </v>
      </c>
      <c r="O946" s="1" t="str">
        <f>IFERROR(__xludf.DUMMYFUNCTION("""COMPUTED_VALUE"""),"WA ONLY, CALL")</f>
        <v>WA ONLY, CALL</v>
      </c>
      <c r="P946" s="1" t="str">
        <f>IFERROR(__xludf.DUMMYFUNCTION("""COMPUTED_VALUE"""),"Madam")</f>
        <v>Madam</v>
      </c>
      <c r="Q946" s="1" t="str">
        <f>IFERROR(__xludf.DUMMYFUNCTION("""COMPUTED_VALUE"""),"No")</f>
        <v>No</v>
      </c>
      <c r="R946" s="1" t="str">
        <f>IFERROR(__xludf.DUMMYFUNCTION("""COMPUTED_VALUE"""),"OLD")</f>
        <v>OLD</v>
      </c>
      <c r="S946" s="1" t="str">
        <f>IFERROR(__xludf.DUMMYFUNCTION("""COMPUTED_VALUE"""),"No")</f>
        <v>No</v>
      </c>
    </row>
    <row r="947">
      <c r="A947" s="2">
        <f>IFERROR(__xludf.DUMMYFUNCTION("""COMPUTED_VALUE"""),45643.71263841435)</f>
        <v>45643.71264</v>
      </c>
      <c r="B947" s="1" t="str">
        <f>IFERROR(__xludf.DUMMYFUNCTION("""COMPUTED_VALUE"""),"Rejesh saha")</f>
        <v>Rejesh saha</v>
      </c>
      <c r="C947" s="1">
        <f>IFERROR(__xludf.DUMMYFUNCTION("""COMPUTED_VALUE"""),8.816867365E9)</f>
        <v>8816867365</v>
      </c>
      <c r="D947" s="1">
        <f>IFERROR(__xludf.DUMMYFUNCTION("""COMPUTED_VALUE"""),2.0)</f>
        <v>2</v>
      </c>
      <c r="E947" s="3">
        <f>IFERROR(__xludf.DUMMYFUNCTION("""COMPUTED_VALUE"""),0.6923611111124046)</f>
        <v>0.6923611111</v>
      </c>
      <c r="F947" s="1" t="str">
        <f>IFERROR(__xludf.DUMMYFUNCTION("""COMPUTED_VALUE"""),"Antique Gold")</f>
        <v>Antique Gold</v>
      </c>
      <c r="G947" s="1" t="str">
        <f>IFERROR(__xludf.DUMMYFUNCTION("""COMPUTED_VALUE"""),"Tannu")</f>
        <v>Tannu</v>
      </c>
      <c r="H947" s="1"/>
      <c r="I947" s="1" t="str">
        <f>IFERROR(__xludf.DUMMYFUNCTION("""COMPUTED_VALUE"""),"Pick up Order")</f>
        <v>Pick up Order</v>
      </c>
      <c r="J947" s="1"/>
      <c r="K947" s="3">
        <f>IFERROR(__xludf.DUMMYFUNCTION("""COMPUTED_VALUE"""),0.7076388888890506)</f>
        <v>0.7076388889</v>
      </c>
      <c r="L947" s="1" t="str">
        <f>IFERROR(__xludf.DUMMYFUNCTION("""COMPUTED_VALUE"""),"Yes")</f>
        <v>Yes</v>
      </c>
      <c r="M947" s="1" t="str">
        <f>IFERROR(__xludf.DUMMYFUNCTION("""COMPUTED_VALUE"""),"Already done ")</f>
        <v>Already done </v>
      </c>
      <c r="N947" s="1" t="str">
        <f>IFERROR(__xludf.DUMMYFUNCTION("""COMPUTED_VALUE"""),"Already done ")</f>
        <v>Already done </v>
      </c>
      <c r="O947" s="1" t="str">
        <f>IFERROR(__xludf.DUMMYFUNCTION("""COMPUTED_VALUE"""),"WA ONLY, CALL")</f>
        <v>WA ONLY, CALL</v>
      </c>
      <c r="P947" s="1" t="str">
        <f>IFERROR(__xludf.DUMMYFUNCTION("""COMPUTED_VALUE"""),"Sir")</f>
        <v>Sir</v>
      </c>
      <c r="Q947" s="1" t="str">
        <f>IFERROR(__xludf.DUMMYFUNCTION("""COMPUTED_VALUE"""),"No")</f>
        <v>No</v>
      </c>
      <c r="R947" s="1" t="str">
        <f>IFERROR(__xludf.DUMMYFUNCTION("""COMPUTED_VALUE"""),"OLD")</f>
        <v>OLD</v>
      </c>
      <c r="S947" s="1" t="str">
        <f>IFERROR(__xludf.DUMMYFUNCTION("""COMPUTED_VALUE"""),"No")</f>
        <v>No</v>
      </c>
    </row>
    <row r="948">
      <c r="A948" s="2">
        <f>IFERROR(__xludf.DUMMYFUNCTION("""COMPUTED_VALUE"""),45643.76711864583)</f>
        <v>45643.76712</v>
      </c>
      <c r="B948" s="1" t="str">
        <f>IFERROR(__xludf.DUMMYFUNCTION("""COMPUTED_VALUE"""),"Pooja")</f>
        <v>Pooja</v>
      </c>
      <c r="C948" s="1">
        <f>IFERROR(__xludf.DUMMYFUNCTION("""COMPUTED_VALUE"""),8.700819298E9)</f>
        <v>8700819298</v>
      </c>
      <c r="D948" s="1">
        <f>IFERROR(__xludf.DUMMYFUNCTION("""COMPUTED_VALUE"""),2.0)</f>
        <v>2</v>
      </c>
      <c r="E948" s="3">
        <f>IFERROR(__xludf.DUMMYFUNCTION("""COMPUTED_VALUE"""),0.7430555555547471)</f>
        <v>0.7430555556</v>
      </c>
      <c r="F948" s="1" t="str">
        <f>IFERROR(__xludf.DUMMYFUNCTION("""COMPUTED_VALUE"""),"Plain Gold")</f>
        <v>Plain Gold</v>
      </c>
      <c r="G948" s="1" t="str">
        <f>IFERROR(__xludf.DUMMYFUNCTION("""COMPUTED_VALUE"""),"Sapna")</f>
        <v>Sapna</v>
      </c>
      <c r="H948" s="1" t="str">
        <f>IFERROR(__xludf.DUMMYFUNCTION("""COMPUTED_VALUE"""),"Gold bangles ")</f>
        <v>Gold bangles </v>
      </c>
      <c r="I948" s="1" t="str">
        <f>IFERROR(__xludf.DUMMYFUNCTION("""COMPUTED_VALUE"""),"Customer wants 22k,18k chashma but stoke is not available ")</f>
        <v>Customer wants 22k,18k chashma but stoke is not available </v>
      </c>
      <c r="J948" s="1"/>
      <c r="K948" s="3">
        <f>IFERROR(__xludf.DUMMYFUNCTION("""COMPUTED_VALUE"""),0.7534722222189885)</f>
        <v>0.7534722222</v>
      </c>
      <c r="L948" s="1" t="str">
        <f>IFERROR(__xludf.DUMMYFUNCTION("""COMPUTED_VALUE"""),"No")</f>
        <v>No</v>
      </c>
      <c r="M948" s="1" t="str">
        <f>IFERROR(__xludf.DUMMYFUNCTION("""COMPUTED_VALUE"""),"No")</f>
        <v>No</v>
      </c>
      <c r="N948" s="1" t="str">
        <f>IFERROR(__xludf.DUMMYFUNCTION("""COMPUTED_VALUE"""),"No")</f>
        <v>No</v>
      </c>
      <c r="O948" s="1" t="str">
        <f>IFERROR(__xludf.DUMMYFUNCTION("""COMPUTED_VALUE"""),"WA ONLY, CALL")</f>
        <v>WA ONLY, CALL</v>
      </c>
      <c r="P948" s="1" t="str">
        <f>IFERROR(__xludf.DUMMYFUNCTION("""COMPUTED_VALUE"""),"Madam")</f>
        <v>Madam</v>
      </c>
      <c r="Q948" s="1" t="str">
        <f>IFERROR(__xludf.DUMMYFUNCTION("""COMPUTED_VALUE"""),"No")</f>
        <v>No</v>
      </c>
      <c r="R948" s="1" t="str">
        <f>IFERROR(__xludf.DUMMYFUNCTION("""COMPUTED_VALUE"""),"NEW WALK IN")</f>
        <v>NEW WALK IN</v>
      </c>
      <c r="S948" s="1" t="str">
        <f>IFERROR(__xludf.DUMMYFUNCTION("""COMPUTED_VALUE"""),"No")</f>
        <v>No</v>
      </c>
    </row>
    <row r="949">
      <c r="A949" s="2">
        <f>IFERROR(__xludf.DUMMYFUNCTION("""COMPUTED_VALUE"""),45643.77290079861)</f>
        <v>45643.7729</v>
      </c>
      <c r="B949" s="1" t="str">
        <f>IFERROR(__xludf.DUMMYFUNCTION("""COMPUTED_VALUE"""),"Vansh")</f>
        <v>Vansh</v>
      </c>
      <c r="C949" s="1">
        <f>IFERROR(__xludf.DUMMYFUNCTION("""COMPUTED_VALUE"""),9.99979166E9)</f>
        <v>9999791660</v>
      </c>
      <c r="D949" s="1">
        <f>IFERROR(__xludf.DUMMYFUNCTION("""COMPUTED_VALUE"""),2.0)</f>
        <v>2</v>
      </c>
      <c r="E949" s="3">
        <f>IFERROR(__xludf.DUMMYFUNCTION("""COMPUTED_VALUE"""),0.7361111111094942)</f>
        <v>0.7361111111</v>
      </c>
      <c r="F949" s="1" t="str">
        <f>IFERROR(__xludf.DUMMYFUNCTION("""COMPUTED_VALUE"""),"Diamond")</f>
        <v>Diamond</v>
      </c>
      <c r="G949" s="1" t="str">
        <f>IFERROR(__xludf.DUMMYFUNCTION("""COMPUTED_VALUE"""),"Tannu")</f>
        <v>Tannu</v>
      </c>
      <c r="H949" s="1" t="str">
        <f>IFERROR(__xludf.DUMMYFUNCTION("""COMPUTED_VALUE"""),"Diamond Solitaire ring")</f>
        <v>Diamond Solitaire ring</v>
      </c>
      <c r="I949" s="1" t="str">
        <f>IFERROR(__xludf.DUMMYFUNCTION("""COMPUTED_VALUE"""),"Will ask family and come with them")</f>
        <v>Will ask family and come with them</v>
      </c>
      <c r="J949" s="1"/>
      <c r="K949" s="3">
        <f>IFERROR(__xludf.DUMMYFUNCTION("""COMPUTED_VALUE"""),0.7694444444423425)</f>
        <v>0.7694444444</v>
      </c>
      <c r="L949" s="1" t="str">
        <f>IFERROR(__xludf.DUMMYFUNCTION("""COMPUTED_VALUE"""),"No")</f>
        <v>No</v>
      </c>
      <c r="M949" s="1" t="str">
        <f>IFERROR(__xludf.DUMMYFUNCTION("""COMPUTED_VALUE"""),"No")</f>
        <v>No</v>
      </c>
      <c r="N949" s="1" t="str">
        <f>IFERROR(__xludf.DUMMYFUNCTION("""COMPUTED_VALUE"""),"No")</f>
        <v>No</v>
      </c>
      <c r="O949" s="1" t="str">
        <f>IFERROR(__xludf.DUMMYFUNCTION("""COMPUTED_VALUE"""),"WA ONLY, CALL")</f>
        <v>WA ONLY, CALL</v>
      </c>
      <c r="P949" s="1" t="str">
        <f>IFERROR(__xludf.DUMMYFUNCTION("""COMPUTED_VALUE"""),"Sir")</f>
        <v>Sir</v>
      </c>
      <c r="Q949" s="1" t="str">
        <f>IFERROR(__xludf.DUMMYFUNCTION("""COMPUTED_VALUE"""),"No")</f>
        <v>No</v>
      </c>
      <c r="R949" s="1" t="str">
        <f>IFERROR(__xludf.DUMMYFUNCTION("""COMPUTED_VALUE"""),"NEW WALK IN")</f>
        <v>NEW WALK IN</v>
      </c>
      <c r="S949" s="1" t="str">
        <f>IFERROR(__xludf.DUMMYFUNCTION("""COMPUTED_VALUE"""),"No")</f>
        <v>No</v>
      </c>
    </row>
    <row r="950">
      <c r="A950" s="2">
        <f>IFERROR(__xludf.DUMMYFUNCTION("""COMPUTED_VALUE"""),45644.66797569444)</f>
        <v>45644.66798</v>
      </c>
      <c r="B950" s="1" t="str">
        <f>IFERROR(__xludf.DUMMYFUNCTION("""COMPUTED_VALUE"""),"Prince ")</f>
        <v>Prince </v>
      </c>
      <c r="C950" s="1">
        <f>IFERROR(__xludf.DUMMYFUNCTION("""COMPUTED_VALUE"""),7.015427856E9)</f>
        <v>7015427856</v>
      </c>
      <c r="D950" s="1">
        <f>IFERROR(__xludf.DUMMYFUNCTION("""COMPUTED_VALUE"""),1.0)</f>
        <v>1</v>
      </c>
      <c r="E950" s="3">
        <f>IFERROR(__xludf.DUMMYFUNCTION("""COMPUTED_VALUE"""),0.5416666666642413)</f>
        <v>0.5416666667</v>
      </c>
      <c r="F950" s="1" t="str">
        <f>IFERROR(__xludf.DUMMYFUNCTION("""COMPUTED_VALUE"""),"Plain Gold")</f>
        <v>Plain Gold</v>
      </c>
      <c r="G950" s="1" t="str">
        <f>IFERROR(__xludf.DUMMYFUNCTION("""COMPUTED_VALUE"""),"Sapna")</f>
        <v>Sapna</v>
      </c>
      <c r="H950" s="1" t="str">
        <f>IFERROR(__xludf.DUMMYFUNCTION("""COMPUTED_VALUE"""),"Mmtc silver 100gm coin")</f>
        <v>Mmtc silver 100gm coin</v>
      </c>
      <c r="I950" s="1"/>
      <c r="J950" s="1"/>
      <c r="K950" s="3">
        <f>IFERROR(__xludf.DUMMYFUNCTION("""COMPUTED_VALUE"""),0.5555555555547471)</f>
        <v>0.5555555556</v>
      </c>
      <c r="L950" s="1" t="str">
        <f>IFERROR(__xludf.DUMMYFUNCTION("""COMPUTED_VALUE"""),"Yes")</f>
        <v>Yes</v>
      </c>
      <c r="M950" s="1" t="str">
        <f>IFERROR(__xludf.DUMMYFUNCTION("""COMPUTED_VALUE"""),"Yes")</f>
        <v>Yes</v>
      </c>
      <c r="N950" s="1" t="str">
        <f>IFERROR(__xludf.DUMMYFUNCTION("""COMPUTED_VALUE"""),"Yes")</f>
        <v>Yes</v>
      </c>
      <c r="O950" s="1" t="str">
        <f>IFERROR(__xludf.DUMMYFUNCTION("""COMPUTED_VALUE"""),"WA ONLY, CALL")</f>
        <v>WA ONLY, CALL</v>
      </c>
      <c r="P950" s="1" t="str">
        <f>IFERROR(__xludf.DUMMYFUNCTION("""COMPUTED_VALUE"""),"Sir")</f>
        <v>Sir</v>
      </c>
      <c r="Q950" s="1" t="str">
        <f>IFERROR(__xludf.DUMMYFUNCTION("""COMPUTED_VALUE"""),"No")</f>
        <v>No</v>
      </c>
      <c r="R950" s="1" t="str">
        <f>IFERROR(__xludf.DUMMYFUNCTION("""COMPUTED_VALUE"""),"NEW WALK IN")</f>
        <v>NEW WALK IN</v>
      </c>
      <c r="S950" s="1" t="str">
        <f>IFERROR(__xludf.DUMMYFUNCTION("""COMPUTED_VALUE"""),"Yes")</f>
        <v>Yes</v>
      </c>
    </row>
    <row r="951">
      <c r="A951" s="2">
        <f>IFERROR(__xludf.DUMMYFUNCTION("""COMPUTED_VALUE"""),45644.71545096065)</f>
        <v>45644.71545</v>
      </c>
      <c r="B951" s="1" t="str">
        <f>IFERROR(__xludf.DUMMYFUNCTION("""COMPUTED_VALUE"""),"Jasmeet singh")</f>
        <v>Jasmeet singh</v>
      </c>
      <c r="C951" s="1">
        <f>IFERROR(__xludf.DUMMYFUNCTION("""COMPUTED_VALUE"""),9.870383056E9)</f>
        <v>9870383056</v>
      </c>
      <c r="D951" s="1">
        <f>IFERROR(__xludf.DUMMYFUNCTION("""COMPUTED_VALUE"""),2.0)</f>
        <v>2</v>
      </c>
      <c r="E951" s="3">
        <f>IFERROR(__xludf.DUMMYFUNCTION("""COMPUTED_VALUE"""),0.625)</f>
        <v>0.625</v>
      </c>
      <c r="F951" s="1" t="str">
        <f>IFERROR(__xludf.DUMMYFUNCTION("""COMPUTED_VALUE"""),"Plain Gold")</f>
        <v>Plain Gold</v>
      </c>
      <c r="G951" s="1" t="str">
        <f>IFERROR(__xludf.DUMMYFUNCTION("""COMPUTED_VALUE"""),"Sapna")</f>
        <v>Sapna</v>
      </c>
      <c r="H951" s="1" t="str">
        <f>IFERROR(__xludf.DUMMYFUNCTION("""COMPUTED_VALUE"""),"Gold set")</f>
        <v>Gold set</v>
      </c>
      <c r="I951" s="1"/>
      <c r="J951" s="1"/>
      <c r="K951" s="3">
        <f>IFERROR(__xludf.DUMMYFUNCTION("""COMPUTED_VALUE"""),0.6569444444467081)</f>
        <v>0.6569444444</v>
      </c>
      <c r="L951" s="1" t="str">
        <f>IFERROR(__xludf.DUMMYFUNCTION("""COMPUTED_VALUE"""),"Yes")</f>
        <v>Yes</v>
      </c>
      <c r="M951" s="1" t="str">
        <f>IFERROR(__xludf.DUMMYFUNCTION("""COMPUTED_VALUE"""),"Yes")</f>
        <v>Yes</v>
      </c>
      <c r="N951" s="1" t="str">
        <f>IFERROR(__xludf.DUMMYFUNCTION("""COMPUTED_VALUE"""),"Yes")</f>
        <v>Yes</v>
      </c>
      <c r="O951" s="1" t="str">
        <f>IFERROR(__xludf.DUMMYFUNCTION("""COMPUTED_VALUE"""),"WA ONLY, CALL")</f>
        <v>WA ONLY, CALL</v>
      </c>
      <c r="P951" s="1" t="str">
        <f>IFERROR(__xludf.DUMMYFUNCTION("""COMPUTED_VALUE"""),"Sir")</f>
        <v>Sir</v>
      </c>
      <c r="Q951" s="1" t="str">
        <f>IFERROR(__xludf.DUMMYFUNCTION("""COMPUTED_VALUE"""),"Yes")</f>
        <v>Yes</v>
      </c>
      <c r="R951" s="1" t="str">
        <f>IFERROR(__xludf.DUMMYFUNCTION("""COMPUTED_VALUE"""),"OLD")</f>
        <v>OLD</v>
      </c>
      <c r="S951" s="1" t="str">
        <f>IFERROR(__xludf.DUMMYFUNCTION("""COMPUTED_VALUE"""),"Yes")</f>
        <v>Yes</v>
      </c>
    </row>
    <row r="952">
      <c r="A952" s="2">
        <f>IFERROR(__xludf.DUMMYFUNCTION("""COMPUTED_VALUE"""),45644.71645489583)</f>
        <v>45644.71645</v>
      </c>
      <c r="B952" s="1" t="str">
        <f>IFERROR(__xludf.DUMMYFUNCTION("""COMPUTED_VALUE"""),"Himani")</f>
        <v>Himani</v>
      </c>
      <c r="C952" s="1">
        <f>IFERROR(__xludf.DUMMYFUNCTION("""COMPUTED_VALUE"""),9.81197911E9)</f>
        <v>9811979110</v>
      </c>
      <c r="D952" s="1">
        <f>IFERROR(__xludf.DUMMYFUNCTION("""COMPUTED_VALUE"""),1.0)</f>
        <v>1</v>
      </c>
      <c r="E952" s="3">
        <f>IFERROR(__xludf.DUMMYFUNCTION("""COMPUTED_VALUE"""),0.6263888888934162)</f>
        <v>0.6263888889</v>
      </c>
      <c r="F952" s="1" t="str">
        <f>IFERROR(__xludf.DUMMYFUNCTION("""COMPUTED_VALUE"""),"Diamond")</f>
        <v>Diamond</v>
      </c>
      <c r="G952" s="1" t="str">
        <f>IFERROR(__xludf.DUMMYFUNCTION("""COMPUTED_VALUE"""),"Deepali")</f>
        <v>Deepali</v>
      </c>
      <c r="H952" s="1" t="str">
        <f>IFERROR(__xludf.DUMMYFUNCTION("""COMPUTED_VALUE"""),"Silver elephants ")</f>
        <v>Silver elephants </v>
      </c>
      <c r="I952" s="1" t="str">
        <f>IFERROR(__xludf.DUMMYFUNCTION("""COMPUTED_VALUE"""),"Will ask family and come with them")</f>
        <v>Will ask family and come with them</v>
      </c>
      <c r="J952" s="1"/>
      <c r="K952" s="3">
        <f>IFERROR(__xludf.DUMMYFUNCTION("""COMPUTED_VALUE"""),0.6472222222218988)</f>
        <v>0.6472222222</v>
      </c>
      <c r="L952" s="1" t="str">
        <f>IFERROR(__xludf.DUMMYFUNCTION("""COMPUTED_VALUE"""),"Yes")</f>
        <v>Yes</v>
      </c>
      <c r="M952" s="1" t="str">
        <f>IFERROR(__xludf.DUMMYFUNCTION("""COMPUTED_VALUE"""),"Already done ")</f>
        <v>Already done </v>
      </c>
      <c r="N952" s="1" t="str">
        <f>IFERROR(__xludf.DUMMYFUNCTION("""COMPUTED_VALUE"""),"Already done ")</f>
        <v>Already done </v>
      </c>
      <c r="O952" s="1" t="str">
        <f>IFERROR(__xludf.DUMMYFUNCTION("""COMPUTED_VALUE"""),"WA ONLY, CALL")</f>
        <v>WA ONLY, CALL</v>
      </c>
      <c r="P952" s="1" t="str">
        <f>IFERROR(__xludf.DUMMYFUNCTION("""COMPUTED_VALUE"""),"Madam")</f>
        <v>Madam</v>
      </c>
      <c r="Q952" s="1" t="str">
        <f>IFERROR(__xludf.DUMMYFUNCTION("""COMPUTED_VALUE"""),"No")</f>
        <v>No</v>
      </c>
      <c r="R952" s="1" t="str">
        <f>IFERROR(__xludf.DUMMYFUNCTION("""COMPUTED_VALUE"""),"OLD")</f>
        <v>OLD</v>
      </c>
      <c r="S952" s="1" t="str">
        <f>IFERROR(__xludf.DUMMYFUNCTION("""COMPUTED_VALUE"""),"No")</f>
        <v>No</v>
      </c>
    </row>
    <row r="953">
      <c r="A953" s="2">
        <f>IFERROR(__xludf.DUMMYFUNCTION("""COMPUTED_VALUE"""),45644.717183726854)</f>
        <v>45644.71718</v>
      </c>
      <c r="B953" s="1" t="str">
        <f>IFERROR(__xludf.DUMMYFUNCTION("""COMPUTED_VALUE"""),"Nand kishor")</f>
        <v>Nand kishor</v>
      </c>
      <c r="C953" s="1">
        <f>IFERROR(__xludf.DUMMYFUNCTION("""COMPUTED_VALUE"""),9.311163494E9)</f>
        <v>9311163494</v>
      </c>
      <c r="D953" s="1">
        <f>IFERROR(__xludf.DUMMYFUNCTION("""COMPUTED_VALUE"""),2.0)</f>
        <v>2</v>
      </c>
      <c r="E953" s="3">
        <f>IFERROR(__xludf.DUMMYFUNCTION("""COMPUTED_VALUE"""),0.6166666666686069)</f>
        <v>0.6166666667</v>
      </c>
      <c r="F953" s="1" t="str">
        <f>IFERROR(__xludf.DUMMYFUNCTION("""COMPUTED_VALUE"""),"Antique Gold")</f>
        <v>Antique Gold</v>
      </c>
      <c r="G953" s="1" t="str">
        <f>IFERROR(__xludf.DUMMYFUNCTION("""COMPUTED_VALUE"""),"Tannu")</f>
        <v>Tannu</v>
      </c>
      <c r="H953" s="1"/>
      <c r="I953" s="1" t="str">
        <f>IFERROR(__xludf.DUMMYFUNCTION("""COMPUTED_VALUE"""),"Give Payment")</f>
        <v>Give Payment</v>
      </c>
      <c r="J953" s="1"/>
      <c r="K953" s="3">
        <f>IFERROR(__xludf.DUMMYFUNCTION("""COMPUTED_VALUE"""),0.6388888888905058)</f>
        <v>0.6388888889</v>
      </c>
      <c r="L953" s="1" t="str">
        <f>IFERROR(__xludf.DUMMYFUNCTION("""COMPUTED_VALUE"""),"Yes")</f>
        <v>Yes</v>
      </c>
      <c r="M953" s="1" t="str">
        <f>IFERROR(__xludf.DUMMYFUNCTION("""COMPUTED_VALUE"""),"Already done ")</f>
        <v>Already done </v>
      </c>
      <c r="N953" s="1" t="str">
        <f>IFERROR(__xludf.DUMMYFUNCTION("""COMPUTED_VALUE"""),"Already done ")</f>
        <v>Already done </v>
      </c>
      <c r="O953" s="1" t="str">
        <f>IFERROR(__xludf.DUMMYFUNCTION("""COMPUTED_VALUE"""),"WA ONLY, CALL")</f>
        <v>WA ONLY, CALL</v>
      </c>
      <c r="P953" s="1" t="str">
        <f>IFERROR(__xludf.DUMMYFUNCTION("""COMPUTED_VALUE"""),"Sir")</f>
        <v>Sir</v>
      </c>
      <c r="Q953" s="1" t="str">
        <f>IFERROR(__xludf.DUMMYFUNCTION("""COMPUTED_VALUE"""),"No")</f>
        <v>No</v>
      </c>
      <c r="R953" s="1" t="str">
        <f>IFERROR(__xludf.DUMMYFUNCTION("""COMPUTED_VALUE"""),"OLD")</f>
        <v>OLD</v>
      </c>
      <c r="S953" s="1" t="str">
        <f>IFERROR(__xludf.DUMMYFUNCTION("""COMPUTED_VALUE"""),"No")</f>
        <v>No</v>
      </c>
    </row>
    <row r="954">
      <c r="A954" s="2">
        <f>IFERROR(__xludf.DUMMYFUNCTION("""COMPUTED_VALUE"""),45645.740608541666)</f>
        <v>45645.74061</v>
      </c>
      <c r="B954" s="1" t="str">
        <f>IFERROR(__xludf.DUMMYFUNCTION("""COMPUTED_VALUE"""),"Meetu goyal")</f>
        <v>Meetu goyal</v>
      </c>
      <c r="C954" s="1">
        <f>IFERROR(__xludf.DUMMYFUNCTION("""COMPUTED_VALUE"""),9.560915533E9)</f>
        <v>9560915533</v>
      </c>
      <c r="D954" s="1">
        <f>IFERROR(__xludf.DUMMYFUNCTION("""COMPUTED_VALUE"""),2.0)</f>
        <v>2</v>
      </c>
      <c r="E954" s="3">
        <f>IFERROR(__xludf.DUMMYFUNCTION("""COMPUTED_VALUE"""),0.663888888884685)</f>
        <v>0.6638888889</v>
      </c>
      <c r="F954" s="1" t="str">
        <f>IFERROR(__xludf.DUMMYFUNCTION("""COMPUTED_VALUE"""),"Diamond")</f>
        <v>Diamond</v>
      </c>
      <c r="G954" s="1" t="str">
        <f>IFERROR(__xludf.DUMMYFUNCTION("""COMPUTED_VALUE"""),"Preeti")</f>
        <v>Preeti</v>
      </c>
      <c r="H954" s="1" t="str">
        <f>IFERROR(__xludf.DUMMYFUNCTION("""COMPUTED_VALUE"""),"Diamond ring,gold baar 100 gm,mmtc gold coin.")</f>
        <v>Diamond ring,gold baar 100 gm,mmtc gold coin.</v>
      </c>
      <c r="I954" s="1" t="str">
        <f>IFERROR(__xludf.DUMMYFUNCTION("""COMPUTED_VALUE"""),"Diamond ring repair ")</f>
        <v>Diamond ring repair </v>
      </c>
      <c r="J954" s="1"/>
      <c r="K954" s="3">
        <f>IFERROR(__xludf.DUMMYFUNCTION("""COMPUTED_VALUE"""),0.7291666666642413)</f>
        <v>0.7291666667</v>
      </c>
      <c r="L954" s="1" t="str">
        <f>IFERROR(__xludf.DUMMYFUNCTION("""COMPUTED_VALUE"""),"Yes")</f>
        <v>Yes</v>
      </c>
      <c r="M954" s="1" t="str">
        <f>IFERROR(__xludf.DUMMYFUNCTION("""COMPUTED_VALUE"""),"Already done ")</f>
        <v>Already done </v>
      </c>
      <c r="N954" s="1" t="str">
        <f>IFERROR(__xludf.DUMMYFUNCTION("""COMPUTED_VALUE"""),"Already done ")</f>
        <v>Already done </v>
      </c>
      <c r="O954" s="1" t="str">
        <f>IFERROR(__xludf.DUMMYFUNCTION("""COMPUTED_VALUE"""),"WA ONLY, CALL")</f>
        <v>WA ONLY, CALL</v>
      </c>
      <c r="P954" s="1" t="str">
        <f>IFERROR(__xludf.DUMMYFUNCTION("""COMPUTED_VALUE"""),"Madam")</f>
        <v>Madam</v>
      </c>
      <c r="Q954" s="1" t="str">
        <f>IFERROR(__xludf.DUMMYFUNCTION("""COMPUTED_VALUE"""),"No")</f>
        <v>No</v>
      </c>
      <c r="R954" s="1" t="str">
        <f>IFERROR(__xludf.DUMMYFUNCTION("""COMPUTED_VALUE"""),"OLD")</f>
        <v>OLD</v>
      </c>
      <c r="S954" s="1" t="str">
        <f>IFERROR(__xludf.DUMMYFUNCTION("""COMPUTED_VALUE"""),"No")</f>
        <v>No</v>
      </c>
    </row>
    <row r="955">
      <c r="A955" s="2">
        <f>IFERROR(__xludf.DUMMYFUNCTION("""COMPUTED_VALUE"""),45646.52677600694)</f>
        <v>45646.52678</v>
      </c>
      <c r="B955" s="1" t="str">
        <f>IFERROR(__xludf.DUMMYFUNCTION("""COMPUTED_VALUE"""),"Rakesh")</f>
        <v>Rakesh</v>
      </c>
      <c r="C955" s="1">
        <f>IFERROR(__xludf.DUMMYFUNCTION("""COMPUTED_VALUE"""),7.674984154E9)</f>
        <v>7674984154</v>
      </c>
      <c r="D955" s="1">
        <f>IFERROR(__xludf.DUMMYFUNCTION("""COMPUTED_VALUE"""),2.0)</f>
        <v>2</v>
      </c>
      <c r="E955" s="3">
        <f>IFERROR(__xludf.DUMMYFUNCTION("""COMPUTED_VALUE"""),0.48611111110949423)</f>
        <v>0.4861111111</v>
      </c>
      <c r="F955" s="1" t="str">
        <f>IFERROR(__xludf.DUMMYFUNCTION("""COMPUTED_VALUE"""),"Plain Gold")</f>
        <v>Plain Gold</v>
      </c>
      <c r="G955" s="1" t="str">
        <f>IFERROR(__xludf.DUMMYFUNCTION("""COMPUTED_VALUE"""),"Sapna")</f>
        <v>Sapna</v>
      </c>
      <c r="H955" s="1" t="str">
        <f>IFERROR(__xludf.DUMMYFUNCTION("""COMPUTED_VALUE"""),"Gold nose pins")</f>
        <v>Gold nose pins</v>
      </c>
      <c r="I955" s="1"/>
      <c r="J955" s="1"/>
      <c r="K955" s="3">
        <f>IFERROR(__xludf.DUMMYFUNCTION("""COMPUTED_VALUE"""),0.5083333333313931)</f>
        <v>0.5083333333</v>
      </c>
      <c r="L955" s="1" t="str">
        <f>IFERROR(__xludf.DUMMYFUNCTION("""COMPUTED_VALUE"""),"Yes")</f>
        <v>Yes</v>
      </c>
      <c r="M955" s="1" t="str">
        <f>IFERROR(__xludf.DUMMYFUNCTION("""COMPUTED_VALUE"""),"Yes")</f>
        <v>Yes</v>
      </c>
      <c r="N955" s="1" t="str">
        <f>IFERROR(__xludf.DUMMYFUNCTION("""COMPUTED_VALUE"""),"Not use")</f>
        <v>Not use</v>
      </c>
      <c r="O955" s="1" t="str">
        <f>IFERROR(__xludf.DUMMYFUNCTION("""COMPUTED_VALUE"""),"WA ONLY, CALL")</f>
        <v>WA ONLY, CALL</v>
      </c>
      <c r="P955" s="1" t="str">
        <f>IFERROR(__xludf.DUMMYFUNCTION("""COMPUTED_VALUE"""),"Sir")</f>
        <v>Sir</v>
      </c>
      <c r="Q955" s="1" t="str">
        <f>IFERROR(__xludf.DUMMYFUNCTION("""COMPUTED_VALUE"""),"No")</f>
        <v>No</v>
      </c>
      <c r="R955" s="1" t="str">
        <f>IFERROR(__xludf.DUMMYFUNCTION("""COMPUTED_VALUE"""),"NEW WALK IN")</f>
        <v>NEW WALK IN</v>
      </c>
      <c r="S955" s="1" t="str">
        <f>IFERROR(__xludf.DUMMYFUNCTION("""COMPUTED_VALUE"""),"Yes")</f>
        <v>Yes</v>
      </c>
    </row>
    <row r="956">
      <c r="A956" s="2">
        <f>IFERROR(__xludf.DUMMYFUNCTION("""COMPUTED_VALUE"""),45646.705049212964)</f>
        <v>45646.70505</v>
      </c>
      <c r="B956" s="1" t="str">
        <f>IFERROR(__xludf.DUMMYFUNCTION("""COMPUTED_VALUE"""),"Rishabh shukla")</f>
        <v>Rishabh shukla</v>
      </c>
      <c r="C956" s="1">
        <f>IFERROR(__xludf.DUMMYFUNCTION("""COMPUTED_VALUE"""),9.871037317E9)</f>
        <v>9871037317</v>
      </c>
      <c r="D956" s="1">
        <f>IFERROR(__xludf.DUMMYFUNCTION("""COMPUTED_VALUE"""),2.0)</f>
        <v>2</v>
      </c>
      <c r="E956" s="3">
        <f>IFERROR(__xludf.DUMMYFUNCTION("""COMPUTED_VALUE"""),0.6763888888890506)</f>
        <v>0.6763888889</v>
      </c>
      <c r="F956" s="1" t="str">
        <f>IFERROR(__xludf.DUMMYFUNCTION("""COMPUTED_VALUE"""),"Plain Gold")</f>
        <v>Plain Gold</v>
      </c>
      <c r="G956" s="1" t="str">
        <f>IFERROR(__xludf.DUMMYFUNCTION("""COMPUTED_VALUE"""),"Sapna")</f>
        <v>Sapna</v>
      </c>
      <c r="H956" s="1" t="str">
        <f>IFERROR(__xludf.DUMMYFUNCTION("""COMPUTED_VALUE"""),"Gold tops")</f>
        <v>Gold tops</v>
      </c>
      <c r="I956" s="1"/>
      <c r="J956" s="1"/>
      <c r="K956" s="3">
        <f>IFERROR(__xludf.DUMMYFUNCTION("""COMPUTED_VALUE"""),0.6979166666642413)</f>
        <v>0.6979166667</v>
      </c>
      <c r="L956" s="1" t="str">
        <f>IFERROR(__xludf.DUMMYFUNCTION("""COMPUTED_VALUE"""),"Yes")</f>
        <v>Yes</v>
      </c>
      <c r="M956" s="1" t="str">
        <f>IFERROR(__xludf.DUMMYFUNCTION("""COMPUTED_VALUE"""),"Yes")</f>
        <v>Yes</v>
      </c>
      <c r="N956" s="1" t="str">
        <f>IFERROR(__xludf.DUMMYFUNCTION("""COMPUTED_VALUE"""),"Yes")</f>
        <v>Yes</v>
      </c>
      <c r="O956" s="1" t="str">
        <f>IFERROR(__xludf.DUMMYFUNCTION("""COMPUTED_VALUE"""),"WA ONLY, CALL")</f>
        <v>WA ONLY, CALL</v>
      </c>
      <c r="P956" s="1" t="str">
        <f>IFERROR(__xludf.DUMMYFUNCTION("""COMPUTED_VALUE"""),"Sir")</f>
        <v>Sir</v>
      </c>
      <c r="Q956" s="1" t="str">
        <f>IFERROR(__xludf.DUMMYFUNCTION("""COMPUTED_VALUE"""),"Yes")</f>
        <v>Yes</v>
      </c>
      <c r="R956" s="1" t="str">
        <f>IFERROR(__xludf.DUMMYFUNCTION("""COMPUTED_VALUE"""),"NEW WALK IN")</f>
        <v>NEW WALK IN</v>
      </c>
      <c r="S956" s="1" t="str">
        <f>IFERROR(__xludf.DUMMYFUNCTION("""COMPUTED_VALUE"""),"Yes")</f>
        <v>Yes</v>
      </c>
    </row>
    <row r="957">
      <c r="A957" s="2">
        <f>IFERROR(__xludf.DUMMYFUNCTION("""COMPUTED_VALUE"""),45646.75213237268)</f>
        <v>45646.75213</v>
      </c>
      <c r="B957" s="1" t="str">
        <f>IFERROR(__xludf.DUMMYFUNCTION("""COMPUTED_VALUE"""),"Anupama sharma")</f>
        <v>Anupama sharma</v>
      </c>
      <c r="C957" s="1">
        <f>IFERROR(__xludf.DUMMYFUNCTION("""COMPUTED_VALUE"""),9.999008756E9)</f>
        <v>9999008756</v>
      </c>
      <c r="D957" s="1">
        <f>IFERROR(__xludf.DUMMYFUNCTION("""COMPUTED_VALUE"""),2.0)</f>
        <v>2</v>
      </c>
      <c r="E957" s="3">
        <f>IFERROR(__xludf.DUMMYFUNCTION("""COMPUTED_VALUE"""),0.6388888888905058)</f>
        <v>0.6388888889</v>
      </c>
      <c r="F957" s="1" t="str">
        <f>IFERROR(__xludf.DUMMYFUNCTION("""COMPUTED_VALUE"""),"Diamond")</f>
        <v>Diamond</v>
      </c>
      <c r="G957" s="1" t="str">
        <f>IFERROR(__xludf.DUMMYFUNCTION("""COMPUTED_VALUE"""),"Preeti")</f>
        <v>Preeti</v>
      </c>
      <c r="H957" s="1" t="str">
        <f>IFERROR(__xludf.DUMMYFUNCTION("""COMPUTED_VALUE"""),"Diamond ")</f>
        <v>Diamond </v>
      </c>
      <c r="I957" s="1" t="str">
        <f>IFERROR(__xludf.DUMMYFUNCTION("""COMPUTED_VALUE"""),"Repair jewellery ")</f>
        <v>Repair jewellery </v>
      </c>
      <c r="J957" s="1"/>
      <c r="K957" s="3">
        <f>IFERROR(__xludf.DUMMYFUNCTION("""COMPUTED_VALUE"""),0.6972222222248092)</f>
        <v>0.6972222222</v>
      </c>
      <c r="L957" s="1" t="str">
        <f>IFERROR(__xludf.DUMMYFUNCTION("""COMPUTED_VALUE"""),"Yes")</f>
        <v>Yes</v>
      </c>
      <c r="M957" s="1" t="str">
        <f>IFERROR(__xludf.DUMMYFUNCTION("""COMPUTED_VALUE"""),"Already done ")</f>
        <v>Already done </v>
      </c>
      <c r="N957" s="1" t="str">
        <f>IFERROR(__xludf.DUMMYFUNCTION("""COMPUTED_VALUE"""),"Already done ")</f>
        <v>Already done </v>
      </c>
      <c r="O957" s="1" t="str">
        <f>IFERROR(__xludf.DUMMYFUNCTION("""COMPUTED_VALUE"""),"WA ONLY, CALL")</f>
        <v>WA ONLY, CALL</v>
      </c>
      <c r="P957" s="1" t="str">
        <f>IFERROR(__xludf.DUMMYFUNCTION("""COMPUTED_VALUE"""),"Madam")</f>
        <v>Madam</v>
      </c>
      <c r="Q957" s="1" t="str">
        <f>IFERROR(__xludf.DUMMYFUNCTION("""COMPUTED_VALUE"""),"No")</f>
        <v>No</v>
      </c>
      <c r="R957" s="1" t="str">
        <f>IFERROR(__xludf.DUMMYFUNCTION("""COMPUTED_VALUE"""),"OLD")</f>
        <v>OLD</v>
      </c>
      <c r="S957" s="1" t="str">
        <f>IFERROR(__xludf.DUMMYFUNCTION("""COMPUTED_VALUE"""),"No")</f>
        <v>No</v>
      </c>
    </row>
    <row r="958">
      <c r="A958" s="2">
        <f>IFERROR(__xludf.DUMMYFUNCTION("""COMPUTED_VALUE"""),45647.61626225694)</f>
        <v>45647.61626</v>
      </c>
      <c r="B958" s="1" t="str">
        <f>IFERROR(__xludf.DUMMYFUNCTION("""COMPUTED_VALUE"""),"Mamtasha")</f>
        <v>Mamtasha</v>
      </c>
      <c r="C958" s="1">
        <f>IFERROR(__xludf.DUMMYFUNCTION("""COMPUTED_VALUE"""),7.535022621E9)</f>
        <v>7535022621</v>
      </c>
      <c r="D958" s="1">
        <f>IFERROR(__xludf.DUMMYFUNCTION("""COMPUTED_VALUE"""),1.0)</f>
        <v>1</v>
      </c>
      <c r="E958" s="3">
        <f>IFERROR(__xludf.DUMMYFUNCTION("""COMPUTED_VALUE"""),0.5902777777810115)</f>
        <v>0.5902777778</v>
      </c>
      <c r="F958" s="1" t="str">
        <f>IFERROR(__xludf.DUMMYFUNCTION("""COMPUTED_VALUE"""),"Antique Gold")</f>
        <v>Antique Gold</v>
      </c>
      <c r="G958" s="1" t="str">
        <f>IFERROR(__xludf.DUMMYFUNCTION("""COMPUTED_VALUE"""),"Sapna")</f>
        <v>Sapna</v>
      </c>
      <c r="H958" s="1" t="str">
        <f>IFERROR(__xludf.DUMMYFUNCTION("""COMPUTED_VALUE"""),"Gold antique long sets ")</f>
        <v>Gold antique long sets </v>
      </c>
      <c r="I958" s="1" t="str">
        <f>IFERROR(__xludf.DUMMYFUNCTION("""COMPUTED_VALUE"""),"Will ask family and come with them")</f>
        <v>Will ask family and come with them</v>
      </c>
      <c r="J958" s="1"/>
      <c r="K958" s="3">
        <f>IFERROR(__xludf.DUMMYFUNCTION("""COMPUTED_VALUE"""),0.6138888888890506)</f>
        <v>0.6138888889</v>
      </c>
      <c r="L958" s="1" t="str">
        <f>IFERROR(__xludf.DUMMYFUNCTION("""COMPUTED_VALUE"""),"No")</f>
        <v>No</v>
      </c>
      <c r="M958" s="1" t="str">
        <f>IFERROR(__xludf.DUMMYFUNCTION("""COMPUTED_VALUE"""),"No")</f>
        <v>No</v>
      </c>
      <c r="N958" s="1" t="str">
        <f>IFERROR(__xludf.DUMMYFUNCTION("""COMPUTED_VALUE"""),"No")</f>
        <v>No</v>
      </c>
      <c r="O958" s="1" t="str">
        <f>IFERROR(__xludf.DUMMYFUNCTION("""COMPUTED_VALUE"""),"WA ONLY, CALL")</f>
        <v>WA ONLY, CALL</v>
      </c>
      <c r="P958" s="1" t="str">
        <f>IFERROR(__xludf.DUMMYFUNCTION("""COMPUTED_VALUE"""),"Madam")</f>
        <v>Madam</v>
      </c>
      <c r="Q958" s="1" t="str">
        <f>IFERROR(__xludf.DUMMYFUNCTION("""COMPUTED_VALUE"""),"No")</f>
        <v>No</v>
      </c>
      <c r="R958" s="1" t="str">
        <f>IFERROR(__xludf.DUMMYFUNCTION("""COMPUTED_VALUE"""),"NEW WALK IN")</f>
        <v>NEW WALK IN</v>
      </c>
      <c r="S958" s="1" t="str">
        <f>IFERROR(__xludf.DUMMYFUNCTION("""COMPUTED_VALUE"""),"No")</f>
        <v>No</v>
      </c>
    </row>
    <row r="959">
      <c r="A959" s="2">
        <f>IFERROR(__xludf.DUMMYFUNCTION("""COMPUTED_VALUE"""),45647.70422990741)</f>
        <v>45647.70423</v>
      </c>
      <c r="B959" s="1" t="str">
        <f>IFERROR(__xludf.DUMMYFUNCTION("""COMPUTED_VALUE"""),"Tanusha")</f>
        <v>Tanusha</v>
      </c>
      <c r="C959" s="1">
        <f>IFERROR(__xludf.DUMMYFUNCTION("""COMPUTED_VALUE"""),9.650464021E9)</f>
        <v>9650464021</v>
      </c>
      <c r="D959" s="1">
        <f>IFERROR(__xludf.DUMMYFUNCTION("""COMPUTED_VALUE"""),2.0)</f>
        <v>2</v>
      </c>
      <c r="E959" s="3">
        <f>IFERROR(__xludf.DUMMYFUNCTION("""COMPUTED_VALUE"""),0.6458333333357587)</f>
        <v>0.6458333333</v>
      </c>
      <c r="F959" s="1" t="str">
        <f>IFERROR(__xludf.DUMMYFUNCTION("""COMPUTED_VALUE"""),"Plain Gold")</f>
        <v>Plain Gold</v>
      </c>
      <c r="G959" s="1" t="str">
        <f>IFERROR(__xludf.DUMMYFUNCTION("""COMPUTED_VALUE"""),"Sapna")</f>
        <v>Sapna</v>
      </c>
      <c r="H959" s="1" t="str">
        <f>IFERROR(__xludf.DUMMYFUNCTION("""COMPUTED_VALUE"""),"Gold ring,manglsutr ")</f>
        <v>Gold ring,manglsutr </v>
      </c>
      <c r="I959" s="1" t="str">
        <f>IFERROR(__xludf.DUMMYFUNCTION("""COMPUTED_VALUE"""),"Will ask family and come with them")</f>
        <v>Will ask family and come with them</v>
      </c>
      <c r="J959" s="1"/>
      <c r="K959" s="3">
        <f>IFERROR(__xludf.DUMMYFUNCTION("""COMPUTED_VALUE"""),0.6944444444452529)</f>
        <v>0.6944444444</v>
      </c>
      <c r="L959" s="1" t="str">
        <f>IFERROR(__xludf.DUMMYFUNCTION("""COMPUTED_VALUE"""),"Yes")</f>
        <v>Yes</v>
      </c>
      <c r="M959" s="1" t="str">
        <f>IFERROR(__xludf.DUMMYFUNCTION("""COMPUTED_VALUE"""),"Already done ")</f>
        <v>Already done </v>
      </c>
      <c r="N959" s="1" t="str">
        <f>IFERROR(__xludf.DUMMYFUNCTION("""COMPUTED_VALUE"""),"Already done ")</f>
        <v>Already done </v>
      </c>
      <c r="O959" s="1" t="str">
        <f>IFERROR(__xludf.DUMMYFUNCTION("""COMPUTED_VALUE"""),"WA ONLY, CALL")</f>
        <v>WA ONLY, CALL</v>
      </c>
      <c r="P959" s="1" t="str">
        <f>IFERROR(__xludf.DUMMYFUNCTION("""COMPUTED_VALUE"""),"Madam")</f>
        <v>Madam</v>
      </c>
      <c r="Q959" s="1" t="str">
        <f>IFERROR(__xludf.DUMMYFUNCTION("""COMPUTED_VALUE"""),"No")</f>
        <v>No</v>
      </c>
      <c r="R959" s="1" t="str">
        <f>IFERROR(__xludf.DUMMYFUNCTION("""COMPUTED_VALUE"""),"OLD")</f>
        <v>OLD</v>
      </c>
      <c r="S959" s="1" t="str">
        <f>IFERROR(__xludf.DUMMYFUNCTION("""COMPUTED_VALUE"""),"No")</f>
        <v>No</v>
      </c>
    </row>
    <row r="960">
      <c r="A960" s="2">
        <f>IFERROR(__xludf.DUMMYFUNCTION("""COMPUTED_VALUE"""),45647.744129976854)</f>
        <v>45647.74413</v>
      </c>
      <c r="B960" s="1" t="str">
        <f>IFERROR(__xludf.DUMMYFUNCTION("""COMPUTED_VALUE"""),"Varsha yadav")</f>
        <v>Varsha yadav</v>
      </c>
      <c r="C960" s="1">
        <f>IFERROR(__xludf.DUMMYFUNCTION("""COMPUTED_VALUE"""),9.460907696E9)</f>
        <v>9460907696</v>
      </c>
      <c r="D960" s="1">
        <f>IFERROR(__xludf.DUMMYFUNCTION("""COMPUTED_VALUE"""),1.0)</f>
        <v>1</v>
      </c>
      <c r="E960" s="3">
        <f>IFERROR(__xludf.DUMMYFUNCTION("""COMPUTED_VALUE"""),0.7215277777795563)</f>
        <v>0.7215277778</v>
      </c>
      <c r="F960" s="1" t="str">
        <f>IFERROR(__xludf.DUMMYFUNCTION("""COMPUTED_VALUE"""),"Plain Gold")</f>
        <v>Plain Gold</v>
      </c>
      <c r="G960" s="1" t="str">
        <f>IFERROR(__xludf.DUMMYFUNCTION("""COMPUTED_VALUE"""),"Sapna")</f>
        <v>Sapna</v>
      </c>
      <c r="H960" s="1"/>
      <c r="I960" s="1" t="str">
        <f>IFERROR(__xludf.DUMMYFUNCTION("""COMPUTED_VALUE"""),"Pick up Order")</f>
        <v>Pick up Order</v>
      </c>
      <c r="J960" s="1"/>
      <c r="K960" s="3">
        <f>IFERROR(__xludf.DUMMYFUNCTION("""COMPUTED_VALUE"""),0.7375000000029104)</f>
        <v>0.7375</v>
      </c>
      <c r="L960" s="1" t="str">
        <f>IFERROR(__xludf.DUMMYFUNCTION("""COMPUTED_VALUE"""),"Yes")</f>
        <v>Yes</v>
      </c>
      <c r="M960" s="1" t="str">
        <f>IFERROR(__xludf.DUMMYFUNCTION("""COMPUTED_VALUE"""),"Already done ")</f>
        <v>Already done </v>
      </c>
      <c r="N960" s="1" t="str">
        <f>IFERROR(__xludf.DUMMYFUNCTION("""COMPUTED_VALUE"""),"Already done ")</f>
        <v>Already done </v>
      </c>
      <c r="O960" s="1" t="str">
        <f>IFERROR(__xludf.DUMMYFUNCTION("""COMPUTED_VALUE"""),"WA ONLY, CALL")</f>
        <v>WA ONLY, CALL</v>
      </c>
      <c r="P960" s="1" t="str">
        <f>IFERROR(__xludf.DUMMYFUNCTION("""COMPUTED_VALUE"""),"Madam")</f>
        <v>Madam</v>
      </c>
      <c r="Q960" s="1" t="str">
        <f>IFERROR(__xludf.DUMMYFUNCTION("""COMPUTED_VALUE"""),"No")</f>
        <v>No</v>
      </c>
      <c r="R960" s="1" t="str">
        <f>IFERROR(__xludf.DUMMYFUNCTION("""COMPUTED_VALUE"""),"OLD")</f>
        <v>OLD</v>
      </c>
      <c r="S960" s="1" t="str">
        <f>IFERROR(__xludf.DUMMYFUNCTION("""COMPUTED_VALUE"""),"No")</f>
        <v>No</v>
      </c>
    </row>
    <row r="961">
      <c r="A961" s="2">
        <f>IFERROR(__xludf.DUMMYFUNCTION("""COMPUTED_VALUE"""),45647.77430290509)</f>
        <v>45647.7743</v>
      </c>
      <c r="B961" s="1" t="str">
        <f>IFERROR(__xludf.DUMMYFUNCTION("""COMPUTED_VALUE"""),"Komal gehra,rajeev gehra")</f>
        <v>Komal gehra,rajeev gehra</v>
      </c>
      <c r="C961" s="1">
        <f>IFERROR(__xludf.DUMMYFUNCTION("""COMPUTED_VALUE"""),9.161114007E9)</f>
        <v>9161114007</v>
      </c>
      <c r="D961" s="1">
        <f>IFERROR(__xludf.DUMMYFUNCTION("""COMPUTED_VALUE"""),2.0)</f>
        <v>2</v>
      </c>
      <c r="E961" s="3">
        <f>IFERROR(__xludf.DUMMYFUNCTION("""COMPUTED_VALUE"""),0.7125000000014552)</f>
        <v>0.7125</v>
      </c>
      <c r="F961" s="1" t="str">
        <f>IFERROR(__xludf.DUMMYFUNCTION("""COMPUTED_VALUE"""),"Diamond")</f>
        <v>Diamond</v>
      </c>
      <c r="G961" s="1" t="str">
        <f>IFERROR(__xludf.DUMMYFUNCTION("""COMPUTED_VALUE"""),"Preeti")</f>
        <v>Preeti</v>
      </c>
      <c r="H961" s="1" t="str">
        <f>IFERROR(__xludf.DUMMYFUNCTION("""COMPUTED_VALUE"""),"Diamond ring,lose diamond 2k")</f>
        <v>Diamond ring,lose diamond 2k</v>
      </c>
      <c r="I961" s="1"/>
      <c r="J961" s="1"/>
      <c r="K961" s="3">
        <f>IFERROR(__xludf.DUMMYFUNCTION("""COMPUTED_VALUE"""),0.7708333333357587)</f>
        <v>0.7708333333</v>
      </c>
      <c r="L961" s="1" t="str">
        <f>IFERROR(__xludf.DUMMYFUNCTION("""COMPUTED_VALUE"""),"Yes")</f>
        <v>Yes</v>
      </c>
      <c r="M961" s="1" t="str">
        <f>IFERROR(__xludf.DUMMYFUNCTION("""COMPUTED_VALUE"""),"Already done ")</f>
        <v>Already done </v>
      </c>
      <c r="N961" s="1" t="str">
        <f>IFERROR(__xludf.DUMMYFUNCTION("""COMPUTED_VALUE"""),"Already done ")</f>
        <v>Already done </v>
      </c>
      <c r="O961" s="1" t="str">
        <f>IFERROR(__xludf.DUMMYFUNCTION("""COMPUTED_VALUE"""),"WA ONLY, CALL")</f>
        <v>WA ONLY, CALL</v>
      </c>
      <c r="P961" s="1" t="str">
        <f>IFERROR(__xludf.DUMMYFUNCTION("""COMPUTED_VALUE"""),"Sir")</f>
        <v>Sir</v>
      </c>
      <c r="Q961" s="1" t="str">
        <f>IFERROR(__xludf.DUMMYFUNCTION("""COMPUTED_VALUE"""),"No")</f>
        <v>No</v>
      </c>
      <c r="R961" s="1" t="str">
        <f>IFERROR(__xludf.DUMMYFUNCTION("""COMPUTED_VALUE"""),"OLD")</f>
        <v>OLD</v>
      </c>
      <c r="S961" s="1" t="str">
        <f>IFERROR(__xludf.DUMMYFUNCTION("""COMPUTED_VALUE"""),"Yes")</f>
        <v>Yes</v>
      </c>
    </row>
    <row r="962">
      <c r="A962" s="2">
        <f>IFERROR(__xludf.DUMMYFUNCTION("""COMPUTED_VALUE"""),45647.817222048616)</f>
        <v>45647.81722</v>
      </c>
      <c r="B962" s="1" t="str">
        <f>IFERROR(__xludf.DUMMYFUNCTION("""COMPUTED_VALUE"""),"Divyansh")</f>
        <v>Divyansh</v>
      </c>
      <c r="C962" s="1">
        <f>IFERROR(__xludf.DUMMYFUNCTION("""COMPUTED_VALUE"""),9.811113272E9)</f>
        <v>9811113272</v>
      </c>
      <c r="D962" s="1">
        <f>IFERROR(__xludf.DUMMYFUNCTION("""COMPUTED_VALUE"""),2.0)</f>
        <v>2</v>
      </c>
      <c r="E962" s="3">
        <f>IFERROR(__xludf.DUMMYFUNCTION("""COMPUTED_VALUE"""),0.7881944444452529)</f>
        <v>0.7881944444</v>
      </c>
      <c r="F962" s="1" t="str">
        <f>IFERROR(__xludf.DUMMYFUNCTION("""COMPUTED_VALUE"""),"Diamond")</f>
        <v>Diamond</v>
      </c>
      <c r="G962" s="1" t="str">
        <f>IFERROR(__xludf.DUMMYFUNCTION("""COMPUTED_VALUE"""),"Preeti")</f>
        <v>Preeti</v>
      </c>
      <c r="H962" s="1" t="str">
        <f>IFERROR(__xludf.DUMMYFUNCTION("""COMPUTED_VALUE"""),"Diamond ring,lose diamond,gold antique set")</f>
        <v>Diamond ring,lose diamond,gold antique set</v>
      </c>
      <c r="I962" s="1" t="str">
        <f>IFERROR(__xludf.DUMMYFUNCTION("""COMPUTED_VALUE"""),"Will ask family and come with them")</f>
        <v>Will ask family and come with them</v>
      </c>
      <c r="J962" s="1"/>
      <c r="K962" s="3">
        <f>IFERROR(__xludf.DUMMYFUNCTION("""COMPUTED_VALUE"""),0.8125)</f>
        <v>0.8125</v>
      </c>
      <c r="L962" s="1" t="str">
        <f>IFERROR(__xludf.DUMMYFUNCTION("""COMPUTED_VALUE"""),"Yes")</f>
        <v>Yes</v>
      </c>
      <c r="M962" s="1" t="str">
        <f>IFERROR(__xludf.DUMMYFUNCTION("""COMPUTED_VALUE"""),"Yes")</f>
        <v>Yes</v>
      </c>
      <c r="N962" s="1" t="str">
        <f>IFERROR(__xludf.DUMMYFUNCTION("""COMPUTED_VALUE"""),"Not use")</f>
        <v>Not use</v>
      </c>
      <c r="O962" s="1" t="str">
        <f>IFERROR(__xludf.DUMMYFUNCTION("""COMPUTED_VALUE"""),"WA ONLY, CALL")</f>
        <v>WA ONLY, CALL</v>
      </c>
      <c r="P962" s="1" t="str">
        <f>IFERROR(__xludf.DUMMYFUNCTION("""COMPUTED_VALUE"""),"Sir")</f>
        <v>Sir</v>
      </c>
      <c r="Q962" s="1" t="str">
        <f>IFERROR(__xludf.DUMMYFUNCTION("""COMPUTED_VALUE"""),"No")</f>
        <v>No</v>
      </c>
      <c r="R962" s="1" t="str">
        <f>IFERROR(__xludf.DUMMYFUNCTION("""COMPUTED_VALUE"""),"OLD")</f>
        <v>OLD</v>
      </c>
      <c r="S962" s="1" t="str">
        <f>IFERROR(__xludf.DUMMYFUNCTION("""COMPUTED_VALUE"""),"No")</f>
        <v>No</v>
      </c>
    </row>
    <row r="963">
      <c r="A963" s="2">
        <f>IFERROR(__xludf.DUMMYFUNCTION("""COMPUTED_VALUE"""),45648.752504918986)</f>
        <v>45648.7525</v>
      </c>
      <c r="B963" s="1" t="str">
        <f>IFERROR(__xludf.DUMMYFUNCTION("""COMPUTED_VALUE"""),"Afsana begam")</f>
        <v>Afsana begam</v>
      </c>
      <c r="C963" s="1">
        <f>IFERROR(__xludf.DUMMYFUNCTION("""COMPUTED_VALUE"""),9.311691012E9)</f>
        <v>9311691012</v>
      </c>
      <c r="D963" s="1">
        <f>IFERROR(__xludf.DUMMYFUNCTION("""COMPUTED_VALUE"""),2.0)</f>
        <v>2</v>
      </c>
      <c r="E963" s="3">
        <f>IFERROR(__xludf.DUMMYFUNCTION("""COMPUTED_VALUE"""),0.5569444444408873)</f>
        <v>0.5569444444</v>
      </c>
      <c r="F963" s="1" t="str">
        <f>IFERROR(__xludf.DUMMYFUNCTION("""COMPUTED_VALUE"""),"Antique Gold")</f>
        <v>Antique Gold</v>
      </c>
      <c r="G963" s="1" t="str">
        <f>IFERROR(__xludf.DUMMYFUNCTION("""COMPUTED_VALUE"""),"Tannu")</f>
        <v>Tannu</v>
      </c>
      <c r="H963" s="1" t="str">
        <f>IFERROR(__xludf.DUMMYFUNCTION("""COMPUTED_VALUE"""),"Gold bangles ")</f>
        <v>Gold bangles </v>
      </c>
      <c r="I963" s="1" t="str">
        <f>IFERROR(__xludf.DUMMYFUNCTION("""COMPUTED_VALUE"""),"Cheak order ")</f>
        <v>Cheak order </v>
      </c>
      <c r="J963" s="1"/>
      <c r="K963" s="3">
        <f>IFERROR(__xludf.DUMMYFUNCTION("""COMPUTED_VALUE"""),0.625)</f>
        <v>0.625</v>
      </c>
      <c r="L963" s="1" t="str">
        <f>IFERROR(__xludf.DUMMYFUNCTION("""COMPUTED_VALUE"""),"Yes")</f>
        <v>Yes</v>
      </c>
      <c r="M963" s="1" t="str">
        <f>IFERROR(__xludf.DUMMYFUNCTION("""COMPUTED_VALUE"""),"Already done ")</f>
        <v>Already done </v>
      </c>
      <c r="N963" s="1" t="str">
        <f>IFERROR(__xludf.DUMMYFUNCTION("""COMPUTED_VALUE"""),"Already done ")</f>
        <v>Already done </v>
      </c>
      <c r="O963" s="1" t="str">
        <f>IFERROR(__xludf.DUMMYFUNCTION("""COMPUTED_VALUE"""),"WA ONLY, CALL")</f>
        <v>WA ONLY, CALL</v>
      </c>
      <c r="P963" s="1" t="str">
        <f>IFERROR(__xludf.DUMMYFUNCTION("""COMPUTED_VALUE"""),"Madam")</f>
        <v>Madam</v>
      </c>
      <c r="Q963" s="1" t="str">
        <f>IFERROR(__xludf.DUMMYFUNCTION("""COMPUTED_VALUE"""),"No")</f>
        <v>No</v>
      </c>
      <c r="R963" s="1" t="str">
        <f>IFERROR(__xludf.DUMMYFUNCTION("""COMPUTED_VALUE"""),"OLD")</f>
        <v>OLD</v>
      </c>
      <c r="S963" s="1" t="str">
        <f>IFERROR(__xludf.DUMMYFUNCTION("""COMPUTED_VALUE"""),"No")</f>
        <v>No</v>
      </c>
    </row>
    <row r="964">
      <c r="A964" s="2">
        <f>IFERROR(__xludf.DUMMYFUNCTION("""COMPUTED_VALUE"""),45648.753402766204)</f>
        <v>45648.7534</v>
      </c>
      <c r="B964" s="1" t="str">
        <f>IFERROR(__xludf.DUMMYFUNCTION("""COMPUTED_VALUE"""),"Sunita")</f>
        <v>Sunita</v>
      </c>
      <c r="C964" s="1">
        <f>IFERROR(__xludf.DUMMYFUNCTION("""COMPUTED_VALUE"""),9.555184701E9)</f>
        <v>9555184701</v>
      </c>
      <c r="D964" s="1">
        <f>IFERROR(__xludf.DUMMYFUNCTION("""COMPUTED_VALUE"""),2.0)</f>
        <v>2</v>
      </c>
      <c r="E964" s="3">
        <f>IFERROR(__xludf.DUMMYFUNCTION("""COMPUTED_VALUE"""),0.5888888888875954)</f>
        <v>0.5888888889</v>
      </c>
      <c r="F964" s="1" t="str">
        <f>IFERROR(__xludf.DUMMYFUNCTION("""COMPUTED_VALUE"""),"Plain Gold")</f>
        <v>Plain Gold</v>
      </c>
      <c r="G964" s="1" t="str">
        <f>IFERROR(__xludf.DUMMYFUNCTION("""COMPUTED_VALUE"""),"Sapna")</f>
        <v>Sapna</v>
      </c>
      <c r="H964" s="1" t="str">
        <f>IFERROR(__xludf.DUMMYFUNCTION("""COMPUTED_VALUE"""),"Gold ring ")</f>
        <v>Gold ring </v>
      </c>
      <c r="I964" s="1" t="str">
        <f>IFERROR(__xludf.DUMMYFUNCTION("""COMPUTED_VALUE"""),"Repair manglsutr ")</f>
        <v>Repair manglsutr </v>
      </c>
      <c r="J964" s="1"/>
      <c r="K964" s="3">
        <f>IFERROR(__xludf.DUMMYFUNCTION("""COMPUTED_VALUE"""),0.6319444444452529)</f>
        <v>0.6319444444</v>
      </c>
      <c r="L964" s="1" t="str">
        <f>IFERROR(__xludf.DUMMYFUNCTION("""COMPUTED_VALUE"""),"Yes")</f>
        <v>Yes</v>
      </c>
      <c r="M964" s="1" t="str">
        <f>IFERROR(__xludf.DUMMYFUNCTION("""COMPUTED_VALUE"""),"Already done ")</f>
        <v>Already done </v>
      </c>
      <c r="N964" s="1" t="str">
        <f>IFERROR(__xludf.DUMMYFUNCTION("""COMPUTED_VALUE"""),"Already done ")</f>
        <v>Already done </v>
      </c>
      <c r="O964" s="1" t="str">
        <f>IFERROR(__xludf.DUMMYFUNCTION("""COMPUTED_VALUE"""),"WA ONLY, CALL")</f>
        <v>WA ONLY, CALL</v>
      </c>
      <c r="P964" s="1" t="str">
        <f>IFERROR(__xludf.DUMMYFUNCTION("""COMPUTED_VALUE"""),"Madam")</f>
        <v>Madam</v>
      </c>
      <c r="Q964" s="1" t="str">
        <f>IFERROR(__xludf.DUMMYFUNCTION("""COMPUTED_VALUE"""),"No")</f>
        <v>No</v>
      </c>
      <c r="R964" s="1" t="str">
        <f>IFERROR(__xludf.DUMMYFUNCTION("""COMPUTED_VALUE"""),"OLD")</f>
        <v>OLD</v>
      </c>
      <c r="S964" s="1" t="str">
        <f>IFERROR(__xludf.DUMMYFUNCTION("""COMPUTED_VALUE"""),"No")</f>
        <v>No</v>
      </c>
    </row>
    <row r="965">
      <c r="A965" s="2">
        <f>IFERROR(__xludf.DUMMYFUNCTION("""COMPUTED_VALUE"""),45648.75410003473)</f>
        <v>45648.7541</v>
      </c>
      <c r="B965" s="1" t="str">
        <f>IFERROR(__xludf.DUMMYFUNCTION("""COMPUTED_VALUE"""),"Ashutosh")</f>
        <v>Ashutosh</v>
      </c>
      <c r="C965" s="1">
        <f>IFERROR(__xludf.DUMMYFUNCTION("""COMPUTED_VALUE"""),9.999110696E9)</f>
        <v>9999110696</v>
      </c>
      <c r="D965" s="1">
        <f>IFERROR(__xludf.DUMMYFUNCTION("""COMPUTED_VALUE"""),1.0)</f>
        <v>1</v>
      </c>
      <c r="E965" s="3">
        <f>IFERROR(__xludf.DUMMYFUNCTION("""COMPUTED_VALUE"""),0.65625)</f>
        <v>0.65625</v>
      </c>
      <c r="F965" s="1" t="str">
        <f>IFERROR(__xludf.DUMMYFUNCTION("""COMPUTED_VALUE"""),"Diamond")</f>
        <v>Diamond</v>
      </c>
      <c r="G965" s="1" t="str">
        <f>IFERROR(__xludf.DUMMYFUNCTION("""COMPUTED_VALUE"""),"Preeti")</f>
        <v>Preeti</v>
      </c>
      <c r="H965" s="1" t="str">
        <f>IFERROR(__xludf.DUMMYFUNCTION("""COMPUTED_VALUE"""),"Daimond rings")</f>
        <v>Daimond rings</v>
      </c>
      <c r="I965" s="1"/>
      <c r="J965" s="1"/>
      <c r="K965" s="3">
        <f>IFERROR(__xludf.DUMMYFUNCTION("""COMPUTED_VALUE"""),0.6770833333357587)</f>
        <v>0.6770833333</v>
      </c>
      <c r="L965" s="1" t="str">
        <f>IFERROR(__xludf.DUMMYFUNCTION("""COMPUTED_VALUE"""),"Yes")</f>
        <v>Yes</v>
      </c>
      <c r="M965" s="1" t="str">
        <f>IFERROR(__xludf.DUMMYFUNCTION("""COMPUTED_VALUE"""),"Yes")</f>
        <v>Yes</v>
      </c>
      <c r="N965" s="1" t="str">
        <f>IFERROR(__xludf.DUMMYFUNCTION("""COMPUTED_VALUE"""),"Yes")</f>
        <v>Yes</v>
      </c>
      <c r="O965" s="1" t="str">
        <f>IFERROR(__xludf.DUMMYFUNCTION("""COMPUTED_VALUE"""),"WA ONLY, CALL")</f>
        <v>WA ONLY, CALL</v>
      </c>
      <c r="P965" s="1" t="str">
        <f>IFERROR(__xludf.DUMMYFUNCTION("""COMPUTED_VALUE"""),"Sir")</f>
        <v>Sir</v>
      </c>
      <c r="Q965" s="1" t="str">
        <f>IFERROR(__xludf.DUMMYFUNCTION("""COMPUTED_VALUE"""),"No")</f>
        <v>No</v>
      </c>
      <c r="R965" s="1" t="str">
        <f>IFERROR(__xludf.DUMMYFUNCTION("""COMPUTED_VALUE"""),"NEW WALK IN")</f>
        <v>NEW WALK IN</v>
      </c>
      <c r="S965" s="1" t="str">
        <f>IFERROR(__xludf.DUMMYFUNCTION("""COMPUTED_VALUE"""),"Yes")</f>
        <v>Yes</v>
      </c>
    </row>
    <row r="966">
      <c r="A966" s="2">
        <f>IFERROR(__xludf.DUMMYFUNCTION("""COMPUTED_VALUE"""),45648.75495207176)</f>
        <v>45648.75495</v>
      </c>
      <c r="B966" s="1" t="str">
        <f>IFERROR(__xludf.DUMMYFUNCTION("""COMPUTED_VALUE"""),"Md.salim malik")</f>
        <v>Md.salim malik</v>
      </c>
      <c r="C966" s="1">
        <f>IFERROR(__xludf.DUMMYFUNCTION("""COMPUTED_VALUE"""),9.394161005E9)</f>
        <v>9394161005</v>
      </c>
      <c r="D966" s="1">
        <f>IFERROR(__xludf.DUMMYFUNCTION("""COMPUTED_VALUE"""),2.0)</f>
        <v>2</v>
      </c>
      <c r="E966" s="3">
        <f>IFERROR(__xludf.DUMMYFUNCTION("""COMPUTED_VALUE"""),0.6979166666642413)</f>
        <v>0.6979166667</v>
      </c>
      <c r="F966" s="1" t="str">
        <f>IFERROR(__xludf.DUMMYFUNCTION("""COMPUTED_VALUE"""),"Diamond")</f>
        <v>Diamond</v>
      </c>
      <c r="G966" s="1" t="str">
        <f>IFERROR(__xludf.DUMMYFUNCTION("""COMPUTED_VALUE"""),"Preeti")</f>
        <v>Preeti</v>
      </c>
      <c r="H966" s="1" t="str">
        <f>IFERROR(__xludf.DUMMYFUNCTION("""COMPUTED_VALUE"""),"Daimond tops")</f>
        <v>Daimond tops</v>
      </c>
      <c r="I966" s="1"/>
      <c r="J966" s="1"/>
      <c r="K966" s="3">
        <f>IFERROR(__xludf.DUMMYFUNCTION("""COMPUTED_VALUE"""),0.7437500000014552)</f>
        <v>0.74375</v>
      </c>
      <c r="L966" s="1" t="str">
        <f>IFERROR(__xludf.DUMMYFUNCTION("""COMPUTED_VALUE"""),"Yes")</f>
        <v>Yes</v>
      </c>
      <c r="M966" s="1" t="str">
        <f>IFERROR(__xludf.DUMMYFUNCTION("""COMPUTED_VALUE"""),"Yes")</f>
        <v>Yes</v>
      </c>
      <c r="N966" s="1" t="str">
        <f>IFERROR(__xludf.DUMMYFUNCTION("""COMPUTED_VALUE"""),"Yes")</f>
        <v>Yes</v>
      </c>
      <c r="O966" s="1" t="str">
        <f>IFERROR(__xludf.DUMMYFUNCTION("""COMPUTED_VALUE"""),"WA ONLY, CALL")</f>
        <v>WA ONLY, CALL</v>
      </c>
      <c r="P966" s="1" t="str">
        <f>IFERROR(__xludf.DUMMYFUNCTION("""COMPUTED_VALUE"""),"Sir")</f>
        <v>Sir</v>
      </c>
      <c r="Q966" s="1" t="str">
        <f>IFERROR(__xludf.DUMMYFUNCTION("""COMPUTED_VALUE"""),"No")</f>
        <v>No</v>
      </c>
      <c r="R966" s="1" t="str">
        <f>IFERROR(__xludf.DUMMYFUNCTION("""COMPUTED_VALUE"""),"NEW WALK IN")</f>
        <v>NEW WALK IN</v>
      </c>
      <c r="S966" s="1" t="str">
        <f>IFERROR(__xludf.DUMMYFUNCTION("""COMPUTED_VALUE"""),"Yes")</f>
        <v>Yes</v>
      </c>
    </row>
    <row r="967">
      <c r="A967" s="2">
        <f>IFERROR(__xludf.DUMMYFUNCTION("""COMPUTED_VALUE"""),45648.75568645833)</f>
        <v>45648.75569</v>
      </c>
      <c r="B967" s="1" t="str">
        <f>IFERROR(__xludf.DUMMYFUNCTION("""COMPUTED_VALUE"""),"Rejvendra")</f>
        <v>Rejvendra</v>
      </c>
      <c r="C967" s="1">
        <f>IFERROR(__xludf.DUMMYFUNCTION("""COMPUTED_VALUE"""),9.873282859E9)</f>
        <v>9873282859</v>
      </c>
      <c r="D967" s="1">
        <f>IFERROR(__xludf.DUMMYFUNCTION("""COMPUTED_VALUE"""),6.0)</f>
        <v>6</v>
      </c>
      <c r="E967" s="3">
        <f>IFERROR(__xludf.DUMMYFUNCTION("""COMPUTED_VALUE"""),0.7083333333357587)</f>
        <v>0.7083333333</v>
      </c>
      <c r="F967" s="1" t="str">
        <f>IFERROR(__xludf.DUMMYFUNCTION("""COMPUTED_VALUE"""),"Plain Gold")</f>
        <v>Plain Gold</v>
      </c>
      <c r="G967" s="1" t="str">
        <f>IFERROR(__xludf.DUMMYFUNCTION("""COMPUTED_VALUE"""),"Sapna")</f>
        <v>Sapna</v>
      </c>
      <c r="H967" s="1" t="str">
        <f>IFERROR(__xludf.DUMMYFUNCTION("""COMPUTED_VALUE"""),"Gold manglsutr ")</f>
        <v>Gold manglsutr </v>
      </c>
      <c r="I967" s="1" t="str">
        <f>IFERROR(__xludf.DUMMYFUNCTION("""COMPUTED_VALUE"""),"Will ask family and come with them")</f>
        <v>Will ask family and come with them</v>
      </c>
      <c r="J967" s="1"/>
      <c r="K967" s="3">
        <f>IFERROR(__xludf.DUMMYFUNCTION("""COMPUTED_VALUE"""),0.7270833333313931)</f>
        <v>0.7270833333</v>
      </c>
      <c r="L967" s="1" t="str">
        <f>IFERROR(__xludf.DUMMYFUNCTION("""COMPUTED_VALUE"""),"No")</f>
        <v>No</v>
      </c>
      <c r="M967" s="1" t="str">
        <f>IFERROR(__xludf.DUMMYFUNCTION("""COMPUTED_VALUE"""),"No")</f>
        <v>No</v>
      </c>
      <c r="N967" s="1" t="str">
        <f>IFERROR(__xludf.DUMMYFUNCTION("""COMPUTED_VALUE"""),"No")</f>
        <v>No</v>
      </c>
      <c r="O967" s="1" t="str">
        <f>IFERROR(__xludf.DUMMYFUNCTION("""COMPUTED_VALUE"""),"WA ONLY, CALL")</f>
        <v>WA ONLY, CALL</v>
      </c>
      <c r="P967" s="1" t="str">
        <f>IFERROR(__xludf.DUMMYFUNCTION("""COMPUTED_VALUE"""),"Sir")</f>
        <v>Sir</v>
      </c>
      <c r="Q967" s="1" t="str">
        <f>IFERROR(__xludf.DUMMYFUNCTION("""COMPUTED_VALUE"""),"No")</f>
        <v>No</v>
      </c>
      <c r="R967" s="1" t="str">
        <f>IFERROR(__xludf.DUMMYFUNCTION("""COMPUTED_VALUE"""),"NEW WALK IN")</f>
        <v>NEW WALK IN</v>
      </c>
      <c r="S967" s="1" t="str">
        <f>IFERROR(__xludf.DUMMYFUNCTION("""COMPUTED_VALUE"""),"No")</f>
        <v>No</v>
      </c>
    </row>
    <row r="968">
      <c r="A968" s="2">
        <f>IFERROR(__xludf.DUMMYFUNCTION("""COMPUTED_VALUE"""),45648.75806503472)</f>
        <v>45648.75807</v>
      </c>
      <c r="B968" s="1" t="str">
        <f>IFERROR(__xludf.DUMMYFUNCTION("""COMPUTED_VALUE"""),"Kritika")</f>
        <v>Kritika</v>
      </c>
      <c r="C968" s="1">
        <f>IFERROR(__xludf.DUMMYFUNCTION("""COMPUTED_VALUE"""),8.368117429E9)</f>
        <v>8368117429</v>
      </c>
      <c r="D968" s="1">
        <f>IFERROR(__xludf.DUMMYFUNCTION("""COMPUTED_VALUE"""),6.0)</f>
        <v>6</v>
      </c>
      <c r="E968" s="3">
        <f>IFERROR(__xludf.DUMMYFUNCTION("""COMPUTED_VALUE"""),0.6305555555591127)</f>
        <v>0.6305555556</v>
      </c>
      <c r="F968" s="1" t="str">
        <f>IFERROR(__xludf.DUMMYFUNCTION("""COMPUTED_VALUE"""),"Antique Gold")</f>
        <v>Antique Gold</v>
      </c>
      <c r="G968" s="1" t="str">
        <f>IFERROR(__xludf.DUMMYFUNCTION("""COMPUTED_VALUE"""),"Tannu")</f>
        <v>Tannu</v>
      </c>
      <c r="H968" s="1" t="str">
        <f>IFERROR(__xludf.DUMMYFUNCTION("""COMPUTED_VALUE"""),"Gold chain,gold tops, gold pendent set,tops")</f>
        <v>Gold chain,gold tops, gold pendent set,tops</v>
      </c>
      <c r="I968" s="1"/>
      <c r="J968" s="1"/>
      <c r="K968" s="3">
        <f>IFERROR(__xludf.DUMMYFUNCTION("""COMPUTED_VALUE"""),0.7708333333357587)</f>
        <v>0.7708333333</v>
      </c>
      <c r="L968" s="1" t="str">
        <f>IFERROR(__xludf.DUMMYFUNCTION("""COMPUTED_VALUE"""),"Yes")</f>
        <v>Yes</v>
      </c>
      <c r="M968" s="1" t="str">
        <f>IFERROR(__xludf.DUMMYFUNCTION("""COMPUTED_VALUE"""),"Already done ")</f>
        <v>Already done </v>
      </c>
      <c r="N968" s="1" t="str">
        <f>IFERROR(__xludf.DUMMYFUNCTION("""COMPUTED_VALUE"""),"Already done ")</f>
        <v>Already done </v>
      </c>
      <c r="O968" s="1" t="str">
        <f>IFERROR(__xludf.DUMMYFUNCTION("""COMPUTED_VALUE"""),"WA ONLY, CALL")</f>
        <v>WA ONLY, CALL</v>
      </c>
      <c r="P968" s="1" t="str">
        <f>IFERROR(__xludf.DUMMYFUNCTION("""COMPUTED_VALUE"""),"Madam")</f>
        <v>Madam</v>
      </c>
      <c r="Q968" s="1" t="str">
        <f>IFERROR(__xludf.DUMMYFUNCTION("""COMPUTED_VALUE"""),"No")</f>
        <v>No</v>
      </c>
      <c r="R968" s="1" t="str">
        <f>IFERROR(__xludf.DUMMYFUNCTION("""COMPUTED_VALUE"""),"OLD")</f>
        <v>OLD</v>
      </c>
      <c r="S968" s="1" t="str">
        <f>IFERROR(__xludf.DUMMYFUNCTION("""COMPUTED_VALUE"""),"Yes")</f>
        <v>Yes</v>
      </c>
    </row>
    <row r="969">
      <c r="A969" s="2">
        <f>IFERROR(__xludf.DUMMYFUNCTION("""COMPUTED_VALUE"""),45650.66611770833)</f>
        <v>45650.66612</v>
      </c>
      <c r="B969" s="1" t="str">
        <f>IFERROR(__xludf.DUMMYFUNCTION("""COMPUTED_VALUE"""),"Umashreegiri")</f>
        <v>Umashreegiri</v>
      </c>
      <c r="C969" s="1">
        <f>IFERROR(__xludf.DUMMYFUNCTION("""COMPUTED_VALUE"""),7.83829005E9)</f>
        <v>7838290050</v>
      </c>
      <c r="D969" s="1">
        <f>IFERROR(__xludf.DUMMYFUNCTION("""COMPUTED_VALUE"""),1.0)</f>
        <v>1</v>
      </c>
      <c r="E969" s="3">
        <f>IFERROR(__xludf.DUMMYFUNCTION("""COMPUTED_VALUE"""),0.5625)</f>
        <v>0.5625</v>
      </c>
      <c r="F969" s="1" t="str">
        <f>IFERROR(__xludf.DUMMYFUNCTION("""COMPUTED_VALUE"""),"Antique Gold")</f>
        <v>Antique Gold</v>
      </c>
      <c r="G969" s="1" t="str">
        <f>IFERROR(__xludf.DUMMYFUNCTION("""COMPUTED_VALUE"""),"Tannu")</f>
        <v>Tannu</v>
      </c>
      <c r="H969" s="1" t="str">
        <f>IFERROR(__xludf.DUMMYFUNCTION("""COMPUTED_VALUE"""),"Gold tops,nose pin,gold chain")</f>
        <v>Gold tops,nose pin,gold chain</v>
      </c>
      <c r="I969" s="1"/>
      <c r="J969" s="1"/>
      <c r="K969" s="3">
        <f>IFERROR(__xludf.DUMMYFUNCTION("""COMPUTED_VALUE"""),0.5902777777810115)</f>
        <v>0.5902777778</v>
      </c>
      <c r="L969" s="1" t="str">
        <f>IFERROR(__xludf.DUMMYFUNCTION("""COMPUTED_VALUE"""),"Yes")</f>
        <v>Yes</v>
      </c>
      <c r="M969" s="1" t="str">
        <f>IFERROR(__xludf.DUMMYFUNCTION("""COMPUTED_VALUE"""),"Already done ")</f>
        <v>Already done </v>
      </c>
      <c r="N969" s="1" t="str">
        <f>IFERROR(__xludf.DUMMYFUNCTION("""COMPUTED_VALUE"""),"Already done ")</f>
        <v>Already done </v>
      </c>
      <c r="O969" s="1" t="str">
        <f>IFERROR(__xludf.DUMMYFUNCTION("""COMPUTED_VALUE"""),"WA ONLY, CALL")</f>
        <v>WA ONLY, CALL</v>
      </c>
      <c r="P969" s="1" t="str">
        <f>IFERROR(__xludf.DUMMYFUNCTION("""COMPUTED_VALUE"""),"Madam")</f>
        <v>Madam</v>
      </c>
      <c r="Q969" s="1" t="str">
        <f>IFERROR(__xludf.DUMMYFUNCTION("""COMPUTED_VALUE"""),"No")</f>
        <v>No</v>
      </c>
      <c r="R969" s="1" t="str">
        <f>IFERROR(__xludf.DUMMYFUNCTION("""COMPUTED_VALUE"""),"OLD")</f>
        <v>OLD</v>
      </c>
      <c r="S969" s="1" t="str">
        <f>IFERROR(__xludf.DUMMYFUNCTION("""COMPUTED_VALUE"""),"Yes")</f>
        <v>Yes</v>
      </c>
    </row>
    <row r="970">
      <c r="A970" s="2">
        <f>IFERROR(__xludf.DUMMYFUNCTION("""COMPUTED_VALUE"""),45650.66683405093)</f>
        <v>45650.66683</v>
      </c>
      <c r="B970" s="1" t="str">
        <f>IFERROR(__xludf.DUMMYFUNCTION("""COMPUTED_VALUE"""),"Kusum singh")</f>
        <v>Kusum singh</v>
      </c>
      <c r="C970" s="1">
        <f>IFERROR(__xludf.DUMMYFUNCTION("""COMPUTED_VALUE"""),8.368953488E9)</f>
        <v>8368953488</v>
      </c>
      <c r="D970" s="1">
        <f>IFERROR(__xludf.DUMMYFUNCTION("""COMPUTED_VALUE"""),1.0)</f>
        <v>1</v>
      </c>
      <c r="E970" s="3">
        <f>IFERROR(__xludf.DUMMYFUNCTION("""COMPUTED_VALUE"""),0.609722222223354)</f>
        <v>0.6097222222</v>
      </c>
      <c r="F970" s="1" t="str">
        <f>IFERROR(__xludf.DUMMYFUNCTION("""COMPUTED_VALUE"""),"Antique Gold")</f>
        <v>Antique Gold</v>
      </c>
      <c r="G970" s="1" t="str">
        <f>IFERROR(__xludf.DUMMYFUNCTION("""COMPUTED_VALUE"""),"Deepali")</f>
        <v>Deepali</v>
      </c>
      <c r="H970" s="1"/>
      <c r="I970" s="1" t="str">
        <f>IFERROR(__xludf.DUMMYFUNCTION("""COMPUTED_VALUE"""),"Pic up bills")</f>
        <v>Pic up bills</v>
      </c>
      <c r="J970" s="1"/>
      <c r="K970" s="3">
        <f>IFERROR(__xludf.DUMMYFUNCTION("""COMPUTED_VALUE"""),0.5833333333357587)</f>
        <v>0.5833333333</v>
      </c>
      <c r="L970" s="1" t="str">
        <f>IFERROR(__xludf.DUMMYFUNCTION("""COMPUTED_VALUE"""),"Yes")</f>
        <v>Yes</v>
      </c>
      <c r="M970" s="1" t="str">
        <f>IFERROR(__xludf.DUMMYFUNCTION("""COMPUTED_VALUE"""),"Already done ")</f>
        <v>Already done </v>
      </c>
      <c r="N970" s="1" t="str">
        <f>IFERROR(__xludf.DUMMYFUNCTION("""COMPUTED_VALUE"""),"Already done ")</f>
        <v>Already done </v>
      </c>
      <c r="O970" s="1" t="str">
        <f>IFERROR(__xludf.DUMMYFUNCTION("""COMPUTED_VALUE"""),"WA ONLY, CALL")</f>
        <v>WA ONLY, CALL</v>
      </c>
      <c r="P970" s="1" t="str">
        <f>IFERROR(__xludf.DUMMYFUNCTION("""COMPUTED_VALUE"""),"Madam")</f>
        <v>Madam</v>
      </c>
      <c r="Q970" s="1" t="str">
        <f>IFERROR(__xludf.DUMMYFUNCTION("""COMPUTED_VALUE"""),"No")</f>
        <v>No</v>
      </c>
      <c r="R970" s="1" t="str">
        <f>IFERROR(__xludf.DUMMYFUNCTION("""COMPUTED_VALUE"""),"OLD")</f>
        <v>OLD</v>
      </c>
      <c r="S970" s="1" t="str">
        <f>IFERROR(__xludf.DUMMYFUNCTION("""COMPUTED_VALUE"""),"No")</f>
        <v>No</v>
      </c>
    </row>
    <row r="971">
      <c r="A971" s="2">
        <f>IFERROR(__xludf.DUMMYFUNCTION("""COMPUTED_VALUE"""),45650.71867650463)</f>
        <v>45650.71868</v>
      </c>
      <c r="B971" s="1" t="str">
        <f>IFERROR(__xludf.DUMMYFUNCTION("""COMPUTED_VALUE"""),"Neelam")</f>
        <v>Neelam</v>
      </c>
      <c r="C971" s="1">
        <f>IFERROR(__xludf.DUMMYFUNCTION("""COMPUTED_VALUE"""),8.384071504E9)</f>
        <v>8384071504</v>
      </c>
      <c r="D971" s="1">
        <f>IFERROR(__xludf.DUMMYFUNCTION("""COMPUTED_VALUE"""),2.0)</f>
        <v>2</v>
      </c>
      <c r="E971" s="3">
        <f>IFERROR(__xludf.DUMMYFUNCTION("""COMPUTED_VALUE"""),0.6770833333357587)</f>
        <v>0.6770833333</v>
      </c>
      <c r="F971" s="1" t="str">
        <f>IFERROR(__xludf.DUMMYFUNCTION("""COMPUTED_VALUE"""),"Plain Gold")</f>
        <v>Plain Gold</v>
      </c>
      <c r="G971" s="1" t="str">
        <f>IFERROR(__xludf.DUMMYFUNCTION("""COMPUTED_VALUE"""),"Sapna")</f>
        <v>Sapna</v>
      </c>
      <c r="H971" s="1" t="str">
        <f>IFERROR(__xludf.DUMMYFUNCTION("""COMPUTED_VALUE"""),"Gold breslet ")</f>
        <v>Gold breslet </v>
      </c>
      <c r="I971" s="1" t="str">
        <f>IFERROR(__xludf.DUMMYFUNCTION("""COMPUTED_VALUE"""),"Making High or Wants Discount")</f>
        <v>Making High or Wants Discount</v>
      </c>
      <c r="J971" s="1"/>
      <c r="K971" s="3">
        <f>IFERROR(__xludf.DUMMYFUNCTION("""COMPUTED_VALUE"""),0.6881944444467081)</f>
        <v>0.6881944444</v>
      </c>
      <c r="L971" s="1" t="str">
        <f>IFERROR(__xludf.DUMMYFUNCTION("""COMPUTED_VALUE"""),"No")</f>
        <v>No</v>
      </c>
      <c r="M971" s="1" t="str">
        <f>IFERROR(__xludf.DUMMYFUNCTION("""COMPUTED_VALUE"""),"No")</f>
        <v>No</v>
      </c>
      <c r="N971" s="1" t="str">
        <f>IFERROR(__xludf.DUMMYFUNCTION("""COMPUTED_VALUE"""),"No")</f>
        <v>No</v>
      </c>
      <c r="O971" s="1" t="str">
        <f>IFERROR(__xludf.DUMMYFUNCTION("""COMPUTED_VALUE"""),"WA ONLY, CALL")</f>
        <v>WA ONLY, CALL</v>
      </c>
      <c r="P971" s="1" t="str">
        <f>IFERROR(__xludf.DUMMYFUNCTION("""COMPUTED_VALUE"""),"Madam")</f>
        <v>Madam</v>
      </c>
      <c r="Q971" s="1" t="str">
        <f>IFERROR(__xludf.DUMMYFUNCTION("""COMPUTED_VALUE"""),"No")</f>
        <v>No</v>
      </c>
      <c r="R971" s="1" t="str">
        <f>IFERROR(__xludf.DUMMYFUNCTION("""COMPUTED_VALUE"""),"NEW WALK IN")</f>
        <v>NEW WALK IN</v>
      </c>
      <c r="S971" s="1" t="str">
        <f>IFERROR(__xludf.DUMMYFUNCTION("""COMPUTED_VALUE"""),"No")</f>
        <v>No</v>
      </c>
    </row>
    <row r="972">
      <c r="A972" s="2">
        <f>IFERROR(__xludf.DUMMYFUNCTION("""COMPUTED_VALUE"""),45650.799622754625)</f>
        <v>45650.79962</v>
      </c>
      <c r="B972" s="1" t="str">
        <f>IFERROR(__xludf.DUMMYFUNCTION("""COMPUTED_VALUE"""),"Shubham ")</f>
        <v>Shubham </v>
      </c>
      <c r="C972" s="1">
        <f>IFERROR(__xludf.DUMMYFUNCTION("""COMPUTED_VALUE"""),9.953690284E9)</f>
        <v>9953690284</v>
      </c>
      <c r="D972" s="1">
        <f>IFERROR(__xludf.DUMMYFUNCTION("""COMPUTED_VALUE"""),1.0)</f>
        <v>1</v>
      </c>
      <c r="E972" s="3">
        <f>IFERROR(__xludf.DUMMYFUNCTION("""COMPUTED_VALUE"""),0.7944444444437977)</f>
        <v>0.7944444444</v>
      </c>
      <c r="F972" s="1" t="str">
        <f>IFERROR(__xludf.DUMMYFUNCTION("""COMPUTED_VALUE"""),"Plain Gold")</f>
        <v>Plain Gold</v>
      </c>
      <c r="G972" s="1" t="str">
        <f>IFERROR(__xludf.DUMMYFUNCTION("""COMPUTED_VALUE"""),"Sapna")</f>
        <v>Sapna</v>
      </c>
      <c r="H972" s="1" t="str">
        <f>IFERROR(__xludf.DUMMYFUNCTION("""COMPUTED_VALUE"""),"Gold breslet ")</f>
        <v>Gold breslet </v>
      </c>
      <c r="I972" s="1" t="str">
        <f>IFERROR(__xludf.DUMMYFUNCTION("""COMPUTED_VALUE"""),"Want to see More Variety")</f>
        <v>Want to see More Variety</v>
      </c>
      <c r="J972" s="1"/>
      <c r="K972" s="3">
        <f>IFERROR(__xludf.DUMMYFUNCTION("""COMPUTED_VALUE"""),0.7958333333372138)</f>
        <v>0.7958333333</v>
      </c>
      <c r="L972" s="1" t="str">
        <f>IFERROR(__xludf.DUMMYFUNCTION("""COMPUTED_VALUE"""),"No")</f>
        <v>No</v>
      </c>
      <c r="M972" s="1" t="str">
        <f>IFERROR(__xludf.DUMMYFUNCTION("""COMPUTED_VALUE"""),"No")</f>
        <v>No</v>
      </c>
      <c r="N972" s="1" t="str">
        <f>IFERROR(__xludf.DUMMYFUNCTION("""COMPUTED_VALUE"""),"No")</f>
        <v>No</v>
      </c>
      <c r="O972" s="1" t="str">
        <f>IFERROR(__xludf.DUMMYFUNCTION("""COMPUTED_VALUE"""),"WA ONLY, CALL")</f>
        <v>WA ONLY, CALL</v>
      </c>
      <c r="P972" s="1" t="str">
        <f>IFERROR(__xludf.DUMMYFUNCTION("""COMPUTED_VALUE"""),"Sir")</f>
        <v>Sir</v>
      </c>
      <c r="Q972" s="1" t="str">
        <f>IFERROR(__xludf.DUMMYFUNCTION("""COMPUTED_VALUE"""),"No")</f>
        <v>No</v>
      </c>
      <c r="R972" s="1" t="str">
        <f>IFERROR(__xludf.DUMMYFUNCTION("""COMPUTED_VALUE"""),"NEW WALK IN")</f>
        <v>NEW WALK IN</v>
      </c>
      <c r="S972" s="1" t="str">
        <f>IFERROR(__xludf.DUMMYFUNCTION("""COMPUTED_VALUE"""),"No")</f>
        <v>No</v>
      </c>
    </row>
    <row r="973">
      <c r="A973" s="2">
        <f>IFERROR(__xludf.DUMMYFUNCTION("""COMPUTED_VALUE"""),45651.564903437495)</f>
        <v>45651.5649</v>
      </c>
      <c r="B973" s="1" t="str">
        <f>IFERROR(__xludf.DUMMYFUNCTION("""COMPUTED_VALUE"""),"Varsha arya")</f>
        <v>Varsha arya</v>
      </c>
      <c r="C973" s="1">
        <f>IFERROR(__xludf.DUMMYFUNCTION("""COMPUTED_VALUE"""),9.811983134E9)</f>
        <v>9811983134</v>
      </c>
      <c r="D973" s="1">
        <f>IFERROR(__xludf.DUMMYFUNCTION("""COMPUTED_VALUE"""),2.0)</f>
        <v>2</v>
      </c>
      <c r="E973" s="3">
        <f>IFERROR(__xludf.DUMMYFUNCTION("""COMPUTED_VALUE"""),0.5104166666642413)</f>
        <v>0.5104166667</v>
      </c>
      <c r="F973" s="1" t="str">
        <f>IFERROR(__xludf.DUMMYFUNCTION("""COMPUTED_VALUE"""),"Plain Gold")</f>
        <v>Plain Gold</v>
      </c>
      <c r="G973" s="1" t="str">
        <f>IFERROR(__xludf.DUMMYFUNCTION("""COMPUTED_VALUE"""),"Sapna")</f>
        <v>Sapna</v>
      </c>
      <c r="H973" s="1" t="str">
        <f>IFERROR(__xludf.DUMMYFUNCTION("""COMPUTED_VALUE"""),"Gold baar 24k")</f>
        <v>Gold baar 24k</v>
      </c>
      <c r="I973" s="1"/>
      <c r="J973" s="1"/>
      <c r="K973" s="3">
        <f>IFERROR(__xludf.DUMMYFUNCTION("""COMPUTED_VALUE"""),0.5347222222189885)</f>
        <v>0.5347222222</v>
      </c>
      <c r="L973" s="1" t="str">
        <f>IFERROR(__xludf.DUMMYFUNCTION("""COMPUTED_VALUE"""),"Yes")</f>
        <v>Yes</v>
      </c>
      <c r="M973" s="1" t="str">
        <f>IFERROR(__xludf.DUMMYFUNCTION("""COMPUTED_VALUE"""),"Yes")</f>
        <v>Yes</v>
      </c>
      <c r="N973" s="1" t="str">
        <f>IFERROR(__xludf.DUMMYFUNCTION("""COMPUTED_VALUE"""),"Not use")</f>
        <v>Not use</v>
      </c>
      <c r="O973" s="1" t="str">
        <f>IFERROR(__xludf.DUMMYFUNCTION("""COMPUTED_VALUE"""),"WA ONLY, CALL")</f>
        <v>WA ONLY, CALL</v>
      </c>
      <c r="P973" s="1" t="str">
        <f>IFERROR(__xludf.DUMMYFUNCTION("""COMPUTED_VALUE"""),"Madam")</f>
        <v>Madam</v>
      </c>
      <c r="Q973" s="1" t="str">
        <f>IFERROR(__xludf.DUMMYFUNCTION("""COMPUTED_VALUE"""),"No")</f>
        <v>No</v>
      </c>
      <c r="R973" s="1" t="str">
        <f>IFERROR(__xludf.DUMMYFUNCTION("""COMPUTED_VALUE"""),"OLD")</f>
        <v>OLD</v>
      </c>
      <c r="S973" s="1" t="str">
        <f>IFERROR(__xludf.DUMMYFUNCTION("""COMPUTED_VALUE"""),"Yes")</f>
        <v>Yes</v>
      </c>
    </row>
    <row r="974">
      <c r="A974" s="2">
        <f>IFERROR(__xludf.DUMMYFUNCTION("""COMPUTED_VALUE"""),45651.69212921296)</f>
        <v>45651.69213</v>
      </c>
      <c r="B974" s="1" t="str">
        <f>IFERROR(__xludf.DUMMYFUNCTION("""COMPUTED_VALUE"""),"Vaishali")</f>
        <v>Vaishali</v>
      </c>
      <c r="C974" s="1">
        <f>IFERROR(__xludf.DUMMYFUNCTION("""COMPUTED_VALUE"""),8.920910811E9)</f>
        <v>8920910811</v>
      </c>
      <c r="D974" s="1">
        <f>IFERROR(__xludf.DUMMYFUNCTION("""COMPUTED_VALUE"""),2.0)</f>
        <v>2</v>
      </c>
      <c r="E974" s="3">
        <f>IFERROR(__xludf.DUMMYFUNCTION("""COMPUTED_VALUE"""),0.6423611111094942)</f>
        <v>0.6423611111</v>
      </c>
      <c r="F974" s="1" t="str">
        <f>IFERROR(__xludf.DUMMYFUNCTION("""COMPUTED_VALUE"""),"Plain Gold")</f>
        <v>Plain Gold</v>
      </c>
      <c r="G974" s="1" t="str">
        <f>IFERROR(__xludf.DUMMYFUNCTION("""COMPUTED_VALUE"""),"Sapna")</f>
        <v>Sapna</v>
      </c>
      <c r="H974" s="1" t="str">
        <f>IFERROR(__xludf.DUMMYFUNCTION("""COMPUTED_VALUE"""),"Gold tops,kids tops")</f>
        <v>Gold tops,kids tops</v>
      </c>
      <c r="I974" s="1" t="str">
        <f>IFERROR(__xludf.DUMMYFUNCTION("""COMPUTED_VALUE"""),"Tops pech order and advance payment done")</f>
        <v>Tops pech order and advance payment done</v>
      </c>
      <c r="J974" s="1" t="str">
        <f>IFERROR(__xludf.DUMMYFUNCTION("""COMPUTED_VALUE"""),"5000 per month LUCKY DRAW 7 EVERY MONTH")</f>
        <v>5000 per month LUCKY DRAW 7 EVERY MONTH</v>
      </c>
      <c r="K974" s="3">
        <f>IFERROR(__xludf.DUMMYFUNCTION("""COMPUTED_VALUE"""),0.6631944444452529)</f>
        <v>0.6631944444</v>
      </c>
      <c r="L974" s="1" t="str">
        <f>IFERROR(__xludf.DUMMYFUNCTION("""COMPUTED_VALUE"""),"Yes")</f>
        <v>Yes</v>
      </c>
      <c r="M974" s="1" t="str">
        <f>IFERROR(__xludf.DUMMYFUNCTION("""COMPUTED_VALUE"""),"Already done ")</f>
        <v>Already done </v>
      </c>
      <c r="N974" s="1" t="str">
        <f>IFERROR(__xludf.DUMMYFUNCTION("""COMPUTED_VALUE"""),"Already done ")</f>
        <v>Already done </v>
      </c>
      <c r="O974" s="1" t="str">
        <f>IFERROR(__xludf.DUMMYFUNCTION("""COMPUTED_VALUE"""),"WA ONLY, CALL")</f>
        <v>WA ONLY, CALL</v>
      </c>
      <c r="P974" s="1" t="str">
        <f>IFERROR(__xludf.DUMMYFUNCTION("""COMPUTED_VALUE"""),"Madam")</f>
        <v>Madam</v>
      </c>
      <c r="Q974" s="1" t="str">
        <f>IFERROR(__xludf.DUMMYFUNCTION("""COMPUTED_VALUE"""),"Yes")</f>
        <v>Yes</v>
      </c>
      <c r="R974" s="1" t="str">
        <f>IFERROR(__xludf.DUMMYFUNCTION("""COMPUTED_VALUE"""),"OLD")</f>
        <v>OLD</v>
      </c>
      <c r="S974" s="1" t="str">
        <f>IFERROR(__xludf.DUMMYFUNCTION("""COMPUTED_VALUE"""),"No")</f>
        <v>No</v>
      </c>
    </row>
    <row r="975">
      <c r="A975" s="2">
        <f>IFERROR(__xludf.DUMMYFUNCTION("""COMPUTED_VALUE"""),45651.747715833335)</f>
        <v>45651.74772</v>
      </c>
      <c r="B975" s="1" t="str">
        <f>IFERROR(__xludf.DUMMYFUNCTION("""COMPUTED_VALUE"""),"Kanvi")</f>
        <v>Kanvi</v>
      </c>
      <c r="C975" s="1">
        <f>IFERROR(__xludf.DUMMYFUNCTION("""COMPUTED_VALUE"""),8.045123222E9)</f>
        <v>8045123222</v>
      </c>
      <c r="D975" s="1">
        <f>IFERROR(__xludf.DUMMYFUNCTION("""COMPUTED_VALUE"""),3.0)</f>
        <v>3</v>
      </c>
      <c r="E975" s="3">
        <f>IFERROR(__xludf.DUMMYFUNCTION("""COMPUTED_VALUE"""),0.6388888888905058)</f>
        <v>0.6388888889</v>
      </c>
      <c r="F975" s="1" t="str">
        <f>IFERROR(__xludf.DUMMYFUNCTION("""COMPUTED_VALUE"""),"Diamond")</f>
        <v>Diamond</v>
      </c>
      <c r="G975" s="1" t="str">
        <f>IFERROR(__xludf.DUMMYFUNCTION("""COMPUTED_VALUE"""),"Preeti")</f>
        <v>Preeti</v>
      </c>
      <c r="H975" s="1" t="str">
        <f>IFERROR(__xludf.DUMMYFUNCTION("""COMPUTED_VALUE"""),"Gold and daimond tops,bali,cvd tops,br, daimond bangles ")</f>
        <v>Gold and daimond tops,bali,cvd tops,br, daimond bangles </v>
      </c>
      <c r="I975" s="1"/>
      <c r="J975" s="1"/>
      <c r="K975" s="3">
        <f>IFERROR(__xludf.DUMMYFUNCTION("""COMPUTED_VALUE"""),0.7458333333343035)</f>
        <v>0.7458333333</v>
      </c>
      <c r="L975" s="1" t="str">
        <f>IFERROR(__xludf.DUMMYFUNCTION("""COMPUTED_VALUE"""),"Yes")</f>
        <v>Yes</v>
      </c>
      <c r="M975" s="1" t="str">
        <f>IFERROR(__xludf.DUMMYFUNCTION("""COMPUTED_VALUE"""),"Already done ")</f>
        <v>Already done </v>
      </c>
      <c r="N975" s="1" t="str">
        <f>IFERROR(__xludf.DUMMYFUNCTION("""COMPUTED_VALUE"""),"Already done ")</f>
        <v>Already done </v>
      </c>
      <c r="O975" s="1" t="str">
        <f>IFERROR(__xludf.DUMMYFUNCTION("""COMPUTED_VALUE"""),"WA ONLY, CALL")</f>
        <v>WA ONLY, CALL</v>
      </c>
      <c r="P975" s="1" t="str">
        <f>IFERROR(__xludf.DUMMYFUNCTION("""COMPUTED_VALUE"""),"Madam")</f>
        <v>Madam</v>
      </c>
      <c r="Q975" s="1" t="str">
        <f>IFERROR(__xludf.DUMMYFUNCTION("""COMPUTED_VALUE"""),"No")</f>
        <v>No</v>
      </c>
      <c r="R975" s="1" t="str">
        <f>IFERROR(__xludf.DUMMYFUNCTION("""COMPUTED_VALUE"""),"OLD")</f>
        <v>OLD</v>
      </c>
      <c r="S975" s="1" t="str">
        <f>IFERROR(__xludf.DUMMYFUNCTION("""COMPUTED_VALUE"""),"Yes")</f>
        <v>Yes</v>
      </c>
    </row>
    <row r="976">
      <c r="A976" s="2">
        <f>IFERROR(__xludf.DUMMYFUNCTION("""COMPUTED_VALUE"""),45652.618167569446)</f>
        <v>45652.61817</v>
      </c>
      <c r="B976" s="1" t="str">
        <f>IFERROR(__xludf.DUMMYFUNCTION("""COMPUTED_VALUE"""),"Jay bhagwan")</f>
        <v>Jay bhagwan</v>
      </c>
      <c r="C976" s="1">
        <f>IFERROR(__xludf.DUMMYFUNCTION("""COMPUTED_VALUE"""),8.920332096E9)</f>
        <v>8920332096</v>
      </c>
      <c r="D976" s="1">
        <f>IFERROR(__xludf.DUMMYFUNCTION("""COMPUTED_VALUE"""),2.0)</f>
        <v>2</v>
      </c>
      <c r="E976" s="3">
        <f>IFERROR(__xludf.DUMMYFUNCTION("""COMPUTED_VALUE"""),0.5673611111124046)</f>
        <v>0.5673611111</v>
      </c>
      <c r="F976" s="1" t="str">
        <f>IFERROR(__xludf.DUMMYFUNCTION("""COMPUTED_VALUE"""),"Plain Gold")</f>
        <v>Plain Gold</v>
      </c>
      <c r="G976" s="1" t="str">
        <f>IFERROR(__xludf.DUMMYFUNCTION("""COMPUTED_VALUE"""),"Sapna")</f>
        <v>Sapna</v>
      </c>
      <c r="H976" s="1"/>
      <c r="I976" s="1" t="str">
        <f>IFERROR(__xludf.DUMMYFUNCTION("""COMPUTED_VALUE"""),"Pic up the bill and showing old silver")</f>
        <v>Pic up the bill and showing old silver</v>
      </c>
      <c r="J976" s="1"/>
      <c r="K976" s="3">
        <f>IFERROR(__xludf.DUMMYFUNCTION("""COMPUTED_VALUE"""),0.5833333333357587)</f>
        <v>0.5833333333</v>
      </c>
      <c r="L976" s="1" t="str">
        <f>IFERROR(__xludf.DUMMYFUNCTION("""COMPUTED_VALUE"""),"Yes")</f>
        <v>Yes</v>
      </c>
      <c r="M976" s="1" t="str">
        <f>IFERROR(__xludf.DUMMYFUNCTION("""COMPUTED_VALUE"""),"Already done ")</f>
        <v>Already done </v>
      </c>
      <c r="N976" s="1" t="str">
        <f>IFERROR(__xludf.DUMMYFUNCTION("""COMPUTED_VALUE"""),"Already done ")</f>
        <v>Already done </v>
      </c>
      <c r="O976" s="1" t="str">
        <f>IFERROR(__xludf.DUMMYFUNCTION("""COMPUTED_VALUE"""),"WA ONLY, CALL")</f>
        <v>WA ONLY, CALL</v>
      </c>
      <c r="P976" s="1" t="str">
        <f>IFERROR(__xludf.DUMMYFUNCTION("""COMPUTED_VALUE"""),"Sir")</f>
        <v>Sir</v>
      </c>
      <c r="Q976" s="1" t="str">
        <f>IFERROR(__xludf.DUMMYFUNCTION("""COMPUTED_VALUE"""),"No")</f>
        <v>No</v>
      </c>
      <c r="R976" s="1" t="str">
        <f>IFERROR(__xludf.DUMMYFUNCTION("""COMPUTED_VALUE"""),"OLD")</f>
        <v>OLD</v>
      </c>
      <c r="S976" s="1" t="str">
        <f>IFERROR(__xludf.DUMMYFUNCTION("""COMPUTED_VALUE"""),"No")</f>
        <v>No</v>
      </c>
    </row>
    <row r="977">
      <c r="A977" s="2">
        <f>IFERROR(__xludf.DUMMYFUNCTION("""COMPUTED_VALUE"""),45652.61895106481)</f>
        <v>45652.61895</v>
      </c>
      <c r="B977" s="1" t="str">
        <f>IFERROR(__xludf.DUMMYFUNCTION("""COMPUTED_VALUE"""),"Pitamber")</f>
        <v>Pitamber</v>
      </c>
      <c r="C977" s="1">
        <f>IFERROR(__xludf.DUMMYFUNCTION("""COMPUTED_VALUE"""),9.910930162E9)</f>
        <v>9910930162</v>
      </c>
      <c r="D977" s="1">
        <f>IFERROR(__xludf.DUMMYFUNCTION("""COMPUTED_VALUE"""),2.0)</f>
        <v>2</v>
      </c>
      <c r="E977" s="3">
        <f>IFERROR(__xludf.DUMMYFUNCTION("""COMPUTED_VALUE"""),0.5694444444452529)</f>
        <v>0.5694444444</v>
      </c>
      <c r="F977" s="1" t="str">
        <f>IFERROR(__xludf.DUMMYFUNCTION("""COMPUTED_VALUE"""),"Antique Gold")</f>
        <v>Antique Gold</v>
      </c>
      <c r="G977" s="1" t="str">
        <f>IFERROR(__xludf.DUMMYFUNCTION("""COMPUTED_VALUE"""),"Deepali")</f>
        <v>Deepali</v>
      </c>
      <c r="H977" s="1" t="str">
        <f>IFERROR(__xludf.DUMMYFUNCTION("""COMPUTED_VALUE"""),"Gold vishnu pendent ")</f>
        <v>Gold vishnu pendent </v>
      </c>
      <c r="I977" s="1"/>
      <c r="J977" s="1"/>
      <c r="K977" s="3">
        <f>IFERROR(__xludf.DUMMYFUNCTION("""COMPUTED_VALUE"""),0.5965277777795563)</f>
        <v>0.5965277778</v>
      </c>
      <c r="L977" s="1" t="str">
        <f>IFERROR(__xludf.DUMMYFUNCTION("""COMPUTED_VALUE"""),"Yes")</f>
        <v>Yes</v>
      </c>
      <c r="M977" s="1" t="str">
        <f>IFERROR(__xludf.DUMMYFUNCTION("""COMPUTED_VALUE"""),"Yes")</f>
        <v>Yes</v>
      </c>
      <c r="N977" s="1" t="str">
        <f>IFERROR(__xludf.DUMMYFUNCTION("""COMPUTED_VALUE"""),"Yes")</f>
        <v>Yes</v>
      </c>
      <c r="O977" s="1" t="str">
        <f>IFERROR(__xludf.DUMMYFUNCTION("""COMPUTED_VALUE"""),"WA ONLY, CALL")</f>
        <v>WA ONLY, CALL</v>
      </c>
      <c r="P977" s="1" t="str">
        <f>IFERROR(__xludf.DUMMYFUNCTION("""COMPUTED_VALUE"""),"Sir")</f>
        <v>Sir</v>
      </c>
      <c r="Q977" s="1" t="str">
        <f>IFERROR(__xludf.DUMMYFUNCTION("""COMPUTED_VALUE"""),"No")</f>
        <v>No</v>
      </c>
      <c r="R977" s="1" t="str">
        <f>IFERROR(__xludf.DUMMYFUNCTION("""COMPUTED_VALUE"""),"NEW WALK IN")</f>
        <v>NEW WALK IN</v>
      </c>
      <c r="S977" s="1" t="str">
        <f>IFERROR(__xludf.DUMMYFUNCTION("""COMPUTED_VALUE"""),"Yes")</f>
        <v>Yes</v>
      </c>
    </row>
    <row r="978">
      <c r="A978" s="2">
        <f>IFERROR(__xludf.DUMMYFUNCTION("""COMPUTED_VALUE"""),45652.78077883102)</f>
        <v>45652.78078</v>
      </c>
      <c r="B978" s="1" t="str">
        <f>IFERROR(__xludf.DUMMYFUNCTION("""COMPUTED_VALUE"""),"Monika")</f>
        <v>Monika</v>
      </c>
      <c r="C978" s="1">
        <f>IFERROR(__xludf.DUMMYFUNCTION("""COMPUTED_VALUE"""),8.700386691E9)</f>
        <v>8700386691</v>
      </c>
      <c r="D978" s="1">
        <f>IFERROR(__xludf.DUMMYFUNCTION("""COMPUTED_VALUE"""),3.0)</f>
        <v>3</v>
      </c>
      <c r="E978" s="3">
        <f>IFERROR(__xludf.DUMMYFUNCTION("""COMPUTED_VALUE"""),0.6979166666642413)</f>
        <v>0.6979166667</v>
      </c>
      <c r="F978" s="1" t="str">
        <f>IFERROR(__xludf.DUMMYFUNCTION("""COMPUTED_VALUE"""),"Antique Gold")</f>
        <v>Antique Gold</v>
      </c>
      <c r="G978" s="1" t="str">
        <f>IFERROR(__xludf.DUMMYFUNCTION("""COMPUTED_VALUE"""),"Tannu")</f>
        <v>Tannu</v>
      </c>
      <c r="H978" s="1" t="str">
        <f>IFERROR(__xludf.DUMMYFUNCTION("""COMPUTED_VALUE"""),"Gold bangles,gold breslet ")</f>
        <v>Gold bangles,gold breslet </v>
      </c>
      <c r="I978" s="1"/>
      <c r="J978" s="1"/>
      <c r="K978" s="3">
        <f>IFERROR(__xludf.DUMMYFUNCTION("""COMPUTED_VALUE"""),0.7604166666642413)</f>
        <v>0.7604166667</v>
      </c>
      <c r="L978" s="1" t="str">
        <f>IFERROR(__xludf.DUMMYFUNCTION("""COMPUTED_VALUE"""),"Yes")</f>
        <v>Yes</v>
      </c>
      <c r="M978" s="1" t="str">
        <f>IFERROR(__xludf.DUMMYFUNCTION("""COMPUTED_VALUE"""),"Yes")</f>
        <v>Yes</v>
      </c>
      <c r="N978" s="1" t="str">
        <f>IFERROR(__xludf.DUMMYFUNCTION("""COMPUTED_VALUE"""),"Yes")</f>
        <v>Yes</v>
      </c>
      <c r="O978" s="1" t="str">
        <f>IFERROR(__xludf.DUMMYFUNCTION("""COMPUTED_VALUE"""),"WA ONLY, CALL")</f>
        <v>WA ONLY, CALL</v>
      </c>
      <c r="P978" s="1" t="str">
        <f>IFERROR(__xludf.DUMMYFUNCTION("""COMPUTED_VALUE"""),"Madam")</f>
        <v>Madam</v>
      </c>
      <c r="Q978" s="1" t="str">
        <f>IFERROR(__xludf.DUMMYFUNCTION("""COMPUTED_VALUE"""),"No")</f>
        <v>No</v>
      </c>
      <c r="R978" s="1" t="str">
        <f>IFERROR(__xludf.DUMMYFUNCTION("""COMPUTED_VALUE"""),"OLD")</f>
        <v>OLD</v>
      </c>
      <c r="S978" s="1" t="str">
        <f>IFERROR(__xludf.DUMMYFUNCTION("""COMPUTED_VALUE"""),"Yes")</f>
        <v>Yes</v>
      </c>
    </row>
    <row r="979">
      <c r="A979" s="2">
        <f>IFERROR(__xludf.DUMMYFUNCTION("""COMPUTED_VALUE"""),45654.74837482639)</f>
        <v>45654.74837</v>
      </c>
      <c r="B979" s="1" t="str">
        <f>IFERROR(__xludf.DUMMYFUNCTION("""COMPUTED_VALUE"""),"Sakshi sachdeva")</f>
        <v>Sakshi sachdeva</v>
      </c>
      <c r="C979" s="1">
        <f>IFERROR(__xludf.DUMMYFUNCTION("""COMPUTED_VALUE"""),9.4191410664E10)</f>
        <v>94191410664</v>
      </c>
      <c r="D979" s="1">
        <f>IFERROR(__xludf.DUMMYFUNCTION("""COMPUTED_VALUE"""),2.0)</f>
        <v>2</v>
      </c>
      <c r="E979" s="3">
        <f>IFERROR(__xludf.DUMMYFUNCTION("""COMPUTED_VALUE"""),0.48958333333575865)</f>
        <v>0.4895833333</v>
      </c>
      <c r="F979" s="1" t="str">
        <f>IFERROR(__xludf.DUMMYFUNCTION("""COMPUTED_VALUE"""),"Diamond")</f>
        <v>Diamond</v>
      </c>
      <c r="G979" s="1" t="str">
        <f>IFERROR(__xludf.DUMMYFUNCTION("""COMPUTED_VALUE"""),"Preeti")</f>
        <v>Preeti</v>
      </c>
      <c r="H979" s="1" t="str">
        <f>IFERROR(__xludf.DUMMYFUNCTION("""COMPUTED_VALUE"""),"Daimond sets,manglsutr,stone ring")</f>
        <v>Daimond sets,manglsutr,stone ring</v>
      </c>
      <c r="I979" s="1"/>
      <c r="J979" s="1"/>
      <c r="K979" s="3">
        <f>IFERROR(__xludf.DUMMYFUNCTION("""COMPUTED_VALUE"""),0.6006944444452529)</f>
        <v>0.6006944444</v>
      </c>
      <c r="L979" s="1" t="str">
        <f>IFERROR(__xludf.DUMMYFUNCTION("""COMPUTED_VALUE"""),"Yes")</f>
        <v>Yes</v>
      </c>
      <c r="M979" s="1" t="str">
        <f>IFERROR(__xludf.DUMMYFUNCTION("""COMPUTED_VALUE"""),"Yes")</f>
        <v>Yes</v>
      </c>
      <c r="N979" s="1" t="str">
        <f>IFERROR(__xludf.DUMMYFUNCTION("""COMPUTED_VALUE"""),"Yes ")</f>
        <v>Yes </v>
      </c>
      <c r="O979" s="1" t="str">
        <f>IFERROR(__xludf.DUMMYFUNCTION("""COMPUTED_VALUE"""),"WA ONLY, CALL")</f>
        <v>WA ONLY, CALL</v>
      </c>
      <c r="P979" s="1" t="str">
        <f>IFERROR(__xludf.DUMMYFUNCTION("""COMPUTED_VALUE"""),"Madam")</f>
        <v>Madam</v>
      </c>
      <c r="Q979" s="1" t="str">
        <f>IFERROR(__xludf.DUMMYFUNCTION("""COMPUTED_VALUE"""),"No")</f>
        <v>No</v>
      </c>
      <c r="R979" s="1" t="str">
        <f>IFERROR(__xludf.DUMMYFUNCTION("""COMPUTED_VALUE"""),"OLD")</f>
        <v>OLD</v>
      </c>
      <c r="S979" s="1" t="str">
        <f>IFERROR(__xludf.DUMMYFUNCTION("""COMPUTED_VALUE"""),"Yes")</f>
        <v>Yes</v>
      </c>
    </row>
    <row r="980">
      <c r="A980" s="2">
        <f>IFERROR(__xludf.DUMMYFUNCTION("""COMPUTED_VALUE"""),45654.750065949076)</f>
        <v>45654.75007</v>
      </c>
      <c r="B980" s="1" t="str">
        <f>IFERROR(__xludf.DUMMYFUNCTION("""COMPUTED_VALUE"""),"Seema,manvi")</f>
        <v>Seema,manvi</v>
      </c>
      <c r="C980" s="4">
        <f>IFERROR(__xludf.DUMMYFUNCTION("""COMPUTED_VALUE"""),9.89967870198991E19)</f>
        <v>9.89968E+19</v>
      </c>
      <c r="D980" s="1">
        <f>IFERROR(__xludf.DUMMYFUNCTION("""COMPUTED_VALUE"""),3.0)</f>
        <v>3</v>
      </c>
      <c r="E980" s="3">
        <f>IFERROR(__xludf.DUMMYFUNCTION("""COMPUTED_VALUE"""),0.6666666666642413)</f>
        <v>0.6666666667</v>
      </c>
      <c r="F980" s="1" t="str">
        <f>IFERROR(__xludf.DUMMYFUNCTION("""COMPUTED_VALUE"""),"Antique Gold")</f>
        <v>Antique Gold</v>
      </c>
      <c r="G980" s="1" t="str">
        <f>IFERROR(__xludf.DUMMYFUNCTION("""COMPUTED_VALUE"""),"Tannu")</f>
        <v>Tannu</v>
      </c>
      <c r="H980" s="1" t="str">
        <f>IFERROR(__xludf.DUMMYFUNCTION("""COMPUTED_VALUE"""),"Antique gold sets,Daimond breslet ")</f>
        <v>Antique gold sets,Daimond breslet </v>
      </c>
      <c r="I980" s="1" t="str">
        <f>IFERROR(__xludf.DUMMYFUNCTION("""COMPUTED_VALUE"""),"Want to see More Variety")</f>
        <v>Want to see More Variety</v>
      </c>
      <c r="J980" s="1"/>
      <c r="K980" s="3">
        <f>IFERROR(__xludf.DUMMYFUNCTION("""COMPUTED_VALUE"""),0.7291666666642413)</f>
        <v>0.7291666667</v>
      </c>
      <c r="L980" s="1" t="str">
        <f>IFERROR(__xludf.DUMMYFUNCTION("""COMPUTED_VALUE"""),"Yes")</f>
        <v>Yes</v>
      </c>
      <c r="M980" s="1" t="str">
        <f>IFERROR(__xludf.DUMMYFUNCTION("""COMPUTED_VALUE"""),"Not use")</f>
        <v>Not use</v>
      </c>
      <c r="N980" s="1" t="str">
        <f>IFERROR(__xludf.DUMMYFUNCTION("""COMPUTED_VALUE"""),"Yes")</f>
        <v>Yes</v>
      </c>
      <c r="O980" s="1" t="str">
        <f>IFERROR(__xludf.DUMMYFUNCTION("""COMPUTED_VALUE"""),"WA ONLY, CALL")</f>
        <v>WA ONLY, CALL</v>
      </c>
      <c r="P980" s="1" t="str">
        <f>IFERROR(__xludf.DUMMYFUNCTION("""COMPUTED_VALUE"""),"Madam")</f>
        <v>Madam</v>
      </c>
      <c r="Q980" s="1" t="str">
        <f>IFERROR(__xludf.DUMMYFUNCTION("""COMPUTED_VALUE"""),"No")</f>
        <v>No</v>
      </c>
      <c r="R980" s="1" t="str">
        <f>IFERROR(__xludf.DUMMYFUNCTION("""COMPUTED_VALUE"""),"NEW WALK IN")</f>
        <v>NEW WALK IN</v>
      </c>
      <c r="S980" s="1" t="str">
        <f>IFERROR(__xludf.DUMMYFUNCTION("""COMPUTED_VALUE"""),"No")</f>
        <v>No</v>
      </c>
    </row>
    <row r="981">
      <c r="A981" s="2">
        <f>IFERROR(__xludf.DUMMYFUNCTION("""COMPUTED_VALUE"""),45654.77480138889)</f>
        <v>45654.7748</v>
      </c>
      <c r="B981" s="1" t="str">
        <f>IFERROR(__xludf.DUMMYFUNCTION("""COMPUTED_VALUE"""),"Sagar")</f>
        <v>Sagar</v>
      </c>
      <c r="C981" s="1">
        <f>IFERROR(__xludf.DUMMYFUNCTION("""COMPUTED_VALUE"""),9.654141505E9)</f>
        <v>9654141505</v>
      </c>
      <c r="D981" s="1">
        <f>IFERROR(__xludf.DUMMYFUNCTION("""COMPUTED_VALUE"""),2.0)</f>
        <v>2</v>
      </c>
      <c r="E981" s="3">
        <f>IFERROR(__xludf.DUMMYFUNCTION("""COMPUTED_VALUE"""),0.7361111111094942)</f>
        <v>0.7361111111</v>
      </c>
      <c r="F981" s="1" t="str">
        <f>IFERROR(__xludf.DUMMYFUNCTION("""COMPUTED_VALUE"""),"Antique Gold")</f>
        <v>Antique Gold</v>
      </c>
      <c r="G981" s="1" t="str">
        <f>IFERROR(__xludf.DUMMYFUNCTION("""COMPUTED_VALUE"""),"Tannu")</f>
        <v>Tannu</v>
      </c>
      <c r="H981" s="1" t="str">
        <f>IFERROR(__xludf.DUMMYFUNCTION("""COMPUTED_VALUE"""),"Gold breslet daimond sets")</f>
        <v>Gold breslet daimond sets</v>
      </c>
      <c r="I981" s="1" t="str">
        <f>IFERROR(__xludf.DUMMYFUNCTION("""COMPUTED_VALUE"""),"Will ask family and come with them")</f>
        <v>Will ask family and come with them</v>
      </c>
      <c r="J981" s="1"/>
      <c r="K981" s="3">
        <f>IFERROR(__xludf.DUMMYFUNCTION("""COMPUTED_VALUE"""),0.7708333333357587)</f>
        <v>0.7708333333</v>
      </c>
      <c r="L981" s="1" t="str">
        <f>IFERROR(__xludf.DUMMYFUNCTION("""COMPUTED_VALUE"""),"Yes")</f>
        <v>Yes</v>
      </c>
      <c r="M981" s="1" t="str">
        <f>IFERROR(__xludf.DUMMYFUNCTION("""COMPUTED_VALUE"""),"Already done ")</f>
        <v>Already done </v>
      </c>
      <c r="N981" s="1" t="str">
        <f>IFERROR(__xludf.DUMMYFUNCTION("""COMPUTED_VALUE"""),"Already done ")</f>
        <v>Already done </v>
      </c>
      <c r="O981" s="1" t="str">
        <f>IFERROR(__xludf.DUMMYFUNCTION("""COMPUTED_VALUE"""),"WA ONLY, CALL")</f>
        <v>WA ONLY, CALL</v>
      </c>
      <c r="P981" s="1" t="str">
        <f>IFERROR(__xludf.DUMMYFUNCTION("""COMPUTED_VALUE"""),"Sir")</f>
        <v>Sir</v>
      </c>
      <c r="Q981" s="1" t="str">
        <f>IFERROR(__xludf.DUMMYFUNCTION("""COMPUTED_VALUE"""),"No")</f>
        <v>No</v>
      </c>
      <c r="R981" s="1" t="str">
        <f>IFERROR(__xludf.DUMMYFUNCTION("""COMPUTED_VALUE"""),"OLD")</f>
        <v>OLD</v>
      </c>
      <c r="S981" s="1" t="str">
        <f>IFERROR(__xludf.DUMMYFUNCTION("""COMPUTED_VALUE"""),"No")</f>
        <v>No</v>
      </c>
    </row>
    <row r="982">
      <c r="A982" s="2">
        <f>IFERROR(__xludf.DUMMYFUNCTION("""COMPUTED_VALUE"""),45655.793634050926)</f>
        <v>45655.79363</v>
      </c>
      <c r="B982" s="1" t="str">
        <f>IFERROR(__xludf.DUMMYFUNCTION("""COMPUTED_VALUE"""),"Suman")</f>
        <v>Suman</v>
      </c>
      <c r="C982" s="1">
        <f>IFERROR(__xludf.DUMMYFUNCTION("""COMPUTED_VALUE"""),8.076545582E9)</f>
        <v>8076545582</v>
      </c>
      <c r="D982" s="1">
        <f>IFERROR(__xludf.DUMMYFUNCTION("""COMPUTED_VALUE"""),2.0)</f>
        <v>2</v>
      </c>
      <c r="E982" s="3">
        <f>IFERROR(__xludf.DUMMYFUNCTION("""COMPUTED_VALUE"""),0.7618055555576575)</f>
        <v>0.7618055556</v>
      </c>
      <c r="F982" s="1" t="str">
        <f>IFERROR(__xludf.DUMMYFUNCTION("""COMPUTED_VALUE"""),"Plain Gold")</f>
        <v>Plain Gold</v>
      </c>
      <c r="G982" s="1" t="str">
        <f>IFERROR(__xludf.DUMMYFUNCTION("""COMPUTED_VALUE"""),"Sapna")</f>
        <v>Sapna</v>
      </c>
      <c r="H982" s="1" t="str">
        <f>IFERROR(__xludf.DUMMYFUNCTION("""COMPUTED_VALUE"""),"Gold bangles ")</f>
        <v>Gold bangles </v>
      </c>
      <c r="I982" s="1" t="str">
        <f>IFERROR(__xludf.DUMMYFUNCTION("""COMPUTED_VALUE"""),"Want to see More Variety")</f>
        <v>Want to see More Variety</v>
      </c>
      <c r="J982" s="1"/>
      <c r="K982" s="3">
        <f>IFERROR(__xludf.DUMMYFUNCTION("""COMPUTED_VALUE"""),0.75)</f>
        <v>0.75</v>
      </c>
      <c r="L982" s="1" t="str">
        <f>IFERROR(__xludf.DUMMYFUNCTION("""COMPUTED_VALUE"""),"No")</f>
        <v>No</v>
      </c>
      <c r="M982" s="1" t="str">
        <f>IFERROR(__xludf.DUMMYFUNCTION("""COMPUTED_VALUE"""),"No")</f>
        <v>No</v>
      </c>
      <c r="N982" s="1" t="str">
        <f>IFERROR(__xludf.DUMMYFUNCTION("""COMPUTED_VALUE"""),"No")</f>
        <v>No</v>
      </c>
      <c r="O982" s="1" t="str">
        <f>IFERROR(__xludf.DUMMYFUNCTION("""COMPUTED_VALUE"""),"WA ONLY, CALL")</f>
        <v>WA ONLY, CALL</v>
      </c>
      <c r="P982" s="1" t="str">
        <f>IFERROR(__xludf.DUMMYFUNCTION("""COMPUTED_VALUE"""),"Madam")</f>
        <v>Madam</v>
      </c>
      <c r="Q982" s="1" t="str">
        <f>IFERROR(__xludf.DUMMYFUNCTION("""COMPUTED_VALUE"""),"No")</f>
        <v>No</v>
      </c>
      <c r="R982" s="1" t="str">
        <f>IFERROR(__xludf.DUMMYFUNCTION("""COMPUTED_VALUE"""),"NEW WALK IN")</f>
        <v>NEW WALK IN</v>
      </c>
      <c r="S982" s="1" t="str">
        <f>IFERROR(__xludf.DUMMYFUNCTION("""COMPUTED_VALUE"""),"No")</f>
        <v>No</v>
      </c>
    </row>
    <row r="983">
      <c r="A983" s="2">
        <f>IFERROR(__xludf.DUMMYFUNCTION("""COMPUTED_VALUE"""),45655.80246258102)</f>
        <v>45655.80246</v>
      </c>
      <c r="B983" s="1" t="str">
        <f>IFERROR(__xludf.DUMMYFUNCTION("""COMPUTED_VALUE"""),"Apsana ")</f>
        <v>Apsana </v>
      </c>
      <c r="C983" s="1">
        <f>IFERROR(__xludf.DUMMYFUNCTION("""COMPUTED_VALUE"""),7.06588257E9)</f>
        <v>7065882570</v>
      </c>
      <c r="D983" s="1">
        <f>IFERROR(__xludf.DUMMYFUNCTION("""COMPUTED_VALUE"""),3.0)</f>
        <v>3</v>
      </c>
      <c r="E983" s="3">
        <f>IFERROR(__xludf.DUMMYFUNCTION("""COMPUTED_VALUE"""),0.7395833333357587)</f>
        <v>0.7395833333</v>
      </c>
      <c r="F983" s="1" t="str">
        <f>IFERROR(__xludf.DUMMYFUNCTION("""COMPUTED_VALUE"""),"Antique Gold")</f>
        <v>Antique Gold</v>
      </c>
      <c r="G983" s="1" t="str">
        <f>IFERROR(__xludf.DUMMYFUNCTION("""COMPUTED_VALUE"""),"Tannu")</f>
        <v>Tannu</v>
      </c>
      <c r="H983" s="1" t="str">
        <f>IFERROR(__xludf.DUMMYFUNCTION("""COMPUTED_VALUE"""),"Gold tops")</f>
        <v>Gold tops</v>
      </c>
      <c r="I983" s="1"/>
      <c r="J983" s="1"/>
      <c r="K983" s="3">
        <f>IFERROR(__xludf.DUMMYFUNCTION("""COMPUTED_VALUE"""),0.8159722222189885)</f>
        <v>0.8159722222</v>
      </c>
      <c r="L983" s="1" t="str">
        <f>IFERROR(__xludf.DUMMYFUNCTION("""COMPUTED_VALUE"""),"Yes")</f>
        <v>Yes</v>
      </c>
      <c r="M983" s="1" t="str">
        <f>IFERROR(__xludf.DUMMYFUNCTION("""COMPUTED_VALUE"""),"Yes")</f>
        <v>Yes</v>
      </c>
      <c r="N983" s="1" t="str">
        <f>IFERROR(__xludf.DUMMYFUNCTION("""COMPUTED_VALUE"""),"Not use")</f>
        <v>Not use</v>
      </c>
      <c r="O983" s="1" t="str">
        <f>IFERROR(__xludf.DUMMYFUNCTION("""COMPUTED_VALUE"""),"WA ONLY, CALL")</f>
        <v>WA ONLY, CALL</v>
      </c>
      <c r="P983" s="1" t="str">
        <f>IFERROR(__xludf.DUMMYFUNCTION("""COMPUTED_VALUE"""),"Madam")</f>
        <v>Madam</v>
      </c>
      <c r="Q983" s="1" t="str">
        <f>IFERROR(__xludf.DUMMYFUNCTION("""COMPUTED_VALUE"""),"No")</f>
        <v>No</v>
      </c>
      <c r="R983" s="1" t="str">
        <f>IFERROR(__xludf.DUMMYFUNCTION("""COMPUTED_VALUE"""),"OLD")</f>
        <v>OLD</v>
      </c>
      <c r="S983" s="1" t="str">
        <f>IFERROR(__xludf.DUMMYFUNCTION("""COMPUTED_VALUE"""),"Yes")</f>
        <v>Yes</v>
      </c>
    </row>
    <row r="984">
      <c r="A984" s="2">
        <f>IFERROR(__xludf.DUMMYFUNCTION("""COMPUTED_VALUE"""),45657.761704965276)</f>
        <v>45657.7617</v>
      </c>
      <c r="B984" s="1" t="str">
        <f>IFERROR(__xludf.DUMMYFUNCTION("""COMPUTED_VALUE"""),"Vanshika ")</f>
        <v>Vanshika </v>
      </c>
      <c r="C984" s="1">
        <f>IFERROR(__xludf.DUMMYFUNCTION("""COMPUTED_VALUE"""),9.069461111E9)</f>
        <v>9069461111</v>
      </c>
      <c r="D984" s="1">
        <f>IFERROR(__xludf.DUMMYFUNCTION("""COMPUTED_VALUE"""),1.0)</f>
        <v>1</v>
      </c>
      <c r="E984" s="3">
        <f>IFERROR(__xludf.DUMMYFUNCTION("""COMPUTED_VALUE"""),0.5979166666656965)</f>
        <v>0.5979166667</v>
      </c>
      <c r="F984" s="1" t="str">
        <f>IFERROR(__xludf.DUMMYFUNCTION("""COMPUTED_VALUE"""),"Antique Gold")</f>
        <v>Antique Gold</v>
      </c>
      <c r="G984" s="1" t="str">
        <f>IFERROR(__xludf.DUMMYFUNCTION("""COMPUTED_VALUE"""),"Tannu")</f>
        <v>Tannu</v>
      </c>
      <c r="H984" s="1" t="str">
        <f>IFERROR(__xludf.DUMMYFUNCTION("""COMPUTED_VALUE"""),"Polki pendent with chain")</f>
        <v>Polki pendent with chain</v>
      </c>
      <c r="I984" s="1"/>
      <c r="J984" s="1"/>
      <c r="K984" s="3">
        <f>IFERROR(__xludf.DUMMYFUNCTION("""COMPUTED_VALUE"""),0.6666666666642413)</f>
        <v>0.6666666667</v>
      </c>
      <c r="L984" s="1" t="str">
        <f>IFERROR(__xludf.DUMMYFUNCTION("""COMPUTED_VALUE"""),"Yes")</f>
        <v>Yes</v>
      </c>
      <c r="M984" s="1" t="str">
        <f>IFERROR(__xludf.DUMMYFUNCTION("""COMPUTED_VALUE"""),"Already done ")</f>
        <v>Already done </v>
      </c>
      <c r="N984" s="1" t="str">
        <f>IFERROR(__xludf.DUMMYFUNCTION("""COMPUTED_VALUE"""),"Already done ")</f>
        <v>Already done </v>
      </c>
      <c r="O984" s="1" t="str">
        <f>IFERROR(__xludf.DUMMYFUNCTION("""COMPUTED_VALUE"""),"WA ONLY, CALL")</f>
        <v>WA ONLY, CALL</v>
      </c>
      <c r="P984" s="1" t="str">
        <f>IFERROR(__xludf.DUMMYFUNCTION("""COMPUTED_VALUE"""),"Madam")</f>
        <v>Madam</v>
      </c>
      <c r="Q984" s="1" t="str">
        <f>IFERROR(__xludf.DUMMYFUNCTION("""COMPUTED_VALUE"""),"No")</f>
        <v>No</v>
      </c>
      <c r="R984" s="1" t="str">
        <f>IFERROR(__xludf.DUMMYFUNCTION("""COMPUTED_VALUE"""),"OLD")</f>
        <v>OLD</v>
      </c>
      <c r="S984" s="1" t="str">
        <f>IFERROR(__xludf.DUMMYFUNCTION("""COMPUTED_VALUE"""),"Yes")</f>
        <v>Yes</v>
      </c>
    </row>
    <row r="985">
      <c r="A985" s="2">
        <f>IFERROR(__xludf.DUMMYFUNCTION("""COMPUTED_VALUE"""),45657.762941493056)</f>
        <v>45657.76294</v>
      </c>
      <c r="B985" s="1" t="str">
        <f>IFERROR(__xludf.DUMMYFUNCTION("""COMPUTED_VALUE"""),"Sagar")</f>
        <v>Sagar</v>
      </c>
      <c r="C985" s="1">
        <f>IFERROR(__xludf.DUMMYFUNCTION("""COMPUTED_VALUE"""),9.654141505E9)</f>
        <v>9654141505</v>
      </c>
      <c r="D985" s="1">
        <f>IFERROR(__xludf.DUMMYFUNCTION("""COMPUTED_VALUE"""),3.0)</f>
        <v>3</v>
      </c>
      <c r="E985" s="3">
        <f>IFERROR(__xludf.DUMMYFUNCTION("""COMPUTED_VALUE"""),0.6041666666642413)</f>
        <v>0.6041666667</v>
      </c>
      <c r="F985" s="1" t="str">
        <f>IFERROR(__xludf.DUMMYFUNCTION("""COMPUTED_VALUE"""),"Diamond")</f>
        <v>Diamond</v>
      </c>
      <c r="G985" s="1" t="str">
        <f>IFERROR(__xludf.DUMMYFUNCTION("""COMPUTED_VALUE"""),"Preeti")</f>
        <v>Preeti</v>
      </c>
      <c r="H985" s="1" t="str">
        <f>IFERROR(__xludf.DUMMYFUNCTION("""COMPUTED_VALUE"""),"Daimond set,Daimond ring")</f>
        <v>Daimond set,Daimond ring</v>
      </c>
      <c r="I985" s="1"/>
      <c r="J985" s="1"/>
      <c r="K985" s="3">
        <f>IFERROR(__xludf.DUMMYFUNCTION("""COMPUTED_VALUE"""),0.672222222223354)</f>
        <v>0.6722222222</v>
      </c>
      <c r="L985" s="1" t="str">
        <f>IFERROR(__xludf.DUMMYFUNCTION("""COMPUTED_VALUE"""),"Yes")</f>
        <v>Yes</v>
      </c>
      <c r="M985" s="1" t="str">
        <f>IFERROR(__xludf.DUMMYFUNCTION("""COMPUTED_VALUE"""),"Yes")</f>
        <v>Yes</v>
      </c>
      <c r="N985" s="1" t="str">
        <f>IFERROR(__xludf.DUMMYFUNCTION("""COMPUTED_VALUE"""),"Yes")</f>
        <v>Yes</v>
      </c>
      <c r="O985" s="1" t="str">
        <f>IFERROR(__xludf.DUMMYFUNCTION("""COMPUTED_VALUE"""),"WA ONLY, CALL")</f>
        <v>WA ONLY, CALL</v>
      </c>
      <c r="P985" s="1" t="str">
        <f>IFERROR(__xludf.DUMMYFUNCTION("""COMPUTED_VALUE"""),"Sir")</f>
        <v>Sir</v>
      </c>
      <c r="Q985" s="1" t="str">
        <f>IFERROR(__xludf.DUMMYFUNCTION("""COMPUTED_VALUE"""),"No")</f>
        <v>No</v>
      </c>
      <c r="R985" s="1" t="str">
        <f>IFERROR(__xludf.DUMMYFUNCTION("""COMPUTED_VALUE"""),"OLD")</f>
        <v>OLD</v>
      </c>
      <c r="S985" s="1" t="str">
        <f>IFERROR(__xludf.DUMMYFUNCTION("""COMPUTED_VALUE"""),"Yes")</f>
        <v>Yes</v>
      </c>
    </row>
    <row r="986">
      <c r="A986" s="2">
        <f>IFERROR(__xludf.DUMMYFUNCTION("""COMPUTED_VALUE"""),45657.764280717594)</f>
        <v>45657.76428</v>
      </c>
      <c r="B986" s="1" t="str">
        <f>IFERROR(__xludf.DUMMYFUNCTION("""COMPUTED_VALUE"""),"Suman")</f>
        <v>Suman</v>
      </c>
      <c r="C986" s="1">
        <f>IFERROR(__xludf.DUMMYFUNCTION("""COMPUTED_VALUE"""),7.827405346E9)</f>
        <v>7827405346</v>
      </c>
      <c r="D986" s="1">
        <f>IFERROR(__xludf.DUMMYFUNCTION("""COMPUTED_VALUE"""),2.0)</f>
        <v>2</v>
      </c>
      <c r="E986" s="3">
        <f>IFERROR(__xludf.DUMMYFUNCTION("""COMPUTED_VALUE"""),0.6166666666686069)</f>
        <v>0.6166666667</v>
      </c>
      <c r="F986" s="1" t="str">
        <f>IFERROR(__xludf.DUMMYFUNCTION("""COMPUTED_VALUE"""),"Plain Gold")</f>
        <v>Plain Gold</v>
      </c>
      <c r="G986" s="1" t="str">
        <f>IFERROR(__xludf.DUMMYFUNCTION("""COMPUTED_VALUE"""),"Sapna")</f>
        <v>Sapna</v>
      </c>
      <c r="H986" s="1" t="str">
        <f>IFERROR(__xludf.DUMMYFUNCTION("""COMPUTED_VALUE"""),"Gold bangles ")</f>
        <v>Gold bangles </v>
      </c>
      <c r="I986" s="1"/>
      <c r="J986" s="1"/>
      <c r="K986" s="3">
        <f>IFERROR(__xludf.DUMMYFUNCTION("""COMPUTED_VALUE"""),0.6875)</f>
        <v>0.6875</v>
      </c>
      <c r="L986" s="1" t="str">
        <f>IFERROR(__xludf.DUMMYFUNCTION("""COMPUTED_VALUE"""),"Yes")</f>
        <v>Yes</v>
      </c>
      <c r="M986" s="1" t="str">
        <f>IFERROR(__xludf.DUMMYFUNCTION("""COMPUTED_VALUE"""),"Not use ")</f>
        <v>Not use </v>
      </c>
      <c r="N986" s="1" t="str">
        <f>IFERROR(__xludf.DUMMYFUNCTION("""COMPUTED_VALUE"""),"Not use")</f>
        <v>Not use</v>
      </c>
      <c r="O986" s="1" t="str">
        <f>IFERROR(__xludf.DUMMYFUNCTION("""COMPUTED_VALUE"""),"WA ONLY, CALL")</f>
        <v>WA ONLY, CALL</v>
      </c>
      <c r="P986" s="1" t="str">
        <f>IFERROR(__xludf.DUMMYFUNCTION("""COMPUTED_VALUE"""),"Madam")</f>
        <v>Madam</v>
      </c>
      <c r="Q986" s="1" t="str">
        <f>IFERROR(__xludf.DUMMYFUNCTION("""COMPUTED_VALUE"""),"No")</f>
        <v>No</v>
      </c>
      <c r="R986" s="1" t="str">
        <f>IFERROR(__xludf.DUMMYFUNCTION("""COMPUTED_VALUE"""),"NEW WALK IN")</f>
        <v>NEW WALK IN</v>
      </c>
      <c r="S986" s="1" t="str">
        <f>IFERROR(__xludf.DUMMYFUNCTION("""COMPUTED_VALUE"""),"Yes")</f>
        <v>Yes</v>
      </c>
    </row>
    <row r="987">
      <c r="A987" s="2">
        <f>IFERROR(__xludf.DUMMYFUNCTION("""COMPUTED_VALUE"""),45657.76533890046)</f>
        <v>45657.76534</v>
      </c>
      <c r="B987" s="1" t="str">
        <f>IFERROR(__xludf.DUMMYFUNCTION("""COMPUTED_VALUE"""),"Beena rawal")</f>
        <v>Beena rawal</v>
      </c>
      <c r="C987" s="1">
        <f>IFERROR(__xludf.DUMMYFUNCTION("""COMPUTED_VALUE"""),8.800939462E9)</f>
        <v>8800939462</v>
      </c>
      <c r="D987" s="1">
        <f>IFERROR(__xludf.DUMMYFUNCTION("""COMPUTED_VALUE"""),1.0)</f>
        <v>1</v>
      </c>
      <c r="E987" s="3">
        <f>IFERROR(__xludf.DUMMYFUNCTION("""COMPUTED_VALUE"""),0.6111111111094942)</f>
        <v>0.6111111111</v>
      </c>
      <c r="F987" s="1" t="str">
        <f>IFERROR(__xludf.DUMMYFUNCTION("""COMPUTED_VALUE"""),"Antique Gold")</f>
        <v>Antique Gold</v>
      </c>
      <c r="G987" s="1" t="str">
        <f>IFERROR(__xludf.DUMMYFUNCTION("""COMPUTED_VALUE"""),"Tannu")</f>
        <v>Tannu</v>
      </c>
      <c r="H987" s="1" t="str">
        <f>IFERROR(__xludf.DUMMYFUNCTION("""COMPUTED_VALUE"""),"Daimond ring ")</f>
        <v>Daimond ring </v>
      </c>
      <c r="I987" s="1" t="str">
        <f>IFERROR(__xludf.DUMMYFUNCTION("""COMPUTED_VALUE"""),"2 ring approval ")</f>
        <v>2 ring approval </v>
      </c>
      <c r="J987" s="1"/>
      <c r="K987" s="3">
        <f>IFERROR(__xludf.DUMMYFUNCTION("""COMPUTED_VALUE"""),0.75)</f>
        <v>0.75</v>
      </c>
      <c r="L987" s="1" t="str">
        <f>IFERROR(__xludf.DUMMYFUNCTION("""COMPUTED_VALUE"""),"Yes")</f>
        <v>Yes</v>
      </c>
      <c r="M987" s="1" t="str">
        <f>IFERROR(__xludf.DUMMYFUNCTION("""COMPUTED_VALUE"""),"Already done ")</f>
        <v>Already done </v>
      </c>
      <c r="N987" s="1" t="str">
        <f>IFERROR(__xludf.DUMMYFUNCTION("""COMPUTED_VALUE"""),"Already done ")</f>
        <v>Already done </v>
      </c>
      <c r="O987" s="1" t="str">
        <f>IFERROR(__xludf.DUMMYFUNCTION("""COMPUTED_VALUE"""),"WA ONLY, CALL")</f>
        <v>WA ONLY, CALL</v>
      </c>
      <c r="P987" s="1" t="str">
        <f>IFERROR(__xludf.DUMMYFUNCTION("""COMPUTED_VALUE"""),"Madam")</f>
        <v>Madam</v>
      </c>
      <c r="Q987" s="1" t="str">
        <f>IFERROR(__xludf.DUMMYFUNCTION("""COMPUTED_VALUE"""),"No")</f>
        <v>No</v>
      </c>
      <c r="R987" s="1" t="str">
        <f>IFERROR(__xludf.DUMMYFUNCTION("""COMPUTED_VALUE"""),"OLD")</f>
        <v>OLD</v>
      </c>
      <c r="S987" s="1" t="str">
        <f>IFERROR(__xludf.DUMMYFUNCTION("""COMPUTED_VALUE"""),"No")</f>
        <v>No</v>
      </c>
    </row>
    <row r="988">
      <c r="A988" s="2">
        <f>IFERROR(__xludf.DUMMYFUNCTION("""COMPUTED_VALUE"""),45657.76616814815)</f>
        <v>45657.76617</v>
      </c>
      <c r="B988" s="1" t="str">
        <f>IFERROR(__xludf.DUMMYFUNCTION("""COMPUTED_VALUE"""),"Nikita")</f>
        <v>Nikita</v>
      </c>
      <c r="C988" s="1">
        <f>IFERROR(__xludf.DUMMYFUNCTION("""COMPUTED_VALUE"""),9.958535411E9)</f>
        <v>9958535411</v>
      </c>
      <c r="D988" s="1">
        <f>IFERROR(__xludf.DUMMYFUNCTION("""COMPUTED_VALUE"""),2.0)</f>
        <v>2</v>
      </c>
      <c r="E988" s="3">
        <f>IFERROR(__xludf.DUMMYFUNCTION("""COMPUTED_VALUE"""),0.625)</f>
        <v>0.625</v>
      </c>
      <c r="F988" s="1" t="str">
        <f>IFERROR(__xludf.DUMMYFUNCTION("""COMPUTED_VALUE"""),"Diamond")</f>
        <v>Diamond</v>
      </c>
      <c r="G988" s="1" t="str">
        <f>IFERROR(__xludf.DUMMYFUNCTION("""COMPUTED_VALUE"""),"Deepali")</f>
        <v>Deepali</v>
      </c>
      <c r="H988" s="1" t="str">
        <f>IFERROR(__xludf.DUMMYFUNCTION("""COMPUTED_VALUE"""),"Gold au bangles")</f>
        <v>Gold au bangles</v>
      </c>
      <c r="I988" s="1"/>
      <c r="J988" s="1"/>
      <c r="K988" s="3">
        <f>IFERROR(__xludf.DUMMYFUNCTION("""COMPUTED_VALUE"""),0.7291666666642413)</f>
        <v>0.7291666667</v>
      </c>
      <c r="L988" s="1" t="str">
        <f>IFERROR(__xludf.DUMMYFUNCTION("""COMPUTED_VALUE"""),"Yes")</f>
        <v>Yes</v>
      </c>
      <c r="M988" s="1" t="str">
        <f>IFERROR(__xludf.DUMMYFUNCTION("""COMPUTED_VALUE"""),"Yes")</f>
        <v>Yes</v>
      </c>
      <c r="N988" s="1" t="str">
        <f>IFERROR(__xludf.DUMMYFUNCTION("""COMPUTED_VALUE"""),"Yes")</f>
        <v>Yes</v>
      </c>
      <c r="O988" s="1" t="str">
        <f>IFERROR(__xludf.DUMMYFUNCTION("""COMPUTED_VALUE"""),"WA ONLY, CALL")</f>
        <v>WA ONLY, CALL</v>
      </c>
      <c r="P988" s="1" t="str">
        <f>IFERROR(__xludf.DUMMYFUNCTION("""COMPUTED_VALUE"""),"Madam")</f>
        <v>Madam</v>
      </c>
      <c r="Q988" s="1" t="str">
        <f>IFERROR(__xludf.DUMMYFUNCTION("""COMPUTED_VALUE"""),"No")</f>
        <v>No</v>
      </c>
      <c r="R988" s="1" t="str">
        <f>IFERROR(__xludf.DUMMYFUNCTION("""COMPUTED_VALUE"""),"OLD")</f>
        <v>OLD</v>
      </c>
      <c r="S988" s="1" t="str">
        <f>IFERROR(__xludf.DUMMYFUNCTION("""COMPUTED_VALUE"""),"Yes")</f>
        <v>Yes</v>
      </c>
    </row>
    <row r="989">
      <c r="A989" s="2">
        <f>IFERROR(__xludf.DUMMYFUNCTION("""COMPUTED_VALUE"""),45657.76678859953)</f>
        <v>45657.76679</v>
      </c>
      <c r="B989" s="1" t="str">
        <f>IFERROR(__xludf.DUMMYFUNCTION("""COMPUTED_VALUE"""),"Vaishali")</f>
        <v>Vaishali</v>
      </c>
      <c r="C989" s="1">
        <f>IFERROR(__xludf.DUMMYFUNCTION("""COMPUTED_VALUE"""),8.920910811E9)</f>
        <v>8920910811</v>
      </c>
      <c r="D989" s="1">
        <f>IFERROR(__xludf.DUMMYFUNCTION("""COMPUTED_VALUE"""),2.0)</f>
        <v>2</v>
      </c>
      <c r="E989" s="3">
        <f>IFERROR(__xludf.DUMMYFUNCTION("""COMPUTED_VALUE"""),0.6201388888875954)</f>
        <v>0.6201388889</v>
      </c>
      <c r="F989" s="1" t="str">
        <f>IFERROR(__xludf.DUMMYFUNCTION("""COMPUTED_VALUE"""),"Plain Gold")</f>
        <v>Plain Gold</v>
      </c>
      <c r="G989" s="1" t="str">
        <f>IFERROR(__xludf.DUMMYFUNCTION("""COMPUTED_VALUE"""),"Sapna")</f>
        <v>Sapna</v>
      </c>
      <c r="H989" s="1"/>
      <c r="I989" s="1" t="str">
        <f>IFERROR(__xludf.DUMMYFUNCTION("""COMPUTED_VALUE"""),"Pick up Order")</f>
        <v>Pick up Order</v>
      </c>
      <c r="J989" s="1"/>
      <c r="K989" s="3">
        <f>IFERROR(__xludf.DUMMYFUNCTION("""COMPUTED_VALUE"""),0.65625)</f>
        <v>0.65625</v>
      </c>
      <c r="L989" s="1" t="str">
        <f>IFERROR(__xludf.DUMMYFUNCTION("""COMPUTED_VALUE"""),"Yes")</f>
        <v>Yes</v>
      </c>
      <c r="M989" s="1" t="str">
        <f>IFERROR(__xludf.DUMMYFUNCTION("""COMPUTED_VALUE"""),"Yes")</f>
        <v>Yes</v>
      </c>
      <c r="N989" s="1" t="str">
        <f>IFERROR(__xludf.DUMMYFUNCTION("""COMPUTED_VALUE"""),"Yes")</f>
        <v>Yes</v>
      </c>
      <c r="O989" s="1" t="str">
        <f>IFERROR(__xludf.DUMMYFUNCTION("""COMPUTED_VALUE"""),"WA ONLY, CALL")</f>
        <v>WA ONLY, CALL</v>
      </c>
      <c r="P989" s="1" t="str">
        <f>IFERROR(__xludf.DUMMYFUNCTION("""COMPUTED_VALUE"""),"Madam")</f>
        <v>Madam</v>
      </c>
      <c r="Q989" s="1" t="str">
        <f>IFERROR(__xludf.DUMMYFUNCTION("""COMPUTED_VALUE"""),"No")</f>
        <v>No</v>
      </c>
      <c r="R989" s="1" t="str">
        <f>IFERROR(__xludf.DUMMYFUNCTION("""COMPUTED_VALUE"""),"OLD")</f>
        <v>OLD</v>
      </c>
      <c r="S989" s="1" t="str">
        <f>IFERROR(__xludf.DUMMYFUNCTION("""COMPUTED_VALUE"""),"No")</f>
        <v>No</v>
      </c>
    </row>
    <row r="990">
      <c r="A990" s="2">
        <f>IFERROR(__xludf.DUMMYFUNCTION("""COMPUTED_VALUE"""),45660.82456692129)</f>
        <v>45660.82457</v>
      </c>
      <c r="B990" s="1" t="str">
        <f>IFERROR(__xludf.DUMMYFUNCTION("""COMPUTED_VALUE"""),"Santosh")</f>
        <v>Santosh</v>
      </c>
      <c r="C990" s="1">
        <f>IFERROR(__xludf.DUMMYFUNCTION("""COMPUTED_VALUE"""),9.029845655E9)</f>
        <v>9029845655</v>
      </c>
      <c r="D990" s="1">
        <f>IFERROR(__xludf.DUMMYFUNCTION("""COMPUTED_VALUE"""),3.0)</f>
        <v>3</v>
      </c>
      <c r="E990" s="3">
        <f>IFERROR(__xludf.DUMMYFUNCTION("""COMPUTED_VALUE"""),0.6999999999970896)</f>
        <v>0.7</v>
      </c>
      <c r="F990" s="1" t="str">
        <f>IFERROR(__xludf.DUMMYFUNCTION("""COMPUTED_VALUE"""),"Plain Gold")</f>
        <v>Plain Gold</v>
      </c>
      <c r="G990" s="1" t="str">
        <f>IFERROR(__xludf.DUMMYFUNCTION("""COMPUTED_VALUE"""),"Sapna")</f>
        <v>Sapna</v>
      </c>
      <c r="H990" s="1" t="str">
        <f>IFERROR(__xludf.DUMMYFUNCTION("""COMPUTED_VALUE"""),"Daimond set")</f>
        <v>Daimond set</v>
      </c>
      <c r="I990" s="1" t="str">
        <f>IFERROR(__xludf.DUMMYFUNCTION("""COMPUTED_VALUE"""),"Order in gold ring")</f>
        <v>Order in gold ring</v>
      </c>
      <c r="J990" s="1"/>
      <c r="K990" s="3">
        <f>IFERROR(__xludf.DUMMYFUNCTION("""COMPUTED_VALUE"""),0.7708333333357587)</f>
        <v>0.7708333333</v>
      </c>
      <c r="L990" s="1" t="str">
        <f>IFERROR(__xludf.DUMMYFUNCTION("""COMPUTED_VALUE"""),"No")</f>
        <v>No</v>
      </c>
      <c r="M990" s="1" t="str">
        <f>IFERROR(__xludf.DUMMYFUNCTION("""COMPUTED_VALUE"""),"Already done ")</f>
        <v>Already done </v>
      </c>
      <c r="N990" s="1" t="str">
        <f>IFERROR(__xludf.DUMMYFUNCTION("""COMPUTED_VALUE"""),"Already done ")</f>
        <v>Already done </v>
      </c>
      <c r="O990" s="1" t="str">
        <f>IFERROR(__xludf.DUMMYFUNCTION("""COMPUTED_VALUE"""),"WA ONLY, CALL")</f>
        <v>WA ONLY, CALL</v>
      </c>
      <c r="P990" s="1" t="str">
        <f>IFERROR(__xludf.DUMMYFUNCTION("""COMPUTED_VALUE"""),"Madam")</f>
        <v>Madam</v>
      </c>
      <c r="Q990" s="1" t="str">
        <f>IFERROR(__xludf.DUMMYFUNCTION("""COMPUTED_VALUE"""),"No")</f>
        <v>No</v>
      </c>
      <c r="R990" s="1" t="str">
        <f>IFERROR(__xludf.DUMMYFUNCTION("""COMPUTED_VALUE"""),"OLD")</f>
        <v>OLD</v>
      </c>
      <c r="S990" s="1" t="str">
        <f>IFERROR(__xludf.DUMMYFUNCTION("""COMPUTED_VALUE"""),"No")</f>
        <v>No</v>
      </c>
    </row>
    <row r="991">
      <c r="A991" s="2">
        <f>IFERROR(__xludf.DUMMYFUNCTION("""COMPUTED_VALUE"""),45660.82518260417)</f>
        <v>45660.82518</v>
      </c>
      <c r="B991" s="1" t="str">
        <f>IFERROR(__xludf.DUMMYFUNCTION("""COMPUTED_VALUE"""),"Sunita")</f>
        <v>Sunita</v>
      </c>
      <c r="C991" s="1">
        <f>IFERROR(__xludf.DUMMYFUNCTION("""COMPUTED_VALUE"""),9.31155707E9)</f>
        <v>9311557070</v>
      </c>
      <c r="D991" s="1">
        <f>IFERROR(__xludf.DUMMYFUNCTION("""COMPUTED_VALUE"""),2.0)</f>
        <v>2</v>
      </c>
      <c r="E991" s="3">
        <f>IFERROR(__xludf.DUMMYFUNCTION("""COMPUTED_VALUE"""),0.7083333333357587)</f>
        <v>0.7083333333</v>
      </c>
      <c r="F991" s="1" t="str">
        <f>IFERROR(__xludf.DUMMYFUNCTION("""COMPUTED_VALUE"""),"Diamond")</f>
        <v>Diamond</v>
      </c>
      <c r="G991" s="1" t="str">
        <f>IFERROR(__xludf.DUMMYFUNCTION("""COMPUTED_VALUE"""),"Preeti")</f>
        <v>Preeti</v>
      </c>
      <c r="H991" s="1" t="str">
        <f>IFERROR(__xludf.DUMMYFUNCTION("""COMPUTED_VALUE"""),"Polkinsets")</f>
        <v>Polkinsets</v>
      </c>
      <c r="I991" s="1" t="str">
        <f>IFERROR(__xludf.DUMMYFUNCTION("""COMPUTED_VALUE"""),"Will ask family and come with them")</f>
        <v>Will ask family and come with them</v>
      </c>
      <c r="J991" s="1"/>
      <c r="K991" s="3">
        <f>IFERROR(__xludf.DUMMYFUNCTION("""COMPUTED_VALUE"""),0.8090277777810115)</f>
        <v>0.8090277778</v>
      </c>
      <c r="L991" s="1" t="str">
        <f>IFERROR(__xludf.DUMMYFUNCTION("""COMPUTED_VALUE"""),"Yes")</f>
        <v>Yes</v>
      </c>
      <c r="M991" s="1" t="str">
        <f>IFERROR(__xludf.DUMMYFUNCTION("""COMPUTED_VALUE"""),"Already done ")</f>
        <v>Already done </v>
      </c>
      <c r="N991" s="1" t="str">
        <f>IFERROR(__xludf.DUMMYFUNCTION("""COMPUTED_VALUE"""),"Already done ")</f>
        <v>Already done </v>
      </c>
      <c r="O991" s="1" t="str">
        <f>IFERROR(__xludf.DUMMYFUNCTION("""COMPUTED_VALUE"""),"WA ONLY, CALL")</f>
        <v>WA ONLY, CALL</v>
      </c>
      <c r="P991" s="1" t="str">
        <f>IFERROR(__xludf.DUMMYFUNCTION("""COMPUTED_VALUE"""),"Madam")</f>
        <v>Madam</v>
      </c>
      <c r="Q991" s="1" t="str">
        <f>IFERROR(__xludf.DUMMYFUNCTION("""COMPUTED_VALUE"""),"No")</f>
        <v>No</v>
      </c>
      <c r="R991" s="1" t="str">
        <f>IFERROR(__xludf.DUMMYFUNCTION("""COMPUTED_VALUE"""),"OLD")</f>
        <v>OLD</v>
      </c>
      <c r="S991" s="1" t="str">
        <f>IFERROR(__xludf.DUMMYFUNCTION("""COMPUTED_VALUE"""),"No")</f>
        <v>No</v>
      </c>
    </row>
    <row r="992">
      <c r="A992" s="2">
        <f>IFERROR(__xludf.DUMMYFUNCTION("""COMPUTED_VALUE"""),45661.64543871528)</f>
        <v>45661.64544</v>
      </c>
      <c r="B992" s="1" t="str">
        <f>IFERROR(__xludf.DUMMYFUNCTION("""COMPUTED_VALUE"""),"Vaishali ")</f>
        <v>Vaishali </v>
      </c>
      <c r="C992" s="1">
        <f>IFERROR(__xludf.DUMMYFUNCTION("""COMPUTED_VALUE"""),8.283935445E9)</f>
        <v>8283935445</v>
      </c>
      <c r="D992" s="1">
        <f>IFERROR(__xludf.DUMMYFUNCTION("""COMPUTED_VALUE"""),2.0)</f>
        <v>2</v>
      </c>
      <c r="E992" s="3">
        <f>IFERROR(__xludf.DUMMYFUNCTION("""COMPUTED_VALUE"""),0.5680555555591127)</f>
        <v>0.5680555556</v>
      </c>
      <c r="F992" s="1" t="str">
        <f>IFERROR(__xludf.DUMMYFUNCTION("""COMPUTED_VALUE"""),"Diamond")</f>
        <v>Diamond</v>
      </c>
      <c r="G992" s="1" t="str">
        <f>IFERROR(__xludf.DUMMYFUNCTION("""COMPUTED_VALUE"""),"Preeti")</f>
        <v>Preeti</v>
      </c>
      <c r="H992" s="1" t="str">
        <f>IFERROR(__xludf.DUMMYFUNCTION("""COMPUTED_VALUE"""),"Daimond rings and cvd ledis ring")</f>
        <v>Daimond rings and cvd ledis ring</v>
      </c>
      <c r="I992" s="1" t="str">
        <f>IFERROR(__xludf.DUMMYFUNCTION("""COMPUTED_VALUE"""),"Daimond ring on order")</f>
        <v>Daimond ring on order</v>
      </c>
      <c r="J992" s="1"/>
      <c r="K992" s="3">
        <f>IFERROR(__xludf.DUMMYFUNCTION("""COMPUTED_VALUE"""),0.6180555555547471)</f>
        <v>0.6180555556</v>
      </c>
      <c r="L992" s="1" t="str">
        <f>IFERROR(__xludf.DUMMYFUNCTION("""COMPUTED_VALUE"""),"Yes")</f>
        <v>Yes</v>
      </c>
      <c r="M992" s="1" t="str">
        <f>IFERROR(__xludf.DUMMYFUNCTION("""COMPUTED_VALUE"""),"Yes")</f>
        <v>Yes</v>
      </c>
      <c r="N992" s="1" t="str">
        <f>IFERROR(__xludf.DUMMYFUNCTION("""COMPUTED_VALUE"""),"Yes")</f>
        <v>Yes</v>
      </c>
      <c r="O992" s="1" t="str">
        <f>IFERROR(__xludf.DUMMYFUNCTION("""COMPUTED_VALUE"""),"WA ONLY, CALL")</f>
        <v>WA ONLY, CALL</v>
      </c>
      <c r="P992" s="1" t="str">
        <f>IFERROR(__xludf.DUMMYFUNCTION("""COMPUTED_VALUE"""),"Madam")</f>
        <v>Madam</v>
      </c>
      <c r="Q992" s="1" t="str">
        <f>IFERROR(__xludf.DUMMYFUNCTION("""COMPUTED_VALUE"""),"No")</f>
        <v>No</v>
      </c>
      <c r="R992" s="1" t="str">
        <f>IFERROR(__xludf.DUMMYFUNCTION("""COMPUTED_VALUE"""),"NEW WALK IN")</f>
        <v>NEW WALK IN</v>
      </c>
      <c r="S992" s="1" t="str">
        <f>IFERROR(__xludf.DUMMYFUNCTION("""COMPUTED_VALUE"""),"Yes")</f>
        <v>Yes</v>
      </c>
    </row>
    <row r="993">
      <c r="A993" s="2">
        <f>IFERROR(__xludf.DUMMYFUNCTION("""COMPUTED_VALUE"""),45662.73475122685)</f>
        <v>45662.73475</v>
      </c>
      <c r="B993" s="1" t="str">
        <f>IFERROR(__xludf.DUMMYFUNCTION("""COMPUTED_VALUE"""),"Priyanka ")</f>
        <v>Priyanka </v>
      </c>
      <c r="C993" s="1">
        <f>IFERROR(__xludf.DUMMYFUNCTION("""COMPUTED_VALUE"""),9.31155707E9)</f>
        <v>9311557070</v>
      </c>
      <c r="D993" s="1">
        <f>IFERROR(__xludf.DUMMYFUNCTION("""COMPUTED_VALUE"""),2.0)</f>
        <v>2</v>
      </c>
      <c r="E993" s="3">
        <f>IFERROR(__xludf.DUMMYFUNCTION("""COMPUTED_VALUE"""),0.5381944444452529)</f>
        <v>0.5381944444</v>
      </c>
      <c r="F993" s="1" t="str">
        <f>IFERROR(__xludf.DUMMYFUNCTION("""COMPUTED_VALUE"""),"Diamond")</f>
        <v>Diamond</v>
      </c>
      <c r="G993" s="1" t="str">
        <f>IFERROR(__xludf.DUMMYFUNCTION("""COMPUTED_VALUE"""),"Preeti")</f>
        <v>Preeti</v>
      </c>
      <c r="H993" s="1" t="str">
        <f>IFERROR(__xludf.DUMMYFUNCTION("""COMPUTED_VALUE"""),"Polki sets")</f>
        <v>Polki sets</v>
      </c>
      <c r="I993" s="1" t="str">
        <f>IFERROR(__xludf.DUMMYFUNCTION("""COMPUTED_VALUE"""),"Order polki pendent set")</f>
        <v>Order polki pendent set</v>
      </c>
      <c r="J993" s="1"/>
      <c r="K993" s="3">
        <f>IFERROR(__xludf.DUMMYFUNCTION("""COMPUTED_VALUE"""),0.5715277777781012)</f>
        <v>0.5715277778</v>
      </c>
      <c r="L993" s="1" t="str">
        <f>IFERROR(__xludf.DUMMYFUNCTION("""COMPUTED_VALUE"""),"Yes")</f>
        <v>Yes</v>
      </c>
      <c r="M993" s="1" t="str">
        <f>IFERROR(__xludf.DUMMYFUNCTION("""COMPUTED_VALUE"""),"Already done ")</f>
        <v>Already done </v>
      </c>
      <c r="N993" s="1" t="str">
        <f>IFERROR(__xludf.DUMMYFUNCTION("""COMPUTED_VALUE"""),"Already done ")</f>
        <v>Already done </v>
      </c>
      <c r="O993" s="1" t="str">
        <f>IFERROR(__xludf.DUMMYFUNCTION("""COMPUTED_VALUE"""),"WA ONLY, CALL")</f>
        <v>WA ONLY, CALL</v>
      </c>
      <c r="P993" s="1" t="str">
        <f>IFERROR(__xludf.DUMMYFUNCTION("""COMPUTED_VALUE"""),"Madam")</f>
        <v>Madam</v>
      </c>
      <c r="Q993" s="1" t="str">
        <f>IFERROR(__xludf.DUMMYFUNCTION("""COMPUTED_VALUE"""),"No")</f>
        <v>No</v>
      </c>
      <c r="R993" s="1" t="str">
        <f>IFERROR(__xludf.DUMMYFUNCTION("""COMPUTED_VALUE"""),"OLD")</f>
        <v>OLD</v>
      </c>
      <c r="S993" s="1" t="str">
        <f>IFERROR(__xludf.DUMMYFUNCTION("""COMPUTED_VALUE"""),"Yes")</f>
        <v>Yes</v>
      </c>
    </row>
    <row r="994">
      <c r="A994" s="2">
        <f>IFERROR(__xludf.DUMMYFUNCTION("""COMPUTED_VALUE"""),45662.73568203703)</f>
        <v>45662.73568</v>
      </c>
      <c r="B994" s="1" t="str">
        <f>IFERROR(__xludf.DUMMYFUNCTION("""COMPUTED_VALUE"""),"Raju chopda")</f>
        <v>Raju chopda</v>
      </c>
      <c r="C994" s="1">
        <f>IFERROR(__xludf.DUMMYFUNCTION("""COMPUTED_VALUE"""),8.076242906E9)</f>
        <v>8076242906</v>
      </c>
      <c r="D994" s="1">
        <f>IFERROR(__xludf.DUMMYFUNCTION("""COMPUTED_VALUE"""),4.0)</f>
        <v>4</v>
      </c>
      <c r="E994" s="3">
        <f>IFERROR(__xludf.DUMMYFUNCTION("""COMPUTED_VALUE"""),0.5625)</f>
        <v>0.5625</v>
      </c>
      <c r="F994" s="1" t="str">
        <f>IFERROR(__xludf.DUMMYFUNCTION("""COMPUTED_VALUE"""),"Plain Gold")</f>
        <v>Plain Gold</v>
      </c>
      <c r="G994" s="1" t="str">
        <f>IFERROR(__xludf.DUMMYFUNCTION("""COMPUTED_VALUE"""),"Sapna")</f>
        <v>Sapna</v>
      </c>
      <c r="H994" s="1" t="str">
        <f>IFERROR(__xludf.DUMMYFUNCTION("""COMPUTED_VALUE"""),"Gold pendentgold ring,10gm row gold")</f>
        <v>Gold pendentgold ring,10gm row gold</v>
      </c>
      <c r="I994" s="1"/>
      <c r="J994" s="1" t="str">
        <f>IFERROR(__xludf.DUMMYFUNCTION("""COMPUTED_VALUE"""),"5000 per month LUCKY DRAW 7 EVERY MONTH")</f>
        <v>5000 per month LUCKY DRAW 7 EVERY MONTH</v>
      </c>
      <c r="K994" s="3">
        <f>IFERROR(__xludf.DUMMYFUNCTION("""COMPUTED_VALUE"""),0.7055555555562023)</f>
        <v>0.7055555556</v>
      </c>
      <c r="L994" s="1" t="str">
        <f>IFERROR(__xludf.DUMMYFUNCTION("""COMPUTED_VALUE"""),"Yes")</f>
        <v>Yes</v>
      </c>
      <c r="M994" s="1" t="str">
        <f>IFERROR(__xludf.DUMMYFUNCTION("""COMPUTED_VALUE"""),"Yes")</f>
        <v>Yes</v>
      </c>
      <c r="N994" s="1" t="str">
        <f>IFERROR(__xludf.DUMMYFUNCTION("""COMPUTED_VALUE"""),"Yes")</f>
        <v>Yes</v>
      </c>
      <c r="O994" s="1" t="str">
        <f>IFERROR(__xludf.DUMMYFUNCTION("""COMPUTED_VALUE"""),"WA ONLY, CALL")</f>
        <v>WA ONLY, CALL</v>
      </c>
      <c r="P994" s="1" t="str">
        <f>IFERROR(__xludf.DUMMYFUNCTION("""COMPUTED_VALUE"""),"Sir")</f>
        <v>Sir</v>
      </c>
      <c r="Q994" s="1" t="str">
        <f>IFERROR(__xludf.DUMMYFUNCTION("""COMPUTED_VALUE"""),"Yes")</f>
        <v>Yes</v>
      </c>
      <c r="R994" s="1" t="str">
        <f>IFERROR(__xludf.DUMMYFUNCTION("""COMPUTED_VALUE"""),"NEW WALK IN")</f>
        <v>NEW WALK IN</v>
      </c>
      <c r="S994" s="1" t="str">
        <f>IFERROR(__xludf.DUMMYFUNCTION("""COMPUTED_VALUE"""),"Yes")</f>
        <v>Yes</v>
      </c>
    </row>
    <row r="995">
      <c r="A995" s="2">
        <f>IFERROR(__xludf.DUMMYFUNCTION("""COMPUTED_VALUE"""),45662.73646936343)</f>
        <v>45662.73647</v>
      </c>
      <c r="B995" s="1" t="str">
        <f>IFERROR(__xludf.DUMMYFUNCTION("""COMPUTED_VALUE"""),"Jasmit")</f>
        <v>Jasmit</v>
      </c>
      <c r="C995" s="1">
        <f>IFERROR(__xludf.DUMMYFUNCTION("""COMPUTED_VALUE"""),9.870383056E9)</f>
        <v>9870383056</v>
      </c>
      <c r="D995" s="1">
        <f>IFERROR(__xludf.DUMMYFUNCTION("""COMPUTED_VALUE"""),2.0)</f>
        <v>2</v>
      </c>
      <c r="E995" s="3">
        <f>IFERROR(__xludf.DUMMYFUNCTION("""COMPUTED_VALUE"""),0.625)</f>
        <v>0.625</v>
      </c>
      <c r="F995" s="1" t="str">
        <f>IFERROR(__xludf.DUMMYFUNCTION("""COMPUTED_VALUE"""),"Diamond")</f>
        <v>Diamond</v>
      </c>
      <c r="G995" s="1" t="str">
        <f>IFERROR(__xludf.DUMMYFUNCTION("""COMPUTED_VALUE"""),"Preeti")</f>
        <v>Preeti</v>
      </c>
      <c r="H995" s="1"/>
      <c r="I995" s="1" t="str">
        <f>IFERROR(__xludf.DUMMYFUNCTION("""COMPUTED_VALUE"""),"Pick up Order")</f>
        <v>Pick up Order</v>
      </c>
      <c r="J995" s="1"/>
      <c r="K995" s="3">
        <f>IFERROR(__xludf.DUMMYFUNCTION("""COMPUTED_VALUE"""),0.6944444444452529)</f>
        <v>0.6944444444</v>
      </c>
      <c r="L995" s="1" t="str">
        <f>IFERROR(__xludf.DUMMYFUNCTION("""COMPUTED_VALUE"""),"Yes")</f>
        <v>Yes</v>
      </c>
      <c r="M995" s="1" t="str">
        <f>IFERROR(__xludf.DUMMYFUNCTION("""COMPUTED_VALUE"""),"Already done ")</f>
        <v>Already done </v>
      </c>
      <c r="N995" s="1" t="str">
        <f>IFERROR(__xludf.DUMMYFUNCTION("""COMPUTED_VALUE"""),"Already done ")</f>
        <v>Already done </v>
      </c>
      <c r="O995" s="1" t="str">
        <f>IFERROR(__xludf.DUMMYFUNCTION("""COMPUTED_VALUE"""),"WA ONLY, CALL")</f>
        <v>WA ONLY, CALL</v>
      </c>
      <c r="P995" s="1" t="str">
        <f>IFERROR(__xludf.DUMMYFUNCTION("""COMPUTED_VALUE"""),"Sir")</f>
        <v>Sir</v>
      </c>
      <c r="Q995" s="1" t="str">
        <f>IFERROR(__xludf.DUMMYFUNCTION("""COMPUTED_VALUE"""),"No")</f>
        <v>No</v>
      </c>
      <c r="R995" s="1" t="str">
        <f>IFERROR(__xludf.DUMMYFUNCTION("""COMPUTED_VALUE"""),"NEW WALK IN")</f>
        <v>NEW WALK IN</v>
      </c>
      <c r="S995" s="1" t="str">
        <f>IFERROR(__xludf.DUMMYFUNCTION("""COMPUTED_VALUE"""),"No")</f>
        <v>No</v>
      </c>
    </row>
    <row r="996">
      <c r="A996" s="2">
        <f>IFERROR(__xludf.DUMMYFUNCTION("""COMPUTED_VALUE"""),45662.79822162037)</f>
        <v>45662.79822</v>
      </c>
      <c r="B996" s="1" t="str">
        <f>IFERROR(__xludf.DUMMYFUNCTION("""COMPUTED_VALUE"""),"Sana")</f>
        <v>Sana</v>
      </c>
      <c r="C996" s="1">
        <f>IFERROR(__xludf.DUMMYFUNCTION("""COMPUTED_VALUE"""),9.013687215E9)</f>
        <v>9013687215</v>
      </c>
      <c r="D996" s="1">
        <f>IFERROR(__xludf.DUMMYFUNCTION("""COMPUTED_VALUE"""),6.0)</f>
        <v>6</v>
      </c>
      <c r="E996" s="3">
        <f>IFERROR(__xludf.DUMMYFUNCTION("""COMPUTED_VALUE"""),0.7590277777781012)</f>
        <v>0.7590277778</v>
      </c>
      <c r="F996" s="1" t="str">
        <f>IFERROR(__xludf.DUMMYFUNCTION("""COMPUTED_VALUE"""),"Plain Gold")</f>
        <v>Plain Gold</v>
      </c>
      <c r="G996" s="1" t="str">
        <f>IFERROR(__xludf.DUMMYFUNCTION("""COMPUTED_VALUE"""),"Tannu")</f>
        <v>Tannu</v>
      </c>
      <c r="H996" s="1" t="str">
        <f>IFERROR(__xludf.DUMMYFUNCTION("""COMPUTED_VALUE"""),"Gold sets")</f>
        <v>Gold sets</v>
      </c>
      <c r="I996" s="1" t="str">
        <f>IFERROR(__xludf.DUMMYFUNCTION("""COMPUTED_VALUE"""),"Making High or Wants Discount")</f>
        <v>Making High or Wants Discount</v>
      </c>
      <c r="J996" s="1"/>
      <c r="K996" s="3">
        <f>IFERROR(__xludf.DUMMYFUNCTION("""COMPUTED_VALUE"""),0.7833333333328483)</f>
        <v>0.7833333333</v>
      </c>
      <c r="L996" s="1" t="str">
        <f>IFERROR(__xludf.DUMMYFUNCTION("""COMPUTED_VALUE"""),"No")</f>
        <v>No</v>
      </c>
      <c r="M996" s="1" t="str">
        <f>IFERROR(__xludf.DUMMYFUNCTION("""COMPUTED_VALUE"""),"No")</f>
        <v>No</v>
      </c>
      <c r="N996" s="1" t="str">
        <f>IFERROR(__xludf.DUMMYFUNCTION("""COMPUTED_VALUE"""),"No")</f>
        <v>No</v>
      </c>
      <c r="O996" s="1" t="str">
        <f>IFERROR(__xludf.DUMMYFUNCTION("""COMPUTED_VALUE"""),"WA ONLY, CALL")</f>
        <v>WA ONLY, CALL</v>
      </c>
      <c r="P996" s="1" t="str">
        <f>IFERROR(__xludf.DUMMYFUNCTION("""COMPUTED_VALUE"""),"Madam")</f>
        <v>Madam</v>
      </c>
      <c r="Q996" s="1" t="str">
        <f>IFERROR(__xludf.DUMMYFUNCTION("""COMPUTED_VALUE"""),"No")</f>
        <v>No</v>
      </c>
      <c r="R996" s="1" t="str">
        <f>IFERROR(__xludf.DUMMYFUNCTION("""COMPUTED_VALUE"""),"NEW WALK IN")</f>
        <v>NEW WALK IN</v>
      </c>
      <c r="S996" s="1" t="str">
        <f>IFERROR(__xludf.DUMMYFUNCTION("""COMPUTED_VALUE"""),"No")</f>
        <v>No</v>
      </c>
    </row>
    <row r="997">
      <c r="A997" s="2">
        <f>IFERROR(__xludf.DUMMYFUNCTION("""COMPUTED_VALUE"""),45664.73974803241)</f>
        <v>45664.73975</v>
      </c>
      <c r="B997" s="1" t="str">
        <f>IFERROR(__xludf.DUMMYFUNCTION("""COMPUTED_VALUE"""),"Pawan ahuja ")</f>
        <v>Pawan ahuja </v>
      </c>
      <c r="C997" s="1">
        <f>IFERROR(__xludf.DUMMYFUNCTION("""COMPUTED_VALUE"""),9.810799668E9)</f>
        <v>9810799668</v>
      </c>
      <c r="D997" s="1">
        <f>IFERROR(__xludf.DUMMYFUNCTION("""COMPUTED_VALUE"""),2.0)</f>
        <v>2</v>
      </c>
      <c r="E997" s="3">
        <f>IFERROR(__xludf.DUMMYFUNCTION("""COMPUTED_VALUE"""),0.5840277777751908)</f>
        <v>0.5840277778</v>
      </c>
      <c r="F997" s="1" t="str">
        <f>IFERROR(__xludf.DUMMYFUNCTION("""COMPUTED_VALUE"""),"Diamond")</f>
        <v>Diamond</v>
      </c>
      <c r="G997" s="1" t="str">
        <f>IFERROR(__xludf.DUMMYFUNCTION("""COMPUTED_VALUE"""),"Preeti")</f>
        <v>Preeti</v>
      </c>
      <c r="H997" s="1" t="str">
        <f>IFERROR(__xludf.DUMMYFUNCTION("""COMPUTED_VALUE"""),"Polki pendent set,cvd rings,polki breslet,polki bangles ")</f>
        <v>Polki pendent set,cvd rings,polki breslet,polki bangles </v>
      </c>
      <c r="I997" s="1"/>
      <c r="J997" s="1"/>
      <c r="K997" s="3">
        <f>IFERROR(__xludf.DUMMYFUNCTION("""COMPUTED_VALUE"""),0.7201388888934162)</f>
        <v>0.7201388889</v>
      </c>
      <c r="L997" s="1" t="str">
        <f>IFERROR(__xludf.DUMMYFUNCTION("""COMPUTED_VALUE"""),"Yes")</f>
        <v>Yes</v>
      </c>
      <c r="M997" s="1" t="str">
        <f>IFERROR(__xludf.DUMMYFUNCTION("""COMPUTED_VALUE"""),"Already done ")</f>
        <v>Already done </v>
      </c>
      <c r="N997" s="1" t="str">
        <f>IFERROR(__xludf.DUMMYFUNCTION("""COMPUTED_VALUE"""),"Already done ")</f>
        <v>Already done </v>
      </c>
      <c r="O997" s="1" t="str">
        <f>IFERROR(__xludf.DUMMYFUNCTION("""COMPUTED_VALUE"""),"WA ONLY, CALL")</f>
        <v>WA ONLY, CALL</v>
      </c>
      <c r="P997" s="1" t="str">
        <f>IFERROR(__xludf.DUMMYFUNCTION("""COMPUTED_VALUE"""),"Sir")</f>
        <v>Sir</v>
      </c>
      <c r="Q997" s="1" t="str">
        <f>IFERROR(__xludf.DUMMYFUNCTION("""COMPUTED_VALUE"""),"No")</f>
        <v>No</v>
      </c>
      <c r="R997" s="1" t="str">
        <f>IFERROR(__xludf.DUMMYFUNCTION("""COMPUTED_VALUE"""),"OLD")</f>
        <v>OLD</v>
      </c>
      <c r="S997" s="1" t="str">
        <f>IFERROR(__xludf.DUMMYFUNCTION("""COMPUTED_VALUE"""),"Yes")</f>
        <v>Yes</v>
      </c>
    </row>
    <row r="998">
      <c r="A998" s="2">
        <f>IFERROR(__xludf.DUMMYFUNCTION("""COMPUTED_VALUE"""),45664.80610785879)</f>
        <v>45664.80611</v>
      </c>
      <c r="B998" s="1" t="str">
        <f>IFERROR(__xludf.DUMMYFUNCTION("""COMPUTED_VALUE"""),"Anjali")</f>
        <v>Anjali</v>
      </c>
      <c r="C998" s="1">
        <f>IFERROR(__xludf.DUMMYFUNCTION("""COMPUTED_VALUE"""),8.700335998E9)</f>
        <v>8700335998</v>
      </c>
      <c r="D998" s="1">
        <f>IFERROR(__xludf.DUMMYFUNCTION("""COMPUTED_VALUE"""),2.0)</f>
        <v>2</v>
      </c>
      <c r="E998" s="3">
        <f>IFERROR(__xludf.DUMMYFUNCTION("""COMPUTED_VALUE"""),0.7138888888875954)</f>
        <v>0.7138888889</v>
      </c>
      <c r="F998" s="1" t="str">
        <f>IFERROR(__xludf.DUMMYFUNCTION("""COMPUTED_VALUE"""),"Antique Gold")</f>
        <v>Antique Gold</v>
      </c>
      <c r="G998" s="1" t="str">
        <f>IFERROR(__xludf.DUMMYFUNCTION("""COMPUTED_VALUE"""),"Tannu")</f>
        <v>Tannu</v>
      </c>
      <c r="H998" s="1" t="str">
        <f>IFERROR(__xludf.DUMMYFUNCTION("""COMPUTED_VALUE"""),"Silver bichhiya")</f>
        <v>Silver bichhiya</v>
      </c>
      <c r="I998" s="1"/>
      <c r="J998" s="1"/>
      <c r="K998" s="3">
        <f>IFERROR(__xludf.DUMMYFUNCTION("""COMPUTED_VALUE"""),0.7465277777810115)</f>
        <v>0.7465277778</v>
      </c>
      <c r="L998" s="1" t="str">
        <f>IFERROR(__xludf.DUMMYFUNCTION("""COMPUTED_VALUE"""),"Yes")</f>
        <v>Yes</v>
      </c>
      <c r="M998" s="1" t="str">
        <f>IFERROR(__xludf.DUMMYFUNCTION("""COMPUTED_VALUE"""),"Yes")</f>
        <v>Yes</v>
      </c>
      <c r="N998" s="1" t="str">
        <f>IFERROR(__xludf.DUMMYFUNCTION("""COMPUTED_VALUE"""),"Yes")</f>
        <v>Yes</v>
      </c>
      <c r="O998" s="1" t="str">
        <f>IFERROR(__xludf.DUMMYFUNCTION("""COMPUTED_VALUE"""),"WA ONLY, CALL")</f>
        <v>WA ONLY, CALL</v>
      </c>
      <c r="P998" s="1" t="str">
        <f>IFERROR(__xludf.DUMMYFUNCTION("""COMPUTED_VALUE"""),"Madam")</f>
        <v>Madam</v>
      </c>
      <c r="Q998" s="1" t="str">
        <f>IFERROR(__xludf.DUMMYFUNCTION("""COMPUTED_VALUE"""),"No")</f>
        <v>No</v>
      </c>
      <c r="R998" s="1" t="str">
        <f>IFERROR(__xludf.DUMMYFUNCTION("""COMPUTED_VALUE"""),"NEW WALK IN")</f>
        <v>NEW WALK IN</v>
      </c>
      <c r="S998" s="1" t="str">
        <f>IFERROR(__xludf.DUMMYFUNCTION("""COMPUTED_VALUE"""),"Yes")</f>
        <v>Yes</v>
      </c>
    </row>
    <row r="999">
      <c r="A999" s="2">
        <f>IFERROR(__xludf.DUMMYFUNCTION("""COMPUTED_VALUE"""),45665.75375043981)</f>
        <v>45665.75375</v>
      </c>
      <c r="B999" s="1" t="str">
        <f>IFERROR(__xludf.DUMMYFUNCTION("""COMPUTED_VALUE"""),"Karam veer singh ")</f>
        <v>Karam veer singh </v>
      </c>
      <c r="C999" s="1" t="str">
        <f>IFERROR(__xludf.DUMMYFUNCTION("""COMPUTED_VALUE"""),"99119589288851927982")</f>
        <v>99119589288851927982</v>
      </c>
      <c r="D999" s="1">
        <f>IFERROR(__xludf.DUMMYFUNCTION("""COMPUTED_VALUE"""),1.0)</f>
        <v>1</v>
      </c>
      <c r="E999" s="3">
        <f>IFERROR(__xludf.DUMMYFUNCTION("""COMPUTED_VALUE"""),0.6888888888934162)</f>
        <v>0.6888888889</v>
      </c>
      <c r="F999" s="1" t="str">
        <f>IFERROR(__xludf.DUMMYFUNCTION("""COMPUTED_VALUE"""),"Antique Gold")</f>
        <v>Antique Gold</v>
      </c>
      <c r="G999" s="1" t="str">
        <f>IFERROR(__xludf.DUMMYFUNCTION("""COMPUTED_VALUE"""),"Tannu")</f>
        <v>Tannu</v>
      </c>
      <c r="H999" s="1" t="str">
        <f>IFERROR(__xludf.DUMMYFUNCTION("""COMPUTED_VALUE"""),"100 gm gold coin mmtc ")</f>
        <v>100 gm gold coin mmtc </v>
      </c>
      <c r="I999" s="1" t="str">
        <f>IFERROR(__xludf.DUMMYFUNCTION("""COMPUTED_VALUE"""),"Making High or Wants Discount")</f>
        <v>Making High or Wants Discount</v>
      </c>
      <c r="J999" s="1"/>
      <c r="K999" s="3">
        <f>IFERROR(__xludf.DUMMYFUNCTION("""COMPUTED_VALUE"""),0.6979166666642413)</f>
        <v>0.6979166667</v>
      </c>
      <c r="L999" s="1" t="str">
        <f>IFERROR(__xludf.DUMMYFUNCTION("""COMPUTED_VALUE"""),"No")</f>
        <v>No</v>
      </c>
      <c r="M999" s="1" t="str">
        <f>IFERROR(__xludf.DUMMYFUNCTION("""COMPUTED_VALUE"""),"No")</f>
        <v>No</v>
      </c>
      <c r="N999" s="1" t="str">
        <f>IFERROR(__xludf.DUMMYFUNCTION("""COMPUTED_VALUE"""),"No")</f>
        <v>No</v>
      </c>
      <c r="O999" s="1" t="str">
        <f>IFERROR(__xludf.DUMMYFUNCTION("""COMPUTED_VALUE"""),"WA ONLY, CALL")</f>
        <v>WA ONLY, CALL</v>
      </c>
      <c r="P999" s="1" t="str">
        <f>IFERROR(__xludf.DUMMYFUNCTION("""COMPUTED_VALUE"""),"Sir")</f>
        <v>Sir</v>
      </c>
      <c r="Q999" s="1" t="str">
        <f>IFERROR(__xludf.DUMMYFUNCTION("""COMPUTED_VALUE"""),"No")</f>
        <v>No</v>
      </c>
      <c r="R999" s="1" t="str">
        <f>IFERROR(__xludf.DUMMYFUNCTION("""COMPUTED_VALUE"""),"NEW WALK IN")</f>
        <v>NEW WALK IN</v>
      </c>
      <c r="S999" s="1" t="str">
        <f>IFERROR(__xludf.DUMMYFUNCTION("""COMPUTED_VALUE"""),"No")</f>
        <v>No</v>
      </c>
    </row>
    <row r="1000">
      <c r="A1000" s="2">
        <f>IFERROR(__xludf.DUMMYFUNCTION("""COMPUTED_VALUE"""),45665.75975207176)</f>
        <v>45665.75975</v>
      </c>
      <c r="B1000" s="1" t="str">
        <f>IFERROR(__xludf.DUMMYFUNCTION("""COMPUTED_VALUE"""),"Setu aggarwal ")</f>
        <v>Setu aggarwal </v>
      </c>
      <c r="C1000" s="1">
        <f>IFERROR(__xludf.DUMMYFUNCTION("""COMPUTED_VALUE"""),9.911958928E9)</f>
        <v>9911958928</v>
      </c>
      <c r="D1000" s="1">
        <f>IFERROR(__xludf.DUMMYFUNCTION("""COMPUTED_VALUE"""),2.0)</f>
        <v>2</v>
      </c>
      <c r="E1000" s="3">
        <f>IFERROR(__xludf.DUMMYFUNCTION("""COMPUTED_VALUE"""),0.6666666666642413)</f>
        <v>0.6666666667</v>
      </c>
      <c r="F1000" s="1" t="str">
        <f>IFERROR(__xludf.DUMMYFUNCTION("""COMPUTED_VALUE"""),"Diamond")</f>
        <v>Diamond</v>
      </c>
      <c r="G1000" s="1" t="str">
        <f>IFERROR(__xludf.DUMMYFUNCTION("""COMPUTED_VALUE"""),"Preeti")</f>
        <v>Preeti</v>
      </c>
      <c r="H1000" s="1"/>
      <c r="I1000" s="1" t="str">
        <f>IFERROR(__xludf.DUMMYFUNCTION("""COMPUTED_VALUE"""),"Give Payment")</f>
        <v>Give Payment</v>
      </c>
      <c r="J1000" s="1"/>
      <c r="K1000" s="3">
        <f>IFERROR(__xludf.DUMMYFUNCTION("""COMPUTED_VALUE"""),0.7569444444452529)</f>
        <v>0.7569444444</v>
      </c>
      <c r="L1000" s="1" t="str">
        <f>IFERROR(__xludf.DUMMYFUNCTION("""COMPUTED_VALUE"""),"Yes")</f>
        <v>Yes</v>
      </c>
      <c r="M1000" s="1" t="str">
        <f>IFERROR(__xludf.DUMMYFUNCTION("""COMPUTED_VALUE"""),"Already done ")</f>
        <v>Already done </v>
      </c>
      <c r="N1000" s="1" t="str">
        <f>IFERROR(__xludf.DUMMYFUNCTION("""COMPUTED_VALUE"""),"Already done ")</f>
        <v>Already done </v>
      </c>
      <c r="O1000" s="1" t="str">
        <f>IFERROR(__xludf.DUMMYFUNCTION("""COMPUTED_VALUE"""),"WA ONLY, CALL")</f>
        <v>WA ONLY, CALL</v>
      </c>
      <c r="P1000" s="1" t="str">
        <f>IFERROR(__xludf.DUMMYFUNCTION("""COMPUTED_VALUE"""),"Madam")</f>
        <v>Madam</v>
      </c>
      <c r="Q1000" s="1" t="str">
        <f>IFERROR(__xludf.DUMMYFUNCTION("""COMPUTED_VALUE"""),"No")</f>
        <v>No</v>
      </c>
      <c r="R1000" s="1" t="str">
        <f>IFERROR(__xludf.DUMMYFUNCTION("""COMPUTED_VALUE"""),"OLD")</f>
        <v>OLD</v>
      </c>
      <c r="S1000" s="1" t="str">
        <f>IFERROR(__xludf.DUMMYFUNCTION("""COMPUTED_VALUE"""),"No")</f>
        <v>No</v>
      </c>
    </row>
    <row r="1001">
      <c r="A1001" s="2">
        <f>IFERROR(__xludf.DUMMYFUNCTION("""COMPUTED_VALUE"""),45666.63519777778)</f>
        <v>45666.6352</v>
      </c>
      <c r="B1001" s="1" t="str">
        <f>IFERROR(__xludf.DUMMYFUNCTION("""COMPUTED_VALUE"""),"Parkash ")</f>
        <v>Parkash </v>
      </c>
      <c r="C1001" s="1">
        <f>IFERROR(__xludf.DUMMYFUNCTION("""COMPUTED_VALUE"""),9.311193547E9)</f>
        <v>9311193547</v>
      </c>
      <c r="D1001" s="1">
        <f>IFERROR(__xludf.DUMMYFUNCTION("""COMPUTED_VALUE"""),2.0)</f>
        <v>2</v>
      </c>
      <c r="E1001" s="3">
        <f>IFERROR(__xludf.DUMMYFUNCTION("""COMPUTED_VALUE"""),0.5958333333328483)</f>
        <v>0.5958333333</v>
      </c>
      <c r="F1001" s="1" t="str">
        <f>IFERROR(__xludf.DUMMYFUNCTION("""COMPUTED_VALUE"""),"Plain Gold")</f>
        <v>Plain Gold</v>
      </c>
      <c r="G1001" s="1" t="str">
        <f>IFERROR(__xludf.DUMMYFUNCTION("""COMPUTED_VALUE"""),"Sapna")</f>
        <v>Sapna</v>
      </c>
      <c r="H1001" s="1" t="str">
        <f>IFERROR(__xludf.DUMMYFUNCTION("""COMPUTED_VALUE"""),"Gold manglsutr pendent ")</f>
        <v>Gold manglsutr pendent </v>
      </c>
      <c r="I1001" s="1"/>
      <c r="J1001" s="1"/>
      <c r="K1001" s="3">
        <f>IFERROR(__xludf.DUMMYFUNCTION("""COMPUTED_VALUE"""),0.6118055555562023)</f>
        <v>0.6118055556</v>
      </c>
      <c r="L1001" s="1" t="str">
        <f>IFERROR(__xludf.DUMMYFUNCTION("""COMPUTED_VALUE"""),"Yes")</f>
        <v>Yes</v>
      </c>
      <c r="M1001" s="1" t="str">
        <f>IFERROR(__xludf.DUMMYFUNCTION("""COMPUTED_VALUE"""),"Yes")</f>
        <v>Yes</v>
      </c>
      <c r="N1001" s="1" t="str">
        <f>IFERROR(__xludf.DUMMYFUNCTION("""COMPUTED_VALUE"""),"Not use")</f>
        <v>Not use</v>
      </c>
      <c r="O1001" s="1" t="str">
        <f>IFERROR(__xludf.DUMMYFUNCTION("""COMPUTED_VALUE"""),"WA ONLY, CALL")</f>
        <v>WA ONLY, CALL</v>
      </c>
      <c r="P1001" s="1" t="str">
        <f>IFERROR(__xludf.DUMMYFUNCTION("""COMPUTED_VALUE"""),"Sir")</f>
        <v>Sir</v>
      </c>
      <c r="Q1001" s="1" t="str">
        <f>IFERROR(__xludf.DUMMYFUNCTION("""COMPUTED_VALUE"""),"No")</f>
        <v>No</v>
      </c>
      <c r="R1001" s="1" t="str">
        <f>IFERROR(__xludf.DUMMYFUNCTION("""COMPUTED_VALUE"""),"NEW WALK IN")</f>
        <v>NEW WALK IN</v>
      </c>
      <c r="S1001" s="1" t="str">
        <f>IFERROR(__xludf.DUMMYFUNCTION("""COMPUTED_VALUE"""),"Yes")</f>
        <v>Yes</v>
      </c>
    </row>
    <row r="1002">
      <c r="A1002" s="2">
        <f>IFERROR(__xludf.DUMMYFUNCTION("""COMPUTED_VALUE"""),45666.71875907407)</f>
        <v>45666.71876</v>
      </c>
      <c r="B1002" s="1" t="str">
        <f>IFERROR(__xludf.DUMMYFUNCTION("""COMPUTED_VALUE"""),"Hina")</f>
        <v>Hina</v>
      </c>
      <c r="C1002" s="1">
        <f>IFERROR(__xludf.DUMMYFUNCTION("""COMPUTED_VALUE"""),9.667760028E9)</f>
        <v>9667760028</v>
      </c>
      <c r="D1002" s="1">
        <f>IFERROR(__xludf.DUMMYFUNCTION("""COMPUTED_VALUE"""),2.0)</f>
        <v>2</v>
      </c>
      <c r="E1002" s="3">
        <f>IFERROR(__xludf.DUMMYFUNCTION("""COMPUTED_VALUE"""),0.6597222222189885)</f>
        <v>0.6597222222</v>
      </c>
      <c r="F1002" s="1" t="str">
        <f>IFERROR(__xludf.DUMMYFUNCTION("""COMPUTED_VALUE"""),"Plain Gold")</f>
        <v>Plain Gold</v>
      </c>
      <c r="G1002" s="1" t="str">
        <f>IFERROR(__xludf.DUMMYFUNCTION("""COMPUTED_VALUE"""),"Sapna")</f>
        <v>Sapna</v>
      </c>
      <c r="H1002" s="1" t="str">
        <f>IFERROR(__xludf.DUMMYFUNCTION("""COMPUTED_VALUE"""),"Gold hanging tops")</f>
        <v>Gold hanging tops</v>
      </c>
      <c r="I1002" s="1"/>
      <c r="J1002" s="1"/>
      <c r="K1002" s="3">
        <f>IFERROR(__xludf.DUMMYFUNCTION("""COMPUTED_VALUE"""),0.7048611111094942)</f>
        <v>0.7048611111</v>
      </c>
      <c r="L1002" s="1" t="str">
        <f>IFERROR(__xludf.DUMMYFUNCTION("""COMPUTED_VALUE"""),"Yes")</f>
        <v>Yes</v>
      </c>
      <c r="M1002" s="1" t="str">
        <f>IFERROR(__xludf.DUMMYFUNCTION("""COMPUTED_VALUE"""),"Not use")</f>
        <v>Not use</v>
      </c>
      <c r="N1002" s="1" t="str">
        <f>IFERROR(__xludf.DUMMYFUNCTION("""COMPUTED_VALUE"""),"Not use")</f>
        <v>Not use</v>
      </c>
      <c r="O1002" s="1" t="str">
        <f>IFERROR(__xludf.DUMMYFUNCTION("""COMPUTED_VALUE"""),"WA ONLY, CALL")</f>
        <v>WA ONLY, CALL</v>
      </c>
      <c r="P1002" s="1" t="str">
        <f>IFERROR(__xludf.DUMMYFUNCTION("""COMPUTED_VALUE"""),"Madam")</f>
        <v>Madam</v>
      </c>
      <c r="Q1002" s="1" t="str">
        <f>IFERROR(__xludf.DUMMYFUNCTION("""COMPUTED_VALUE"""),"No")</f>
        <v>No</v>
      </c>
      <c r="R1002" s="1" t="str">
        <f>IFERROR(__xludf.DUMMYFUNCTION("""COMPUTED_VALUE"""),"NEW WALK IN")</f>
        <v>NEW WALK IN</v>
      </c>
      <c r="S1002" s="1" t="str">
        <f>IFERROR(__xludf.DUMMYFUNCTION("""COMPUTED_VALUE"""),"Yes")</f>
        <v>Yes</v>
      </c>
    </row>
    <row r="1003">
      <c r="A1003" s="2">
        <f>IFERROR(__xludf.DUMMYFUNCTION("""COMPUTED_VALUE"""),45666.73387)</f>
        <v>45666.73387</v>
      </c>
      <c r="B1003" s="1" t="str">
        <f>IFERROR(__xludf.DUMMYFUNCTION("""COMPUTED_VALUE"""),"Nasir")</f>
        <v>Nasir</v>
      </c>
      <c r="C1003" s="1">
        <f>IFERROR(__xludf.DUMMYFUNCTION("""COMPUTED_VALUE"""),9.069172299E9)</f>
        <v>9069172299</v>
      </c>
      <c r="D1003" s="1">
        <f>IFERROR(__xludf.DUMMYFUNCTION("""COMPUTED_VALUE"""),2.0)</f>
        <v>2</v>
      </c>
      <c r="E1003" s="3">
        <f>IFERROR(__xludf.DUMMYFUNCTION("""COMPUTED_VALUE"""),0.71875)</f>
        <v>0.71875</v>
      </c>
      <c r="F1003" s="1" t="str">
        <f>IFERROR(__xludf.DUMMYFUNCTION("""COMPUTED_VALUE"""),"Antique Gold")</f>
        <v>Antique Gold</v>
      </c>
      <c r="G1003" s="1" t="str">
        <f>IFERROR(__xludf.DUMMYFUNCTION("""COMPUTED_VALUE"""),"Tannu")</f>
        <v>Tannu</v>
      </c>
      <c r="H1003" s="1"/>
      <c r="I1003" s="1" t="str">
        <f>IFERROR(__xludf.DUMMYFUNCTION("""COMPUTED_VALUE"""),"Customer gold antique set repair and antique ling gold set change the piroi")</f>
        <v>Customer gold antique set repair and antique ling gold set change the piroi</v>
      </c>
      <c r="J1003" s="1"/>
      <c r="K1003" s="3">
        <f>IFERROR(__xludf.DUMMYFUNCTION("""COMPUTED_VALUE"""),0.7312499999970896)</f>
        <v>0.73125</v>
      </c>
      <c r="L1003" s="1" t="str">
        <f>IFERROR(__xludf.DUMMYFUNCTION("""COMPUTED_VALUE"""),"Yes")</f>
        <v>Yes</v>
      </c>
      <c r="M1003" s="1" t="str">
        <f>IFERROR(__xludf.DUMMYFUNCTION("""COMPUTED_VALUE"""),"Already done ")</f>
        <v>Already done </v>
      </c>
      <c r="N1003" s="1" t="str">
        <f>IFERROR(__xludf.DUMMYFUNCTION("""COMPUTED_VALUE"""),"Already done ")</f>
        <v>Already done </v>
      </c>
      <c r="O1003" s="1" t="str">
        <f>IFERROR(__xludf.DUMMYFUNCTION("""COMPUTED_VALUE"""),"WA ONLY, CALL")</f>
        <v>WA ONLY, CALL</v>
      </c>
      <c r="P1003" s="1" t="str">
        <f>IFERROR(__xludf.DUMMYFUNCTION("""COMPUTED_VALUE"""),"Sir")</f>
        <v>Sir</v>
      </c>
      <c r="Q1003" s="1" t="str">
        <f>IFERROR(__xludf.DUMMYFUNCTION("""COMPUTED_VALUE"""),"No")</f>
        <v>No</v>
      </c>
      <c r="R1003" s="1" t="str">
        <f>IFERROR(__xludf.DUMMYFUNCTION("""COMPUTED_VALUE"""),"OLD")</f>
        <v>OLD</v>
      </c>
      <c r="S1003" s="1" t="str">
        <f>IFERROR(__xludf.DUMMYFUNCTION("""COMPUTED_VALUE"""),"No")</f>
        <v>No</v>
      </c>
    </row>
    <row r="1004">
      <c r="A1004" s="2">
        <f>IFERROR(__xludf.DUMMYFUNCTION("""COMPUTED_VALUE"""),45666.82679576389)</f>
        <v>45666.8268</v>
      </c>
      <c r="B1004" s="1" t="str">
        <f>IFERROR(__xludf.DUMMYFUNCTION("""COMPUTED_VALUE"""),"Dhruv")</f>
        <v>Dhruv</v>
      </c>
      <c r="C1004" s="1">
        <f>IFERROR(__xludf.DUMMYFUNCTION("""COMPUTED_VALUE"""),9.999094345E9)</f>
        <v>9999094345</v>
      </c>
      <c r="D1004" s="1">
        <f>IFERROR(__xludf.DUMMYFUNCTION("""COMPUTED_VALUE"""),2.0)</f>
        <v>2</v>
      </c>
      <c r="E1004" s="3">
        <f>IFERROR(__xludf.DUMMYFUNCTION("""COMPUTED_VALUE"""),0.7986111111094942)</f>
        <v>0.7986111111</v>
      </c>
      <c r="F1004" s="1" t="str">
        <f>IFERROR(__xludf.DUMMYFUNCTION("""COMPUTED_VALUE"""),"Antique Gold")</f>
        <v>Antique Gold</v>
      </c>
      <c r="G1004" s="1" t="str">
        <f>IFERROR(__xludf.DUMMYFUNCTION("""COMPUTED_VALUE"""),"Tannu")</f>
        <v>Tannu</v>
      </c>
      <c r="H1004" s="1" t="str">
        <f>IFERROR(__xludf.DUMMYFUNCTION("""COMPUTED_VALUE"""),"10 gm mmtc coin")</f>
        <v>10 gm mmtc coin</v>
      </c>
      <c r="I1004" s="1"/>
      <c r="J1004" s="1"/>
      <c r="K1004" s="3">
        <f>IFERROR(__xludf.DUMMYFUNCTION("""COMPUTED_VALUE"""),0.8243055555576575)</f>
        <v>0.8243055556</v>
      </c>
      <c r="L1004" s="1" t="str">
        <f>IFERROR(__xludf.DUMMYFUNCTION("""COMPUTED_VALUE"""),"Yes")</f>
        <v>Yes</v>
      </c>
      <c r="M1004" s="1" t="str">
        <f>IFERROR(__xludf.DUMMYFUNCTION("""COMPUTED_VALUE"""),"Yes ")</f>
        <v>Yes </v>
      </c>
      <c r="N1004" s="1" t="str">
        <f>IFERROR(__xludf.DUMMYFUNCTION("""COMPUTED_VALUE"""),"Yes")</f>
        <v>Yes</v>
      </c>
      <c r="O1004" s="1" t="str">
        <f>IFERROR(__xludf.DUMMYFUNCTION("""COMPUTED_VALUE"""),"WA ONLY, CALL")</f>
        <v>WA ONLY, CALL</v>
      </c>
      <c r="P1004" s="1" t="str">
        <f>IFERROR(__xludf.DUMMYFUNCTION("""COMPUTED_VALUE"""),"Sir")</f>
        <v>Sir</v>
      </c>
      <c r="Q1004" s="1" t="str">
        <f>IFERROR(__xludf.DUMMYFUNCTION("""COMPUTED_VALUE"""),"No")</f>
        <v>No</v>
      </c>
      <c r="R1004" s="1" t="str">
        <f>IFERROR(__xludf.DUMMYFUNCTION("""COMPUTED_VALUE"""),"NEW WALK IN")</f>
        <v>NEW WALK IN</v>
      </c>
      <c r="S1004" s="1" t="str">
        <f>IFERROR(__xludf.DUMMYFUNCTION("""COMPUTED_VALUE"""),"Yes")</f>
        <v>Yes</v>
      </c>
    </row>
    <row r="1005">
      <c r="A1005" s="2">
        <f>IFERROR(__xludf.DUMMYFUNCTION("""COMPUTED_VALUE"""),45667.56589456019)</f>
        <v>45667.56589</v>
      </c>
      <c r="B1005" s="1" t="str">
        <f>IFERROR(__xludf.DUMMYFUNCTION("""COMPUTED_VALUE"""),"Parkash")</f>
        <v>Parkash</v>
      </c>
      <c r="C1005" s="1">
        <f>IFERROR(__xludf.DUMMYFUNCTION("""COMPUTED_VALUE"""),9.311193547E9)</f>
        <v>9311193547</v>
      </c>
      <c r="D1005" s="1">
        <f>IFERROR(__xludf.DUMMYFUNCTION("""COMPUTED_VALUE"""),1.0)</f>
        <v>1</v>
      </c>
      <c r="E1005" s="3">
        <f>IFERROR(__xludf.DUMMYFUNCTION("""COMPUTED_VALUE"""),0.5173611111094942)</f>
        <v>0.5173611111</v>
      </c>
      <c r="F1005" s="1" t="str">
        <f>IFERROR(__xludf.DUMMYFUNCTION("""COMPUTED_VALUE"""),"Plain Gold")</f>
        <v>Plain Gold</v>
      </c>
      <c r="G1005" s="1" t="str">
        <f>IFERROR(__xludf.DUMMYFUNCTION("""COMPUTED_VALUE"""),"Sapna")</f>
        <v>Sapna</v>
      </c>
      <c r="H1005" s="1" t="str">
        <f>IFERROR(__xludf.DUMMYFUNCTION("""COMPUTED_VALUE"""),"Gold manglsutr pendent 4 gm")</f>
        <v>Gold manglsutr pendent 4 gm</v>
      </c>
      <c r="I1005" s="1"/>
      <c r="J1005" s="1"/>
      <c r="K1005" s="3">
        <f>IFERROR(__xludf.DUMMYFUNCTION("""COMPUTED_VALUE"""),0.5374999999985448)</f>
        <v>0.5375</v>
      </c>
      <c r="L1005" s="1" t="str">
        <f>IFERROR(__xludf.DUMMYFUNCTION("""COMPUTED_VALUE"""),"Yes")</f>
        <v>Yes</v>
      </c>
      <c r="M1005" s="1" t="str">
        <f>IFERROR(__xludf.DUMMYFUNCTION("""COMPUTED_VALUE"""),"Already done ")</f>
        <v>Already done </v>
      </c>
      <c r="N1005" s="1" t="str">
        <f>IFERROR(__xludf.DUMMYFUNCTION("""COMPUTED_VALUE"""),"Already done ")</f>
        <v>Already done </v>
      </c>
      <c r="O1005" s="1" t="str">
        <f>IFERROR(__xludf.DUMMYFUNCTION("""COMPUTED_VALUE"""),"WA ONLY, CALL")</f>
        <v>WA ONLY, CALL</v>
      </c>
      <c r="P1005" s="1" t="str">
        <f>IFERROR(__xludf.DUMMYFUNCTION("""COMPUTED_VALUE"""),"Sir")</f>
        <v>Sir</v>
      </c>
      <c r="Q1005" s="1"/>
      <c r="R1005" s="1" t="str">
        <f>IFERROR(__xludf.DUMMYFUNCTION("""COMPUTED_VALUE"""),"NEW WALK IN")</f>
        <v>NEW WALK IN</v>
      </c>
      <c r="S1005" s="1" t="str">
        <f>IFERROR(__xludf.DUMMYFUNCTION("""COMPUTED_VALUE"""),"Yes")</f>
        <v>Yes</v>
      </c>
    </row>
    <row r="1006">
      <c r="A1006" s="2">
        <f>IFERROR(__xludf.DUMMYFUNCTION("""COMPUTED_VALUE"""),45669.75376494213)</f>
        <v>45669.75376</v>
      </c>
      <c r="B1006" s="1" t="str">
        <f>IFERROR(__xludf.DUMMYFUNCTION("""COMPUTED_VALUE"""),"Mannat")</f>
        <v>Mannat</v>
      </c>
      <c r="C1006" s="1">
        <f>IFERROR(__xludf.DUMMYFUNCTION("""COMPUTED_VALUE"""),9.205822759E9)</f>
        <v>9205822759</v>
      </c>
      <c r="D1006" s="1">
        <f>IFERROR(__xludf.DUMMYFUNCTION("""COMPUTED_VALUE"""),2.0)</f>
        <v>2</v>
      </c>
      <c r="E1006" s="3">
        <f>IFERROR(__xludf.DUMMYFUNCTION("""COMPUTED_VALUE"""),0.625)</f>
        <v>0.625</v>
      </c>
      <c r="F1006" s="1" t="str">
        <f>IFERROR(__xludf.DUMMYFUNCTION("""COMPUTED_VALUE"""),"Antique Gold")</f>
        <v>Antique Gold</v>
      </c>
      <c r="G1006" s="1" t="str">
        <f>IFERROR(__xludf.DUMMYFUNCTION("""COMPUTED_VALUE"""),"Tannu")</f>
        <v>Tannu</v>
      </c>
      <c r="H1006" s="1" t="str">
        <f>IFERROR(__xludf.DUMMYFUNCTION("""COMPUTED_VALUE"""),"Daimond ledis ring")</f>
        <v>Daimond ledis ring</v>
      </c>
      <c r="I1006" s="1" t="str">
        <f>IFERROR(__xludf.DUMMYFUNCTION("""COMPUTED_VALUE"""),"Visit Again in 1 Month")</f>
        <v>Visit Again in 1 Month</v>
      </c>
      <c r="J1006" s="1"/>
      <c r="K1006" s="3">
        <f>IFERROR(__xludf.DUMMYFUNCTION("""COMPUTED_VALUE"""),0.6569444444467081)</f>
        <v>0.6569444444</v>
      </c>
      <c r="L1006" s="1" t="str">
        <f>IFERROR(__xludf.DUMMYFUNCTION("""COMPUTED_VALUE"""),"Yes")</f>
        <v>Yes</v>
      </c>
      <c r="M1006" s="1" t="str">
        <f>IFERROR(__xludf.DUMMYFUNCTION("""COMPUTED_VALUE"""),"No")</f>
        <v>No</v>
      </c>
      <c r="N1006" s="1" t="str">
        <f>IFERROR(__xludf.DUMMYFUNCTION("""COMPUTED_VALUE"""),"No")</f>
        <v>No</v>
      </c>
      <c r="O1006" s="1" t="str">
        <f>IFERROR(__xludf.DUMMYFUNCTION("""COMPUTED_VALUE"""),"WA ONLY, CALL")</f>
        <v>WA ONLY, CALL</v>
      </c>
      <c r="P1006" s="1" t="str">
        <f>IFERROR(__xludf.DUMMYFUNCTION("""COMPUTED_VALUE"""),"Madam")</f>
        <v>Madam</v>
      </c>
      <c r="Q1006" s="1" t="str">
        <f>IFERROR(__xludf.DUMMYFUNCTION("""COMPUTED_VALUE"""),"No")</f>
        <v>No</v>
      </c>
      <c r="R1006" s="1" t="str">
        <f>IFERROR(__xludf.DUMMYFUNCTION("""COMPUTED_VALUE"""),"NEW WALK IN")</f>
        <v>NEW WALK IN</v>
      </c>
      <c r="S1006" s="1" t="str">
        <f>IFERROR(__xludf.DUMMYFUNCTION("""COMPUTED_VALUE"""),"No")</f>
        <v>No</v>
      </c>
    </row>
    <row r="1007">
      <c r="A1007" s="2">
        <f>IFERROR(__xludf.DUMMYFUNCTION("""COMPUTED_VALUE"""),45669.75501253472)</f>
        <v>45669.75501</v>
      </c>
      <c r="B1007" s="1" t="str">
        <f>IFERROR(__xludf.DUMMYFUNCTION("""COMPUTED_VALUE"""),"Vinod")</f>
        <v>Vinod</v>
      </c>
      <c r="C1007" s="1">
        <f>IFERROR(__xludf.DUMMYFUNCTION("""COMPUTED_VALUE"""),9.899236225E9)</f>
        <v>9899236225</v>
      </c>
      <c r="D1007" s="1">
        <f>IFERROR(__xludf.DUMMYFUNCTION("""COMPUTED_VALUE"""),1.0)</f>
        <v>1</v>
      </c>
      <c r="E1007" s="3">
        <f>IFERROR(__xludf.DUMMYFUNCTION("""COMPUTED_VALUE"""),0.6493055555547471)</f>
        <v>0.6493055556</v>
      </c>
      <c r="F1007" s="1" t="str">
        <f>IFERROR(__xludf.DUMMYFUNCTION("""COMPUTED_VALUE"""),"Plain Gold")</f>
        <v>Plain Gold</v>
      </c>
      <c r="G1007" s="1" t="str">
        <f>IFERROR(__xludf.DUMMYFUNCTION("""COMPUTED_VALUE"""),"Sapna")</f>
        <v>Sapna</v>
      </c>
      <c r="H1007" s="1" t="str">
        <f>IFERROR(__xludf.DUMMYFUNCTION("""COMPUTED_VALUE"""),"Gold pendent ")</f>
        <v>Gold pendent </v>
      </c>
      <c r="I1007" s="1"/>
      <c r="J1007" s="1"/>
      <c r="K1007" s="3">
        <f>IFERROR(__xludf.DUMMYFUNCTION("""COMPUTED_VALUE"""),0.7083333333357587)</f>
        <v>0.7083333333</v>
      </c>
      <c r="L1007" s="1" t="str">
        <f>IFERROR(__xludf.DUMMYFUNCTION("""COMPUTED_VALUE"""),"Yes")</f>
        <v>Yes</v>
      </c>
      <c r="M1007" s="1" t="str">
        <f>IFERROR(__xludf.DUMMYFUNCTION("""COMPUTED_VALUE"""),"Yes")</f>
        <v>Yes</v>
      </c>
      <c r="N1007" s="1" t="str">
        <f>IFERROR(__xludf.DUMMYFUNCTION("""COMPUTED_VALUE"""),"Yes")</f>
        <v>Yes</v>
      </c>
      <c r="O1007" s="1" t="str">
        <f>IFERROR(__xludf.DUMMYFUNCTION("""COMPUTED_VALUE"""),"WA ONLY, CALL")</f>
        <v>WA ONLY, CALL</v>
      </c>
      <c r="P1007" s="1" t="str">
        <f>IFERROR(__xludf.DUMMYFUNCTION("""COMPUTED_VALUE"""),"Sir")</f>
        <v>Sir</v>
      </c>
      <c r="Q1007" s="1" t="str">
        <f>IFERROR(__xludf.DUMMYFUNCTION("""COMPUTED_VALUE"""),"No")</f>
        <v>No</v>
      </c>
      <c r="R1007" s="1" t="str">
        <f>IFERROR(__xludf.DUMMYFUNCTION("""COMPUTED_VALUE"""),"OLD")</f>
        <v>OLD</v>
      </c>
      <c r="S1007" s="1" t="str">
        <f>IFERROR(__xludf.DUMMYFUNCTION("""COMPUTED_VALUE"""),"Yes")</f>
        <v>Yes</v>
      </c>
    </row>
    <row r="1008">
      <c r="A1008" s="2">
        <f>IFERROR(__xludf.DUMMYFUNCTION("""COMPUTED_VALUE"""),45669.75578314815)</f>
        <v>45669.75578</v>
      </c>
      <c r="B1008" s="1" t="str">
        <f>IFERROR(__xludf.DUMMYFUNCTION("""COMPUTED_VALUE"""),"Charu")</f>
        <v>Charu</v>
      </c>
      <c r="C1008" s="1">
        <f>IFERROR(__xludf.DUMMYFUNCTION("""COMPUTED_VALUE"""),9.871089414E9)</f>
        <v>9871089414</v>
      </c>
      <c r="D1008" s="1">
        <f>IFERROR(__xludf.DUMMYFUNCTION("""COMPUTED_VALUE"""),2.0)</f>
        <v>2</v>
      </c>
      <c r="E1008" s="3">
        <f>IFERROR(__xludf.DUMMYFUNCTION("""COMPUTED_VALUE"""),0.5729166666642413)</f>
        <v>0.5729166667</v>
      </c>
      <c r="F1008" s="1" t="str">
        <f>IFERROR(__xludf.DUMMYFUNCTION("""COMPUTED_VALUE"""),"Diamond")</f>
        <v>Diamond</v>
      </c>
      <c r="G1008" s="1" t="str">
        <f>IFERROR(__xludf.DUMMYFUNCTION("""COMPUTED_VALUE"""),"Preeti")</f>
        <v>Preeti</v>
      </c>
      <c r="H1008" s="1" t="str">
        <f>IFERROR(__xludf.DUMMYFUNCTION("""COMPUTED_VALUE"""),"Daimond ring,Daimond manglsutr ")</f>
        <v>Daimond ring,Daimond manglsutr </v>
      </c>
      <c r="I1008" s="1"/>
      <c r="J1008" s="1"/>
      <c r="K1008" s="3">
        <f>IFERROR(__xludf.DUMMYFUNCTION("""COMPUTED_VALUE"""),0.7291666666642413)</f>
        <v>0.7291666667</v>
      </c>
      <c r="L1008" s="1" t="str">
        <f>IFERROR(__xludf.DUMMYFUNCTION("""COMPUTED_VALUE"""),"Yes")</f>
        <v>Yes</v>
      </c>
      <c r="M1008" s="1" t="str">
        <f>IFERROR(__xludf.DUMMYFUNCTION("""COMPUTED_VALUE"""),"Yes")</f>
        <v>Yes</v>
      </c>
      <c r="N1008" s="1" t="str">
        <f>IFERROR(__xludf.DUMMYFUNCTION("""COMPUTED_VALUE"""),"Yes")</f>
        <v>Yes</v>
      </c>
      <c r="O1008" s="1" t="str">
        <f>IFERROR(__xludf.DUMMYFUNCTION("""COMPUTED_VALUE"""),"WA ONLY, CALL")</f>
        <v>WA ONLY, CALL</v>
      </c>
      <c r="P1008" s="1" t="str">
        <f>IFERROR(__xludf.DUMMYFUNCTION("""COMPUTED_VALUE"""),"Madam")</f>
        <v>Madam</v>
      </c>
      <c r="Q1008" s="1" t="str">
        <f>IFERROR(__xludf.DUMMYFUNCTION("""COMPUTED_VALUE"""),"No")</f>
        <v>No</v>
      </c>
      <c r="R1008" s="1" t="str">
        <f>IFERROR(__xludf.DUMMYFUNCTION("""COMPUTED_VALUE"""),"OLD")</f>
        <v>OLD</v>
      </c>
      <c r="S1008" s="1" t="str">
        <f>IFERROR(__xludf.DUMMYFUNCTION("""COMPUTED_VALUE"""),"Yes")</f>
        <v>Yes</v>
      </c>
    </row>
    <row r="1009">
      <c r="A1009" s="2">
        <f>IFERROR(__xludf.DUMMYFUNCTION("""COMPUTED_VALUE"""),45669.75670017361)</f>
        <v>45669.7567</v>
      </c>
      <c r="B1009" s="1" t="str">
        <f>IFERROR(__xludf.DUMMYFUNCTION("""COMPUTED_VALUE"""),"Vaishali")</f>
        <v>Vaishali</v>
      </c>
      <c r="C1009" s="1">
        <f>IFERROR(__xludf.DUMMYFUNCTION("""COMPUTED_VALUE"""),8.920910811E9)</f>
        <v>8920910811</v>
      </c>
      <c r="D1009" s="1">
        <f>IFERROR(__xludf.DUMMYFUNCTION("""COMPUTED_VALUE"""),2.0)</f>
        <v>2</v>
      </c>
      <c r="E1009" s="3">
        <f>IFERROR(__xludf.DUMMYFUNCTION("""COMPUTED_VALUE"""),0.5819444444423425)</f>
        <v>0.5819444444</v>
      </c>
      <c r="F1009" s="1" t="str">
        <f>IFERROR(__xludf.DUMMYFUNCTION("""COMPUTED_VALUE"""),"Plain Gold")</f>
        <v>Plain Gold</v>
      </c>
      <c r="G1009" s="1" t="str">
        <f>IFERROR(__xludf.DUMMYFUNCTION("""COMPUTED_VALUE"""),"Sapna")</f>
        <v>Sapna</v>
      </c>
      <c r="H1009" s="1" t="str">
        <f>IFERROR(__xludf.DUMMYFUNCTION("""COMPUTED_VALUE"""),"Gold nose pin,gold bali")</f>
        <v>Gold nose pin,gold bali</v>
      </c>
      <c r="I1009" s="1"/>
      <c r="J1009" s="1"/>
      <c r="K1009" s="3">
        <f>IFERROR(__xludf.DUMMYFUNCTION("""COMPUTED_VALUE"""),0.7326388888905058)</f>
        <v>0.7326388889</v>
      </c>
      <c r="L1009" s="1" t="str">
        <f>IFERROR(__xludf.DUMMYFUNCTION("""COMPUTED_VALUE"""),"Yes")</f>
        <v>Yes</v>
      </c>
      <c r="M1009" s="1" t="str">
        <f>IFERROR(__xludf.DUMMYFUNCTION("""COMPUTED_VALUE"""),"Already done ")</f>
        <v>Already done </v>
      </c>
      <c r="N1009" s="1" t="str">
        <f>IFERROR(__xludf.DUMMYFUNCTION("""COMPUTED_VALUE"""),"Already done ")</f>
        <v>Already done </v>
      </c>
      <c r="O1009" s="1" t="str">
        <f>IFERROR(__xludf.DUMMYFUNCTION("""COMPUTED_VALUE"""),"WA ONLY, CALL")</f>
        <v>WA ONLY, CALL</v>
      </c>
      <c r="P1009" s="1" t="str">
        <f>IFERROR(__xludf.DUMMYFUNCTION("""COMPUTED_VALUE"""),"Madam")</f>
        <v>Madam</v>
      </c>
      <c r="Q1009" s="1" t="str">
        <f>IFERROR(__xludf.DUMMYFUNCTION("""COMPUTED_VALUE"""),"No")</f>
        <v>No</v>
      </c>
      <c r="R1009" s="1" t="str">
        <f>IFERROR(__xludf.DUMMYFUNCTION("""COMPUTED_VALUE"""),"OLD")</f>
        <v>OLD</v>
      </c>
      <c r="S1009" s="1" t="str">
        <f>IFERROR(__xludf.DUMMYFUNCTION("""COMPUTED_VALUE"""),"Yes")</f>
        <v>Yes</v>
      </c>
    </row>
    <row r="1010">
      <c r="A1010" s="2">
        <f>IFERROR(__xludf.DUMMYFUNCTION("""COMPUTED_VALUE"""),45669.75736554398)</f>
        <v>45669.75737</v>
      </c>
      <c r="B1010" s="1" t="str">
        <f>IFERROR(__xludf.DUMMYFUNCTION("""COMPUTED_VALUE"""),"Neeru")</f>
        <v>Neeru</v>
      </c>
      <c r="C1010" s="1">
        <f>IFERROR(__xludf.DUMMYFUNCTION("""COMPUTED_VALUE"""),9.899209967E9)</f>
        <v>9899209967</v>
      </c>
      <c r="D1010" s="1">
        <f>IFERROR(__xludf.DUMMYFUNCTION("""COMPUTED_VALUE"""),3.0)</f>
        <v>3</v>
      </c>
      <c r="E1010" s="3">
        <f>IFERROR(__xludf.DUMMYFUNCTION("""COMPUTED_VALUE"""),0.6041666666642413)</f>
        <v>0.6041666667</v>
      </c>
      <c r="F1010" s="1" t="str">
        <f>IFERROR(__xludf.DUMMYFUNCTION("""COMPUTED_VALUE"""),"Plain Gold")</f>
        <v>Plain Gold</v>
      </c>
      <c r="G1010" s="1" t="str">
        <f>IFERROR(__xludf.DUMMYFUNCTION("""COMPUTED_VALUE"""),"Sapna")</f>
        <v>Sapna</v>
      </c>
      <c r="H1010" s="1" t="str">
        <f>IFERROR(__xludf.DUMMYFUNCTION("""COMPUTED_VALUE"""),"Gold tops")</f>
        <v>Gold tops</v>
      </c>
      <c r="I1010" s="1"/>
      <c r="J1010" s="1"/>
      <c r="K1010" s="3">
        <f>IFERROR(__xludf.DUMMYFUNCTION("""COMPUTED_VALUE"""),0.6770833333357587)</f>
        <v>0.6770833333</v>
      </c>
      <c r="L1010" s="1" t="str">
        <f>IFERROR(__xludf.DUMMYFUNCTION("""COMPUTED_VALUE"""),"Yes")</f>
        <v>Yes</v>
      </c>
      <c r="M1010" s="1" t="str">
        <f>IFERROR(__xludf.DUMMYFUNCTION("""COMPUTED_VALUE"""),"Yes")</f>
        <v>Yes</v>
      </c>
      <c r="N1010" s="1" t="str">
        <f>IFERROR(__xludf.DUMMYFUNCTION("""COMPUTED_VALUE"""),"Yes")</f>
        <v>Yes</v>
      </c>
      <c r="O1010" s="1" t="str">
        <f>IFERROR(__xludf.DUMMYFUNCTION("""COMPUTED_VALUE"""),"WA ONLY, CALL")</f>
        <v>WA ONLY, CALL</v>
      </c>
      <c r="P1010" s="1" t="str">
        <f>IFERROR(__xludf.DUMMYFUNCTION("""COMPUTED_VALUE"""),"Madam")</f>
        <v>Madam</v>
      </c>
      <c r="Q1010" s="1" t="str">
        <f>IFERROR(__xludf.DUMMYFUNCTION("""COMPUTED_VALUE"""),"No")</f>
        <v>No</v>
      </c>
      <c r="R1010" s="1" t="str">
        <f>IFERROR(__xludf.DUMMYFUNCTION("""COMPUTED_VALUE"""),"OLD")</f>
        <v>OLD</v>
      </c>
      <c r="S1010" s="1" t="str">
        <f>IFERROR(__xludf.DUMMYFUNCTION("""COMPUTED_VALUE"""),"Yes")</f>
        <v>Yes</v>
      </c>
    </row>
    <row r="1011">
      <c r="A1011" s="2">
        <f>IFERROR(__xludf.DUMMYFUNCTION("""COMPUTED_VALUE"""),45669.80561555555)</f>
        <v>45669.80562</v>
      </c>
      <c r="B1011" s="1" t="str">
        <f>IFERROR(__xludf.DUMMYFUNCTION("""COMPUTED_VALUE"""),"Karanlut singh")</f>
        <v>Karanlut singh</v>
      </c>
      <c r="C1011" s="1">
        <f>IFERROR(__xludf.DUMMYFUNCTION("""COMPUTED_VALUE"""),9.501926855E9)</f>
        <v>9501926855</v>
      </c>
      <c r="D1011" s="1">
        <f>IFERROR(__xludf.DUMMYFUNCTION("""COMPUTED_VALUE"""),1.0)</f>
        <v>1</v>
      </c>
      <c r="E1011" s="3">
        <f>IFERROR(__xludf.DUMMYFUNCTION("""COMPUTED_VALUE"""),0.7708333333357587)</f>
        <v>0.7708333333</v>
      </c>
      <c r="F1011" s="1" t="str">
        <f>IFERROR(__xludf.DUMMYFUNCTION("""COMPUTED_VALUE"""),"Antique Gold")</f>
        <v>Antique Gold</v>
      </c>
      <c r="G1011" s="1" t="str">
        <f>IFERROR(__xludf.DUMMYFUNCTION("""COMPUTED_VALUE"""),"Tannu")</f>
        <v>Tannu</v>
      </c>
      <c r="H1011" s="1" t="str">
        <f>IFERROR(__xludf.DUMMYFUNCTION("""COMPUTED_VALUE"""),"Silver chain")</f>
        <v>Silver chain</v>
      </c>
      <c r="I1011" s="1"/>
      <c r="J1011" s="1"/>
      <c r="K1011" s="3">
        <f>IFERROR(__xludf.DUMMYFUNCTION("""COMPUTED_VALUE"""),0.7916666666642413)</f>
        <v>0.7916666667</v>
      </c>
      <c r="L1011" s="1" t="str">
        <f>IFERROR(__xludf.DUMMYFUNCTION("""COMPUTED_VALUE"""),"Yes")</f>
        <v>Yes</v>
      </c>
      <c r="M1011" s="1" t="str">
        <f>IFERROR(__xludf.DUMMYFUNCTION("""COMPUTED_VALUE"""),"Yes")</f>
        <v>Yes</v>
      </c>
      <c r="N1011" s="1" t="str">
        <f>IFERROR(__xludf.DUMMYFUNCTION("""COMPUTED_VALUE"""),"Yes")</f>
        <v>Yes</v>
      </c>
      <c r="O1011" s="1" t="str">
        <f>IFERROR(__xludf.DUMMYFUNCTION("""COMPUTED_VALUE"""),"WA ONLY, CALL")</f>
        <v>WA ONLY, CALL</v>
      </c>
      <c r="P1011" s="1" t="str">
        <f>IFERROR(__xludf.DUMMYFUNCTION("""COMPUTED_VALUE"""),"Sir")</f>
        <v>Sir</v>
      </c>
      <c r="Q1011" s="1" t="str">
        <f>IFERROR(__xludf.DUMMYFUNCTION("""COMPUTED_VALUE"""),"No")</f>
        <v>No</v>
      </c>
      <c r="R1011" s="1" t="str">
        <f>IFERROR(__xludf.DUMMYFUNCTION("""COMPUTED_VALUE"""),"NEW WALK IN")</f>
        <v>NEW WALK IN</v>
      </c>
      <c r="S1011" s="1" t="str">
        <f>IFERROR(__xludf.DUMMYFUNCTION("""COMPUTED_VALUE"""),"Yes")</f>
        <v>Yes</v>
      </c>
    </row>
    <row r="1012">
      <c r="A1012" s="2">
        <f>IFERROR(__xludf.DUMMYFUNCTION("""COMPUTED_VALUE"""),45675.71609271991)</f>
        <v>45675.71609</v>
      </c>
      <c r="B1012" s="1" t="str">
        <f>IFERROR(__xludf.DUMMYFUNCTION("""COMPUTED_VALUE"""),"Komal khera")</f>
        <v>Komal khera</v>
      </c>
      <c r="C1012" s="1">
        <f>IFERROR(__xludf.DUMMYFUNCTION("""COMPUTED_VALUE"""),9.161114007E9)</f>
        <v>9161114007</v>
      </c>
      <c r="D1012" s="1">
        <f>IFERROR(__xludf.DUMMYFUNCTION("""COMPUTED_VALUE"""),2.0)</f>
        <v>2</v>
      </c>
      <c r="E1012" s="3">
        <f>IFERROR(__xludf.DUMMYFUNCTION("""COMPUTED_VALUE"""),0.5590277777810115)</f>
        <v>0.5590277778</v>
      </c>
      <c r="F1012" s="1" t="str">
        <f>IFERROR(__xludf.DUMMYFUNCTION("""COMPUTED_VALUE"""),"Diamond")</f>
        <v>Diamond</v>
      </c>
      <c r="G1012" s="1" t="str">
        <f>IFERROR(__xludf.DUMMYFUNCTION("""COMPUTED_VALUE"""),"Preeti")</f>
        <v>Preeti</v>
      </c>
      <c r="H1012" s="1" t="str">
        <f>IFERROR(__xludf.DUMMYFUNCTION("""COMPUTED_VALUE"""),".")</f>
        <v>.</v>
      </c>
      <c r="I1012" s="1" t="str">
        <f>IFERROR(__xludf.DUMMYFUNCTION("""COMPUTED_VALUE"""),"Pick up Order")</f>
        <v>Pick up Order</v>
      </c>
      <c r="J1012" s="1"/>
      <c r="K1012" s="3">
        <f>IFERROR(__xludf.DUMMYFUNCTION("""COMPUTED_VALUE"""),0.6458333333357587)</f>
        <v>0.6458333333</v>
      </c>
      <c r="L1012" s="1" t="str">
        <f>IFERROR(__xludf.DUMMYFUNCTION("""COMPUTED_VALUE"""),"Yes")</f>
        <v>Yes</v>
      </c>
      <c r="M1012" s="1" t="str">
        <f>IFERROR(__xludf.DUMMYFUNCTION("""COMPUTED_VALUE"""),"Already done ")</f>
        <v>Already done </v>
      </c>
      <c r="N1012" s="1" t="str">
        <f>IFERROR(__xludf.DUMMYFUNCTION("""COMPUTED_VALUE"""),"Already done ")</f>
        <v>Already done </v>
      </c>
      <c r="O1012" s="1" t="str">
        <f>IFERROR(__xludf.DUMMYFUNCTION("""COMPUTED_VALUE"""),"WA ONLY, CALL")</f>
        <v>WA ONLY, CALL</v>
      </c>
      <c r="P1012" s="1" t="str">
        <f>IFERROR(__xludf.DUMMYFUNCTION("""COMPUTED_VALUE"""),"Madam")</f>
        <v>Madam</v>
      </c>
      <c r="Q1012" s="1" t="str">
        <f>IFERROR(__xludf.DUMMYFUNCTION("""COMPUTED_VALUE"""),"No")</f>
        <v>No</v>
      </c>
      <c r="R1012" s="1" t="str">
        <f>IFERROR(__xludf.DUMMYFUNCTION("""COMPUTED_VALUE"""),"OLD")</f>
        <v>OLD</v>
      </c>
      <c r="S1012" s="1" t="str">
        <f>IFERROR(__xludf.DUMMYFUNCTION("""COMPUTED_VALUE"""),"No")</f>
        <v>No</v>
      </c>
    </row>
    <row r="1013">
      <c r="A1013" s="2">
        <f>IFERROR(__xludf.DUMMYFUNCTION("""COMPUTED_VALUE"""),45675.7170469213)</f>
        <v>45675.71705</v>
      </c>
      <c r="B1013" s="1" t="str">
        <f>IFERROR(__xludf.DUMMYFUNCTION("""COMPUTED_VALUE"""),"Yatinder aggarwal ")</f>
        <v>Yatinder aggarwal </v>
      </c>
      <c r="C1013" s="1">
        <f>IFERROR(__xludf.DUMMYFUNCTION("""COMPUTED_VALUE"""),8.49190077E8)</f>
        <v>849190077</v>
      </c>
      <c r="D1013" s="1">
        <f>IFERROR(__xludf.DUMMYFUNCTION("""COMPUTED_VALUE"""),2.0)</f>
        <v>2</v>
      </c>
      <c r="E1013" s="3">
        <f>IFERROR(__xludf.DUMMYFUNCTION("""COMPUTED_VALUE"""),0.6458333333357587)</f>
        <v>0.6458333333</v>
      </c>
      <c r="F1013" s="1" t="str">
        <f>IFERROR(__xludf.DUMMYFUNCTION("""COMPUTED_VALUE"""),"Plain Gold")</f>
        <v>Plain Gold</v>
      </c>
      <c r="G1013" s="1" t="str">
        <f>IFERROR(__xludf.DUMMYFUNCTION("""COMPUTED_VALUE"""),"Sapna")</f>
        <v>Sapna</v>
      </c>
      <c r="H1013" s="1" t="str">
        <f>IFERROR(__xludf.DUMMYFUNCTION("""COMPUTED_VALUE"""),"Gold manglsutr,Daimond tops,gold baar 50gm")</f>
        <v>Gold manglsutr,Daimond tops,gold baar 50gm</v>
      </c>
      <c r="I1013" s="1"/>
      <c r="J1013" s="1"/>
      <c r="K1013" s="3">
        <f>IFERROR(__xludf.DUMMYFUNCTION("""COMPUTED_VALUE"""),0.7097222222218988)</f>
        <v>0.7097222222</v>
      </c>
      <c r="L1013" s="1" t="str">
        <f>IFERROR(__xludf.DUMMYFUNCTION("""COMPUTED_VALUE"""),"Yes")</f>
        <v>Yes</v>
      </c>
      <c r="M1013" s="1" t="str">
        <f>IFERROR(__xludf.DUMMYFUNCTION("""COMPUTED_VALUE"""),"Yes")</f>
        <v>Yes</v>
      </c>
      <c r="N1013" s="1" t="str">
        <f>IFERROR(__xludf.DUMMYFUNCTION("""COMPUTED_VALUE"""),"Yes")</f>
        <v>Yes</v>
      </c>
      <c r="O1013" s="1" t="str">
        <f>IFERROR(__xludf.DUMMYFUNCTION("""COMPUTED_VALUE"""),"WA ONLY, CALL")</f>
        <v>WA ONLY, CALL</v>
      </c>
      <c r="P1013" s="1" t="str">
        <f>IFERROR(__xludf.DUMMYFUNCTION("""COMPUTED_VALUE"""),"Sir")</f>
        <v>Sir</v>
      </c>
      <c r="Q1013" s="1" t="str">
        <f>IFERROR(__xludf.DUMMYFUNCTION("""COMPUTED_VALUE"""),"No")</f>
        <v>No</v>
      </c>
      <c r="R1013" s="1" t="str">
        <f>IFERROR(__xludf.DUMMYFUNCTION("""COMPUTED_VALUE"""),"OLD")</f>
        <v>OLD</v>
      </c>
      <c r="S1013" s="1" t="str">
        <f>IFERROR(__xludf.DUMMYFUNCTION("""COMPUTED_VALUE"""),"Yes")</f>
        <v>Yes</v>
      </c>
    </row>
    <row r="1014">
      <c r="A1014" s="2">
        <f>IFERROR(__xludf.DUMMYFUNCTION("""COMPUTED_VALUE"""),45675.797796203704)</f>
        <v>45675.7978</v>
      </c>
      <c r="B1014" s="1" t="str">
        <f>IFERROR(__xludf.DUMMYFUNCTION("""COMPUTED_VALUE"""),"Gazala")</f>
        <v>Gazala</v>
      </c>
      <c r="C1014" s="1">
        <f>IFERROR(__xludf.DUMMYFUNCTION("""COMPUTED_VALUE"""),8.178415371E9)</f>
        <v>8178415371</v>
      </c>
      <c r="D1014" s="1">
        <f>IFERROR(__xludf.DUMMYFUNCTION("""COMPUTED_VALUE"""),4.0)</f>
        <v>4</v>
      </c>
      <c r="E1014" s="3">
        <f>IFERROR(__xludf.DUMMYFUNCTION("""COMPUTED_VALUE"""),0.7673611111094942)</f>
        <v>0.7673611111</v>
      </c>
      <c r="F1014" s="1" t="str">
        <f>IFERROR(__xludf.DUMMYFUNCTION("""COMPUTED_VALUE"""),"Plain Gold")</f>
        <v>Plain Gold</v>
      </c>
      <c r="G1014" s="1" t="str">
        <f>IFERROR(__xludf.DUMMYFUNCTION("""COMPUTED_VALUE"""),"Sapna")</f>
        <v>Sapna</v>
      </c>
      <c r="H1014" s="1" t="str">
        <f>IFERROR(__xludf.DUMMYFUNCTION("""COMPUTED_VALUE"""),"Italian breslet,gold bangles ")</f>
        <v>Italian breslet,gold bangles </v>
      </c>
      <c r="I1014" s="1"/>
      <c r="J1014" s="1"/>
      <c r="K1014" s="3">
        <f>IFERROR(__xludf.DUMMYFUNCTION("""COMPUTED_VALUE"""),0.7944444444437977)</f>
        <v>0.7944444444</v>
      </c>
      <c r="L1014" s="1" t="str">
        <f>IFERROR(__xludf.DUMMYFUNCTION("""COMPUTED_VALUE"""),"Yes")</f>
        <v>Yes</v>
      </c>
      <c r="M1014" s="1" t="str">
        <f>IFERROR(__xludf.DUMMYFUNCTION("""COMPUTED_VALUE"""),"Yes")</f>
        <v>Yes</v>
      </c>
      <c r="N1014" s="1" t="str">
        <f>IFERROR(__xludf.DUMMYFUNCTION("""COMPUTED_VALUE"""),"Yes")</f>
        <v>Yes</v>
      </c>
      <c r="O1014" s="1" t="str">
        <f>IFERROR(__xludf.DUMMYFUNCTION("""COMPUTED_VALUE"""),"WA ONLY, CALL")</f>
        <v>WA ONLY, CALL</v>
      </c>
      <c r="P1014" s="1" t="str">
        <f>IFERROR(__xludf.DUMMYFUNCTION("""COMPUTED_VALUE"""),"Madam")</f>
        <v>Madam</v>
      </c>
      <c r="Q1014" s="1" t="str">
        <f>IFERROR(__xludf.DUMMYFUNCTION("""COMPUTED_VALUE"""),"No")</f>
        <v>No</v>
      </c>
      <c r="R1014" s="1" t="str">
        <f>IFERROR(__xludf.DUMMYFUNCTION("""COMPUTED_VALUE"""),"NEW WALK IN")</f>
        <v>NEW WALK IN</v>
      </c>
      <c r="S1014" s="1" t="str">
        <f>IFERROR(__xludf.DUMMYFUNCTION("""COMPUTED_VALUE"""),"Yes")</f>
        <v>Yes</v>
      </c>
    </row>
    <row r="1015">
      <c r="A1015" s="2">
        <f>IFERROR(__xludf.DUMMYFUNCTION("""COMPUTED_VALUE"""),45678.8005449537)</f>
        <v>45678.80054</v>
      </c>
      <c r="B1015" s="1" t="str">
        <f>IFERROR(__xludf.DUMMYFUNCTION("""COMPUTED_VALUE"""),"Rashmi sharma")</f>
        <v>Rashmi sharma</v>
      </c>
      <c r="C1015" s="1">
        <f>IFERROR(__xludf.DUMMYFUNCTION("""COMPUTED_VALUE"""),9.213557105E9)</f>
        <v>9213557105</v>
      </c>
      <c r="D1015" s="1">
        <f>IFERROR(__xludf.DUMMYFUNCTION("""COMPUTED_VALUE"""),1.0)</f>
        <v>1</v>
      </c>
      <c r="E1015" s="3">
        <f>IFERROR(__xludf.DUMMYFUNCTION("""COMPUTED_VALUE"""),0.5333333333328483)</f>
        <v>0.5333333333</v>
      </c>
      <c r="F1015" s="1" t="str">
        <f>IFERROR(__xludf.DUMMYFUNCTION("""COMPUTED_VALUE"""),"Plain Gold")</f>
        <v>Plain Gold</v>
      </c>
      <c r="G1015" s="1" t="str">
        <f>IFERROR(__xludf.DUMMYFUNCTION("""COMPUTED_VALUE"""),"Sapna")</f>
        <v>Sapna</v>
      </c>
      <c r="H1015" s="1" t="str">
        <f>IFERROR(__xludf.DUMMYFUNCTION("""COMPUTED_VALUE"""),"Gold chain gold pendent, silver chain")</f>
        <v>Gold chain gold pendent, silver chain</v>
      </c>
      <c r="I1015" s="1"/>
      <c r="J1015" s="1"/>
      <c r="K1015" s="3">
        <f>IFERROR(__xludf.DUMMYFUNCTION("""COMPUTED_VALUE"""),0.6423611111094942)</f>
        <v>0.6423611111</v>
      </c>
      <c r="L1015" s="1" t="str">
        <f>IFERROR(__xludf.DUMMYFUNCTION("""COMPUTED_VALUE"""),"Yes")</f>
        <v>Yes</v>
      </c>
      <c r="M1015" s="1" t="str">
        <f>IFERROR(__xludf.DUMMYFUNCTION("""COMPUTED_VALUE"""),"Already done ")</f>
        <v>Already done </v>
      </c>
      <c r="N1015" s="1" t="str">
        <f>IFERROR(__xludf.DUMMYFUNCTION("""COMPUTED_VALUE"""),"Already done ")</f>
        <v>Already done </v>
      </c>
      <c r="O1015" s="1" t="str">
        <f>IFERROR(__xludf.DUMMYFUNCTION("""COMPUTED_VALUE"""),"WA ONLY, CALL")</f>
        <v>WA ONLY, CALL</v>
      </c>
      <c r="P1015" s="1" t="str">
        <f>IFERROR(__xludf.DUMMYFUNCTION("""COMPUTED_VALUE"""),"Madam")</f>
        <v>Madam</v>
      </c>
      <c r="Q1015" s="1" t="str">
        <f>IFERROR(__xludf.DUMMYFUNCTION("""COMPUTED_VALUE"""),"Yes")</f>
        <v>Yes</v>
      </c>
      <c r="R1015" s="1" t="str">
        <f>IFERROR(__xludf.DUMMYFUNCTION("""COMPUTED_VALUE"""),"OLD")</f>
        <v>OLD</v>
      </c>
      <c r="S1015" s="1" t="str">
        <f>IFERROR(__xludf.DUMMYFUNCTION("""COMPUTED_VALUE"""),"Yes")</f>
        <v>Yes</v>
      </c>
    </row>
    <row r="1016">
      <c r="A1016" s="2">
        <f>IFERROR(__xludf.DUMMYFUNCTION("""COMPUTED_VALUE"""),45678.80141359953)</f>
        <v>45678.80141</v>
      </c>
      <c r="B1016" s="1" t="str">
        <f>IFERROR(__xludf.DUMMYFUNCTION("""COMPUTED_VALUE"""),"Vinita")</f>
        <v>Vinita</v>
      </c>
      <c r="C1016" s="1">
        <f>IFERROR(__xludf.DUMMYFUNCTION("""COMPUTED_VALUE"""),9.818325522E9)</f>
        <v>9818325522</v>
      </c>
      <c r="D1016" s="1">
        <f>IFERROR(__xludf.DUMMYFUNCTION("""COMPUTED_VALUE"""),1.0)</f>
        <v>1</v>
      </c>
      <c r="E1016" s="3">
        <f>IFERROR(__xludf.DUMMYFUNCTION("""COMPUTED_VALUE"""),0.6041666666642413)</f>
        <v>0.6041666667</v>
      </c>
      <c r="F1016" s="1" t="str">
        <f>IFERROR(__xludf.DUMMYFUNCTION("""COMPUTED_VALUE"""),"Antique Gold")</f>
        <v>Antique Gold</v>
      </c>
      <c r="G1016" s="1" t="str">
        <f>IFERROR(__xludf.DUMMYFUNCTION("""COMPUTED_VALUE"""),"Tannu")</f>
        <v>Tannu</v>
      </c>
      <c r="H1016" s="1"/>
      <c r="I1016" s="1" t="str">
        <f>IFERROR(__xludf.DUMMYFUNCTION("""COMPUTED_VALUE"""),"Gold ring repair ")</f>
        <v>Gold ring repair </v>
      </c>
      <c r="J1016" s="1"/>
      <c r="K1016" s="3">
        <f>IFERROR(__xludf.DUMMYFUNCTION("""COMPUTED_VALUE"""),0.625)</f>
        <v>0.625</v>
      </c>
      <c r="L1016" s="1" t="str">
        <f>IFERROR(__xludf.DUMMYFUNCTION("""COMPUTED_VALUE"""),"Yes")</f>
        <v>Yes</v>
      </c>
      <c r="M1016" s="1" t="str">
        <f>IFERROR(__xludf.DUMMYFUNCTION("""COMPUTED_VALUE"""),"Already done ")</f>
        <v>Already done </v>
      </c>
      <c r="N1016" s="1" t="str">
        <f>IFERROR(__xludf.DUMMYFUNCTION("""COMPUTED_VALUE"""),"Already done ")</f>
        <v>Already done </v>
      </c>
      <c r="O1016" s="1" t="str">
        <f>IFERROR(__xludf.DUMMYFUNCTION("""COMPUTED_VALUE"""),"WA ONLY, CALL")</f>
        <v>WA ONLY, CALL</v>
      </c>
      <c r="P1016" s="1" t="str">
        <f>IFERROR(__xludf.DUMMYFUNCTION("""COMPUTED_VALUE"""),"Madam")</f>
        <v>Madam</v>
      </c>
      <c r="Q1016" s="1" t="str">
        <f>IFERROR(__xludf.DUMMYFUNCTION("""COMPUTED_VALUE"""),"No")</f>
        <v>No</v>
      </c>
      <c r="R1016" s="1" t="str">
        <f>IFERROR(__xludf.DUMMYFUNCTION("""COMPUTED_VALUE"""),"OLD")</f>
        <v>OLD</v>
      </c>
      <c r="S1016" s="1" t="str">
        <f>IFERROR(__xludf.DUMMYFUNCTION("""COMPUTED_VALUE"""),"No")</f>
        <v>No</v>
      </c>
    </row>
    <row r="1017">
      <c r="A1017" s="2">
        <f>IFERROR(__xludf.DUMMYFUNCTION("""COMPUTED_VALUE"""),45678.80236634259)</f>
        <v>45678.80237</v>
      </c>
      <c r="B1017" s="1" t="str">
        <f>IFERROR(__xludf.DUMMYFUNCTION("""COMPUTED_VALUE"""),"Dr.danish")</f>
        <v>Dr.danish</v>
      </c>
      <c r="C1017" s="1">
        <f>IFERROR(__xludf.DUMMYFUNCTION("""COMPUTED_VALUE"""),9.810119786E9)</f>
        <v>9810119786</v>
      </c>
      <c r="D1017" s="1">
        <f>IFERROR(__xludf.DUMMYFUNCTION("""COMPUTED_VALUE"""),2.0)</f>
        <v>2</v>
      </c>
      <c r="E1017" s="3">
        <f>IFERROR(__xludf.DUMMYFUNCTION("""COMPUTED_VALUE"""),0.6493055555547471)</f>
        <v>0.6493055556</v>
      </c>
      <c r="F1017" s="1" t="str">
        <f>IFERROR(__xludf.DUMMYFUNCTION("""COMPUTED_VALUE"""),"Plain Gold")</f>
        <v>Plain Gold</v>
      </c>
      <c r="G1017" s="1" t="str">
        <f>IFERROR(__xludf.DUMMYFUNCTION("""COMPUTED_VALUE"""),"Tannu")</f>
        <v>Tannu</v>
      </c>
      <c r="H1017" s="1" t="str">
        <f>IFERROR(__xludf.DUMMYFUNCTION("""COMPUTED_VALUE"""),"Gold bali,gold tops")</f>
        <v>Gold bali,gold tops</v>
      </c>
      <c r="I1017" s="1"/>
      <c r="J1017" s="1"/>
      <c r="K1017" s="3">
        <f>IFERROR(__xludf.DUMMYFUNCTION("""COMPUTED_VALUE"""),0.6875)</f>
        <v>0.6875</v>
      </c>
      <c r="L1017" s="1" t="str">
        <f>IFERROR(__xludf.DUMMYFUNCTION("""COMPUTED_VALUE"""),"Yes")</f>
        <v>Yes</v>
      </c>
      <c r="M1017" s="1" t="str">
        <f>IFERROR(__xludf.DUMMYFUNCTION("""COMPUTED_VALUE"""),"Yes")</f>
        <v>Yes</v>
      </c>
      <c r="N1017" s="1" t="str">
        <f>IFERROR(__xludf.DUMMYFUNCTION("""COMPUTED_VALUE"""),"Yes")</f>
        <v>Yes</v>
      </c>
      <c r="O1017" s="1" t="str">
        <f>IFERROR(__xludf.DUMMYFUNCTION("""COMPUTED_VALUE"""),"WA ONLY, CALL")</f>
        <v>WA ONLY, CALL</v>
      </c>
      <c r="P1017" s="1" t="str">
        <f>IFERROR(__xludf.DUMMYFUNCTION("""COMPUTED_VALUE"""),"Sir")</f>
        <v>Sir</v>
      </c>
      <c r="Q1017" s="1" t="str">
        <f>IFERROR(__xludf.DUMMYFUNCTION("""COMPUTED_VALUE"""),"No")</f>
        <v>No</v>
      </c>
      <c r="R1017" s="1" t="str">
        <f>IFERROR(__xludf.DUMMYFUNCTION("""COMPUTED_VALUE"""),"OLD")</f>
        <v>OLD</v>
      </c>
      <c r="S1017" s="1" t="str">
        <f>IFERROR(__xludf.DUMMYFUNCTION("""COMPUTED_VALUE"""),"Yes")</f>
        <v>Yes</v>
      </c>
    </row>
    <row r="1018">
      <c r="A1018" s="2">
        <f>IFERROR(__xludf.DUMMYFUNCTION("""COMPUTED_VALUE"""),45679.765170416664)</f>
        <v>45679.76517</v>
      </c>
      <c r="B1018" s="1" t="str">
        <f>IFERROR(__xludf.DUMMYFUNCTION("""COMPUTED_VALUE"""),"Heena")</f>
        <v>Heena</v>
      </c>
      <c r="C1018" s="1">
        <f>IFERROR(__xludf.DUMMYFUNCTION("""COMPUTED_VALUE"""),9.667760028E9)</f>
        <v>9667760028</v>
      </c>
      <c r="D1018" s="1">
        <f>IFERROR(__xludf.DUMMYFUNCTION("""COMPUTED_VALUE"""),4.0)</f>
        <v>4</v>
      </c>
      <c r="E1018" s="3">
        <f>IFERROR(__xludf.DUMMYFUNCTION("""COMPUTED_VALUE"""),0.6666666666642413)</f>
        <v>0.6666666667</v>
      </c>
      <c r="F1018" s="1" t="str">
        <f>IFERROR(__xludf.DUMMYFUNCTION("""COMPUTED_VALUE"""),"Plain Gold")</f>
        <v>Plain Gold</v>
      </c>
      <c r="G1018" s="1" t="str">
        <f>IFERROR(__xludf.DUMMYFUNCTION("""COMPUTED_VALUE"""),"Deepali")</f>
        <v>Deepali</v>
      </c>
      <c r="H1018" s="1" t="str">
        <f>IFERROR(__xludf.DUMMYFUNCTION("""COMPUTED_VALUE"""),"Gold bali,gold sui dhaga tops,gold ring")</f>
        <v>Gold bali,gold sui dhaga tops,gold ring</v>
      </c>
      <c r="I1018" s="1"/>
      <c r="J1018" s="1"/>
      <c r="K1018" s="3">
        <f>IFERROR(__xludf.DUMMYFUNCTION("""COMPUTED_VALUE"""),0.7395833333357587)</f>
        <v>0.7395833333</v>
      </c>
      <c r="L1018" s="1" t="str">
        <f>IFERROR(__xludf.DUMMYFUNCTION("""COMPUTED_VALUE"""),"Yes")</f>
        <v>Yes</v>
      </c>
      <c r="M1018" s="1" t="str">
        <f>IFERROR(__xludf.DUMMYFUNCTION("""COMPUTED_VALUE"""),"Yes")</f>
        <v>Yes</v>
      </c>
      <c r="N1018" s="1" t="str">
        <f>IFERROR(__xludf.DUMMYFUNCTION("""COMPUTED_VALUE"""),"Not use")</f>
        <v>Not use</v>
      </c>
      <c r="O1018" s="1" t="str">
        <f>IFERROR(__xludf.DUMMYFUNCTION("""COMPUTED_VALUE"""),"WA ONLY, CALL")</f>
        <v>WA ONLY, CALL</v>
      </c>
      <c r="P1018" s="1" t="str">
        <f>IFERROR(__xludf.DUMMYFUNCTION("""COMPUTED_VALUE"""),"Madam")</f>
        <v>Madam</v>
      </c>
      <c r="Q1018" s="1" t="str">
        <f>IFERROR(__xludf.DUMMYFUNCTION("""COMPUTED_VALUE"""),"No")</f>
        <v>No</v>
      </c>
      <c r="R1018" s="1" t="str">
        <f>IFERROR(__xludf.DUMMYFUNCTION("""COMPUTED_VALUE"""),"OLD")</f>
        <v>OLD</v>
      </c>
      <c r="S1018" s="1" t="str">
        <f>IFERROR(__xludf.DUMMYFUNCTION("""COMPUTED_VALUE"""),"Yes")</f>
        <v>Yes</v>
      </c>
    </row>
    <row r="1019">
      <c r="A1019" s="2">
        <f>IFERROR(__xludf.DUMMYFUNCTION("""COMPUTED_VALUE"""),45680.7085102662)</f>
        <v>45680.70851</v>
      </c>
      <c r="B1019" s="1" t="str">
        <f>IFERROR(__xludf.DUMMYFUNCTION("""COMPUTED_VALUE"""),"Mukesh")</f>
        <v>Mukesh</v>
      </c>
      <c r="C1019" s="1">
        <f>IFERROR(__xludf.DUMMYFUNCTION("""COMPUTED_VALUE"""),9.650581304E9)</f>
        <v>9650581304</v>
      </c>
      <c r="D1019" s="1">
        <f>IFERROR(__xludf.DUMMYFUNCTION("""COMPUTED_VALUE"""),2.0)</f>
        <v>2</v>
      </c>
      <c r="E1019" s="3">
        <f>IFERROR(__xludf.DUMMYFUNCTION("""COMPUTED_VALUE"""),0.6458333333357587)</f>
        <v>0.6458333333</v>
      </c>
      <c r="F1019" s="1" t="str">
        <f>IFERROR(__xludf.DUMMYFUNCTION("""COMPUTED_VALUE"""),"Plain Gold")</f>
        <v>Plain Gold</v>
      </c>
      <c r="G1019" s="1" t="str">
        <f>IFERROR(__xludf.DUMMYFUNCTION("""COMPUTED_VALUE"""),"Deepali")</f>
        <v>Deepali</v>
      </c>
      <c r="H1019" s="1" t="str">
        <f>IFERROR(__xludf.DUMMYFUNCTION("""COMPUTED_VALUE"""),"Gold tops")</f>
        <v>Gold tops</v>
      </c>
      <c r="I1019" s="1"/>
      <c r="J1019" s="1"/>
      <c r="K1019" s="3">
        <f>IFERROR(__xludf.DUMMYFUNCTION("""COMPUTED_VALUE"""),0.6666666666642413)</f>
        <v>0.6666666667</v>
      </c>
      <c r="L1019" s="1" t="str">
        <f>IFERROR(__xludf.DUMMYFUNCTION("""COMPUTED_VALUE"""),"Yes")</f>
        <v>Yes</v>
      </c>
      <c r="M1019" s="1" t="str">
        <f>IFERROR(__xludf.DUMMYFUNCTION("""COMPUTED_VALUE"""),"Yes")</f>
        <v>Yes</v>
      </c>
      <c r="N1019" s="1" t="str">
        <f>IFERROR(__xludf.DUMMYFUNCTION("""COMPUTED_VALUE"""),"Yes")</f>
        <v>Yes</v>
      </c>
      <c r="O1019" s="1" t="str">
        <f>IFERROR(__xludf.DUMMYFUNCTION("""COMPUTED_VALUE"""),"WA ONLY, CALL")</f>
        <v>WA ONLY, CALL</v>
      </c>
      <c r="P1019" s="1" t="str">
        <f>IFERROR(__xludf.DUMMYFUNCTION("""COMPUTED_VALUE"""),"Sir")</f>
        <v>Sir</v>
      </c>
      <c r="Q1019" s="1" t="str">
        <f>IFERROR(__xludf.DUMMYFUNCTION("""COMPUTED_VALUE"""),"No")</f>
        <v>No</v>
      </c>
      <c r="R1019" s="1" t="str">
        <f>IFERROR(__xludf.DUMMYFUNCTION("""COMPUTED_VALUE"""),"NEW WALK IN")</f>
        <v>NEW WALK IN</v>
      </c>
      <c r="S1019" s="1" t="str">
        <f>IFERROR(__xludf.DUMMYFUNCTION("""COMPUTED_VALUE"""),"Yes")</f>
        <v>Yes</v>
      </c>
    </row>
    <row r="1020">
      <c r="A1020" s="2">
        <f>IFERROR(__xludf.DUMMYFUNCTION("""COMPUTED_VALUE"""),45680.70929621528)</f>
        <v>45680.7093</v>
      </c>
      <c r="B1020" s="1" t="str">
        <f>IFERROR(__xludf.DUMMYFUNCTION("""COMPUTED_VALUE"""),"Shaku nagpal")</f>
        <v>Shaku nagpal</v>
      </c>
      <c r="C1020" s="1">
        <f>IFERROR(__xludf.DUMMYFUNCTION("""COMPUTED_VALUE"""),9.355031025E9)</f>
        <v>9355031025</v>
      </c>
      <c r="D1020" s="1">
        <f>IFERROR(__xludf.DUMMYFUNCTION("""COMPUTED_VALUE"""),1.0)</f>
        <v>1</v>
      </c>
      <c r="E1020" s="3">
        <f>IFERROR(__xludf.DUMMYFUNCTION("""COMPUTED_VALUE"""),0.625)</f>
        <v>0.625</v>
      </c>
      <c r="F1020" s="1" t="str">
        <f>IFERROR(__xludf.DUMMYFUNCTION("""COMPUTED_VALUE"""),"Antique Gold")</f>
        <v>Antique Gold</v>
      </c>
      <c r="G1020" s="1" t="str">
        <f>IFERROR(__xludf.DUMMYFUNCTION("""COMPUTED_VALUE"""),"Tannu")</f>
        <v>Tannu</v>
      </c>
      <c r="H1020" s="1" t="str">
        <f>IFERROR(__xludf.DUMMYFUNCTION("""COMPUTED_VALUE"""),"Antique gold breslet ")</f>
        <v>Antique gold breslet </v>
      </c>
      <c r="I1020" s="1"/>
      <c r="J1020" s="1"/>
      <c r="K1020" s="3">
        <f>IFERROR(__xludf.DUMMYFUNCTION("""COMPUTED_VALUE"""),0.6763888888890506)</f>
        <v>0.6763888889</v>
      </c>
      <c r="L1020" s="1" t="str">
        <f>IFERROR(__xludf.DUMMYFUNCTION("""COMPUTED_VALUE"""),"Yes")</f>
        <v>Yes</v>
      </c>
      <c r="M1020" s="1" t="str">
        <f>IFERROR(__xludf.DUMMYFUNCTION("""COMPUTED_VALUE"""),"Already done ")</f>
        <v>Already done </v>
      </c>
      <c r="N1020" s="1" t="str">
        <f>IFERROR(__xludf.DUMMYFUNCTION("""COMPUTED_VALUE"""),"Already done ")</f>
        <v>Already done </v>
      </c>
      <c r="O1020" s="1" t="str">
        <f>IFERROR(__xludf.DUMMYFUNCTION("""COMPUTED_VALUE"""),"WA ONLY, CALL")</f>
        <v>WA ONLY, CALL</v>
      </c>
      <c r="P1020" s="1" t="str">
        <f>IFERROR(__xludf.DUMMYFUNCTION("""COMPUTED_VALUE"""),"Madam")</f>
        <v>Madam</v>
      </c>
      <c r="Q1020" s="1" t="str">
        <f>IFERROR(__xludf.DUMMYFUNCTION("""COMPUTED_VALUE"""),"No")</f>
        <v>No</v>
      </c>
      <c r="R1020" s="1" t="str">
        <f>IFERROR(__xludf.DUMMYFUNCTION("""COMPUTED_VALUE"""),"OLD")</f>
        <v>OLD</v>
      </c>
      <c r="S1020" s="1" t="str">
        <f>IFERROR(__xludf.DUMMYFUNCTION("""COMPUTED_VALUE"""),"Yes")</f>
        <v>Yes</v>
      </c>
    </row>
    <row r="1021">
      <c r="A1021" s="2">
        <f>IFERROR(__xludf.DUMMYFUNCTION("""COMPUTED_VALUE"""),45680.71009350695)</f>
        <v>45680.71009</v>
      </c>
      <c r="B1021" s="1" t="str">
        <f>IFERROR(__xludf.DUMMYFUNCTION("""COMPUTED_VALUE"""),"Kanika")</f>
        <v>Kanika</v>
      </c>
      <c r="C1021" s="1">
        <f>IFERROR(__xludf.DUMMYFUNCTION("""COMPUTED_VALUE"""),9.899438638E9)</f>
        <v>9899438638</v>
      </c>
      <c r="D1021" s="1">
        <f>IFERROR(__xludf.DUMMYFUNCTION("""COMPUTED_VALUE"""),2.0)</f>
        <v>2</v>
      </c>
      <c r="E1021" s="3">
        <f>IFERROR(__xludf.DUMMYFUNCTION("""COMPUTED_VALUE"""),0.6687499999970896)</f>
        <v>0.66875</v>
      </c>
      <c r="F1021" s="1" t="str">
        <f>IFERROR(__xludf.DUMMYFUNCTION("""COMPUTED_VALUE"""),"Diamond")</f>
        <v>Diamond</v>
      </c>
      <c r="G1021" s="1" t="str">
        <f>IFERROR(__xludf.DUMMYFUNCTION("""COMPUTED_VALUE"""),"Preeti")</f>
        <v>Preeti</v>
      </c>
      <c r="H1021" s="1" t="str">
        <f>IFERROR(__xludf.DUMMYFUNCTION("""COMPUTED_VALUE"""),"Daimond nose pin")</f>
        <v>Daimond nose pin</v>
      </c>
      <c r="I1021" s="1"/>
      <c r="J1021" s="1"/>
      <c r="K1021" s="3">
        <f>IFERROR(__xludf.DUMMYFUNCTION("""COMPUTED_VALUE"""),0.7013888888905058)</f>
        <v>0.7013888889</v>
      </c>
      <c r="L1021" s="1" t="str">
        <f>IFERROR(__xludf.DUMMYFUNCTION("""COMPUTED_VALUE"""),"Yes")</f>
        <v>Yes</v>
      </c>
      <c r="M1021" s="1" t="str">
        <f>IFERROR(__xludf.DUMMYFUNCTION("""COMPUTED_VALUE"""),"Already done ")</f>
        <v>Already done </v>
      </c>
      <c r="N1021" s="1" t="str">
        <f>IFERROR(__xludf.DUMMYFUNCTION("""COMPUTED_VALUE"""),"Already done ")</f>
        <v>Already done </v>
      </c>
      <c r="O1021" s="1" t="str">
        <f>IFERROR(__xludf.DUMMYFUNCTION("""COMPUTED_VALUE"""),"WA ONLY, CALL")</f>
        <v>WA ONLY, CALL</v>
      </c>
      <c r="P1021" s="1" t="str">
        <f>IFERROR(__xludf.DUMMYFUNCTION("""COMPUTED_VALUE"""),"Madam")</f>
        <v>Madam</v>
      </c>
      <c r="Q1021" s="1" t="str">
        <f>IFERROR(__xludf.DUMMYFUNCTION("""COMPUTED_VALUE"""),"No")</f>
        <v>No</v>
      </c>
      <c r="R1021" s="1" t="str">
        <f>IFERROR(__xludf.DUMMYFUNCTION("""COMPUTED_VALUE"""),"OLD")</f>
        <v>OLD</v>
      </c>
      <c r="S1021" s="1" t="str">
        <f>IFERROR(__xludf.DUMMYFUNCTION("""COMPUTED_VALUE"""),"Yes")</f>
        <v>Yes</v>
      </c>
    </row>
    <row r="1022">
      <c r="A1022" s="2">
        <f>IFERROR(__xludf.DUMMYFUNCTION("""COMPUTED_VALUE"""),45681.70134694444)</f>
        <v>45681.70135</v>
      </c>
      <c r="B1022" s="1" t="str">
        <f>IFERROR(__xludf.DUMMYFUNCTION("""COMPUTED_VALUE"""),"Renu")</f>
        <v>Renu</v>
      </c>
      <c r="C1022" s="1">
        <f>IFERROR(__xludf.DUMMYFUNCTION("""COMPUTED_VALUE"""),8.1938356639E10)</f>
        <v>81938356639</v>
      </c>
      <c r="D1022" s="1">
        <f>IFERROR(__xludf.DUMMYFUNCTION("""COMPUTED_VALUE"""),3.0)</f>
        <v>3</v>
      </c>
      <c r="E1022" s="3">
        <f>IFERROR(__xludf.DUMMYFUNCTION("""COMPUTED_VALUE"""),0.5659722222189885)</f>
        <v>0.5659722222</v>
      </c>
      <c r="F1022" s="1" t="str">
        <f>IFERROR(__xludf.DUMMYFUNCTION("""COMPUTED_VALUE"""),"Plain Gold")</f>
        <v>Plain Gold</v>
      </c>
      <c r="G1022" s="1" t="str">
        <f>IFERROR(__xludf.DUMMYFUNCTION("""COMPUTED_VALUE"""),"Sapna")</f>
        <v>Sapna</v>
      </c>
      <c r="H1022" s="1" t="str">
        <f>IFERROR(__xludf.DUMMYFUNCTION("""COMPUTED_VALUE"""),"Chandi kada")</f>
        <v>Chandi kada</v>
      </c>
      <c r="I1022" s="1" t="str">
        <f>IFERROR(__xludf.DUMMYFUNCTION("""COMPUTED_VALUE"""),"Chandi kada not available in the stok ")</f>
        <v>Chandi kada not available in the stok </v>
      </c>
      <c r="J1022" s="1"/>
      <c r="K1022" s="3">
        <f>IFERROR(__xludf.DUMMYFUNCTION("""COMPUTED_VALUE"""),0.5833333333357587)</f>
        <v>0.5833333333</v>
      </c>
      <c r="L1022" s="1" t="str">
        <f>IFERROR(__xludf.DUMMYFUNCTION("""COMPUTED_VALUE"""),"No")</f>
        <v>No</v>
      </c>
      <c r="M1022" s="1" t="str">
        <f>IFERROR(__xludf.DUMMYFUNCTION("""COMPUTED_VALUE"""),"No")</f>
        <v>No</v>
      </c>
      <c r="N1022" s="1" t="str">
        <f>IFERROR(__xludf.DUMMYFUNCTION("""COMPUTED_VALUE"""),"No")</f>
        <v>No</v>
      </c>
      <c r="O1022" s="1" t="str">
        <f>IFERROR(__xludf.DUMMYFUNCTION("""COMPUTED_VALUE"""),"WA ONLY, CALL")</f>
        <v>WA ONLY, CALL</v>
      </c>
      <c r="P1022" s="1" t="str">
        <f>IFERROR(__xludf.DUMMYFUNCTION("""COMPUTED_VALUE"""),"Madam")</f>
        <v>Madam</v>
      </c>
      <c r="Q1022" s="1" t="str">
        <f>IFERROR(__xludf.DUMMYFUNCTION("""COMPUTED_VALUE"""),"No")</f>
        <v>No</v>
      </c>
      <c r="R1022" s="1" t="str">
        <f>IFERROR(__xludf.DUMMYFUNCTION("""COMPUTED_VALUE"""),"NEW WALK IN")</f>
        <v>NEW WALK IN</v>
      </c>
      <c r="S1022" s="1" t="str">
        <f>IFERROR(__xludf.DUMMYFUNCTION("""COMPUTED_VALUE"""),"No")</f>
        <v>No</v>
      </c>
    </row>
    <row r="1023">
      <c r="A1023" s="2">
        <f>IFERROR(__xludf.DUMMYFUNCTION("""COMPUTED_VALUE"""),45681.702290960646)</f>
        <v>45681.70229</v>
      </c>
      <c r="B1023" s="1" t="str">
        <f>IFERROR(__xludf.DUMMYFUNCTION("""COMPUTED_VALUE"""),"Padma")</f>
        <v>Padma</v>
      </c>
      <c r="C1023" s="1">
        <f>IFERROR(__xludf.DUMMYFUNCTION("""COMPUTED_VALUE"""),8.899540581E9)</f>
        <v>8899540581</v>
      </c>
      <c r="D1023" s="1">
        <f>IFERROR(__xludf.DUMMYFUNCTION("""COMPUTED_VALUE"""),2.0)</f>
        <v>2</v>
      </c>
      <c r="E1023" s="3">
        <f>IFERROR(__xludf.DUMMYFUNCTION("""COMPUTED_VALUE"""),0.59375)</f>
        <v>0.59375</v>
      </c>
      <c r="F1023" s="1" t="str">
        <f>IFERROR(__xludf.DUMMYFUNCTION("""COMPUTED_VALUE"""),"Plain Gold")</f>
        <v>Plain Gold</v>
      </c>
      <c r="G1023" s="1" t="str">
        <f>IFERROR(__xludf.DUMMYFUNCTION("""COMPUTED_VALUE"""),"Sapna")</f>
        <v>Sapna</v>
      </c>
      <c r="H1023" s="1" t="str">
        <f>IFERROR(__xludf.DUMMYFUNCTION("""COMPUTED_VALUE"""),"Gold chain,gold pendent ")</f>
        <v>Gold chain,gold pendent </v>
      </c>
      <c r="I1023" s="1"/>
      <c r="J1023" s="1"/>
      <c r="K1023" s="3">
        <f>IFERROR(__xludf.DUMMYFUNCTION("""COMPUTED_VALUE"""),0.6263888888934162)</f>
        <v>0.6263888889</v>
      </c>
      <c r="L1023" s="1" t="str">
        <f>IFERROR(__xludf.DUMMYFUNCTION("""COMPUTED_VALUE"""),"Yes")</f>
        <v>Yes</v>
      </c>
      <c r="M1023" s="1" t="str">
        <f>IFERROR(__xludf.DUMMYFUNCTION("""COMPUTED_VALUE"""),"Yes")</f>
        <v>Yes</v>
      </c>
      <c r="N1023" s="1" t="str">
        <f>IFERROR(__xludf.DUMMYFUNCTION("""COMPUTED_VALUE"""),"Yes")</f>
        <v>Yes</v>
      </c>
      <c r="O1023" s="1" t="str">
        <f>IFERROR(__xludf.DUMMYFUNCTION("""COMPUTED_VALUE"""),"WA ONLY, CALL")</f>
        <v>WA ONLY, CALL</v>
      </c>
      <c r="P1023" s="1" t="str">
        <f>IFERROR(__xludf.DUMMYFUNCTION("""COMPUTED_VALUE"""),"Madam")</f>
        <v>Madam</v>
      </c>
      <c r="Q1023" s="1" t="str">
        <f>IFERROR(__xludf.DUMMYFUNCTION("""COMPUTED_VALUE"""),"No")</f>
        <v>No</v>
      </c>
      <c r="R1023" s="1" t="str">
        <f>IFERROR(__xludf.DUMMYFUNCTION("""COMPUTED_VALUE"""),"NEW WALK IN")</f>
        <v>NEW WALK IN</v>
      </c>
      <c r="S1023" s="1" t="str">
        <f>IFERROR(__xludf.DUMMYFUNCTION("""COMPUTED_VALUE"""),"Yes")</f>
        <v>Yes</v>
      </c>
    </row>
    <row r="1024">
      <c r="A1024" s="2">
        <f>IFERROR(__xludf.DUMMYFUNCTION("""COMPUTED_VALUE"""),45681.70303778935)</f>
        <v>45681.70304</v>
      </c>
      <c r="B1024" s="1" t="str">
        <f>IFERROR(__xludf.DUMMYFUNCTION("""COMPUTED_VALUE"""),"Simran")</f>
        <v>Simran</v>
      </c>
      <c r="C1024" s="1">
        <f>IFERROR(__xludf.DUMMYFUNCTION("""COMPUTED_VALUE"""),9.811195679E9)</f>
        <v>9811195679</v>
      </c>
      <c r="D1024" s="1">
        <f>IFERROR(__xludf.DUMMYFUNCTION("""COMPUTED_VALUE"""),2.0)</f>
        <v>2</v>
      </c>
      <c r="E1024" s="3">
        <f>IFERROR(__xludf.DUMMYFUNCTION("""COMPUTED_VALUE"""),0.6145833333357587)</f>
        <v>0.6145833333</v>
      </c>
      <c r="F1024" s="1" t="str">
        <f>IFERROR(__xludf.DUMMYFUNCTION("""COMPUTED_VALUE"""),"Diamond")</f>
        <v>Diamond</v>
      </c>
      <c r="G1024" s="1" t="str">
        <f>IFERROR(__xludf.DUMMYFUNCTION("""COMPUTED_VALUE"""),"Preeti")</f>
        <v>Preeti</v>
      </c>
      <c r="H1024" s="1" t="str">
        <f>IFERROR(__xludf.DUMMYFUNCTION("""COMPUTED_VALUE"""),"Gems stone breslet ")</f>
        <v>Gems stone breslet </v>
      </c>
      <c r="I1024" s="1"/>
      <c r="J1024" s="1"/>
      <c r="K1024" s="3">
        <f>IFERROR(__xludf.DUMMYFUNCTION("""COMPUTED_VALUE"""),0.6770833333357587)</f>
        <v>0.6770833333</v>
      </c>
      <c r="L1024" s="1" t="str">
        <f>IFERROR(__xludf.DUMMYFUNCTION("""COMPUTED_VALUE"""),"Yes")</f>
        <v>Yes</v>
      </c>
      <c r="M1024" s="1" t="str">
        <f>IFERROR(__xludf.DUMMYFUNCTION("""COMPUTED_VALUE"""),"Already done ")</f>
        <v>Already done </v>
      </c>
      <c r="N1024" s="1" t="str">
        <f>IFERROR(__xludf.DUMMYFUNCTION("""COMPUTED_VALUE"""),"Already done ")</f>
        <v>Already done </v>
      </c>
      <c r="O1024" s="1" t="str">
        <f>IFERROR(__xludf.DUMMYFUNCTION("""COMPUTED_VALUE"""),"WA ONLY, CALL")</f>
        <v>WA ONLY, CALL</v>
      </c>
      <c r="P1024" s="1" t="str">
        <f>IFERROR(__xludf.DUMMYFUNCTION("""COMPUTED_VALUE"""),"Madam")</f>
        <v>Madam</v>
      </c>
      <c r="Q1024" s="1" t="str">
        <f>IFERROR(__xludf.DUMMYFUNCTION("""COMPUTED_VALUE"""),"No")</f>
        <v>No</v>
      </c>
      <c r="R1024" s="1" t="str">
        <f>IFERROR(__xludf.DUMMYFUNCTION("""COMPUTED_VALUE"""),"OLD")</f>
        <v>OLD</v>
      </c>
      <c r="S1024" s="1" t="str">
        <f>IFERROR(__xludf.DUMMYFUNCTION("""COMPUTED_VALUE"""),"Yes")</f>
        <v>Yes</v>
      </c>
    </row>
    <row r="1025">
      <c r="A1025" s="2">
        <f>IFERROR(__xludf.DUMMYFUNCTION("""COMPUTED_VALUE"""),45685.73825246528)</f>
        <v>45685.73825</v>
      </c>
      <c r="B1025" s="1" t="str">
        <f>IFERROR(__xludf.DUMMYFUNCTION("""COMPUTED_VALUE"""),"Vanshika")</f>
        <v>Vanshika</v>
      </c>
      <c r="C1025" s="1">
        <f>IFERROR(__xludf.DUMMYFUNCTION("""COMPUTED_VALUE"""),9.0694661111E10)</f>
        <v>90694661111</v>
      </c>
      <c r="D1025" s="1">
        <f>IFERROR(__xludf.DUMMYFUNCTION("""COMPUTED_VALUE"""),2.0)</f>
        <v>2</v>
      </c>
      <c r="E1025" s="3">
        <f>IFERROR(__xludf.DUMMYFUNCTION("""COMPUTED_VALUE"""),0.6145833333357587)</f>
        <v>0.6145833333</v>
      </c>
      <c r="F1025" s="1" t="str">
        <f>IFERROR(__xludf.DUMMYFUNCTION("""COMPUTED_VALUE"""),"Antique Gold")</f>
        <v>Antique Gold</v>
      </c>
      <c r="G1025" s="1" t="str">
        <f>IFERROR(__xludf.DUMMYFUNCTION("""COMPUTED_VALUE"""),"Preeti")</f>
        <v>Preeti</v>
      </c>
      <c r="H1025" s="1" t="str">
        <f>IFERROR(__xludf.DUMMYFUNCTION("""COMPUTED_VALUE"""),"Antique gold bangles ")</f>
        <v>Antique gold bangles </v>
      </c>
      <c r="I1025" s="1"/>
      <c r="J1025" s="1"/>
      <c r="K1025" s="3">
        <f>IFERROR(__xludf.DUMMYFUNCTION("""COMPUTED_VALUE"""),0.6979166666642413)</f>
        <v>0.6979166667</v>
      </c>
      <c r="L1025" s="1" t="str">
        <f>IFERROR(__xludf.DUMMYFUNCTION("""COMPUTED_VALUE"""),"Yes")</f>
        <v>Yes</v>
      </c>
      <c r="M1025" s="1" t="str">
        <f>IFERROR(__xludf.DUMMYFUNCTION("""COMPUTED_VALUE"""),"Already done ")</f>
        <v>Already done </v>
      </c>
      <c r="N1025" s="1" t="str">
        <f>IFERROR(__xludf.DUMMYFUNCTION("""COMPUTED_VALUE"""),"Already done ")</f>
        <v>Already done </v>
      </c>
      <c r="O1025" s="1" t="str">
        <f>IFERROR(__xludf.DUMMYFUNCTION("""COMPUTED_VALUE"""),"WA ONLY, CALL")</f>
        <v>WA ONLY, CALL</v>
      </c>
      <c r="P1025" s="1" t="str">
        <f>IFERROR(__xludf.DUMMYFUNCTION("""COMPUTED_VALUE"""),"Madam")</f>
        <v>Madam</v>
      </c>
      <c r="Q1025" s="1" t="str">
        <f>IFERROR(__xludf.DUMMYFUNCTION("""COMPUTED_VALUE"""),"No")</f>
        <v>No</v>
      </c>
      <c r="R1025" s="1" t="str">
        <f>IFERROR(__xludf.DUMMYFUNCTION("""COMPUTED_VALUE"""),"OLD")</f>
        <v>OLD</v>
      </c>
      <c r="S1025" s="1" t="str">
        <f>IFERROR(__xludf.DUMMYFUNCTION("""COMPUTED_VALUE"""),"Yes")</f>
        <v>Yes</v>
      </c>
    </row>
    <row r="1026">
      <c r="A1026" s="2">
        <f>IFERROR(__xludf.DUMMYFUNCTION("""COMPUTED_VALUE"""),45685.73950582176)</f>
        <v>45685.73951</v>
      </c>
      <c r="B1026" s="1" t="str">
        <f>IFERROR(__xludf.DUMMYFUNCTION("""COMPUTED_VALUE"""),"Rashmi")</f>
        <v>Rashmi</v>
      </c>
      <c r="C1026" s="1">
        <f>IFERROR(__xludf.DUMMYFUNCTION("""COMPUTED_VALUE"""),6.387534566E9)</f>
        <v>6387534566</v>
      </c>
      <c r="D1026" s="1">
        <f>IFERROR(__xludf.DUMMYFUNCTION("""COMPUTED_VALUE"""),2.0)</f>
        <v>2</v>
      </c>
      <c r="E1026" s="3">
        <f>IFERROR(__xludf.DUMMYFUNCTION("""COMPUTED_VALUE"""),0.6694444444437977)</f>
        <v>0.6694444444</v>
      </c>
      <c r="F1026" s="1" t="str">
        <f>IFERROR(__xludf.DUMMYFUNCTION("""COMPUTED_VALUE"""),"Plain Gold")</f>
        <v>Plain Gold</v>
      </c>
      <c r="G1026" s="1" t="str">
        <f>IFERROR(__xludf.DUMMYFUNCTION("""COMPUTED_VALUE"""),"Sapna")</f>
        <v>Sapna</v>
      </c>
      <c r="H1026" s="1" t="str">
        <f>IFERROR(__xludf.DUMMYFUNCTION("""COMPUTED_VALUE"""),"Gold nose pin")</f>
        <v>Gold nose pin</v>
      </c>
      <c r="I1026" s="1"/>
      <c r="J1026" s="1"/>
      <c r="K1026" s="3">
        <f>IFERROR(__xludf.DUMMYFUNCTION("""COMPUTED_VALUE"""),0.7083333333357587)</f>
        <v>0.7083333333</v>
      </c>
      <c r="L1026" s="1" t="str">
        <f>IFERROR(__xludf.DUMMYFUNCTION("""COMPUTED_VALUE"""),"Yes")</f>
        <v>Yes</v>
      </c>
      <c r="M1026" s="1" t="str">
        <f>IFERROR(__xludf.DUMMYFUNCTION("""COMPUTED_VALUE"""),"Yes")</f>
        <v>Yes</v>
      </c>
      <c r="N1026" s="1" t="str">
        <f>IFERROR(__xludf.DUMMYFUNCTION("""COMPUTED_VALUE"""),"Yes")</f>
        <v>Yes</v>
      </c>
      <c r="O1026" s="1" t="str">
        <f>IFERROR(__xludf.DUMMYFUNCTION("""COMPUTED_VALUE"""),"WA ONLY, CALL")</f>
        <v>WA ONLY, CALL</v>
      </c>
      <c r="P1026" s="1" t="str">
        <f>IFERROR(__xludf.DUMMYFUNCTION("""COMPUTED_VALUE"""),"Madam")</f>
        <v>Madam</v>
      </c>
      <c r="Q1026" s="1" t="str">
        <f>IFERROR(__xludf.DUMMYFUNCTION("""COMPUTED_VALUE"""),"No")</f>
        <v>No</v>
      </c>
      <c r="R1026" s="1" t="str">
        <f>IFERROR(__xludf.DUMMYFUNCTION("""COMPUTED_VALUE"""),"NEW WALK IN")</f>
        <v>NEW WALK IN</v>
      </c>
      <c r="S1026" s="1" t="str">
        <f>IFERROR(__xludf.DUMMYFUNCTION("""COMPUTED_VALUE"""),"Yes")</f>
        <v>Yes</v>
      </c>
    </row>
    <row r="1027">
      <c r="A1027" s="2">
        <f>IFERROR(__xludf.DUMMYFUNCTION("""COMPUTED_VALUE"""),45685.798404953704)</f>
        <v>45685.7984</v>
      </c>
      <c r="B1027" s="1" t="str">
        <f>IFERROR(__xludf.DUMMYFUNCTION("""COMPUTED_VALUE"""),"Himani")</f>
        <v>Himani</v>
      </c>
      <c r="C1027" s="1">
        <f>IFERROR(__xludf.DUMMYFUNCTION("""COMPUTED_VALUE"""),9.958420574E9)</f>
        <v>9958420574</v>
      </c>
      <c r="D1027" s="1">
        <f>IFERROR(__xludf.DUMMYFUNCTION("""COMPUTED_VALUE"""),2.0)</f>
        <v>2</v>
      </c>
      <c r="E1027" s="3">
        <f>IFERROR(__xludf.DUMMYFUNCTION("""COMPUTED_VALUE"""),0.6770833333357587)</f>
        <v>0.6770833333</v>
      </c>
      <c r="F1027" s="1" t="str">
        <f>IFERROR(__xludf.DUMMYFUNCTION("""COMPUTED_VALUE"""),"Diamond")</f>
        <v>Diamond</v>
      </c>
      <c r="G1027" s="1" t="str">
        <f>IFERROR(__xludf.DUMMYFUNCTION("""COMPUTED_VALUE"""),"Preeti")</f>
        <v>Preeti</v>
      </c>
      <c r="H1027" s="1" t="str">
        <f>IFERROR(__xludf.DUMMYFUNCTION("""COMPUTED_VALUE"""),"Gold antique set,gold tops")</f>
        <v>Gold antique set,gold tops</v>
      </c>
      <c r="I1027" s="1"/>
      <c r="J1027" s="1"/>
      <c r="K1027" s="3">
        <f>IFERROR(__xludf.DUMMYFUNCTION("""COMPUTED_VALUE"""),0.7548611111124046)</f>
        <v>0.7548611111</v>
      </c>
      <c r="L1027" s="1" t="str">
        <f>IFERROR(__xludf.DUMMYFUNCTION("""COMPUTED_VALUE"""),"Yes")</f>
        <v>Yes</v>
      </c>
      <c r="M1027" s="1" t="str">
        <f>IFERROR(__xludf.DUMMYFUNCTION("""COMPUTED_VALUE"""),"Already done ")</f>
        <v>Already done </v>
      </c>
      <c r="N1027" s="1" t="str">
        <f>IFERROR(__xludf.DUMMYFUNCTION("""COMPUTED_VALUE"""),"Already done ")</f>
        <v>Already done </v>
      </c>
      <c r="O1027" s="1" t="str">
        <f>IFERROR(__xludf.DUMMYFUNCTION("""COMPUTED_VALUE"""),"WA ONLY, CALL")</f>
        <v>WA ONLY, CALL</v>
      </c>
      <c r="P1027" s="1" t="str">
        <f>IFERROR(__xludf.DUMMYFUNCTION("""COMPUTED_VALUE"""),"Madam")</f>
        <v>Madam</v>
      </c>
      <c r="Q1027" s="1" t="str">
        <f>IFERROR(__xludf.DUMMYFUNCTION("""COMPUTED_VALUE"""),"No")</f>
        <v>No</v>
      </c>
      <c r="R1027" s="1" t="str">
        <f>IFERROR(__xludf.DUMMYFUNCTION("""COMPUTED_VALUE"""),"OLD")</f>
        <v>OLD</v>
      </c>
      <c r="S1027" s="1" t="str">
        <f>IFERROR(__xludf.DUMMYFUNCTION("""COMPUTED_VALUE"""),"Yes")</f>
        <v>Yes</v>
      </c>
    </row>
    <row r="1028">
      <c r="A1028" s="2">
        <f>IFERROR(__xludf.DUMMYFUNCTION("""COMPUTED_VALUE"""),45685.800653252314)</f>
        <v>45685.80065</v>
      </c>
      <c r="B1028" s="1" t="str">
        <f>IFERROR(__xludf.DUMMYFUNCTION("""COMPUTED_VALUE"""),"Ashwariya")</f>
        <v>Ashwariya</v>
      </c>
      <c r="C1028" s="1">
        <f>IFERROR(__xludf.DUMMYFUNCTION("""COMPUTED_VALUE"""),9.625470327E9)</f>
        <v>9625470327</v>
      </c>
      <c r="D1028" s="1">
        <f>IFERROR(__xludf.DUMMYFUNCTION("""COMPUTED_VALUE"""),5.0)</f>
        <v>5</v>
      </c>
      <c r="E1028" s="3">
        <f>IFERROR(__xludf.DUMMYFUNCTION("""COMPUTED_VALUE"""),0.796527777776646)</f>
        <v>0.7965277778</v>
      </c>
      <c r="F1028" s="1" t="str">
        <f>IFERROR(__xludf.DUMMYFUNCTION("""COMPUTED_VALUE"""),"Diamond")</f>
        <v>Diamond</v>
      </c>
      <c r="G1028" s="1" t="str">
        <f>IFERROR(__xludf.DUMMYFUNCTION("""COMPUTED_VALUE"""),"Preeti")</f>
        <v>Preeti</v>
      </c>
      <c r="H1028" s="1" t="str">
        <f>IFERROR(__xludf.DUMMYFUNCTION("""COMPUTED_VALUE"""),"Solitaire gents and ledis ring ")</f>
        <v>Solitaire gents and ledis ring </v>
      </c>
      <c r="I1028" s="1"/>
      <c r="J1028" s="1"/>
      <c r="K1028" s="3">
        <f>IFERROR(__xludf.DUMMYFUNCTION("""COMPUTED_VALUE"""),0.796527777776646)</f>
        <v>0.7965277778</v>
      </c>
      <c r="L1028" s="1" t="str">
        <f>IFERROR(__xludf.DUMMYFUNCTION("""COMPUTED_VALUE"""),"No")</f>
        <v>No</v>
      </c>
      <c r="M1028" s="1" t="str">
        <f>IFERROR(__xludf.DUMMYFUNCTION("""COMPUTED_VALUE"""),"No")</f>
        <v>No</v>
      </c>
      <c r="N1028" s="1" t="str">
        <f>IFERROR(__xludf.DUMMYFUNCTION("""COMPUTED_VALUE"""),"No")</f>
        <v>No</v>
      </c>
      <c r="O1028" s="1" t="str">
        <f>IFERROR(__xludf.DUMMYFUNCTION("""COMPUTED_VALUE"""),"WA ONLY, CALL")</f>
        <v>WA ONLY, CALL</v>
      </c>
      <c r="P1028" s="1" t="str">
        <f>IFERROR(__xludf.DUMMYFUNCTION("""COMPUTED_VALUE"""),"Madam")</f>
        <v>Madam</v>
      </c>
      <c r="Q1028" s="1" t="str">
        <f>IFERROR(__xludf.DUMMYFUNCTION("""COMPUTED_VALUE"""),"No")</f>
        <v>No</v>
      </c>
      <c r="R1028" s="1" t="str">
        <f>IFERROR(__xludf.DUMMYFUNCTION("""COMPUTED_VALUE"""),"NEW WALK IN")</f>
        <v>NEW WALK IN</v>
      </c>
      <c r="S1028" s="1" t="str">
        <f>IFERROR(__xludf.DUMMYFUNCTION("""COMPUTED_VALUE"""),"No")</f>
        <v>No</v>
      </c>
    </row>
    <row r="1029">
      <c r="A1029" s="2">
        <f>IFERROR(__xludf.DUMMYFUNCTION("""COMPUTED_VALUE"""),45686.78257115741)</f>
        <v>45686.78257</v>
      </c>
      <c r="B1029" s="1" t="str">
        <f>IFERROR(__xludf.DUMMYFUNCTION("""COMPUTED_VALUE"""),"Himani ")</f>
        <v>Himani </v>
      </c>
      <c r="C1029" s="1">
        <f>IFERROR(__xludf.DUMMYFUNCTION("""COMPUTED_VALUE"""),9.958420574E9)</f>
        <v>9958420574</v>
      </c>
      <c r="D1029" s="1">
        <f>IFERROR(__xludf.DUMMYFUNCTION("""COMPUTED_VALUE"""),1.0)</f>
        <v>1</v>
      </c>
      <c r="E1029" s="3">
        <f>IFERROR(__xludf.DUMMYFUNCTION("""COMPUTED_VALUE"""),0.6479166666686069)</f>
        <v>0.6479166667</v>
      </c>
      <c r="F1029" s="1" t="str">
        <f>IFERROR(__xludf.DUMMYFUNCTION("""COMPUTED_VALUE"""),"Diamond")</f>
        <v>Diamond</v>
      </c>
      <c r="G1029" s="1" t="str">
        <f>IFERROR(__xludf.DUMMYFUNCTION("""COMPUTED_VALUE"""),"Preeti")</f>
        <v>Preeti</v>
      </c>
      <c r="H1029" s="1" t="str">
        <f>IFERROR(__xludf.DUMMYFUNCTION("""COMPUTED_VALUE"""),".")</f>
        <v>.</v>
      </c>
      <c r="I1029" s="1" t="str">
        <f>IFERROR(__xludf.DUMMYFUNCTION("""COMPUTED_VALUE"""),"Pick up Order")</f>
        <v>Pick up Order</v>
      </c>
      <c r="J1029" s="1"/>
      <c r="K1029" s="3">
        <f>IFERROR(__xludf.DUMMYFUNCTION("""COMPUTED_VALUE"""),0.7083333333357587)</f>
        <v>0.7083333333</v>
      </c>
      <c r="L1029" s="1" t="str">
        <f>IFERROR(__xludf.DUMMYFUNCTION("""COMPUTED_VALUE"""),"Yes")</f>
        <v>Yes</v>
      </c>
      <c r="M1029" s="1" t="str">
        <f>IFERROR(__xludf.DUMMYFUNCTION("""COMPUTED_VALUE"""),"Already done ")</f>
        <v>Already done </v>
      </c>
      <c r="N1029" s="1" t="str">
        <f>IFERROR(__xludf.DUMMYFUNCTION("""COMPUTED_VALUE"""),"Already done ")</f>
        <v>Already done </v>
      </c>
      <c r="O1029" s="1" t="str">
        <f>IFERROR(__xludf.DUMMYFUNCTION("""COMPUTED_VALUE"""),"WA ONLY, CALL")</f>
        <v>WA ONLY, CALL</v>
      </c>
      <c r="P1029" s="1" t="str">
        <f>IFERROR(__xludf.DUMMYFUNCTION("""COMPUTED_VALUE"""),"Madam")</f>
        <v>Madam</v>
      </c>
      <c r="Q1029" s="1" t="str">
        <f>IFERROR(__xludf.DUMMYFUNCTION("""COMPUTED_VALUE"""),"No")</f>
        <v>No</v>
      </c>
      <c r="R1029" s="1" t="str">
        <f>IFERROR(__xludf.DUMMYFUNCTION("""COMPUTED_VALUE"""),"OLD")</f>
        <v>OLD</v>
      </c>
      <c r="S1029" s="1" t="str">
        <f>IFERROR(__xludf.DUMMYFUNCTION("""COMPUTED_VALUE"""),"Yes")</f>
        <v>Yes</v>
      </c>
    </row>
    <row r="1030">
      <c r="A1030" s="2">
        <f>IFERROR(__xludf.DUMMYFUNCTION("""COMPUTED_VALUE"""),45686.78345533565)</f>
        <v>45686.78346</v>
      </c>
      <c r="B1030" s="1" t="str">
        <f>IFERROR(__xludf.DUMMYFUNCTION("""COMPUTED_VALUE"""),"Beena rawal")</f>
        <v>Beena rawal</v>
      </c>
      <c r="C1030" s="1">
        <f>IFERROR(__xludf.DUMMYFUNCTION("""COMPUTED_VALUE"""),8.800939462E9)</f>
        <v>8800939462</v>
      </c>
      <c r="D1030" s="1">
        <f>IFERROR(__xludf.DUMMYFUNCTION("""COMPUTED_VALUE"""),2.0)</f>
        <v>2</v>
      </c>
      <c r="E1030" s="3">
        <f>IFERROR(__xludf.DUMMYFUNCTION("""COMPUTED_VALUE"""),0.6583333333328483)</f>
        <v>0.6583333333</v>
      </c>
      <c r="F1030" s="1" t="str">
        <f>IFERROR(__xludf.DUMMYFUNCTION("""COMPUTED_VALUE"""),"Antique Gold")</f>
        <v>Antique Gold</v>
      </c>
      <c r="G1030" s="1" t="str">
        <f>IFERROR(__xludf.DUMMYFUNCTION("""COMPUTED_VALUE"""),"Sapna")</f>
        <v>Sapna</v>
      </c>
      <c r="H1030" s="1" t="str">
        <f>IFERROR(__xludf.DUMMYFUNCTION("""COMPUTED_VALUE"""),"Gold antique bangles ")</f>
        <v>Gold antique bangles </v>
      </c>
      <c r="I1030" s="1"/>
      <c r="J1030" s="1"/>
      <c r="K1030" s="3">
        <f>IFERROR(__xludf.DUMMYFUNCTION("""COMPUTED_VALUE"""),0.7743055555547471)</f>
        <v>0.7743055556</v>
      </c>
      <c r="L1030" s="1" t="str">
        <f>IFERROR(__xludf.DUMMYFUNCTION("""COMPUTED_VALUE"""),"Yes")</f>
        <v>Yes</v>
      </c>
      <c r="M1030" s="1" t="str">
        <f>IFERROR(__xludf.DUMMYFUNCTION("""COMPUTED_VALUE"""),"Yes")</f>
        <v>Yes</v>
      </c>
      <c r="N1030" s="1" t="str">
        <f>IFERROR(__xludf.DUMMYFUNCTION("""COMPUTED_VALUE"""),"Yes")</f>
        <v>Yes</v>
      </c>
      <c r="O1030" s="1" t="str">
        <f>IFERROR(__xludf.DUMMYFUNCTION("""COMPUTED_VALUE"""),"WA ONLY, CALL")</f>
        <v>WA ONLY, CALL</v>
      </c>
      <c r="P1030" s="1" t="str">
        <f>IFERROR(__xludf.DUMMYFUNCTION("""COMPUTED_VALUE"""),"Madam")</f>
        <v>Madam</v>
      </c>
      <c r="Q1030" s="1" t="str">
        <f>IFERROR(__xludf.DUMMYFUNCTION("""COMPUTED_VALUE"""),"No")</f>
        <v>No</v>
      </c>
      <c r="R1030" s="1" t="str">
        <f>IFERROR(__xludf.DUMMYFUNCTION("""COMPUTED_VALUE"""),"OLD")</f>
        <v>OLD</v>
      </c>
      <c r="S1030" s="1" t="str">
        <f>IFERROR(__xludf.DUMMYFUNCTION("""COMPUTED_VALUE"""),"Yes")</f>
        <v>Yes</v>
      </c>
    </row>
    <row r="1031">
      <c r="A1031" s="2">
        <f>IFERROR(__xludf.DUMMYFUNCTION("""COMPUTED_VALUE"""),45686.78488695602)</f>
        <v>45686.78489</v>
      </c>
      <c r="B1031" s="1" t="str">
        <f>IFERROR(__xludf.DUMMYFUNCTION("""COMPUTED_VALUE"""),"Meenu gupta ")</f>
        <v>Meenu gupta </v>
      </c>
      <c r="C1031" s="1">
        <f>IFERROR(__xludf.DUMMYFUNCTION("""COMPUTED_VALUE"""),9.540074634E9)</f>
        <v>9540074634</v>
      </c>
      <c r="D1031" s="1">
        <f>IFERROR(__xludf.DUMMYFUNCTION("""COMPUTED_VALUE"""),2.0)</f>
        <v>2</v>
      </c>
      <c r="E1031" s="3">
        <f>IFERROR(__xludf.DUMMYFUNCTION("""COMPUTED_VALUE"""),0.7430555555547471)</f>
        <v>0.7430555556</v>
      </c>
      <c r="F1031" s="1" t="str">
        <f>IFERROR(__xludf.DUMMYFUNCTION("""COMPUTED_VALUE"""),"Antique Gold")</f>
        <v>Antique Gold</v>
      </c>
      <c r="G1031" s="1" t="str">
        <f>IFERROR(__xludf.DUMMYFUNCTION("""COMPUTED_VALUE"""),"Sapna")</f>
        <v>Sapna</v>
      </c>
      <c r="H1031" s="1" t="str">
        <f>IFERROR(__xludf.DUMMYFUNCTION("""COMPUTED_VALUE"""),"Gold chain daimond set,cvd sets, ring")</f>
        <v>Gold chain daimond set,cvd sets, ring</v>
      </c>
      <c r="I1031" s="1"/>
      <c r="J1031" s="1"/>
      <c r="K1031" s="3">
        <f>IFERROR(__xludf.DUMMYFUNCTION("""COMPUTED_VALUE"""),0.8125)</f>
        <v>0.8125</v>
      </c>
      <c r="L1031" s="1" t="str">
        <f>IFERROR(__xludf.DUMMYFUNCTION("""COMPUTED_VALUE"""),"Yes")</f>
        <v>Yes</v>
      </c>
      <c r="M1031" s="1" t="str">
        <f>IFERROR(__xludf.DUMMYFUNCTION("""COMPUTED_VALUE"""),"Yes")</f>
        <v>Yes</v>
      </c>
      <c r="N1031" s="1" t="str">
        <f>IFERROR(__xludf.DUMMYFUNCTION("""COMPUTED_VALUE"""),"Yes")</f>
        <v>Yes</v>
      </c>
      <c r="O1031" s="1" t="str">
        <f>IFERROR(__xludf.DUMMYFUNCTION("""COMPUTED_VALUE"""),"WA ONLY, CALL")</f>
        <v>WA ONLY, CALL</v>
      </c>
      <c r="P1031" s="1" t="str">
        <f>IFERROR(__xludf.DUMMYFUNCTION("""COMPUTED_VALUE"""),"Madam")</f>
        <v>Madam</v>
      </c>
      <c r="Q1031" s="1" t="str">
        <f>IFERROR(__xludf.DUMMYFUNCTION("""COMPUTED_VALUE"""),"No")</f>
        <v>No</v>
      </c>
      <c r="R1031" s="1" t="str">
        <f>IFERROR(__xludf.DUMMYFUNCTION("""COMPUTED_VALUE"""),"OLD")</f>
        <v>OLD</v>
      </c>
      <c r="S1031" s="1" t="str">
        <f>IFERROR(__xludf.DUMMYFUNCTION("""COMPUTED_VALUE"""),"Yes")</f>
        <v>Yes</v>
      </c>
    </row>
    <row r="1032">
      <c r="A1032" s="2">
        <f>IFERROR(__xludf.DUMMYFUNCTION("""COMPUTED_VALUE"""),45687.77929310185)</f>
        <v>45687.77929</v>
      </c>
      <c r="B1032" s="1" t="str">
        <f>IFERROR(__xludf.DUMMYFUNCTION("""COMPUTED_VALUE"""),"Sushma yadav")</f>
        <v>Sushma yadav</v>
      </c>
      <c r="C1032" s="1">
        <f>IFERROR(__xludf.DUMMYFUNCTION("""COMPUTED_VALUE"""),9.811904046E9)</f>
        <v>9811904046</v>
      </c>
      <c r="D1032" s="1">
        <f>IFERROR(__xludf.DUMMYFUNCTION("""COMPUTED_VALUE"""),2.0)</f>
        <v>2</v>
      </c>
      <c r="E1032" s="3">
        <f>IFERROR(__xludf.DUMMYFUNCTION("""COMPUTED_VALUE"""),0.4951388888875954)</f>
        <v>0.4951388889</v>
      </c>
      <c r="F1032" s="1" t="str">
        <f>IFERROR(__xludf.DUMMYFUNCTION("""COMPUTED_VALUE"""),"Plain Gold")</f>
        <v>Plain Gold</v>
      </c>
      <c r="G1032" s="1" t="str">
        <f>IFERROR(__xludf.DUMMYFUNCTION("""COMPUTED_VALUE"""),"Sapna")</f>
        <v>Sapna</v>
      </c>
      <c r="H1032" s="1" t="str">
        <f>IFERROR(__xludf.DUMMYFUNCTION("""COMPUTED_VALUE"""),"Italian breslet,gold ring")</f>
        <v>Italian breslet,gold ring</v>
      </c>
      <c r="I1032" s="1"/>
      <c r="J1032" s="1"/>
      <c r="K1032" s="3">
        <f>IFERROR(__xludf.DUMMYFUNCTION("""COMPUTED_VALUE"""),0.65625)</f>
        <v>0.65625</v>
      </c>
      <c r="L1032" s="1" t="str">
        <f>IFERROR(__xludf.DUMMYFUNCTION("""COMPUTED_VALUE"""),"Yes")</f>
        <v>Yes</v>
      </c>
      <c r="M1032" s="1" t="str">
        <f>IFERROR(__xludf.DUMMYFUNCTION("""COMPUTED_VALUE"""),"Yes ")</f>
        <v>Yes </v>
      </c>
      <c r="N1032" s="1" t="str">
        <f>IFERROR(__xludf.DUMMYFUNCTION("""COMPUTED_VALUE"""),"Yes")</f>
        <v>Yes</v>
      </c>
      <c r="O1032" s="1" t="str">
        <f>IFERROR(__xludf.DUMMYFUNCTION("""COMPUTED_VALUE"""),"WA ONLY, CALL")</f>
        <v>WA ONLY, CALL</v>
      </c>
      <c r="P1032" s="1" t="str">
        <f>IFERROR(__xludf.DUMMYFUNCTION("""COMPUTED_VALUE"""),"Madam")</f>
        <v>Madam</v>
      </c>
      <c r="Q1032" s="1" t="str">
        <f>IFERROR(__xludf.DUMMYFUNCTION("""COMPUTED_VALUE"""),"No")</f>
        <v>No</v>
      </c>
      <c r="R1032" s="1" t="str">
        <f>IFERROR(__xludf.DUMMYFUNCTION("""COMPUTED_VALUE"""),"OLD")</f>
        <v>OLD</v>
      </c>
      <c r="S1032" s="1" t="str">
        <f>IFERROR(__xludf.DUMMYFUNCTION("""COMPUTED_VALUE"""),"Yes")</f>
        <v>Yes</v>
      </c>
    </row>
    <row r="1033">
      <c r="A1033" s="2">
        <f>IFERROR(__xludf.DUMMYFUNCTION("""COMPUTED_VALUE"""),45687.780198611115)</f>
        <v>45687.7802</v>
      </c>
      <c r="B1033" s="1" t="str">
        <f>IFERROR(__xludf.DUMMYFUNCTION("""COMPUTED_VALUE"""),"Seema chawla")</f>
        <v>Seema chawla</v>
      </c>
      <c r="C1033" s="1">
        <f>IFERROR(__xludf.DUMMYFUNCTION("""COMPUTED_VALUE"""),9.818304747E9)</f>
        <v>9818304747</v>
      </c>
      <c r="D1033" s="1">
        <f>IFERROR(__xludf.DUMMYFUNCTION("""COMPUTED_VALUE"""),3.0)</f>
        <v>3</v>
      </c>
      <c r="E1033" s="3">
        <f>IFERROR(__xludf.DUMMYFUNCTION("""COMPUTED_VALUE"""),0.6555555555532919)</f>
        <v>0.6555555556</v>
      </c>
      <c r="F1033" s="1" t="str">
        <f>IFERROR(__xludf.DUMMYFUNCTION("""COMPUTED_VALUE"""),"Diamond")</f>
        <v>Diamond</v>
      </c>
      <c r="G1033" s="1" t="str">
        <f>IFERROR(__xludf.DUMMYFUNCTION("""COMPUTED_VALUE"""),"Preeti")</f>
        <v>Preeti</v>
      </c>
      <c r="H1033" s="1" t="str">
        <f>IFERROR(__xludf.DUMMYFUNCTION("""COMPUTED_VALUE"""),"Daimond set,polki bangles ")</f>
        <v>Daimond set,polki bangles </v>
      </c>
      <c r="I1033" s="1" t="str">
        <f>IFERROR(__xludf.DUMMYFUNCTION("""COMPUTED_VALUE"""),"Pick up Order")</f>
        <v>Pick up Order</v>
      </c>
      <c r="J1033" s="1"/>
      <c r="K1033" s="3">
        <f>IFERROR(__xludf.DUMMYFUNCTION("""COMPUTED_VALUE"""),0.6979166666642413)</f>
        <v>0.6979166667</v>
      </c>
      <c r="L1033" s="1" t="str">
        <f>IFERROR(__xludf.DUMMYFUNCTION("""COMPUTED_VALUE"""),"Yes")</f>
        <v>Yes</v>
      </c>
      <c r="M1033" s="1" t="str">
        <f>IFERROR(__xludf.DUMMYFUNCTION("""COMPUTED_VALUE"""),"Already done ")</f>
        <v>Already done </v>
      </c>
      <c r="N1033" s="1" t="str">
        <f>IFERROR(__xludf.DUMMYFUNCTION("""COMPUTED_VALUE"""),"Already done ")</f>
        <v>Already done </v>
      </c>
      <c r="O1033" s="1" t="str">
        <f>IFERROR(__xludf.DUMMYFUNCTION("""COMPUTED_VALUE"""),"WA ONLY, CALL")</f>
        <v>WA ONLY, CALL</v>
      </c>
      <c r="P1033" s="1" t="str">
        <f>IFERROR(__xludf.DUMMYFUNCTION("""COMPUTED_VALUE"""),"Madam")</f>
        <v>Madam</v>
      </c>
      <c r="Q1033" s="1" t="str">
        <f>IFERROR(__xludf.DUMMYFUNCTION("""COMPUTED_VALUE"""),"No")</f>
        <v>No</v>
      </c>
      <c r="R1033" s="1" t="str">
        <f>IFERROR(__xludf.DUMMYFUNCTION("""COMPUTED_VALUE"""),"OLD")</f>
        <v>OLD</v>
      </c>
      <c r="S1033" s="1" t="str">
        <f>IFERROR(__xludf.DUMMYFUNCTION("""COMPUTED_VALUE"""),"No")</f>
        <v>No</v>
      </c>
    </row>
    <row r="1034">
      <c r="A1034" s="2">
        <f>IFERROR(__xludf.DUMMYFUNCTION("""COMPUTED_VALUE"""),45687.78105471065)</f>
        <v>45687.78105</v>
      </c>
      <c r="B1034" s="1" t="str">
        <f>IFERROR(__xludf.DUMMYFUNCTION("""COMPUTED_VALUE"""),"Neena singh")</f>
        <v>Neena singh</v>
      </c>
      <c r="C1034" s="1">
        <f>IFERROR(__xludf.DUMMYFUNCTION("""COMPUTED_VALUE"""),9.971828177E9)</f>
        <v>9971828177</v>
      </c>
      <c r="D1034" s="1">
        <f>IFERROR(__xludf.DUMMYFUNCTION("""COMPUTED_VALUE"""),2.0)</f>
        <v>2</v>
      </c>
      <c r="E1034" s="3">
        <f>IFERROR(__xludf.DUMMYFUNCTION("""COMPUTED_VALUE"""),0.6666666666642413)</f>
        <v>0.6666666667</v>
      </c>
      <c r="F1034" s="1" t="str">
        <f>IFERROR(__xludf.DUMMYFUNCTION("""COMPUTED_VALUE"""),"Diamond")</f>
        <v>Diamond</v>
      </c>
      <c r="G1034" s="1" t="str">
        <f>IFERROR(__xludf.DUMMYFUNCTION("""COMPUTED_VALUE"""),"Deepali")</f>
        <v>Deepali</v>
      </c>
      <c r="H1034" s="1"/>
      <c r="I1034" s="1" t="str">
        <f>IFERROR(__xludf.DUMMYFUNCTION("""COMPUTED_VALUE"""),"Pick up Order")</f>
        <v>Pick up Order</v>
      </c>
      <c r="J1034" s="1"/>
      <c r="K1034" s="3">
        <f>IFERROR(__xludf.DUMMYFUNCTION("""COMPUTED_VALUE"""),0.702777777776646)</f>
        <v>0.7027777778</v>
      </c>
      <c r="L1034" s="1" t="str">
        <f>IFERROR(__xludf.DUMMYFUNCTION("""COMPUTED_VALUE"""),"Yes")</f>
        <v>Yes</v>
      </c>
      <c r="M1034" s="1" t="str">
        <f>IFERROR(__xludf.DUMMYFUNCTION("""COMPUTED_VALUE"""),"Already done ")</f>
        <v>Already done </v>
      </c>
      <c r="N1034" s="1" t="str">
        <f>IFERROR(__xludf.DUMMYFUNCTION("""COMPUTED_VALUE"""),"Already done ")</f>
        <v>Already done </v>
      </c>
      <c r="O1034" s="1" t="str">
        <f>IFERROR(__xludf.DUMMYFUNCTION("""COMPUTED_VALUE"""),"WA ONLY, CALL")</f>
        <v>WA ONLY, CALL</v>
      </c>
      <c r="P1034" s="1" t="str">
        <f>IFERROR(__xludf.DUMMYFUNCTION("""COMPUTED_VALUE"""),"Madam")</f>
        <v>Madam</v>
      </c>
      <c r="Q1034" s="1" t="str">
        <f>IFERROR(__xludf.DUMMYFUNCTION("""COMPUTED_VALUE"""),"No")</f>
        <v>No</v>
      </c>
      <c r="R1034" s="1" t="str">
        <f>IFERROR(__xludf.DUMMYFUNCTION("""COMPUTED_VALUE"""),"OLD")</f>
        <v>OLD</v>
      </c>
      <c r="S1034" s="1" t="str">
        <f>IFERROR(__xludf.DUMMYFUNCTION("""COMPUTED_VALUE"""),"No")</f>
        <v>No</v>
      </c>
    </row>
    <row r="1035">
      <c r="A1035" s="2">
        <f>IFERROR(__xludf.DUMMYFUNCTION("""COMPUTED_VALUE"""),45687.78221689815)</f>
        <v>45687.78222</v>
      </c>
      <c r="B1035" s="1" t="str">
        <f>IFERROR(__xludf.DUMMYFUNCTION("""COMPUTED_VALUE"""),"Megha")</f>
        <v>Megha</v>
      </c>
      <c r="C1035" s="1">
        <f>IFERROR(__xludf.DUMMYFUNCTION("""COMPUTED_VALUE"""),9.8992995405E10)</f>
        <v>98992995405</v>
      </c>
      <c r="D1035" s="1">
        <f>IFERROR(__xludf.DUMMYFUNCTION("""COMPUTED_VALUE"""),3.0)</f>
        <v>3</v>
      </c>
      <c r="E1035" s="3">
        <f>IFERROR(__xludf.DUMMYFUNCTION("""COMPUTED_VALUE"""),0.7194444444467081)</f>
        <v>0.7194444444</v>
      </c>
      <c r="F1035" s="1" t="str">
        <f>IFERROR(__xludf.DUMMYFUNCTION("""COMPUTED_VALUE"""),"Antique Gold")</f>
        <v>Antique Gold</v>
      </c>
      <c r="G1035" s="1" t="str">
        <f>IFERROR(__xludf.DUMMYFUNCTION("""COMPUTED_VALUE"""),"Sapna")</f>
        <v>Sapna</v>
      </c>
      <c r="H1035" s="1" t="str">
        <f>IFERROR(__xludf.DUMMYFUNCTION("""COMPUTED_VALUE"""),"All daimond , cvd  and antique gold collection ")</f>
        <v>All daimond , cvd  and antique gold collection </v>
      </c>
      <c r="I1035" s="1"/>
      <c r="J1035" s="1"/>
      <c r="K1035" s="3">
        <f>IFERROR(__xludf.DUMMYFUNCTION("""COMPUTED_VALUE"""),0.75)</f>
        <v>0.75</v>
      </c>
      <c r="L1035" s="1" t="str">
        <f>IFERROR(__xludf.DUMMYFUNCTION("""COMPUTED_VALUE"""),"Yes")</f>
        <v>Yes</v>
      </c>
      <c r="M1035" s="1" t="str">
        <f>IFERROR(__xludf.DUMMYFUNCTION("""COMPUTED_VALUE"""),"No")</f>
        <v>No</v>
      </c>
      <c r="N1035" s="1" t="str">
        <f>IFERROR(__xludf.DUMMYFUNCTION("""COMPUTED_VALUE"""),"No")</f>
        <v>No</v>
      </c>
      <c r="O1035" s="1" t="str">
        <f>IFERROR(__xludf.DUMMYFUNCTION("""COMPUTED_VALUE"""),"WA ONLY, CALL")</f>
        <v>WA ONLY, CALL</v>
      </c>
      <c r="P1035" s="1" t="str">
        <f>IFERROR(__xludf.DUMMYFUNCTION("""COMPUTED_VALUE"""),"Madam")</f>
        <v>Madam</v>
      </c>
      <c r="Q1035" s="1" t="str">
        <f>IFERROR(__xludf.DUMMYFUNCTION("""COMPUTED_VALUE"""),"No")</f>
        <v>No</v>
      </c>
      <c r="R1035" s="1" t="str">
        <f>IFERROR(__xludf.DUMMYFUNCTION("""COMPUTED_VALUE"""),"NEW WALK IN")</f>
        <v>NEW WALK IN</v>
      </c>
      <c r="S1035" s="1" t="str">
        <f>IFERROR(__xludf.DUMMYFUNCTION("""COMPUTED_VALUE"""),"No")</f>
        <v>No</v>
      </c>
    </row>
    <row r="1036">
      <c r="A1036" s="2">
        <f>IFERROR(__xludf.DUMMYFUNCTION("""COMPUTED_VALUE"""),45687.783135405094)</f>
        <v>45687.78314</v>
      </c>
      <c r="B1036" s="1" t="str">
        <f>IFERROR(__xludf.DUMMYFUNCTION("""COMPUTED_VALUE"""),"Rajeev")</f>
        <v>Rajeev</v>
      </c>
      <c r="C1036" s="1">
        <f>IFERROR(__xludf.DUMMYFUNCTION("""COMPUTED_VALUE"""),9.977451684E9)</f>
        <v>9977451684</v>
      </c>
      <c r="D1036" s="1">
        <f>IFERROR(__xludf.DUMMYFUNCTION("""COMPUTED_VALUE"""),1.0)</f>
        <v>1</v>
      </c>
      <c r="E1036" s="3">
        <f>IFERROR(__xludf.DUMMYFUNCTION("""COMPUTED_VALUE"""),0.7493055555532919)</f>
        <v>0.7493055556</v>
      </c>
      <c r="F1036" s="1" t="str">
        <f>IFERROR(__xludf.DUMMYFUNCTION("""COMPUTED_VALUE"""),"Diamond")</f>
        <v>Diamond</v>
      </c>
      <c r="G1036" s="1" t="str">
        <f>IFERROR(__xludf.DUMMYFUNCTION("""COMPUTED_VALUE"""),"Preeti")</f>
        <v>Preeti</v>
      </c>
      <c r="H1036" s="1" t="str">
        <f>IFERROR(__xludf.DUMMYFUNCTION("""COMPUTED_VALUE"""),"Silver chhatar")</f>
        <v>Silver chhatar</v>
      </c>
      <c r="I1036" s="1" t="str">
        <f>IFERROR(__xludf.DUMMYFUNCTION("""COMPUTED_VALUE"""),"Want to see More Variety")</f>
        <v>Want to see More Variety</v>
      </c>
      <c r="J1036" s="1"/>
      <c r="K1036" s="3">
        <f>IFERROR(__xludf.DUMMYFUNCTION("""COMPUTED_VALUE"""),0.7624999999970896)</f>
        <v>0.7625</v>
      </c>
      <c r="L1036" s="1" t="str">
        <f>IFERROR(__xludf.DUMMYFUNCTION("""COMPUTED_VALUE"""),"No")</f>
        <v>No</v>
      </c>
      <c r="M1036" s="1" t="str">
        <f>IFERROR(__xludf.DUMMYFUNCTION("""COMPUTED_VALUE"""),"No")</f>
        <v>No</v>
      </c>
      <c r="N1036" s="1" t="str">
        <f>IFERROR(__xludf.DUMMYFUNCTION("""COMPUTED_VALUE"""),"No")</f>
        <v>No</v>
      </c>
      <c r="O1036" s="1" t="str">
        <f>IFERROR(__xludf.DUMMYFUNCTION("""COMPUTED_VALUE"""),"WA ONLY, CALL")</f>
        <v>WA ONLY, CALL</v>
      </c>
      <c r="P1036" s="1" t="str">
        <f>IFERROR(__xludf.DUMMYFUNCTION("""COMPUTED_VALUE"""),"Sir")</f>
        <v>Sir</v>
      </c>
      <c r="Q1036" s="1" t="str">
        <f>IFERROR(__xludf.DUMMYFUNCTION("""COMPUTED_VALUE"""),"No")</f>
        <v>No</v>
      </c>
      <c r="R1036" s="1" t="str">
        <f>IFERROR(__xludf.DUMMYFUNCTION("""COMPUTED_VALUE"""),"NEW WALK IN")</f>
        <v>NEW WALK IN</v>
      </c>
      <c r="S1036" s="1" t="str">
        <f>IFERROR(__xludf.DUMMYFUNCTION("""COMPUTED_VALUE"""),"No")</f>
        <v>No</v>
      </c>
    </row>
    <row r="1037">
      <c r="A1037" s="2">
        <f>IFERROR(__xludf.DUMMYFUNCTION("""COMPUTED_VALUE"""),45687.80662959491)</f>
        <v>45687.80663</v>
      </c>
      <c r="B1037" s="1" t="str">
        <f>IFERROR(__xludf.DUMMYFUNCTION("""COMPUTED_VALUE"""),"Dipti duggal")</f>
        <v>Dipti duggal</v>
      </c>
      <c r="C1037" s="1">
        <f>IFERROR(__xludf.DUMMYFUNCTION("""COMPUTED_VALUE"""),9.31155707E9)</f>
        <v>9311557070</v>
      </c>
      <c r="D1037" s="1">
        <f>IFERROR(__xludf.DUMMYFUNCTION("""COMPUTED_VALUE"""),2.0)</f>
        <v>2</v>
      </c>
      <c r="E1037" s="3">
        <f>IFERROR(__xludf.DUMMYFUNCTION("""COMPUTED_VALUE"""),0.7833333333328483)</f>
        <v>0.7833333333</v>
      </c>
      <c r="F1037" s="1" t="str">
        <f>IFERROR(__xludf.DUMMYFUNCTION("""COMPUTED_VALUE"""),"Diamond")</f>
        <v>Diamond</v>
      </c>
      <c r="G1037" s="1" t="str">
        <f>IFERROR(__xludf.DUMMYFUNCTION("""COMPUTED_VALUE"""),"Sapna")</f>
        <v>Sapna</v>
      </c>
      <c r="H1037" s="1" t="str">
        <f>IFERROR(__xludf.DUMMYFUNCTION("""COMPUTED_VALUE"""),"Gold antique bangles ")</f>
        <v>Gold antique bangles </v>
      </c>
      <c r="I1037" s="1" t="str">
        <f>IFERROR(__xludf.DUMMYFUNCTION("""COMPUTED_VALUE"""),"Want to see More Variety")</f>
        <v>Want to see More Variety</v>
      </c>
      <c r="J1037" s="1"/>
      <c r="K1037" s="3">
        <f>IFERROR(__xludf.DUMMYFUNCTION("""COMPUTED_VALUE"""),0.804861111115315)</f>
        <v>0.8048611111</v>
      </c>
      <c r="L1037" s="1" t="str">
        <f>IFERROR(__xludf.DUMMYFUNCTION("""COMPUTED_VALUE"""),"Yes")</f>
        <v>Yes</v>
      </c>
      <c r="M1037" s="1" t="str">
        <f>IFERROR(__xludf.DUMMYFUNCTION("""COMPUTED_VALUE"""),"Already done ")</f>
        <v>Already done </v>
      </c>
      <c r="N1037" s="1" t="str">
        <f>IFERROR(__xludf.DUMMYFUNCTION("""COMPUTED_VALUE"""),"Already done ")</f>
        <v>Already done </v>
      </c>
      <c r="O1037" s="1" t="str">
        <f>IFERROR(__xludf.DUMMYFUNCTION("""COMPUTED_VALUE"""),"WA ONLY, CALL")</f>
        <v>WA ONLY, CALL</v>
      </c>
      <c r="P1037" s="1" t="str">
        <f>IFERROR(__xludf.DUMMYFUNCTION("""COMPUTED_VALUE"""),"Madam")</f>
        <v>Madam</v>
      </c>
      <c r="Q1037" s="1" t="str">
        <f>IFERROR(__xludf.DUMMYFUNCTION("""COMPUTED_VALUE"""),"No")</f>
        <v>No</v>
      </c>
      <c r="R1037" s="1" t="str">
        <f>IFERROR(__xludf.DUMMYFUNCTION("""COMPUTED_VALUE"""),"OLD")</f>
        <v>OLD</v>
      </c>
      <c r="S1037" s="1" t="str">
        <f>IFERROR(__xludf.DUMMYFUNCTION("""COMPUTED_VALUE"""),"No")</f>
        <v>No</v>
      </c>
    </row>
    <row r="1038">
      <c r="A1038" s="2">
        <f>IFERROR(__xludf.DUMMYFUNCTION("""COMPUTED_VALUE"""),45688.6919265162)</f>
        <v>45688.69193</v>
      </c>
      <c r="B1038" s="1" t="str">
        <f>IFERROR(__xludf.DUMMYFUNCTION("""COMPUTED_VALUE"""),"Parantap shekar")</f>
        <v>Parantap shekar</v>
      </c>
      <c r="C1038" s="1">
        <f>IFERROR(__xludf.DUMMYFUNCTION("""COMPUTED_VALUE"""),8.800440272E9)</f>
        <v>8800440272</v>
      </c>
      <c r="D1038" s="1">
        <f>IFERROR(__xludf.DUMMYFUNCTION("""COMPUTED_VALUE"""),3.0)</f>
        <v>3</v>
      </c>
      <c r="E1038" s="3">
        <f>IFERROR(__xludf.DUMMYFUNCTION("""COMPUTED_VALUE"""),0.547222222223354)</f>
        <v>0.5472222222</v>
      </c>
      <c r="F1038" s="1" t="str">
        <f>IFERROR(__xludf.DUMMYFUNCTION("""COMPUTED_VALUE"""),"Diamond")</f>
        <v>Diamond</v>
      </c>
      <c r="G1038" s="1" t="str">
        <f>IFERROR(__xludf.DUMMYFUNCTION("""COMPUTED_VALUE"""),"Sapna")</f>
        <v>Sapna</v>
      </c>
      <c r="H1038" s="1" t="str">
        <f>IFERROR(__xludf.DUMMYFUNCTION("""COMPUTED_VALUE"""),".")</f>
        <v>.</v>
      </c>
      <c r="I1038" s="1" t="str">
        <f>IFERROR(__xludf.DUMMYFUNCTION("""COMPUTED_VALUE"""),"Pick up Order")</f>
        <v>Pick up Order</v>
      </c>
      <c r="J1038" s="1"/>
      <c r="K1038" s="3">
        <f>IFERROR(__xludf.DUMMYFUNCTION("""COMPUTED_VALUE"""),0.5791666666627862)</f>
        <v>0.5791666667</v>
      </c>
      <c r="L1038" s="1" t="str">
        <f>IFERROR(__xludf.DUMMYFUNCTION("""COMPUTED_VALUE"""),"Yes")</f>
        <v>Yes</v>
      </c>
      <c r="M1038" s="1" t="str">
        <f>IFERROR(__xludf.DUMMYFUNCTION("""COMPUTED_VALUE"""),"Already ")</f>
        <v>Already </v>
      </c>
      <c r="N1038" s="1" t="str">
        <f>IFERROR(__xludf.DUMMYFUNCTION("""COMPUTED_VALUE"""),"Already done ")</f>
        <v>Already done </v>
      </c>
      <c r="O1038" s="1" t="str">
        <f>IFERROR(__xludf.DUMMYFUNCTION("""COMPUTED_VALUE"""),"WA ONLY, CALL")</f>
        <v>WA ONLY, CALL</v>
      </c>
      <c r="P1038" s="1" t="str">
        <f>IFERROR(__xludf.DUMMYFUNCTION("""COMPUTED_VALUE"""),"Sir")</f>
        <v>Sir</v>
      </c>
      <c r="Q1038" s="1" t="str">
        <f>IFERROR(__xludf.DUMMYFUNCTION("""COMPUTED_VALUE"""),"No")</f>
        <v>No</v>
      </c>
      <c r="R1038" s="1" t="str">
        <f>IFERROR(__xludf.DUMMYFUNCTION("""COMPUTED_VALUE"""),"OLD")</f>
        <v>OLD</v>
      </c>
      <c r="S1038" s="1" t="str">
        <f>IFERROR(__xludf.DUMMYFUNCTION("""COMPUTED_VALUE"""),"No")</f>
        <v>No</v>
      </c>
    </row>
    <row r="1039">
      <c r="A1039" s="2">
        <f>IFERROR(__xludf.DUMMYFUNCTION("""COMPUTED_VALUE"""),45688.69324021991)</f>
        <v>45688.69324</v>
      </c>
      <c r="B1039" s="1" t="str">
        <f>IFERROR(__xludf.DUMMYFUNCTION("""COMPUTED_VALUE"""),"Akhil")</f>
        <v>Akhil</v>
      </c>
      <c r="C1039" s="1">
        <f>IFERROR(__xludf.DUMMYFUNCTION("""COMPUTED_VALUE"""),8.51001003E9)</f>
        <v>8510010030</v>
      </c>
      <c r="D1039" s="1">
        <f>IFERROR(__xludf.DUMMYFUNCTION("""COMPUTED_VALUE"""),3.0)</f>
        <v>3</v>
      </c>
      <c r="E1039" s="3">
        <f>IFERROR(__xludf.DUMMYFUNCTION("""COMPUTED_VALUE"""),0.6611111111124046)</f>
        <v>0.6611111111</v>
      </c>
      <c r="F1039" s="1" t="str">
        <f>IFERROR(__xludf.DUMMYFUNCTION("""COMPUTED_VALUE"""),"Plain Gold")</f>
        <v>Plain Gold</v>
      </c>
      <c r="G1039" s="1" t="str">
        <f>IFERROR(__xludf.DUMMYFUNCTION("""COMPUTED_VALUE"""),"Sapna")</f>
        <v>Sapna</v>
      </c>
      <c r="H1039" s="1" t="str">
        <f>IFERROR(__xludf.DUMMYFUNCTION("""COMPUTED_VALUE"""),"Gold nose pin ")</f>
        <v>Gold nose pin </v>
      </c>
      <c r="I1039" s="1"/>
      <c r="J1039" s="1"/>
      <c r="K1039" s="3">
        <f>IFERROR(__xludf.DUMMYFUNCTION("""COMPUTED_VALUE"""),0.6770833333357587)</f>
        <v>0.6770833333</v>
      </c>
      <c r="L1039" s="1" t="str">
        <f>IFERROR(__xludf.DUMMYFUNCTION("""COMPUTED_VALUE"""),"Yes")</f>
        <v>Yes</v>
      </c>
      <c r="M1039" s="1" t="str">
        <f>IFERROR(__xludf.DUMMYFUNCTION("""COMPUTED_VALUE"""),"Yes")</f>
        <v>Yes</v>
      </c>
      <c r="N1039" s="1" t="str">
        <f>IFERROR(__xludf.DUMMYFUNCTION("""COMPUTED_VALUE"""),"Yes")</f>
        <v>Yes</v>
      </c>
      <c r="O1039" s="1" t="str">
        <f>IFERROR(__xludf.DUMMYFUNCTION("""COMPUTED_VALUE"""),"WA ONLY, CALL")</f>
        <v>WA ONLY, CALL</v>
      </c>
      <c r="P1039" s="1" t="str">
        <f>IFERROR(__xludf.DUMMYFUNCTION("""COMPUTED_VALUE"""),"Sir")</f>
        <v>Sir</v>
      </c>
      <c r="Q1039" s="1" t="str">
        <f>IFERROR(__xludf.DUMMYFUNCTION("""COMPUTED_VALUE"""),"No")</f>
        <v>No</v>
      </c>
      <c r="R1039" s="1" t="str">
        <f>IFERROR(__xludf.DUMMYFUNCTION("""COMPUTED_VALUE"""),"NEW WALK IN")</f>
        <v>NEW WALK IN</v>
      </c>
      <c r="S1039" s="1" t="str">
        <f>IFERROR(__xludf.DUMMYFUNCTION("""COMPUTED_VALUE"""),"Yes")</f>
        <v>Yes</v>
      </c>
    </row>
    <row r="1040">
      <c r="A1040" s="2">
        <f>IFERROR(__xludf.DUMMYFUNCTION("""COMPUTED_VALUE"""),45688.693993113426)</f>
        <v>45688.69399</v>
      </c>
      <c r="B1040" s="1" t="str">
        <f>IFERROR(__xludf.DUMMYFUNCTION("""COMPUTED_VALUE"""),"Hariandar")</f>
        <v>Hariandar</v>
      </c>
      <c r="C1040" s="1">
        <f>IFERROR(__xludf.DUMMYFUNCTION("""COMPUTED_VALUE"""),9.811506976E9)</f>
        <v>9811506976</v>
      </c>
      <c r="D1040" s="1">
        <f>IFERROR(__xludf.DUMMYFUNCTION("""COMPUTED_VALUE"""),3.0)</f>
        <v>3</v>
      </c>
      <c r="E1040" s="3">
        <f>IFERROR(__xludf.DUMMYFUNCTION("""COMPUTED_VALUE"""),0.6673611111109494)</f>
        <v>0.6673611111</v>
      </c>
      <c r="F1040" s="1" t="str">
        <f>IFERROR(__xludf.DUMMYFUNCTION("""COMPUTED_VALUE"""),"Diamond")</f>
        <v>Diamond</v>
      </c>
      <c r="G1040" s="1" t="str">
        <f>IFERROR(__xludf.DUMMYFUNCTION("""COMPUTED_VALUE"""),"Preeti")</f>
        <v>Preeti</v>
      </c>
      <c r="H1040" s="1" t="str">
        <f>IFERROR(__xludf.DUMMYFUNCTION("""COMPUTED_VALUE"""),"Gold mangtika")</f>
        <v>Gold mangtika</v>
      </c>
      <c r="I1040" s="1"/>
      <c r="J1040" s="1"/>
      <c r="K1040" s="3">
        <f>IFERROR(__xludf.DUMMYFUNCTION("""COMPUTED_VALUE"""),0.6840277777810115)</f>
        <v>0.6840277778</v>
      </c>
      <c r="L1040" s="1" t="str">
        <f>IFERROR(__xludf.DUMMYFUNCTION("""COMPUTED_VALUE"""),"Yes")</f>
        <v>Yes</v>
      </c>
      <c r="M1040" s="1" t="str">
        <f>IFERROR(__xludf.DUMMYFUNCTION("""COMPUTED_VALUE"""),"Not use")</f>
        <v>Not use</v>
      </c>
      <c r="N1040" s="1" t="str">
        <f>IFERROR(__xludf.DUMMYFUNCTION("""COMPUTED_VALUE"""),"Not use")</f>
        <v>Not use</v>
      </c>
      <c r="O1040" s="1" t="str">
        <f>IFERROR(__xludf.DUMMYFUNCTION("""COMPUTED_VALUE"""),"WA ONLY, CALL")</f>
        <v>WA ONLY, CALL</v>
      </c>
      <c r="P1040" s="1" t="str">
        <f>IFERROR(__xludf.DUMMYFUNCTION("""COMPUTED_VALUE"""),"Sir")</f>
        <v>Sir</v>
      </c>
      <c r="Q1040" s="1" t="str">
        <f>IFERROR(__xludf.DUMMYFUNCTION("""COMPUTED_VALUE"""),"No")</f>
        <v>No</v>
      </c>
      <c r="R1040" s="1" t="str">
        <f>IFERROR(__xludf.DUMMYFUNCTION("""COMPUTED_VALUE"""),"NEW WALK IN")</f>
        <v>NEW WALK IN</v>
      </c>
      <c r="S1040" s="1" t="str">
        <f>IFERROR(__xludf.DUMMYFUNCTION("""COMPUTED_VALUE"""),"Yes")</f>
        <v>Yes</v>
      </c>
    </row>
    <row r="1041">
      <c r="A1041" s="2">
        <f>IFERROR(__xludf.DUMMYFUNCTION("""COMPUTED_VALUE"""),45688.72105291666)</f>
        <v>45688.72105</v>
      </c>
      <c r="B1041" s="1" t="str">
        <f>IFERROR(__xludf.DUMMYFUNCTION("""COMPUTED_VALUE"""),"Manoj kumar")</f>
        <v>Manoj kumar</v>
      </c>
      <c r="C1041" s="1">
        <f>IFERROR(__xludf.DUMMYFUNCTION("""COMPUTED_VALUE"""),9.910544267E9)</f>
        <v>9910544267</v>
      </c>
      <c r="D1041" s="1">
        <f>IFERROR(__xludf.DUMMYFUNCTION("""COMPUTED_VALUE"""),1.0)</f>
        <v>1</v>
      </c>
      <c r="E1041" s="3">
        <f>IFERROR(__xludf.DUMMYFUNCTION("""COMPUTED_VALUE"""),0.6965277777781012)</f>
        <v>0.6965277778</v>
      </c>
      <c r="F1041" s="1" t="str">
        <f>IFERROR(__xludf.DUMMYFUNCTION("""COMPUTED_VALUE"""),"Plain Gold")</f>
        <v>Plain Gold</v>
      </c>
      <c r="G1041" s="1" t="str">
        <f>IFERROR(__xludf.DUMMYFUNCTION("""COMPUTED_VALUE"""),"Sapna")</f>
        <v>Sapna</v>
      </c>
      <c r="H1041" s="1" t="str">
        <f>IFERROR(__xludf.DUMMYFUNCTION("""COMPUTED_VALUE"""),"Gold bindi")</f>
        <v>Gold bindi</v>
      </c>
      <c r="I1041" s="1"/>
      <c r="J1041" s="1"/>
      <c r="K1041" s="3">
        <f>IFERROR(__xludf.DUMMYFUNCTION("""COMPUTED_VALUE"""),0.7097222222218988)</f>
        <v>0.7097222222</v>
      </c>
      <c r="L1041" s="1" t="str">
        <f>IFERROR(__xludf.DUMMYFUNCTION("""COMPUTED_VALUE"""),"Yes")</f>
        <v>Yes</v>
      </c>
      <c r="M1041" s="1" t="str">
        <f>IFERROR(__xludf.DUMMYFUNCTION("""COMPUTED_VALUE"""),"Already done ")</f>
        <v>Already done </v>
      </c>
      <c r="N1041" s="1" t="str">
        <f>IFERROR(__xludf.DUMMYFUNCTION("""COMPUTED_VALUE"""),"Already done ")</f>
        <v>Already done </v>
      </c>
      <c r="O1041" s="1" t="str">
        <f>IFERROR(__xludf.DUMMYFUNCTION("""COMPUTED_VALUE"""),"WA ONLY, CALL")</f>
        <v>WA ONLY, CALL</v>
      </c>
      <c r="P1041" s="1" t="str">
        <f>IFERROR(__xludf.DUMMYFUNCTION("""COMPUTED_VALUE"""),"Sir")</f>
        <v>Sir</v>
      </c>
      <c r="Q1041" s="1" t="str">
        <f>IFERROR(__xludf.DUMMYFUNCTION("""COMPUTED_VALUE"""),"No")</f>
        <v>No</v>
      </c>
      <c r="R1041" s="1" t="str">
        <f>IFERROR(__xludf.DUMMYFUNCTION("""COMPUTED_VALUE"""),"OLD")</f>
        <v>OLD</v>
      </c>
      <c r="S1041" s="1" t="str">
        <f>IFERROR(__xludf.DUMMYFUNCTION("""COMPUTED_VALUE"""),"Yes")</f>
        <v>Yes</v>
      </c>
    </row>
    <row r="1042">
      <c r="A1042" s="2">
        <f>IFERROR(__xludf.DUMMYFUNCTION("""COMPUTED_VALUE"""),45688.721956423615)</f>
        <v>45688.72196</v>
      </c>
      <c r="B1042" s="1" t="str">
        <f>IFERROR(__xludf.DUMMYFUNCTION("""COMPUTED_VALUE"""),"Ramnivas")</f>
        <v>Ramnivas</v>
      </c>
      <c r="C1042" s="1">
        <f>IFERROR(__xludf.DUMMYFUNCTION("""COMPUTED_VALUE"""),7.210655101E9)</f>
        <v>7210655101</v>
      </c>
      <c r="D1042" s="1">
        <f>IFERROR(__xludf.DUMMYFUNCTION("""COMPUTED_VALUE"""),2.0)</f>
        <v>2</v>
      </c>
      <c r="E1042" s="3">
        <f>IFERROR(__xludf.DUMMYFUNCTION("""COMPUTED_VALUE"""),0.703472222223354)</f>
        <v>0.7034722222</v>
      </c>
      <c r="F1042" s="1" t="str">
        <f>IFERROR(__xludf.DUMMYFUNCTION("""COMPUTED_VALUE"""),"Plain Gold")</f>
        <v>Plain Gold</v>
      </c>
      <c r="G1042" s="1" t="str">
        <f>IFERROR(__xludf.DUMMYFUNCTION("""COMPUTED_VALUE"""),"Sapna")</f>
        <v>Sapna</v>
      </c>
      <c r="H1042" s="1" t="str">
        <f>IFERROR(__xludf.DUMMYFUNCTION("""COMPUTED_VALUE"""),"Gold nose pin ")</f>
        <v>Gold nose pin </v>
      </c>
      <c r="I1042" s="1"/>
      <c r="J1042" s="1"/>
      <c r="K1042" s="3">
        <f>IFERROR(__xludf.DUMMYFUNCTION("""COMPUTED_VALUE"""),0.7291666666642413)</f>
        <v>0.7291666667</v>
      </c>
      <c r="L1042" s="1" t="str">
        <f>IFERROR(__xludf.DUMMYFUNCTION("""COMPUTED_VALUE"""),"Yes")</f>
        <v>Yes</v>
      </c>
      <c r="M1042" s="1" t="str">
        <f>IFERROR(__xludf.DUMMYFUNCTION("""COMPUTED_VALUE"""),"Yes")</f>
        <v>Yes</v>
      </c>
      <c r="N1042" s="1" t="str">
        <f>IFERROR(__xludf.DUMMYFUNCTION("""COMPUTED_VALUE"""),"Yes")</f>
        <v>Yes</v>
      </c>
      <c r="O1042" s="1" t="str">
        <f>IFERROR(__xludf.DUMMYFUNCTION("""COMPUTED_VALUE"""),"WA ONLY, CALL")</f>
        <v>WA ONLY, CALL</v>
      </c>
      <c r="P1042" s="1" t="str">
        <f>IFERROR(__xludf.DUMMYFUNCTION("""COMPUTED_VALUE"""),"Sir")</f>
        <v>Sir</v>
      </c>
      <c r="Q1042" s="1" t="str">
        <f>IFERROR(__xludf.DUMMYFUNCTION("""COMPUTED_VALUE"""),"No")</f>
        <v>No</v>
      </c>
      <c r="R1042" s="1" t="str">
        <f>IFERROR(__xludf.DUMMYFUNCTION("""COMPUTED_VALUE"""),"NEW WALK IN")</f>
        <v>NEW WALK IN</v>
      </c>
      <c r="S1042" s="1" t="str">
        <f>IFERROR(__xludf.DUMMYFUNCTION("""COMPUTED_VALUE"""),"Yes")</f>
        <v>Yes</v>
      </c>
    </row>
    <row r="1043">
      <c r="A1043" s="2">
        <f>IFERROR(__xludf.DUMMYFUNCTION("""COMPUTED_VALUE"""),45689.766166354166)</f>
        <v>45689.76617</v>
      </c>
      <c r="B1043" s="1" t="str">
        <f>IFERROR(__xludf.DUMMYFUNCTION("""COMPUTED_VALUE"""),"Veenita")</f>
        <v>Veenita</v>
      </c>
      <c r="C1043" s="1">
        <f>IFERROR(__xludf.DUMMYFUNCTION("""COMPUTED_VALUE"""),9.818325522E9)</f>
        <v>9818325522</v>
      </c>
      <c r="D1043" s="1">
        <f>IFERROR(__xludf.DUMMYFUNCTION("""COMPUTED_VALUE"""),1.0)</f>
        <v>1</v>
      </c>
      <c r="E1043" s="3">
        <f>IFERROR(__xludf.DUMMYFUNCTION("""COMPUTED_VALUE"""),0.5729166666642413)</f>
        <v>0.5729166667</v>
      </c>
      <c r="F1043" s="1" t="str">
        <f>IFERROR(__xludf.DUMMYFUNCTION("""COMPUTED_VALUE"""),"Plain Gold")</f>
        <v>Plain Gold</v>
      </c>
      <c r="G1043" s="1" t="str">
        <f>IFERROR(__xludf.DUMMYFUNCTION("""COMPUTED_VALUE"""),"Sapna")</f>
        <v>Sapna</v>
      </c>
      <c r="H1043" s="1" t="str">
        <f>IFERROR(__xludf.DUMMYFUNCTION("""COMPUTED_VALUE"""),".")</f>
        <v>.</v>
      </c>
      <c r="I1043" s="1" t="str">
        <f>IFERROR(__xludf.DUMMYFUNCTION("""COMPUTED_VALUE"""),"Pick up Order")</f>
        <v>Pick up Order</v>
      </c>
      <c r="J1043" s="1"/>
      <c r="K1043" s="3">
        <f>IFERROR(__xludf.DUMMYFUNCTION("""COMPUTED_VALUE"""),0.5798611111094942)</f>
        <v>0.5798611111</v>
      </c>
      <c r="L1043" s="1" t="str">
        <f>IFERROR(__xludf.DUMMYFUNCTION("""COMPUTED_VALUE"""),"Yes")</f>
        <v>Yes</v>
      </c>
      <c r="M1043" s="1" t="str">
        <f>IFERROR(__xludf.DUMMYFUNCTION("""COMPUTED_VALUE"""),"Already done ")</f>
        <v>Already done </v>
      </c>
      <c r="N1043" s="1" t="str">
        <f>IFERROR(__xludf.DUMMYFUNCTION("""COMPUTED_VALUE"""),"Already done ")</f>
        <v>Already done </v>
      </c>
      <c r="O1043" s="1" t="str">
        <f>IFERROR(__xludf.DUMMYFUNCTION("""COMPUTED_VALUE"""),"WA ONLY, CALL")</f>
        <v>WA ONLY, CALL</v>
      </c>
      <c r="P1043" s="1" t="str">
        <f>IFERROR(__xludf.DUMMYFUNCTION("""COMPUTED_VALUE"""),"Madam")</f>
        <v>Madam</v>
      </c>
      <c r="Q1043" s="1" t="str">
        <f>IFERROR(__xludf.DUMMYFUNCTION("""COMPUTED_VALUE"""),"No")</f>
        <v>No</v>
      </c>
      <c r="R1043" s="1" t="str">
        <f>IFERROR(__xludf.DUMMYFUNCTION("""COMPUTED_VALUE"""),"OLD")</f>
        <v>OLD</v>
      </c>
      <c r="S1043" s="1" t="str">
        <f>IFERROR(__xludf.DUMMYFUNCTION("""COMPUTED_VALUE"""),"No")</f>
        <v>No</v>
      </c>
    </row>
    <row r="1044">
      <c r="A1044" s="2">
        <f>IFERROR(__xludf.DUMMYFUNCTION("""COMPUTED_VALUE"""),45689.76838699074)</f>
        <v>45689.76839</v>
      </c>
      <c r="B1044" s="1" t="str">
        <f>IFERROR(__xludf.DUMMYFUNCTION("""COMPUTED_VALUE"""),"Neeti treniwal")</f>
        <v>Neeti treniwal</v>
      </c>
      <c r="C1044" s="1">
        <f>IFERROR(__xludf.DUMMYFUNCTION("""COMPUTED_VALUE"""),9.606025531E9)</f>
        <v>9606025531</v>
      </c>
      <c r="D1044" s="1">
        <f>IFERROR(__xludf.DUMMYFUNCTION("""COMPUTED_VALUE"""),3.0)</f>
        <v>3</v>
      </c>
      <c r="E1044" s="3">
        <f>IFERROR(__xludf.DUMMYFUNCTION("""COMPUTED_VALUE"""),0.625)</f>
        <v>0.625</v>
      </c>
      <c r="F1044" s="1" t="str">
        <f>IFERROR(__xludf.DUMMYFUNCTION("""COMPUTED_VALUE"""),"Antique Gold")</f>
        <v>Antique Gold</v>
      </c>
      <c r="G1044" s="1" t="str">
        <f>IFERROR(__xludf.DUMMYFUNCTION("""COMPUTED_VALUE"""),"Sapna")</f>
        <v>Sapna</v>
      </c>
      <c r="H1044" s="1" t="str">
        <f>IFERROR(__xludf.DUMMYFUNCTION("""COMPUTED_VALUE"""),"Gold antique set,Daimond danglers ")</f>
        <v>Gold antique set,Daimond danglers </v>
      </c>
      <c r="I1044" s="1"/>
      <c r="J1044" s="1"/>
      <c r="K1044" s="3">
        <f>IFERROR(__xludf.DUMMYFUNCTION("""COMPUTED_VALUE"""),0.5798611111094942)</f>
        <v>0.5798611111</v>
      </c>
      <c r="L1044" s="1" t="str">
        <f>IFERROR(__xludf.DUMMYFUNCTION("""COMPUTED_VALUE"""),"Yes")</f>
        <v>Yes</v>
      </c>
      <c r="M1044" s="1" t="str">
        <f>IFERROR(__xludf.DUMMYFUNCTION("""COMPUTED_VALUE"""),"Already done ")</f>
        <v>Already done </v>
      </c>
      <c r="N1044" s="1" t="str">
        <f>IFERROR(__xludf.DUMMYFUNCTION("""COMPUTED_VALUE"""),"Already done ")</f>
        <v>Already done </v>
      </c>
      <c r="O1044" s="1" t="str">
        <f>IFERROR(__xludf.DUMMYFUNCTION("""COMPUTED_VALUE"""),"WA ONLY, CALL")</f>
        <v>WA ONLY, CALL</v>
      </c>
      <c r="P1044" s="1" t="str">
        <f>IFERROR(__xludf.DUMMYFUNCTION("""COMPUTED_VALUE"""),"Madam")</f>
        <v>Madam</v>
      </c>
      <c r="Q1044" s="1" t="str">
        <f>IFERROR(__xludf.DUMMYFUNCTION("""COMPUTED_VALUE"""),"No")</f>
        <v>No</v>
      </c>
      <c r="R1044" s="1" t="str">
        <f>IFERROR(__xludf.DUMMYFUNCTION("""COMPUTED_VALUE"""),"OLD")</f>
        <v>OLD</v>
      </c>
      <c r="S1044" s="1" t="str">
        <f>IFERROR(__xludf.DUMMYFUNCTION("""COMPUTED_VALUE"""),"Yes")</f>
        <v>Yes</v>
      </c>
    </row>
    <row r="1045">
      <c r="A1045" s="2">
        <f>IFERROR(__xludf.DUMMYFUNCTION("""COMPUTED_VALUE"""),45689.770672569444)</f>
        <v>45689.77067</v>
      </c>
      <c r="B1045" s="1" t="str">
        <f>IFERROR(__xludf.DUMMYFUNCTION("""COMPUTED_VALUE"""),"Shubham jain")</f>
        <v>Shubham jain</v>
      </c>
      <c r="C1045" s="1">
        <f>IFERROR(__xludf.DUMMYFUNCTION("""COMPUTED_VALUE"""),9.65416037E9)</f>
        <v>9654160370</v>
      </c>
      <c r="D1045" s="1">
        <f>IFERROR(__xludf.DUMMYFUNCTION("""COMPUTED_VALUE"""),2.0)</f>
        <v>2</v>
      </c>
      <c r="E1045" s="3">
        <f>IFERROR(__xludf.DUMMYFUNCTION("""COMPUTED_VALUE"""),0.6999999999970896)</f>
        <v>0.7</v>
      </c>
      <c r="F1045" s="1" t="str">
        <f>IFERROR(__xludf.DUMMYFUNCTION("""COMPUTED_VALUE"""),"Plain Gold")</f>
        <v>Plain Gold</v>
      </c>
      <c r="G1045" s="1" t="str">
        <f>IFERROR(__xludf.DUMMYFUNCTION("""COMPUTED_VALUE"""),"Sapna")</f>
        <v>Sapna</v>
      </c>
      <c r="H1045" s="1" t="str">
        <f>IFERROR(__xludf.DUMMYFUNCTION("""COMPUTED_VALUE"""),"Gold set and daimond ring")</f>
        <v>Gold set and daimond ring</v>
      </c>
      <c r="I1045" s="1"/>
      <c r="J1045" s="1"/>
      <c r="K1045" s="3">
        <f>IFERROR(__xludf.DUMMYFUNCTION("""COMPUTED_VALUE"""),0.7395833333357587)</f>
        <v>0.7395833333</v>
      </c>
      <c r="L1045" s="1" t="str">
        <f>IFERROR(__xludf.DUMMYFUNCTION("""COMPUTED_VALUE"""),"Yes")</f>
        <v>Yes</v>
      </c>
      <c r="M1045" s="1" t="str">
        <f>IFERROR(__xludf.DUMMYFUNCTION("""COMPUTED_VALUE"""),"No")</f>
        <v>No</v>
      </c>
      <c r="N1045" s="1" t="str">
        <f>IFERROR(__xludf.DUMMYFUNCTION("""COMPUTED_VALUE"""),"No")</f>
        <v>No</v>
      </c>
      <c r="O1045" s="1" t="str">
        <f>IFERROR(__xludf.DUMMYFUNCTION("""COMPUTED_VALUE"""),"WA ONLY, CALL")</f>
        <v>WA ONLY, CALL</v>
      </c>
      <c r="P1045" s="1" t="str">
        <f>IFERROR(__xludf.DUMMYFUNCTION("""COMPUTED_VALUE"""),"Sir")</f>
        <v>Sir</v>
      </c>
      <c r="Q1045" s="1" t="str">
        <f>IFERROR(__xludf.DUMMYFUNCTION("""COMPUTED_VALUE"""),"No")</f>
        <v>No</v>
      </c>
      <c r="R1045" s="1" t="str">
        <f>IFERROR(__xludf.DUMMYFUNCTION("""COMPUTED_VALUE"""),"NEW WALK IN")</f>
        <v>NEW WALK IN</v>
      </c>
      <c r="S1045" s="1" t="str">
        <f>IFERROR(__xludf.DUMMYFUNCTION("""COMPUTED_VALUE"""),"No")</f>
        <v>No</v>
      </c>
    </row>
    <row r="1046">
      <c r="A1046" s="2">
        <f>IFERROR(__xludf.DUMMYFUNCTION("""COMPUTED_VALUE"""),45689.77143923611)</f>
        <v>45689.77144</v>
      </c>
      <c r="B1046" s="1" t="str">
        <f>IFERROR(__xludf.DUMMYFUNCTION("""COMPUTED_VALUE"""),"Diksha")</f>
        <v>Diksha</v>
      </c>
      <c r="C1046" s="1">
        <f>IFERROR(__xludf.DUMMYFUNCTION("""COMPUTED_VALUE"""),8.851788997E9)</f>
        <v>8851788997</v>
      </c>
      <c r="D1046" s="1">
        <f>IFERROR(__xludf.DUMMYFUNCTION("""COMPUTED_VALUE"""),1.0)</f>
        <v>1</v>
      </c>
      <c r="E1046" s="3">
        <f>IFERROR(__xludf.DUMMYFUNCTION("""COMPUTED_VALUE"""),0.7361111111094942)</f>
        <v>0.7361111111</v>
      </c>
      <c r="F1046" s="1" t="str">
        <f>IFERROR(__xludf.DUMMYFUNCTION("""COMPUTED_VALUE"""),"Antique Gold")</f>
        <v>Antique Gold</v>
      </c>
      <c r="G1046" s="1" t="str">
        <f>IFERROR(__xludf.DUMMYFUNCTION("""COMPUTED_VALUE"""),"Deepali")</f>
        <v>Deepali</v>
      </c>
      <c r="H1046" s="1" t="str">
        <f>IFERROR(__xludf.DUMMYFUNCTION("""COMPUTED_VALUE"""),"Gold band ")</f>
        <v>Gold band </v>
      </c>
      <c r="I1046" s="1" t="str">
        <f>IFERROR(__xludf.DUMMYFUNCTION("""COMPUTED_VALUE"""),"Visit Again in 1 Month")</f>
        <v>Visit Again in 1 Month</v>
      </c>
      <c r="J1046" s="1"/>
      <c r="K1046" s="3">
        <f>IFERROR(__xludf.DUMMYFUNCTION("""COMPUTED_VALUE"""),0.7638888888905058)</f>
        <v>0.7638888889</v>
      </c>
      <c r="L1046" s="1" t="str">
        <f>IFERROR(__xludf.DUMMYFUNCTION("""COMPUTED_VALUE"""),"No")</f>
        <v>No</v>
      </c>
      <c r="M1046" s="1" t="str">
        <f>IFERROR(__xludf.DUMMYFUNCTION("""COMPUTED_VALUE"""),"No")</f>
        <v>No</v>
      </c>
      <c r="N1046" s="1" t="str">
        <f>IFERROR(__xludf.DUMMYFUNCTION("""COMPUTED_VALUE"""),"No")</f>
        <v>No</v>
      </c>
      <c r="O1046" s="1" t="str">
        <f>IFERROR(__xludf.DUMMYFUNCTION("""COMPUTED_VALUE"""),"WA ONLY, CALL")</f>
        <v>WA ONLY, CALL</v>
      </c>
      <c r="P1046" s="1" t="str">
        <f>IFERROR(__xludf.DUMMYFUNCTION("""COMPUTED_VALUE"""),"Madam")</f>
        <v>Madam</v>
      </c>
      <c r="Q1046" s="1" t="str">
        <f>IFERROR(__xludf.DUMMYFUNCTION("""COMPUTED_VALUE"""),"No")</f>
        <v>No</v>
      </c>
      <c r="R1046" s="1" t="str">
        <f>IFERROR(__xludf.DUMMYFUNCTION("""COMPUTED_VALUE"""),"NEW WALK IN")</f>
        <v>NEW WALK IN</v>
      </c>
      <c r="S1046" s="1" t="str">
        <f>IFERROR(__xludf.DUMMYFUNCTION("""COMPUTED_VALUE"""),"No")</f>
        <v>No</v>
      </c>
    </row>
    <row r="1047">
      <c r="A1047" s="2">
        <f>IFERROR(__xludf.DUMMYFUNCTION("""COMPUTED_VALUE"""),45692.70773920139)</f>
        <v>45692.70774</v>
      </c>
      <c r="B1047" s="1" t="str">
        <f>IFERROR(__xludf.DUMMYFUNCTION("""COMPUTED_VALUE"""),"Nina singh")</f>
        <v>Nina singh</v>
      </c>
      <c r="C1047" s="1">
        <f>IFERROR(__xludf.DUMMYFUNCTION("""COMPUTED_VALUE"""),9.971828177E9)</f>
        <v>9971828177</v>
      </c>
      <c r="D1047" s="1">
        <f>IFERROR(__xludf.DUMMYFUNCTION("""COMPUTED_VALUE"""),1.0)</f>
        <v>1</v>
      </c>
      <c r="E1047" s="3">
        <f>IFERROR(__xludf.DUMMYFUNCTION("""COMPUTED_VALUE"""),0.5590277777810115)</f>
        <v>0.5590277778</v>
      </c>
      <c r="F1047" s="1" t="str">
        <f>IFERROR(__xludf.DUMMYFUNCTION("""COMPUTED_VALUE"""),"Diamond")</f>
        <v>Diamond</v>
      </c>
      <c r="G1047" s="1" t="str">
        <f>IFERROR(__xludf.DUMMYFUNCTION("""COMPUTED_VALUE"""),"Preeti")</f>
        <v>Preeti</v>
      </c>
      <c r="H1047" s="1"/>
      <c r="I1047" s="1" t="str">
        <f>IFERROR(__xludf.DUMMYFUNCTION("""COMPUTED_VALUE"""),"Repair ")</f>
        <v>Repair </v>
      </c>
      <c r="J1047" s="1"/>
      <c r="K1047" s="3">
        <f>IFERROR(__xludf.DUMMYFUNCTION("""COMPUTED_VALUE"""),0.5812500000029104)</f>
        <v>0.58125</v>
      </c>
      <c r="L1047" s="1" t="str">
        <f>IFERROR(__xludf.DUMMYFUNCTION("""COMPUTED_VALUE"""),"No")</f>
        <v>No</v>
      </c>
      <c r="M1047" s="1" t="str">
        <f>IFERROR(__xludf.DUMMYFUNCTION("""COMPUTED_VALUE"""),"Already done ")</f>
        <v>Already done </v>
      </c>
      <c r="N1047" s="1" t="str">
        <f>IFERROR(__xludf.DUMMYFUNCTION("""COMPUTED_VALUE"""),"Already done ")</f>
        <v>Already done </v>
      </c>
      <c r="O1047" s="1" t="str">
        <f>IFERROR(__xludf.DUMMYFUNCTION("""COMPUTED_VALUE"""),"WA ONLY, CALL")</f>
        <v>WA ONLY, CALL</v>
      </c>
      <c r="P1047" s="1" t="str">
        <f>IFERROR(__xludf.DUMMYFUNCTION("""COMPUTED_VALUE"""),"Madam")</f>
        <v>Madam</v>
      </c>
      <c r="Q1047" s="1" t="str">
        <f>IFERROR(__xludf.DUMMYFUNCTION("""COMPUTED_VALUE"""),"No")</f>
        <v>No</v>
      </c>
      <c r="R1047" s="1" t="str">
        <f>IFERROR(__xludf.DUMMYFUNCTION("""COMPUTED_VALUE"""),"OLD")</f>
        <v>OLD</v>
      </c>
      <c r="S1047" s="1" t="str">
        <f>IFERROR(__xludf.DUMMYFUNCTION("""COMPUTED_VALUE"""),"No")</f>
        <v>No</v>
      </c>
    </row>
    <row r="1048">
      <c r="A1048" s="2">
        <f>IFERROR(__xludf.DUMMYFUNCTION("""COMPUTED_VALUE"""),45692.7900215625)</f>
        <v>45692.79002</v>
      </c>
      <c r="B1048" s="1" t="str">
        <f>IFERROR(__xludf.DUMMYFUNCTION("""COMPUTED_VALUE"""),"Sunil jain")</f>
        <v>Sunil jain</v>
      </c>
      <c r="C1048" s="1" t="str">
        <f>IFERROR(__xludf.DUMMYFUNCTION("""COMPUTED_VALUE"""),"+61411153323")</f>
        <v>+61411153323</v>
      </c>
      <c r="D1048" s="1">
        <f>IFERROR(__xludf.DUMMYFUNCTION("""COMPUTED_VALUE"""),2.0)</f>
        <v>2</v>
      </c>
      <c r="E1048" s="3">
        <f>IFERROR(__xludf.DUMMYFUNCTION("""COMPUTED_VALUE"""),0.6062499999970896)</f>
        <v>0.60625</v>
      </c>
      <c r="F1048" s="1" t="str">
        <f>IFERROR(__xludf.DUMMYFUNCTION("""COMPUTED_VALUE"""),"Diamond")</f>
        <v>Diamond</v>
      </c>
      <c r="G1048" s="1" t="str">
        <f>IFERROR(__xludf.DUMMYFUNCTION("""COMPUTED_VALUE"""),"Preeti")</f>
        <v>Preeti</v>
      </c>
      <c r="H1048" s="1" t="str">
        <f>IFERROR(__xludf.DUMMYFUNCTION("""COMPUTED_VALUE"""),"Ling set,pendent set,antique bangles ")</f>
        <v>Ling set,pendent set,antique bangles </v>
      </c>
      <c r="I1048" s="1"/>
      <c r="J1048" s="1"/>
      <c r="K1048" s="3">
        <f>IFERROR(__xludf.DUMMYFUNCTION("""COMPUTED_VALUE"""),0.7020833333372138)</f>
        <v>0.7020833333</v>
      </c>
      <c r="L1048" s="1" t="str">
        <f>IFERROR(__xludf.DUMMYFUNCTION("""COMPUTED_VALUE"""),"Yes")</f>
        <v>Yes</v>
      </c>
      <c r="M1048" s="1" t="str">
        <f>IFERROR(__xludf.DUMMYFUNCTION("""COMPUTED_VALUE"""),"Already done ")</f>
        <v>Already done </v>
      </c>
      <c r="N1048" s="1" t="str">
        <f>IFERROR(__xludf.DUMMYFUNCTION("""COMPUTED_VALUE"""),"Already done ")</f>
        <v>Already done </v>
      </c>
      <c r="O1048" s="1" t="str">
        <f>IFERROR(__xludf.DUMMYFUNCTION("""COMPUTED_VALUE"""),"WA ONLY, CALL")</f>
        <v>WA ONLY, CALL</v>
      </c>
      <c r="P1048" s="1" t="str">
        <f>IFERROR(__xludf.DUMMYFUNCTION("""COMPUTED_VALUE"""),"Sir")</f>
        <v>Sir</v>
      </c>
      <c r="Q1048" s="1" t="str">
        <f>IFERROR(__xludf.DUMMYFUNCTION("""COMPUTED_VALUE"""),"No")</f>
        <v>No</v>
      </c>
      <c r="R1048" s="1" t="str">
        <f>IFERROR(__xludf.DUMMYFUNCTION("""COMPUTED_VALUE"""),"OLD")</f>
        <v>OLD</v>
      </c>
      <c r="S1048" s="1" t="str">
        <f>IFERROR(__xludf.DUMMYFUNCTION("""COMPUTED_VALUE"""),"Yes")</f>
        <v>Yes</v>
      </c>
    </row>
    <row r="1049">
      <c r="A1049" s="2">
        <f>IFERROR(__xludf.DUMMYFUNCTION("""COMPUTED_VALUE"""),45700.75359422454)</f>
        <v>45700.75359</v>
      </c>
      <c r="B1049" s="1" t="str">
        <f>IFERROR(__xludf.DUMMYFUNCTION("""COMPUTED_VALUE"""),"Bhawna ")</f>
        <v>Bhawna </v>
      </c>
      <c r="C1049" s="1">
        <f>IFERROR(__xludf.DUMMYFUNCTION("""COMPUTED_VALUE"""),9.99915008E9)</f>
        <v>9999150080</v>
      </c>
      <c r="D1049" s="1">
        <f>IFERROR(__xludf.DUMMYFUNCTION("""COMPUTED_VALUE"""),2.0)</f>
        <v>2</v>
      </c>
      <c r="E1049" s="3">
        <f>IFERROR(__xludf.DUMMYFUNCTION("""COMPUTED_VALUE"""),0.5833333333357587)</f>
        <v>0.5833333333</v>
      </c>
      <c r="F1049" s="1" t="str">
        <f>IFERROR(__xludf.DUMMYFUNCTION("""COMPUTED_VALUE"""),"Diamond")</f>
        <v>Diamond</v>
      </c>
      <c r="G1049" s="1" t="str">
        <f>IFERROR(__xludf.DUMMYFUNCTION("""COMPUTED_VALUE"""),"Preeti")</f>
        <v>Preeti</v>
      </c>
      <c r="H1049" s="1" t="str">
        <f>IFERROR(__xludf.DUMMYFUNCTION("""COMPUTED_VALUE"""),".")</f>
        <v>.</v>
      </c>
      <c r="I1049" s="1" t="str">
        <f>IFERROR(__xludf.DUMMYFUNCTION("""COMPUTED_VALUE"""),"Pick up Order")</f>
        <v>Pick up Order</v>
      </c>
      <c r="J1049" s="1"/>
      <c r="K1049" s="3">
        <f>IFERROR(__xludf.DUMMYFUNCTION("""COMPUTED_VALUE"""),0.7361111111094942)</f>
        <v>0.7361111111</v>
      </c>
      <c r="L1049" s="1" t="str">
        <f>IFERROR(__xludf.DUMMYFUNCTION("""COMPUTED_VALUE"""),"Yes")</f>
        <v>Yes</v>
      </c>
      <c r="M1049" s="1" t="str">
        <f>IFERROR(__xludf.DUMMYFUNCTION("""COMPUTED_VALUE"""),"Already done ")</f>
        <v>Already done </v>
      </c>
      <c r="N1049" s="1" t="str">
        <f>IFERROR(__xludf.DUMMYFUNCTION("""COMPUTED_VALUE"""),"Already done ")</f>
        <v>Already done </v>
      </c>
      <c r="O1049" s="1" t="str">
        <f>IFERROR(__xludf.DUMMYFUNCTION("""COMPUTED_VALUE"""),"WA ONLY, CALL")</f>
        <v>WA ONLY, CALL</v>
      </c>
      <c r="P1049" s="1" t="str">
        <f>IFERROR(__xludf.DUMMYFUNCTION("""COMPUTED_VALUE"""),"Madam")</f>
        <v>Madam</v>
      </c>
      <c r="Q1049" s="1" t="str">
        <f>IFERROR(__xludf.DUMMYFUNCTION("""COMPUTED_VALUE"""),"Yes")</f>
        <v>Yes</v>
      </c>
      <c r="R1049" s="1" t="str">
        <f>IFERROR(__xludf.DUMMYFUNCTION("""COMPUTED_VALUE"""),"OLD")</f>
        <v>OLD</v>
      </c>
      <c r="S1049" s="1" t="str">
        <f>IFERROR(__xludf.DUMMYFUNCTION("""COMPUTED_VALUE"""),"No")</f>
        <v>No</v>
      </c>
    </row>
    <row r="1050">
      <c r="A1050" s="2">
        <f>IFERROR(__xludf.DUMMYFUNCTION("""COMPUTED_VALUE"""),45700.75555914352)</f>
        <v>45700.75556</v>
      </c>
      <c r="B1050" s="1" t="str">
        <f>IFERROR(__xludf.DUMMYFUNCTION("""COMPUTED_VALUE"""),"Mahesh")</f>
        <v>Mahesh</v>
      </c>
      <c r="C1050" s="1">
        <f>IFERROR(__xludf.DUMMYFUNCTION("""COMPUTED_VALUE"""),9.810836303E9)</f>
        <v>9810836303</v>
      </c>
      <c r="D1050" s="1">
        <f>IFERROR(__xludf.DUMMYFUNCTION("""COMPUTED_VALUE"""),2.0)</f>
        <v>2</v>
      </c>
      <c r="E1050" s="3">
        <f>IFERROR(__xludf.DUMMYFUNCTION("""COMPUTED_VALUE"""),0.6465277777751908)</f>
        <v>0.6465277778</v>
      </c>
      <c r="F1050" s="1" t="str">
        <f>IFERROR(__xludf.DUMMYFUNCTION("""COMPUTED_VALUE"""),"Antique Gold")</f>
        <v>Antique Gold</v>
      </c>
      <c r="G1050" s="1" t="str">
        <f>IFERROR(__xludf.DUMMYFUNCTION("""COMPUTED_VALUE"""),"Deepali")</f>
        <v>Deepali</v>
      </c>
      <c r="H1050" s="1"/>
      <c r="I1050" s="1" t="str">
        <f>IFERROR(__xludf.DUMMYFUNCTION("""COMPUTED_VALUE"""),"Repair daimond set")</f>
        <v>Repair daimond set</v>
      </c>
      <c r="J1050" s="1"/>
      <c r="K1050" s="3">
        <f>IFERROR(__xludf.DUMMYFUNCTION("""COMPUTED_VALUE"""),0.6666666666642413)</f>
        <v>0.6666666667</v>
      </c>
      <c r="L1050" s="1" t="str">
        <f>IFERROR(__xludf.DUMMYFUNCTION("""COMPUTED_VALUE"""),"Yes")</f>
        <v>Yes</v>
      </c>
      <c r="M1050" s="1" t="str">
        <f>IFERROR(__xludf.DUMMYFUNCTION("""COMPUTED_VALUE"""),"Already done ")</f>
        <v>Already done </v>
      </c>
      <c r="N1050" s="1" t="str">
        <f>IFERROR(__xludf.DUMMYFUNCTION("""COMPUTED_VALUE"""),"Already done ")</f>
        <v>Already done </v>
      </c>
      <c r="O1050" s="1" t="str">
        <f>IFERROR(__xludf.DUMMYFUNCTION("""COMPUTED_VALUE"""),"WA ONLY, CALL")</f>
        <v>WA ONLY, CALL</v>
      </c>
      <c r="P1050" s="1" t="str">
        <f>IFERROR(__xludf.DUMMYFUNCTION("""COMPUTED_VALUE"""),"Sir")</f>
        <v>Sir</v>
      </c>
      <c r="Q1050" s="1" t="str">
        <f>IFERROR(__xludf.DUMMYFUNCTION("""COMPUTED_VALUE"""),"No")</f>
        <v>No</v>
      </c>
      <c r="R1050" s="1" t="str">
        <f>IFERROR(__xludf.DUMMYFUNCTION("""COMPUTED_VALUE"""),"OLD")</f>
        <v>OLD</v>
      </c>
      <c r="S1050" s="1" t="str">
        <f>IFERROR(__xludf.DUMMYFUNCTION("""COMPUTED_VALUE"""),"No")</f>
        <v>No</v>
      </c>
    </row>
    <row r="1051">
      <c r="A1051" s="2">
        <f>IFERROR(__xludf.DUMMYFUNCTION("""COMPUTED_VALUE"""),45700.75729519676)</f>
        <v>45700.7573</v>
      </c>
      <c r="B1051" s="1" t="str">
        <f>IFERROR(__xludf.DUMMYFUNCTION("""COMPUTED_VALUE"""),"Anjana ")</f>
        <v>Anjana </v>
      </c>
      <c r="C1051" s="1">
        <f>IFERROR(__xludf.DUMMYFUNCTION("""COMPUTED_VALUE"""),9.811451013E9)</f>
        <v>9811451013</v>
      </c>
      <c r="D1051" s="1">
        <f>IFERROR(__xludf.DUMMYFUNCTION("""COMPUTED_VALUE"""),2.0)</f>
        <v>2</v>
      </c>
      <c r="E1051" s="3">
        <f>IFERROR(__xludf.DUMMYFUNCTION("""COMPUTED_VALUE"""),0.6875)</f>
        <v>0.6875</v>
      </c>
      <c r="F1051" s="1" t="str">
        <f>IFERROR(__xludf.DUMMYFUNCTION("""COMPUTED_VALUE"""),"Plain Gold")</f>
        <v>Plain Gold</v>
      </c>
      <c r="G1051" s="1" t="str">
        <f>IFERROR(__xludf.DUMMYFUNCTION("""COMPUTED_VALUE"""),"Sapna")</f>
        <v>Sapna</v>
      </c>
      <c r="H1051" s="1" t="str">
        <f>IFERROR(__xludf.DUMMYFUNCTION("""COMPUTED_VALUE"""),"Daimond breslet ")</f>
        <v>Daimond breslet </v>
      </c>
      <c r="I1051" s="1"/>
      <c r="J1051" s="1"/>
      <c r="K1051" s="3">
        <f>IFERROR(__xludf.DUMMYFUNCTION("""COMPUTED_VALUE"""),0.7472222222204437)</f>
        <v>0.7472222222</v>
      </c>
      <c r="L1051" s="1" t="str">
        <f>IFERROR(__xludf.DUMMYFUNCTION("""COMPUTED_VALUE"""),"Yes")</f>
        <v>Yes</v>
      </c>
      <c r="M1051" s="1" t="str">
        <f>IFERROR(__xludf.DUMMYFUNCTION("""COMPUTED_VALUE"""),"Already done ")</f>
        <v>Already done </v>
      </c>
      <c r="N1051" s="1" t="str">
        <f>IFERROR(__xludf.DUMMYFUNCTION("""COMPUTED_VALUE"""),"Already done ")</f>
        <v>Already done </v>
      </c>
      <c r="O1051" s="1" t="str">
        <f>IFERROR(__xludf.DUMMYFUNCTION("""COMPUTED_VALUE"""),"WA ONLY, CALL")</f>
        <v>WA ONLY, CALL</v>
      </c>
      <c r="P1051" s="1" t="str">
        <f>IFERROR(__xludf.DUMMYFUNCTION("""COMPUTED_VALUE"""),"Madam")</f>
        <v>Madam</v>
      </c>
      <c r="Q1051" s="1" t="str">
        <f>IFERROR(__xludf.DUMMYFUNCTION("""COMPUTED_VALUE"""),"No")</f>
        <v>No</v>
      </c>
      <c r="R1051" s="1" t="str">
        <f>IFERROR(__xludf.DUMMYFUNCTION("""COMPUTED_VALUE"""),"OLD")</f>
        <v>OLD</v>
      </c>
      <c r="S1051" s="1" t="str">
        <f>IFERROR(__xludf.DUMMYFUNCTION("""COMPUTED_VALUE"""),"Yes")</f>
        <v>Yes</v>
      </c>
    </row>
    <row r="1052">
      <c r="A1052" s="2">
        <f>IFERROR(__xludf.DUMMYFUNCTION("""COMPUTED_VALUE"""),45700.821632418985)</f>
        <v>45700.82163</v>
      </c>
      <c r="B1052" s="1" t="str">
        <f>IFERROR(__xludf.DUMMYFUNCTION("""COMPUTED_VALUE"""),"Meeru sharma")</f>
        <v>Meeru sharma</v>
      </c>
      <c r="C1052" s="1">
        <f>IFERROR(__xludf.DUMMYFUNCTION("""COMPUTED_VALUE"""),9.871024292E9)</f>
        <v>9871024292</v>
      </c>
      <c r="D1052" s="1">
        <f>IFERROR(__xludf.DUMMYFUNCTION("""COMPUTED_VALUE"""),1.0)</f>
        <v>1</v>
      </c>
      <c r="E1052" s="3">
        <f>IFERROR(__xludf.DUMMYFUNCTION("""COMPUTED_VALUE"""),0.7604166666642413)</f>
        <v>0.7604166667</v>
      </c>
      <c r="F1052" s="1" t="str">
        <f>IFERROR(__xludf.DUMMYFUNCTION("""COMPUTED_VALUE"""),"Plain Gold")</f>
        <v>Plain Gold</v>
      </c>
      <c r="G1052" s="1" t="str">
        <f>IFERROR(__xludf.DUMMYFUNCTION("""COMPUTED_VALUE"""),"Sapna")</f>
        <v>Sapna</v>
      </c>
      <c r="H1052" s="1" t="str">
        <f>IFERROR(__xludf.DUMMYFUNCTION("""COMPUTED_VALUE"""),"Gold kids tops")</f>
        <v>Gold kids tops</v>
      </c>
      <c r="I1052" s="1"/>
      <c r="J1052" s="1"/>
      <c r="K1052" s="3">
        <f>IFERROR(__xludf.DUMMYFUNCTION("""COMPUTED_VALUE"""),0.7604166666642413)</f>
        <v>0.7604166667</v>
      </c>
      <c r="L1052" s="1" t="str">
        <f>IFERROR(__xludf.DUMMYFUNCTION("""COMPUTED_VALUE"""),"Yes")</f>
        <v>Yes</v>
      </c>
      <c r="M1052" s="1" t="str">
        <f>IFERROR(__xludf.DUMMYFUNCTION("""COMPUTED_VALUE"""),"Already done ")</f>
        <v>Already done </v>
      </c>
      <c r="N1052" s="1" t="str">
        <f>IFERROR(__xludf.DUMMYFUNCTION("""COMPUTED_VALUE"""),"Already done ")</f>
        <v>Already done </v>
      </c>
      <c r="O1052" s="1" t="str">
        <f>IFERROR(__xludf.DUMMYFUNCTION("""COMPUTED_VALUE"""),"WA ONLY, CALL")</f>
        <v>WA ONLY, CALL</v>
      </c>
      <c r="P1052" s="1" t="str">
        <f>IFERROR(__xludf.DUMMYFUNCTION("""COMPUTED_VALUE"""),"Madam")</f>
        <v>Madam</v>
      </c>
      <c r="Q1052" s="1" t="str">
        <f>IFERROR(__xludf.DUMMYFUNCTION("""COMPUTED_VALUE"""),"No")</f>
        <v>No</v>
      </c>
      <c r="R1052" s="1" t="str">
        <f>IFERROR(__xludf.DUMMYFUNCTION("""COMPUTED_VALUE"""),"OLD")</f>
        <v>OLD</v>
      </c>
      <c r="S1052" s="1" t="str">
        <f>IFERROR(__xludf.DUMMYFUNCTION("""COMPUTED_VALUE"""),"Yes")</f>
        <v>Yes</v>
      </c>
    </row>
    <row r="1053">
      <c r="A1053" s="2">
        <f>IFERROR(__xludf.DUMMYFUNCTION("""COMPUTED_VALUE"""),45700.822655682874)</f>
        <v>45700.82266</v>
      </c>
      <c r="B1053" s="1" t="str">
        <f>IFERROR(__xludf.DUMMYFUNCTION("""COMPUTED_VALUE"""),"Muzaib raza")</f>
        <v>Muzaib raza</v>
      </c>
      <c r="C1053" s="1">
        <f>IFERROR(__xludf.DUMMYFUNCTION("""COMPUTED_VALUE"""),9.650798068E9)</f>
        <v>9650798068</v>
      </c>
      <c r="D1053" s="1">
        <f>IFERROR(__xludf.DUMMYFUNCTION("""COMPUTED_VALUE"""),1.0)</f>
        <v>1</v>
      </c>
      <c r="E1053" s="3">
        <f>IFERROR(__xludf.DUMMYFUNCTION("""COMPUTED_VALUE"""),0.78125)</f>
        <v>0.78125</v>
      </c>
      <c r="F1053" s="1" t="str">
        <f>IFERROR(__xludf.DUMMYFUNCTION("""COMPUTED_VALUE"""),"Plain Gold")</f>
        <v>Plain Gold</v>
      </c>
      <c r="G1053" s="1" t="str">
        <f>IFERROR(__xludf.DUMMYFUNCTION("""COMPUTED_VALUE"""),"Sapna")</f>
        <v>Sapna</v>
      </c>
      <c r="H1053" s="1" t="str">
        <f>IFERROR(__xludf.DUMMYFUNCTION("""COMPUTED_VALUE"""),"Mmtc 5gm coin")</f>
        <v>Mmtc 5gm coin</v>
      </c>
      <c r="I1053" s="1"/>
      <c r="J1053" s="1"/>
      <c r="K1053" s="3">
        <f>IFERROR(__xludf.DUMMYFUNCTION("""COMPUTED_VALUE"""),0.8020833333357587)</f>
        <v>0.8020833333</v>
      </c>
      <c r="L1053" s="1" t="str">
        <f>IFERROR(__xludf.DUMMYFUNCTION("""COMPUTED_VALUE"""),"Yes")</f>
        <v>Yes</v>
      </c>
      <c r="M1053" s="1" t="str">
        <f>IFERROR(__xludf.DUMMYFUNCTION("""COMPUTED_VALUE"""),"Already done ")</f>
        <v>Already done </v>
      </c>
      <c r="N1053" s="1" t="str">
        <f>IFERROR(__xludf.DUMMYFUNCTION("""COMPUTED_VALUE"""),"Already done ")</f>
        <v>Already done </v>
      </c>
      <c r="O1053" s="1" t="str">
        <f>IFERROR(__xludf.DUMMYFUNCTION("""COMPUTED_VALUE"""),"WA ONLY, CALL")</f>
        <v>WA ONLY, CALL</v>
      </c>
      <c r="P1053" s="1" t="str">
        <f>IFERROR(__xludf.DUMMYFUNCTION("""COMPUTED_VALUE"""),"Sir")</f>
        <v>Sir</v>
      </c>
      <c r="Q1053" s="1" t="str">
        <f>IFERROR(__xludf.DUMMYFUNCTION("""COMPUTED_VALUE"""),"No")</f>
        <v>No</v>
      </c>
      <c r="R1053" s="1" t="str">
        <f>IFERROR(__xludf.DUMMYFUNCTION("""COMPUTED_VALUE"""),"OLD")</f>
        <v>OLD</v>
      </c>
      <c r="S1053" s="1" t="str">
        <f>IFERROR(__xludf.DUMMYFUNCTION("""COMPUTED_VALUE"""),"Yes")</f>
        <v>Yes</v>
      </c>
    </row>
    <row r="1054">
      <c r="A1054" s="2">
        <f>IFERROR(__xludf.DUMMYFUNCTION("""COMPUTED_VALUE"""),45701.719895937495)</f>
        <v>45701.7199</v>
      </c>
      <c r="B1054" s="1" t="str">
        <f>IFERROR(__xludf.DUMMYFUNCTION("""COMPUTED_VALUE"""),"Hemlata")</f>
        <v>Hemlata</v>
      </c>
      <c r="C1054" s="1">
        <f>IFERROR(__xludf.DUMMYFUNCTION("""COMPUTED_VALUE"""),9.89908112E8)</f>
        <v>989908112</v>
      </c>
      <c r="D1054" s="1">
        <f>IFERROR(__xludf.DUMMYFUNCTION("""COMPUTED_VALUE"""),2.0)</f>
        <v>2</v>
      </c>
      <c r="E1054" s="3">
        <f>IFERROR(__xludf.DUMMYFUNCTION("""COMPUTED_VALUE"""),0.625)</f>
        <v>0.625</v>
      </c>
      <c r="F1054" s="1" t="str">
        <f>IFERROR(__xludf.DUMMYFUNCTION("""COMPUTED_VALUE"""),"Plain Gold")</f>
        <v>Plain Gold</v>
      </c>
      <c r="G1054" s="1" t="str">
        <f>IFERROR(__xludf.DUMMYFUNCTION("""COMPUTED_VALUE"""),"Sapna")</f>
        <v>Sapna</v>
      </c>
      <c r="H1054" s="1" t="str">
        <f>IFERROR(__xludf.DUMMYFUNCTION("""COMPUTED_VALUE"""),"Gold set")</f>
        <v>Gold set</v>
      </c>
      <c r="I1054" s="1"/>
      <c r="J1054" s="1"/>
      <c r="K1054" s="3">
        <f>IFERROR(__xludf.DUMMYFUNCTION("""COMPUTED_VALUE"""),0.7048611111094942)</f>
        <v>0.7048611111</v>
      </c>
      <c r="L1054" s="1" t="str">
        <f>IFERROR(__xludf.DUMMYFUNCTION("""COMPUTED_VALUE"""),"Yes")</f>
        <v>Yes</v>
      </c>
      <c r="M1054" s="1" t="str">
        <f>IFERROR(__xludf.DUMMYFUNCTION("""COMPUTED_VALUE"""),"Not use")</f>
        <v>Not use</v>
      </c>
      <c r="N1054" s="1" t="str">
        <f>IFERROR(__xludf.DUMMYFUNCTION("""COMPUTED_VALUE"""),"Not use")</f>
        <v>Not use</v>
      </c>
      <c r="O1054" s="1" t="str">
        <f>IFERROR(__xludf.DUMMYFUNCTION("""COMPUTED_VALUE"""),"WA ONLY, CALL")</f>
        <v>WA ONLY, CALL</v>
      </c>
      <c r="P1054" s="1" t="str">
        <f>IFERROR(__xludf.DUMMYFUNCTION("""COMPUTED_VALUE"""),"Madam")</f>
        <v>Madam</v>
      </c>
      <c r="Q1054" s="1" t="str">
        <f>IFERROR(__xludf.DUMMYFUNCTION("""COMPUTED_VALUE"""),"No")</f>
        <v>No</v>
      </c>
      <c r="R1054" s="1" t="str">
        <f>IFERROR(__xludf.DUMMYFUNCTION("""COMPUTED_VALUE"""),"NEW WALK IN")</f>
        <v>NEW WALK IN</v>
      </c>
      <c r="S1054" s="1" t="str">
        <f>IFERROR(__xludf.DUMMYFUNCTION("""COMPUTED_VALUE"""),"Yes")</f>
        <v>Yes</v>
      </c>
    </row>
    <row r="1055">
      <c r="A1055" s="2">
        <f>IFERROR(__xludf.DUMMYFUNCTION("""COMPUTED_VALUE"""),45701.721609479166)</f>
        <v>45701.72161</v>
      </c>
      <c r="B1055" s="1" t="str">
        <f>IFERROR(__xludf.DUMMYFUNCTION("""COMPUTED_VALUE"""),"Seema khanna")</f>
        <v>Seema khanna</v>
      </c>
      <c r="C1055" s="1">
        <f>IFERROR(__xludf.DUMMYFUNCTION("""COMPUTED_VALUE"""),9.810020669E9)</f>
        <v>9810020669</v>
      </c>
      <c r="D1055" s="1">
        <f>IFERROR(__xludf.DUMMYFUNCTION("""COMPUTED_VALUE"""),1.0)</f>
        <v>1</v>
      </c>
      <c r="E1055" s="3">
        <f>IFERROR(__xludf.DUMMYFUNCTION("""COMPUTED_VALUE"""),0.6888888888934162)</f>
        <v>0.6888888889</v>
      </c>
      <c r="F1055" s="1" t="str">
        <f>IFERROR(__xludf.DUMMYFUNCTION("""COMPUTED_VALUE"""),"Diamond")</f>
        <v>Diamond</v>
      </c>
      <c r="G1055" s="1" t="str">
        <f>IFERROR(__xludf.DUMMYFUNCTION("""COMPUTED_VALUE"""),"Sapna")</f>
        <v>Sapna</v>
      </c>
      <c r="H1055" s="1" t="str">
        <f>IFERROR(__xludf.DUMMYFUNCTION("""COMPUTED_VALUE"""),"Gold chain")</f>
        <v>Gold chain</v>
      </c>
      <c r="I1055" s="1"/>
      <c r="J1055" s="1"/>
      <c r="K1055" s="3">
        <f>IFERROR(__xludf.DUMMYFUNCTION("""COMPUTED_VALUE"""),0.7069444444423425)</f>
        <v>0.7069444444</v>
      </c>
      <c r="L1055" s="1" t="str">
        <f>IFERROR(__xludf.DUMMYFUNCTION("""COMPUTED_VALUE"""),"Yes")</f>
        <v>Yes</v>
      </c>
      <c r="M1055" s="1" t="str">
        <f>IFERROR(__xludf.DUMMYFUNCTION("""COMPUTED_VALUE"""),"Already done ")</f>
        <v>Already done </v>
      </c>
      <c r="N1055" s="1" t="str">
        <f>IFERROR(__xludf.DUMMYFUNCTION("""COMPUTED_VALUE"""),"Already done ")</f>
        <v>Already done </v>
      </c>
      <c r="O1055" s="1" t="str">
        <f>IFERROR(__xludf.DUMMYFUNCTION("""COMPUTED_VALUE"""),"WA ONLY, CALL")</f>
        <v>WA ONLY, CALL</v>
      </c>
      <c r="P1055" s="1" t="str">
        <f>IFERROR(__xludf.DUMMYFUNCTION("""COMPUTED_VALUE"""),"Madam")</f>
        <v>Madam</v>
      </c>
      <c r="Q1055" s="1" t="str">
        <f>IFERROR(__xludf.DUMMYFUNCTION("""COMPUTED_VALUE"""),"No")</f>
        <v>No</v>
      </c>
      <c r="R1055" s="1" t="str">
        <f>IFERROR(__xludf.DUMMYFUNCTION("""COMPUTED_VALUE"""),"OLD")</f>
        <v>OLD</v>
      </c>
      <c r="S1055" s="1" t="str">
        <f>IFERROR(__xludf.DUMMYFUNCTION("""COMPUTED_VALUE"""),"Yes")</f>
        <v>Yes</v>
      </c>
    </row>
    <row r="1056">
      <c r="A1056" s="2">
        <f>IFERROR(__xludf.DUMMYFUNCTION("""COMPUTED_VALUE"""),45703.768095312495)</f>
        <v>45703.7681</v>
      </c>
      <c r="B1056" s="1" t="str">
        <f>IFERROR(__xludf.DUMMYFUNCTION("""COMPUTED_VALUE"""),"Jyostshna gupta ")</f>
        <v>Jyostshna gupta </v>
      </c>
      <c r="C1056" s="1">
        <f>IFERROR(__xludf.DUMMYFUNCTION("""COMPUTED_VALUE"""),9.818285017E9)</f>
        <v>9818285017</v>
      </c>
      <c r="D1056" s="1">
        <f>IFERROR(__xludf.DUMMYFUNCTION("""COMPUTED_VALUE"""),2.0)</f>
        <v>2</v>
      </c>
      <c r="E1056" s="3">
        <f>IFERROR(__xludf.DUMMYFUNCTION("""COMPUTED_VALUE"""),0.578472222223354)</f>
        <v>0.5784722222</v>
      </c>
      <c r="F1056" s="1" t="str">
        <f>IFERROR(__xludf.DUMMYFUNCTION("""COMPUTED_VALUE"""),"Plain Gold")</f>
        <v>Plain Gold</v>
      </c>
      <c r="G1056" s="1" t="str">
        <f>IFERROR(__xludf.DUMMYFUNCTION("""COMPUTED_VALUE"""),"Sapna")</f>
        <v>Sapna</v>
      </c>
      <c r="H1056" s="1" t="str">
        <f>IFERROR(__xludf.DUMMYFUNCTION("""COMPUTED_VALUE"""),"Silver chain,chsndi katori set")</f>
        <v>Silver chain,chsndi katori set</v>
      </c>
      <c r="I1056" s="1"/>
      <c r="J1056" s="1"/>
      <c r="K1056" s="3">
        <f>IFERROR(__xludf.DUMMYFUNCTION("""COMPUTED_VALUE"""),0.6145833333357587)</f>
        <v>0.6145833333</v>
      </c>
      <c r="L1056" s="1" t="str">
        <f>IFERROR(__xludf.DUMMYFUNCTION("""COMPUTED_VALUE"""),"Yes")</f>
        <v>Yes</v>
      </c>
      <c r="M1056" s="1" t="str">
        <f>IFERROR(__xludf.DUMMYFUNCTION("""COMPUTED_VALUE"""),"Yes")</f>
        <v>Yes</v>
      </c>
      <c r="N1056" s="1" t="str">
        <f>IFERROR(__xludf.DUMMYFUNCTION("""COMPUTED_VALUE"""),"Yes")</f>
        <v>Yes</v>
      </c>
      <c r="O1056" s="1" t="str">
        <f>IFERROR(__xludf.DUMMYFUNCTION("""COMPUTED_VALUE"""),"WA ONLY, CALL")</f>
        <v>WA ONLY, CALL</v>
      </c>
      <c r="P1056" s="1" t="str">
        <f>IFERROR(__xludf.DUMMYFUNCTION("""COMPUTED_VALUE"""),"Madam")</f>
        <v>Madam</v>
      </c>
      <c r="Q1056" s="1" t="str">
        <f>IFERROR(__xludf.DUMMYFUNCTION("""COMPUTED_VALUE"""),"No")</f>
        <v>No</v>
      </c>
      <c r="R1056" s="1" t="str">
        <f>IFERROR(__xludf.DUMMYFUNCTION("""COMPUTED_VALUE"""),"NEW WALK IN")</f>
        <v>NEW WALK IN</v>
      </c>
      <c r="S1056" s="1" t="str">
        <f>IFERROR(__xludf.DUMMYFUNCTION("""COMPUTED_VALUE"""),"Yes")</f>
        <v>Yes</v>
      </c>
    </row>
    <row r="1057">
      <c r="A1057" s="2">
        <f>IFERROR(__xludf.DUMMYFUNCTION("""COMPUTED_VALUE"""),45703.769033344906)</f>
        <v>45703.76903</v>
      </c>
      <c r="B1057" s="1" t="str">
        <f>IFERROR(__xludf.DUMMYFUNCTION("""COMPUTED_VALUE"""),"Sherya")</f>
        <v>Sherya</v>
      </c>
      <c r="C1057" s="1">
        <f>IFERROR(__xludf.DUMMYFUNCTION("""COMPUTED_VALUE"""),9.599882233E9)</f>
        <v>9599882233</v>
      </c>
      <c r="D1057" s="1">
        <f>IFERROR(__xludf.DUMMYFUNCTION("""COMPUTED_VALUE"""),2.0)</f>
        <v>2</v>
      </c>
      <c r="E1057" s="3">
        <f>IFERROR(__xludf.DUMMYFUNCTION("""COMPUTED_VALUE"""),0.6354166666642413)</f>
        <v>0.6354166667</v>
      </c>
      <c r="F1057" s="1" t="str">
        <f>IFERROR(__xludf.DUMMYFUNCTION("""COMPUTED_VALUE"""),"Antique Gold")</f>
        <v>Antique Gold</v>
      </c>
      <c r="G1057" s="1" t="str">
        <f>IFERROR(__xludf.DUMMYFUNCTION("""COMPUTED_VALUE"""),"Sapna")</f>
        <v>Sapna</v>
      </c>
      <c r="H1057" s="1" t="str">
        <f>IFERROR(__xludf.DUMMYFUNCTION("""COMPUTED_VALUE"""),"Gold sets antique ")</f>
        <v>Gold sets antique </v>
      </c>
      <c r="I1057" s="1"/>
      <c r="J1057" s="1"/>
      <c r="K1057" s="3">
        <f>IFERROR(__xludf.DUMMYFUNCTION("""COMPUTED_VALUE"""),0.7520833333328483)</f>
        <v>0.7520833333</v>
      </c>
      <c r="L1057" s="1" t="str">
        <f>IFERROR(__xludf.DUMMYFUNCTION("""COMPUTED_VALUE"""),"Yes")</f>
        <v>Yes</v>
      </c>
      <c r="M1057" s="1" t="str">
        <f>IFERROR(__xludf.DUMMYFUNCTION("""COMPUTED_VALUE"""),"Already done ")</f>
        <v>Already done </v>
      </c>
      <c r="N1057" s="1" t="str">
        <f>IFERROR(__xludf.DUMMYFUNCTION("""COMPUTED_VALUE"""),"Already done ")</f>
        <v>Already done </v>
      </c>
      <c r="O1057" s="1" t="str">
        <f>IFERROR(__xludf.DUMMYFUNCTION("""COMPUTED_VALUE"""),"WA ONLY, CALL")</f>
        <v>WA ONLY, CALL</v>
      </c>
      <c r="P1057" s="1" t="str">
        <f>IFERROR(__xludf.DUMMYFUNCTION("""COMPUTED_VALUE"""),"Madam")</f>
        <v>Madam</v>
      </c>
      <c r="Q1057" s="1" t="str">
        <f>IFERROR(__xludf.DUMMYFUNCTION("""COMPUTED_VALUE"""),"No")</f>
        <v>No</v>
      </c>
      <c r="R1057" s="1" t="str">
        <f>IFERROR(__xludf.DUMMYFUNCTION("""COMPUTED_VALUE"""),"OLD")</f>
        <v>OLD</v>
      </c>
      <c r="S1057" s="1" t="str">
        <f>IFERROR(__xludf.DUMMYFUNCTION("""COMPUTED_VALUE"""),"Yes")</f>
        <v>Yes</v>
      </c>
    </row>
    <row r="1058">
      <c r="A1058" s="2">
        <f>IFERROR(__xludf.DUMMYFUNCTION("""COMPUTED_VALUE"""),45708.75739708333)</f>
        <v>45708.7574</v>
      </c>
      <c r="B1058" s="1" t="str">
        <f>IFERROR(__xludf.DUMMYFUNCTION("""COMPUTED_VALUE"""),"Mukesh")</f>
        <v>Mukesh</v>
      </c>
      <c r="C1058" s="1">
        <f>IFERROR(__xludf.DUMMYFUNCTION("""COMPUTED_VALUE"""),9.582731986E9)</f>
        <v>9582731986</v>
      </c>
      <c r="D1058" s="1">
        <f>IFERROR(__xludf.DUMMYFUNCTION("""COMPUTED_VALUE"""),2.0)</f>
        <v>2</v>
      </c>
      <c r="E1058" s="3">
        <f>IFERROR(__xludf.DUMMYFUNCTION("""COMPUTED_VALUE"""),0.47916666666424135)</f>
        <v>0.4791666667</v>
      </c>
      <c r="F1058" s="1" t="str">
        <f>IFERROR(__xludf.DUMMYFUNCTION("""COMPUTED_VALUE"""),"Plain Gold")</f>
        <v>Plain Gold</v>
      </c>
      <c r="G1058" s="1" t="str">
        <f>IFERROR(__xludf.DUMMYFUNCTION("""COMPUTED_VALUE"""),"Deepali")</f>
        <v>Deepali</v>
      </c>
      <c r="H1058" s="1" t="str">
        <f>IFERROR(__xludf.DUMMYFUNCTION("""COMPUTED_VALUE"""),"Gold bali,gold tops,ring")</f>
        <v>Gold bali,gold tops,ring</v>
      </c>
      <c r="I1058" s="1"/>
      <c r="J1058" s="1" t="str">
        <f>IFERROR(__xludf.DUMMYFUNCTION("""COMPUTED_VALUE"""),"5000 per month LUCKY DRAW 7 EVERY MONTH, 2000 per month LUCKY PAY NO MORE")</f>
        <v>5000 per month LUCKY DRAW 7 EVERY MONTH, 2000 per month LUCKY PAY NO MORE</v>
      </c>
      <c r="K1058" s="3">
        <f>IFERROR(__xludf.DUMMYFUNCTION("""COMPUTED_VALUE"""),0.5458333333372138)</f>
        <v>0.5458333333</v>
      </c>
      <c r="L1058" s="1" t="str">
        <f>IFERROR(__xludf.DUMMYFUNCTION("""COMPUTED_VALUE"""),"Yes")</f>
        <v>Yes</v>
      </c>
      <c r="M1058" s="1" t="str">
        <f>IFERROR(__xludf.DUMMYFUNCTION("""COMPUTED_VALUE"""),"Already done ")</f>
        <v>Already done </v>
      </c>
      <c r="N1058" s="1" t="str">
        <f>IFERROR(__xludf.DUMMYFUNCTION("""COMPUTED_VALUE"""),"Already done ")</f>
        <v>Already done </v>
      </c>
      <c r="O1058" s="1" t="str">
        <f>IFERROR(__xludf.DUMMYFUNCTION("""COMPUTED_VALUE"""),"WA ONLY, CALL")</f>
        <v>WA ONLY, CALL</v>
      </c>
      <c r="P1058" s="1" t="str">
        <f>IFERROR(__xludf.DUMMYFUNCTION("""COMPUTED_VALUE"""),"Sir")</f>
        <v>Sir</v>
      </c>
      <c r="Q1058" s="1" t="str">
        <f>IFERROR(__xludf.DUMMYFUNCTION("""COMPUTED_VALUE"""),"Yes")</f>
        <v>Yes</v>
      </c>
      <c r="R1058" s="1" t="str">
        <f>IFERROR(__xludf.DUMMYFUNCTION("""COMPUTED_VALUE"""),"OLD")</f>
        <v>OLD</v>
      </c>
      <c r="S1058" s="1" t="str">
        <f>IFERROR(__xludf.DUMMYFUNCTION("""COMPUTED_VALUE"""),"Yes")</f>
        <v>Yes</v>
      </c>
    </row>
    <row r="1059">
      <c r="A1059" s="2">
        <f>IFERROR(__xludf.DUMMYFUNCTION("""COMPUTED_VALUE"""),45708.758068194446)</f>
        <v>45708.75807</v>
      </c>
      <c r="B1059" s="1" t="str">
        <f>IFERROR(__xludf.DUMMYFUNCTION("""COMPUTED_VALUE"""),"Deepika")</f>
        <v>Deepika</v>
      </c>
      <c r="C1059" s="1">
        <f>IFERROR(__xludf.DUMMYFUNCTION("""COMPUTED_VALUE"""),7.303324435E9)</f>
        <v>7303324435</v>
      </c>
      <c r="D1059" s="1">
        <f>IFERROR(__xludf.DUMMYFUNCTION("""COMPUTED_VALUE"""),1.0)</f>
        <v>1</v>
      </c>
      <c r="E1059" s="3">
        <f>IFERROR(__xludf.DUMMYFUNCTION("""COMPUTED_VALUE"""),0.53125)</f>
        <v>0.53125</v>
      </c>
      <c r="F1059" s="1" t="str">
        <f>IFERROR(__xludf.DUMMYFUNCTION("""COMPUTED_VALUE"""),"Antique Gold")</f>
        <v>Antique Gold</v>
      </c>
      <c r="G1059" s="1" t="str">
        <f>IFERROR(__xludf.DUMMYFUNCTION("""COMPUTED_VALUE"""),"Suman")</f>
        <v>Suman</v>
      </c>
      <c r="H1059" s="1" t="str">
        <f>IFERROR(__xludf.DUMMYFUNCTION("""COMPUTED_VALUE"""),"Daimond ring")</f>
        <v>Daimond ring</v>
      </c>
      <c r="I1059" s="1" t="str">
        <f>IFERROR(__xludf.DUMMYFUNCTION("""COMPUTED_VALUE"""),"Visit Again in 1 Month")</f>
        <v>Visit Again in 1 Month</v>
      </c>
      <c r="J1059" s="1"/>
      <c r="K1059" s="3">
        <f>IFERROR(__xludf.DUMMYFUNCTION("""COMPUTED_VALUE"""),0.5569444444408873)</f>
        <v>0.5569444444</v>
      </c>
      <c r="L1059" s="1" t="str">
        <f>IFERROR(__xludf.DUMMYFUNCTION("""COMPUTED_VALUE"""),"No")</f>
        <v>No</v>
      </c>
      <c r="M1059" s="1" t="str">
        <f>IFERROR(__xludf.DUMMYFUNCTION("""COMPUTED_VALUE"""),"No")</f>
        <v>No</v>
      </c>
      <c r="N1059" s="1" t="str">
        <f>IFERROR(__xludf.DUMMYFUNCTION("""COMPUTED_VALUE"""),"No")</f>
        <v>No</v>
      </c>
      <c r="O1059" s="1" t="str">
        <f>IFERROR(__xludf.DUMMYFUNCTION("""COMPUTED_VALUE"""),"WA ONLY, CALL")</f>
        <v>WA ONLY, CALL</v>
      </c>
      <c r="P1059" s="1" t="str">
        <f>IFERROR(__xludf.DUMMYFUNCTION("""COMPUTED_VALUE"""),"Madam")</f>
        <v>Madam</v>
      </c>
      <c r="Q1059" s="1" t="str">
        <f>IFERROR(__xludf.DUMMYFUNCTION("""COMPUTED_VALUE"""),"No")</f>
        <v>No</v>
      </c>
      <c r="R1059" s="1" t="str">
        <f>IFERROR(__xludf.DUMMYFUNCTION("""COMPUTED_VALUE"""),"NEW WALK IN")</f>
        <v>NEW WALK IN</v>
      </c>
      <c r="S1059" s="1" t="str">
        <f>IFERROR(__xludf.DUMMYFUNCTION("""COMPUTED_VALUE"""),"No")</f>
        <v>No</v>
      </c>
    </row>
    <row r="1060">
      <c r="A1060" s="2">
        <f>IFERROR(__xludf.DUMMYFUNCTION("""COMPUTED_VALUE"""),45708.75882390046)</f>
        <v>45708.75882</v>
      </c>
      <c r="B1060" s="1" t="str">
        <f>IFERROR(__xludf.DUMMYFUNCTION("""COMPUTED_VALUE"""),"Sheetal")</f>
        <v>Sheetal</v>
      </c>
      <c r="C1060" s="1">
        <f>IFERROR(__xludf.DUMMYFUNCTION("""COMPUTED_VALUE"""),9.999987268E9)</f>
        <v>9999987268</v>
      </c>
      <c r="D1060" s="1">
        <f>IFERROR(__xludf.DUMMYFUNCTION("""COMPUTED_VALUE"""),3.0)</f>
        <v>3</v>
      </c>
      <c r="E1060" s="3">
        <f>IFERROR(__xludf.DUMMYFUNCTION("""COMPUTED_VALUE"""),0.5208333333357587)</f>
        <v>0.5208333333</v>
      </c>
      <c r="F1060" s="1" t="str">
        <f>IFERROR(__xludf.DUMMYFUNCTION("""COMPUTED_VALUE"""),"Diamond")</f>
        <v>Diamond</v>
      </c>
      <c r="G1060" s="1" t="str">
        <f>IFERROR(__xludf.DUMMYFUNCTION("""COMPUTED_VALUE"""),"Preeti")</f>
        <v>Preeti</v>
      </c>
      <c r="H1060" s="1" t="str">
        <f>IFERROR(__xludf.DUMMYFUNCTION("""COMPUTED_VALUE"""),"Daimond set,mmtc ginni and coin")</f>
        <v>Daimond set,mmtc ginni and coin</v>
      </c>
      <c r="I1060" s="1"/>
      <c r="J1060" s="1"/>
      <c r="K1060" s="3">
        <f>IFERROR(__xludf.DUMMYFUNCTION("""COMPUTED_VALUE"""),0.6305555555591127)</f>
        <v>0.6305555556</v>
      </c>
      <c r="L1060" s="1" t="str">
        <f>IFERROR(__xludf.DUMMYFUNCTION("""COMPUTED_VALUE"""),"Yes")</f>
        <v>Yes</v>
      </c>
      <c r="M1060" s="1" t="str">
        <f>IFERROR(__xludf.DUMMYFUNCTION("""COMPUTED_VALUE"""),"Already done ")</f>
        <v>Already done </v>
      </c>
      <c r="N1060" s="1" t="str">
        <f>IFERROR(__xludf.DUMMYFUNCTION("""COMPUTED_VALUE"""),"Already done ")</f>
        <v>Already done </v>
      </c>
      <c r="O1060" s="1" t="str">
        <f>IFERROR(__xludf.DUMMYFUNCTION("""COMPUTED_VALUE"""),"WA ONLY, CALL")</f>
        <v>WA ONLY, CALL</v>
      </c>
      <c r="P1060" s="1" t="str">
        <f>IFERROR(__xludf.DUMMYFUNCTION("""COMPUTED_VALUE"""),"Madam")</f>
        <v>Madam</v>
      </c>
      <c r="Q1060" s="1" t="str">
        <f>IFERROR(__xludf.DUMMYFUNCTION("""COMPUTED_VALUE"""),"No")</f>
        <v>No</v>
      </c>
      <c r="R1060" s="1" t="str">
        <f>IFERROR(__xludf.DUMMYFUNCTION("""COMPUTED_VALUE"""),"OLD")</f>
        <v>OLD</v>
      </c>
      <c r="S1060" s="1" t="str">
        <f>IFERROR(__xludf.DUMMYFUNCTION("""COMPUTED_VALUE"""),"Yes")</f>
        <v>Yes</v>
      </c>
    </row>
    <row r="1061">
      <c r="A1061" s="2">
        <f>IFERROR(__xludf.DUMMYFUNCTION("""COMPUTED_VALUE"""),45709.80305165509)</f>
        <v>45709.80305</v>
      </c>
      <c r="B1061" s="1" t="str">
        <f>IFERROR(__xludf.DUMMYFUNCTION("""COMPUTED_VALUE"""),"Alka")</f>
        <v>Alka</v>
      </c>
      <c r="C1061" s="1">
        <f>IFERROR(__xludf.DUMMYFUNCTION("""COMPUTED_VALUE"""),9.868879407E9)</f>
        <v>9868879407</v>
      </c>
      <c r="D1061" s="1">
        <f>IFERROR(__xludf.DUMMYFUNCTION("""COMPUTED_VALUE"""),2.0)</f>
        <v>2</v>
      </c>
      <c r="E1061" s="3">
        <f>IFERROR(__xludf.DUMMYFUNCTION("""COMPUTED_VALUE"""),0.5763888888905058)</f>
        <v>0.5763888889</v>
      </c>
      <c r="F1061" s="1" t="str">
        <f>IFERROR(__xludf.DUMMYFUNCTION("""COMPUTED_VALUE"""),"Plain Gold")</f>
        <v>Plain Gold</v>
      </c>
      <c r="G1061" s="1" t="str">
        <f>IFERROR(__xludf.DUMMYFUNCTION("""COMPUTED_VALUE"""),"Sapna")</f>
        <v>Sapna</v>
      </c>
      <c r="H1061" s="1" t="str">
        <f>IFERROR(__xludf.DUMMYFUNCTION("""COMPUTED_VALUE"""),"Gold chain,tops")</f>
        <v>Gold chain,tops</v>
      </c>
      <c r="I1061" s="1"/>
      <c r="J1061" s="1"/>
      <c r="K1061" s="3">
        <f>IFERROR(__xludf.DUMMYFUNCTION("""COMPUTED_VALUE"""),0.6666666666642413)</f>
        <v>0.6666666667</v>
      </c>
      <c r="L1061" s="1" t="str">
        <f>IFERROR(__xludf.DUMMYFUNCTION("""COMPUTED_VALUE"""),"Yes")</f>
        <v>Yes</v>
      </c>
      <c r="M1061" s="1" t="str">
        <f>IFERROR(__xludf.DUMMYFUNCTION("""COMPUTED_VALUE"""),"Already done ")</f>
        <v>Already done </v>
      </c>
      <c r="N1061" s="1" t="str">
        <f>IFERROR(__xludf.DUMMYFUNCTION("""COMPUTED_VALUE"""),"Already done ")</f>
        <v>Already done </v>
      </c>
      <c r="O1061" s="1" t="str">
        <f>IFERROR(__xludf.DUMMYFUNCTION("""COMPUTED_VALUE"""),"WA ONLY, CALL")</f>
        <v>WA ONLY, CALL</v>
      </c>
      <c r="P1061" s="1" t="str">
        <f>IFERROR(__xludf.DUMMYFUNCTION("""COMPUTED_VALUE"""),"Madam")</f>
        <v>Madam</v>
      </c>
      <c r="Q1061" s="1" t="str">
        <f>IFERROR(__xludf.DUMMYFUNCTION("""COMPUTED_VALUE"""),"No")</f>
        <v>No</v>
      </c>
      <c r="R1061" s="1" t="str">
        <f>IFERROR(__xludf.DUMMYFUNCTION("""COMPUTED_VALUE"""),"OLD")</f>
        <v>OLD</v>
      </c>
      <c r="S1061" s="1" t="str">
        <f>IFERROR(__xludf.DUMMYFUNCTION("""COMPUTED_VALUE"""),"Yes")</f>
        <v>Yes</v>
      </c>
    </row>
    <row r="1062">
      <c r="A1062" s="2">
        <f>IFERROR(__xludf.DUMMYFUNCTION("""COMPUTED_VALUE"""),45709.80469268518)</f>
        <v>45709.80469</v>
      </c>
      <c r="B1062" s="1" t="str">
        <f>IFERROR(__xludf.DUMMYFUNCTION("""COMPUTED_VALUE"""),"Krishna  rathi")</f>
        <v>Krishna  rathi</v>
      </c>
      <c r="C1062" s="1">
        <f>IFERROR(__xludf.DUMMYFUNCTION("""COMPUTED_VALUE"""),9.873449727E9)</f>
        <v>9873449727</v>
      </c>
      <c r="D1062" s="1">
        <f>IFERROR(__xludf.DUMMYFUNCTION("""COMPUTED_VALUE"""),3.0)</f>
        <v>3</v>
      </c>
      <c r="E1062" s="3">
        <f>IFERROR(__xludf.DUMMYFUNCTION("""COMPUTED_VALUE"""),0.5833333333357587)</f>
        <v>0.5833333333</v>
      </c>
      <c r="F1062" s="1" t="str">
        <f>IFERROR(__xludf.DUMMYFUNCTION("""COMPUTED_VALUE"""),"Antique Gold")</f>
        <v>Antique Gold</v>
      </c>
      <c r="G1062" s="1" t="str">
        <f>IFERROR(__xludf.DUMMYFUNCTION("""COMPUTED_VALUE"""),"Suman")</f>
        <v>Suman</v>
      </c>
      <c r="H1062" s="1" t="str">
        <f>IFERROR(__xludf.DUMMYFUNCTION("""COMPUTED_VALUE"""),"Gold bangles,gold chain")</f>
        <v>Gold bangles,gold chain</v>
      </c>
      <c r="I1062" s="1"/>
      <c r="J1062" s="1"/>
      <c r="K1062" s="3">
        <f>IFERROR(__xludf.DUMMYFUNCTION("""COMPUTED_VALUE"""),0.6770833333357587)</f>
        <v>0.6770833333</v>
      </c>
      <c r="L1062" s="1" t="str">
        <f>IFERROR(__xludf.DUMMYFUNCTION("""COMPUTED_VALUE"""),"Yes")</f>
        <v>Yes</v>
      </c>
      <c r="M1062" s="1" t="str">
        <f>IFERROR(__xludf.DUMMYFUNCTION("""COMPUTED_VALUE"""),"Already done ")</f>
        <v>Already done </v>
      </c>
      <c r="N1062" s="1" t="str">
        <f>IFERROR(__xludf.DUMMYFUNCTION("""COMPUTED_VALUE"""),"Already done ")</f>
        <v>Already done </v>
      </c>
      <c r="O1062" s="1" t="str">
        <f>IFERROR(__xludf.DUMMYFUNCTION("""COMPUTED_VALUE"""),"WA ONLY, CALL")</f>
        <v>WA ONLY, CALL</v>
      </c>
      <c r="P1062" s="1" t="str">
        <f>IFERROR(__xludf.DUMMYFUNCTION("""COMPUTED_VALUE"""),"Madam")</f>
        <v>Madam</v>
      </c>
      <c r="Q1062" s="1" t="str">
        <f>IFERROR(__xludf.DUMMYFUNCTION("""COMPUTED_VALUE"""),"No")</f>
        <v>No</v>
      </c>
      <c r="R1062" s="1" t="str">
        <f>IFERROR(__xludf.DUMMYFUNCTION("""COMPUTED_VALUE"""),"OLD")</f>
        <v>OLD</v>
      </c>
      <c r="S1062" s="1" t="str">
        <f>IFERROR(__xludf.DUMMYFUNCTION("""COMPUTED_VALUE"""),"Yes")</f>
        <v>Yes</v>
      </c>
    </row>
    <row r="1063">
      <c r="A1063" s="2">
        <f>IFERROR(__xludf.DUMMYFUNCTION("""COMPUTED_VALUE"""),45709.80548831019)</f>
        <v>45709.80549</v>
      </c>
      <c r="B1063" s="1" t="str">
        <f>IFERROR(__xludf.DUMMYFUNCTION("""COMPUTED_VALUE"""),"Sumit ")</f>
        <v>Sumit </v>
      </c>
      <c r="C1063" s="1">
        <f>IFERROR(__xludf.DUMMYFUNCTION("""COMPUTED_VALUE"""),8.700996353E9)</f>
        <v>8700996353</v>
      </c>
      <c r="D1063" s="1">
        <f>IFERROR(__xludf.DUMMYFUNCTION("""COMPUTED_VALUE"""),1.0)</f>
        <v>1</v>
      </c>
      <c r="E1063" s="3">
        <f>IFERROR(__xludf.DUMMYFUNCTION("""COMPUTED_VALUE"""),0.7083333333357587)</f>
        <v>0.7083333333</v>
      </c>
      <c r="F1063" s="1" t="str">
        <f>IFERROR(__xludf.DUMMYFUNCTION("""COMPUTED_VALUE"""),"Plain Gold")</f>
        <v>Plain Gold</v>
      </c>
      <c r="G1063" s="1" t="str">
        <f>IFERROR(__xludf.DUMMYFUNCTION("""COMPUTED_VALUE"""),"Sapna")</f>
        <v>Sapna</v>
      </c>
      <c r="H1063" s="1" t="str">
        <f>IFERROR(__xludf.DUMMYFUNCTION("""COMPUTED_VALUE"""),"Dilver chain,silver mmtc coin")</f>
        <v>Dilver chain,silver mmtc coin</v>
      </c>
      <c r="I1063" s="1" t="str">
        <f>IFERROR(__xludf.DUMMYFUNCTION("""COMPUTED_VALUE"""),"Making High or Wants Discount")</f>
        <v>Making High or Wants Discount</v>
      </c>
      <c r="J1063" s="1"/>
      <c r="K1063" s="3">
        <f>IFERROR(__xludf.DUMMYFUNCTION("""COMPUTED_VALUE"""),0.7222222222189885)</f>
        <v>0.7222222222</v>
      </c>
      <c r="L1063" s="1" t="str">
        <f>IFERROR(__xludf.DUMMYFUNCTION("""COMPUTED_VALUE"""),"No")</f>
        <v>No</v>
      </c>
      <c r="M1063" s="1" t="str">
        <f>IFERROR(__xludf.DUMMYFUNCTION("""COMPUTED_VALUE"""),"No")</f>
        <v>No</v>
      </c>
      <c r="N1063" s="1" t="str">
        <f>IFERROR(__xludf.DUMMYFUNCTION("""COMPUTED_VALUE"""),"No")</f>
        <v>No</v>
      </c>
      <c r="O1063" s="1" t="str">
        <f>IFERROR(__xludf.DUMMYFUNCTION("""COMPUTED_VALUE"""),"WA ONLY, CALL")</f>
        <v>WA ONLY, CALL</v>
      </c>
      <c r="P1063" s="1" t="str">
        <f>IFERROR(__xludf.DUMMYFUNCTION("""COMPUTED_VALUE"""),"Sir")</f>
        <v>Sir</v>
      </c>
      <c r="Q1063" s="1" t="str">
        <f>IFERROR(__xludf.DUMMYFUNCTION("""COMPUTED_VALUE"""),"No")</f>
        <v>No</v>
      </c>
      <c r="R1063" s="1" t="str">
        <f>IFERROR(__xludf.DUMMYFUNCTION("""COMPUTED_VALUE"""),"NEW WALK IN")</f>
        <v>NEW WALK IN</v>
      </c>
      <c r="S1063" s="1" t="str">
        <f>IFERROR(__xludf.DUMMYFUNCTION("""COMPUTED_VALUE"""),"No")</f>
        <v>No</v>
      </c>
    </row>
    <row r="1064">
      <c r="A1064" s="2">
        <f>IFERROR(__xludf.DUMMYFUNCTION("""COMPUTED_VALUE"""),45709.8066390625)</f>
        <v>45709.80664</v>
      </c>
      <c r="B1064" s="1" t="str">
        <f>IFERROR(__xludf.DUMMYFUNCTION("""COMPUTED_VALUE"""),"Mohit")</f>
        <v>Mohit</v>
      </c>
      <c r="C1064" s="1">
        <f>IFERROR(__xludf.DUMMYFUNCTION("""COMPUTED_VALUE"""),9.999209489E9)</f>
        <v>9999209489</v>
      </c>
      <c r="D1064" s="1">
        <f>IFERROR(__xludf.DUMMYFUNCTION("""COMPUTED_VALUE"""),2.0)</f>
        <v>2</v>
      </c>
      <c r="E1064" s="3">
        <f>IFERROR(__xludf.DUMMYFUNCTION("""COMPUTED_VALUE"""),0.7229166666656965)</f>
        <v>0.7229166667</v>
      </c>
      <c r="F1064" s="1" t="str">
        <f>IFERROR(__xludf.DUMMYFUNCTION("""COMPUTED_VALUE"""),"Diamond")</f>
        <v>Diamond</v>
      </c>
      <c r="G1064" s="1" t="str">
        <f>IFERROR(__xludf.DUMMYFUNCTION("""COMPUTED_VALUE"""),"Sapna")</f>
        <v>Sapna</v>
      </c>
      <c r="H1064" s="1" t="str">
        <f>IFERROR(__xludf.DUMMYFUNCTION("""COMPUTED_VALUE"""),"Daimond ring")</f>
        <v>Daimond ring</v>
      </c>
      <c r="I1064" s="1" t="str">
        <f>IFERROR(__xludf.DUMMYFUNCTION("""COMPUTED_VALUE"""),"Visit Again in 1 Month")</f>
        <v>Visit Again in 1 Month</v>
      </c>
      <c r="J1064" s="1"/>
      <c r="K1064" s="3">
        <f>IFERROR(__xludf.DUMMYFUNCTION("""COMPUTED_VALUE"""),0.7381944444423425)</f>
        <v>0.7381944444</v>
      </c>
      <c r="L1064" s="1" t="str">
        <f>IFERROR(__xludf.DUMMYFUNCTION("""COMPUTED_VALUE"""),"No")</f>
        <v>No</v>
      </c>
      <c r="M1064" s="1" t="str">
        <f>IFERROR(__xludf.DUMMYFUNCTION("""COMPUTED_VALUE"""),"No")</f>
        <v>No</v>
      </c>
      <c r="N1064" s="1" t="str">
        <f>IFERROR(__xludf.DUMMYFUNCTION("""COMPUTED_VALUE"""),"No")</f>
        <v>No</v>
      </c>
      <c r="O1064" s="1" t="str">
        <f>IFERROR(__xludf.DUMMYFUNCTION("""COMPUTED_VALUE"""),"WA ONLY, CALL")</f>
        <v>WA ONLY, CALL</v>
      </c>
      <c r="P1064" s="1" t="str">
        <f>IFERROR(__xludf.DUMMYFUNCTION("""COMPUTED_VALUE"""),"Sir")</f>
        <v>Sir</v>
      </c>
      <c r="Q1064" s="1" t="str">
        <f>IFERROR(__xludf.DUMMYFUNCTION("""COMPUTED_VALUE"""),"No")</f>
        <v>No</v>
      </c>
      <c r="R1064" s="1" t="str">
        <f>IFERROR(__xludf.DUMMYFUNCTION("""COMPUTED_VALUE"""),"NEW WALK IN")</f>
        <v>NEW WALK IN</v>
      </c>
      <c r="S1064" s="1" t="str">
        <f>IFERROR(__xludf.DUMMYFUNCTION("""COMPUTED_VALUE"""),"No")</f>
        <v>No</v>
      </c>
    </row>
    <row r="1065">
      <c r="A1065" s="2">
        <f>IFERROR(__xludf.DUMMYFUNCTION("""COMPUTED_VALUE"""),45709.80868940972)</f>
        <v>45709.80869</v>
      </c>
      <c r="B1065" s="1" t="str">
        <f>IFERROR(__xludf.DUMMYFUNCTION("""COMPUTED_VALUE"""),"Radhika")</f>
        <v>Radhika</v>
      </c>
      <c r="C1065" s="1">
        <f>IFERROR(__xludf.DUMMYFUNCTION("""COMPUTED_VALUE"""),9.999399577E9)</f>
        <v>9999399577</v>
      </c>
      <c r="D1065" s="1">
        <f>IFERROR(__xludf.DUMMYFUNCTION("""COMPUTED_VALUE"""),3.0)</f>
        <v>3</v>
      </c>
      <c r="E1065" s="3">
        <f>IFERROR(__xludf.DUMMYFUNCTION("""COMPUTED_VALUE"""),0.7451388888875954)</f>
        <v>0.7451388889</v>
      </c>
      <c r="F1065" s="1" t="str">
        <f>IFERROR(__xludf.DUMMYFUNCTION("""COMPUTED_VALUE"""),"Plain Gold")</f>
        <v>Plain Gold</v>
      </c>
      <c r="G1065" s="1" t="str">
        <f>IFERROR(__xludf.DUMMYFUNCTION("""COMPUTED_VALUE"""),"Sapna")</f>
        <v>Sapna</v>
      </c>
      <c r="H1065" s="1" t="str">
        <f>IFERROR(__xludf.DUMMYFUNCTION("""COMPUTED_VALUE"""),"Gold bangles daimond cocktail ring")</f>
        <v>Gold bangles daimond cocktail ring</v>
      </c>
      <c r="I1065" s="1" t="str">
        <f>IFERROR(__xludf.DUMMYFUNCTION("""COMPUTED_VALUE"""),"Visit Again in 1 Month")</f>
        <v>Visit Again in 1 Month</v>
      </c>
      <c r="J1065" s="1"/>
      <c r="K1065" s="3">
        <f>IFERROR(__xludf.DUMMYFUNCTION("""COMPUTED_VALUE"""),0.7708333333357587)</f>
        <v>0.7708333333</v>
      </c>
      <c r="L1065" s="1" t="str">
        <f>IFERROR(__xludf.DUMMYFUNCTION("""COMPUTED_VALUE"""),"No")</f>
        <v>No</v>
      </c>
      <c r="M1065" s="1" t="str">
        <f>IFERROR(__xludf.DUMMYFUNCTION("""COMPUTED_VALUE"""),"Already done ")</f>
        <v>Already done </v>
      </c>
      <c r="N1065" s="1" t="str">
        <f>IFERROR(__xludf.DUMMYFUNCTION("""COMPUTED_VALUE"""),"Already done ")</f>
        <v>Already done </v>
      </c>
      <c r="O1065" s="1" t="str">
        <f>IFERROR(__xludf.DUMMYFUNCTION("""COMPUTED_VALUE"""),"WA ONLY, CALL")</f>
        <v>WA ONLY, CALL</v>
      </c>
      <c r="P1065" s="1" t="str">
        <f>IFERROR(__xludf.DUMMYFUNCTION("""COMPUTED_VALUE"""),"Madam")</f>
        <v>Madam</v>
      </c>
      <c r="Q1065" s="1" t="str">
        <f>IFERROR(__xludf.DUMMYFUNCTION("""COMPUTED_VALUE"""),"No")</f>
        <v>No</v>
      </c>
      <c r="R1065" s="1" t="str">
        <f>IFERROR(__xludf.DUMMYFUNCTION("""COMPUTED_VALUE"""),"OLD")</f>
        <v>OLD</v>
      </c>
      <c r="S1065" s="1" t="str">
        <f>IFERROR(__xludf.DUMMYFUNCTION("""COMPUTED_VALUE"""),"No")</f>
        <v>No</v>
      </c>
    </row>
    <row r="1066">
      <c r="A1066" s="2">
        <f>IFERROR(__xludf.DUMMYFUNCTION("""COMPUTED_VALUE"""),45710.7887057176)</f>
        <v>45710.78871</v>
      </c>
      <c r="B1066" s="1" t="str">
        <f>IFERROR(__xludf.DUMMYFUNCTION("""COMPUTED_VALUE"""),"Nupur ji")</f>
        <v>Nupur ji</v>
      </c>
      <c r="C1066" s="1">
        <f>IFERROR(__xludf.DUMMYFUNCTION("""COMPUTED_VALUE"""),9.818777145E9)</f>
        <v>9818777145</v>
      </c>
      <c r="D1066" s="1">
        <f>IFERROR(__xludf.DUMMYFUNCTION("""COMPUTED_VALUE"""),2.0)</f>
        <v>2</v>
      </c>
      <c r="E1066" s="3">
        <f>IFERROR(__xludf.DUMMYFUNCTION("""COMPUTED_VALUE"""),0.6194444444408873)</f>
        <v>0.6194444444</v>
      </c>
      <c r="F1066" s="1" t="str">
        <f>IFERROR(__xludf.DUMMYFUNCTION("""COMPUTED_VALUE"""),"Diamond")</f>
        <v>Diamond</v>
      </c>
      <c r="G1066" s="1" t="str">
        <f>IFERROR(__xludf.DUMMYFUNCTION("""COMPUTED_VALUE"""),"Preeti")</f>
        <v>Preeti</v>
      </c>
      <c r="H1066" s="1" t="str">
        <f>IFERROR(__xludf.DUMMYFUNCTION("""COMPUTED_VALUE"""),"Dtone ring order ")</f>
        <v>Dtone ring order </v>
      </c>
      <c r="I1066" s="1"/>
      <c r="J1066" s="1"/>
      <c r="K1066" s="3">
        <f>IFERROR(__xludf.DUMMYFUNCTION("""COMPUTED_VALUE"""),0.6666666666642413)</f>
        <v>0.6666666667</v>
      </c>
      <c r="L1066" s="1" t="str">
        <f>IFERROR(__xludf.DUMMYFUNCTION("""COMPUTED_VALUE"""),"Yes")</f>
        <v>Yes</v>
      </c>
      <c r="M1066" s="1" t="str">
        <f>IFERROR(__xludf.DUMMYFUNCTION("""COMPUTED_VALUE"""),"Yes")</f>
        <v>Yes</v>
      </c>
      <c r="N1066" s="1" t="str">
        <f>IFERROR(__xludf.DUMMYFUNCTION("""COMPUTED_VALUE"""),"Yes")</f>
        <v>Yes</v>
      </c>
      <c r="O1066" s="1" t="str">
        <f>IFERROR(__xludf.DUMMYFUNCTION("""COMPUTED_VALUE"""),"WA ONLY, CALL")</f>
        <v>WA ONLY, CALL</v>
      </c>
      <c r="P1066" s="1" t="str">
        <f>IFERROR(__xludf.DUMMYFUNCTION("""COMPUTED_VALUE"""),"Sir")</f>
        <v>Sir</v>
      </c>
      <c r="Q1066" s="1" t="str">
        <f>IFERROR(__xludf.DUMMYFUNCTION("""COMPUTED_VALUE"""),"No")</f>
        <v>No</v>
      </c>
      <c r="R1066" s="1" t="str">
        <f>IFERROR(__xludf.DUMMYFUNCTION("""COMPUTED_VALUE"""),"OLD")</f>
        <v>OLD</v>
      </c>
      <c r="S1066" s="1" t="str">
        <f>IFERROR(__xludf.DUMMYFUNCTION("""COMPUTED_VALUE"""),"Yes")</f>
        <v>Yes</v>
      </c>
    </row>
    <row r="1067">
      <c r="A1067" s="2">
        <f>IFERROR(__xludf.DUMMYFUNCTION("""COMPUTED_VALUE"""),45710.79174084491)</f>
        <v>45710.79174</v>
      </c>
      <c r="B1067" s="1" t="str">
        <f>IFERROR(__xludf.DUMMYFUNCTION("""COMPUTED_VALUE"""),"Satveer rana")</f>
        <v>Satveer rana</v>
      </c>
      <c r="C1067" s="1">
        <f>IFERROR(__xludf.DUMMYFUNCTION("""COMPUTED_VALUE"""),9.250340928E9)</f>
        <v>9250340928</v>
      </c>
      <c r="D1067" s="1">
        <f>IFERROR(__xludf.DUMMYFUNCTION("""COMPUTED_VALUE"""),2.0)</f>
        <v>2</v>
      </c>
      <c r="E1067" s="3">
        <f>IFERROR(__xludf.DUMMYFUNCTION("""COMPUTED_VALUE"""),0.7361111111094942)</f>
        <v>0.7361111111</v>
      </c>
      <c r="F1067" s="1" t="str">
        <f>IFERROR(__xludf.DUMMYFUNCTION("""COMPUTED_VALUE"""),"Antique Gold")</f>
        <v>Antique Gold</v>
      </c>
      <c r="G1067" s="1" t="str">
        <f>IFERROR(__xludf.DUMMYFUNCTION("""COMPUTED_VALUE"""),"Suman")</f>
        <v>Suman</v>
      </c>
      <c r="H1067" s="1" t="str">
        <f>IFERROR(__xludf.DUMMYFUNCTION("""COMPUTED_VALUE"""),"Gold pendent set")</f>
        <v>Gold pendent set</v>
      </c>
      <c r="I1067" s="1" t="str">
        <f>IFERROR(__xludf.DUMMYFUNCTION("""COMPUTED_VALUE"""),"Want to see More Variety")</f>
        <v>Want to see More Variety</v>
      </c>
      <c r="J1067" s="1"/>
      <c r="K1067" s="3">
        <f>IFERROR(__xludf.DUMMYFUNCTION("""COMPUTED_VALUE"""),0.75)</f>
        <v>0.75</v>
      </c>
      <c r="L1067" s="1" t="str">
        <f>IFERROR(__xludf.DUMMYFUNCTION("""COMPUTED_VALUE"""),"No")</f>
        <v>No</v>
      </c>
      <c r="M1067" s="1" t="str">
        <f>IFERROR(__xludf.DUMMYFUNCTION("""COMPUTED_VALUE"""),"No")</f>
        <v>No</v>
      </c>
      <c r="N1067" s="1" t="str">
        <f>IFERROR(__xludf.DUMMYFUNCTION("""COMPUTED_VALUE"""),"No")</f>
        <v>No</v>
      </c>
      <c r="O1067" s="1" t="str">
        <f>IFERROR(__xludf.DUMMYFUNCTION("""COMPUTED_VALUE"""),"WA ONLY, CALL")</f>
        <v>WA ONLY, CALL</v>
      </c>
      <c r="P1067" s="1" t="str">
        <f>IFERROR(__xludf.DUMMYFUNCTION("""COMPUTED_VALUE"""),"Sir")</f>
        <v>Sir</v>
      </c>
      <c r="Q1067" s="1" t="str">
        <f>IFERROR(__xludf.DUMMYFUNCTION("""COMPUTED_VALUE"""),"No")</f>
        <v>No</v>
      </c>
      <c r="R1067" s="1" t="str">
        <f>IFERROR(__xludf.DUMMYFUNCTION("""COMPUTED_VALUE"""),"OLD")</f>
        <v>OLD</v>
      </c>
      <c r="S1067" s="1" t="str">
        <f>IFERROR(__xludf.DUMMYFUNCTION("""COMPUTED_VALUE"""),"No")</f>
        <v>No</v>
      </c>
    </row>
    <row r="1068">
      <c r="A1068" s="2">
        <f>IFERROR(__xludf.DUMMYFUNCTION("""COMPUTED_VALUE"""),45710.79344512732)</f>
        <v>45710.79345</v>
      </c>
      <c r="B1068" s="1" t="str">
        <f>IFERROR(__xludf.DUMMYFUNCTION("""COMPUTED_VALUE"""),"Gitanjali")</f>
        <v>Gitanjali</v>
      </c>
      <c r="C1068" s="1">
        <f>IFERROR(__xludf.DUMMYFUNCTION("""COMPUTED_VALUE"""),9.873041853E9)</f>
        <v>9873041853</v>
      </c>
      <c r="D1068" s="1">
        <f>IFERROR(__xludf.DUMMYFUNCTION("""COMPUTED_VALUE"""),2.0)</f>
        <v>2</v>
      </c>
      <c r="E1068" s="3">
        <f>IFERROR(__xludf.DUMMYFUNCTION("""COMPUTED_VALUE"""),0.7222222222189885)</f>
        <v>0.7222222222</v>
      </c>
      <c r="F1068" s="1" t="str">
        <f>IFERROR(__xludf.DUMMYFUNCTION("""COMPUTED_VALUE"""),"Plain Gold")</f>
        <v>Plain Gold</v>
      </c>
      <c r="G1068" s="1" t="str">
        <f>IFERROR(__xludf.DUMMYFUNCTION("""COMPUTED_VALUE"""),"Sapna")</f>
        <v>Sapna</v>
      </c>
      <c r="H1068" s="1" t="str">
        <f>IFERROR(__xludf.DUMMYFUNCTION("""COMPUTED_VALUE"""),"Antique sets,silver payal")</f>
        <v>Antique sets,silver payal</v>
      </c>
      <c r="I1068" s="1"/>
      <c r="J1068" s="1"/>
      <c r="K1068" s="3">
        <f>IFERROR(__xludf.DUMMYFUNCTION("""COMPUTED_VALUE"""),0.7784722222204437)</f>
        <v>0.7784722222</v>
      </c>
      <c r="L1068" s="1" t="str">
        <f>IFERROR(__xludf.DUMMYFUNCTION("""COMPUTED_VALUE"""),"Yes")</f>
        <v>Yes</v>
      </c>
      <c r="M1068" s="1" t="str">
        <f>IFERROR(__xludf.DUMMYFUNCTION("""COMPUTED_VALUE"""),"Already done ")</f>
        <v>Already done </v>
      </c>
      <c r="N1068" s="1" t="str">
        <f>IFERROR(__xludf.DUMMYFUNCTION("""COMPUTED_VALUE"""),"Already done ")</f>
        <v>Already done </v>
      </c>
      <c r="O1068" s="1" t="str">
        <f>IFERROR(__xludf.DUMMYFUNCTION("""COMPUTED_VALUE"""),"WA ONLY, CALL")</f>
        <v>WA ONLY, CALL</v>
      </c>
      <c r="P1068" s="1" t="str">
        <f>IFERROR(__xludf.DUMMYFUNCTION("""COMPUTED_VALUE"""),"Madam")</f>
        <v>Madam</v>
      </c>
      <c r="Q1068" s="1" t="str">
        <f>IFERROR(__xludf.DUMMYFUNCTION("""COMPUTED_VALUE"""),"No")</f>
        <v>No</v>
      </c>
      <c r="R1068" s="1" t="str">
        <f>IFERROR(__xludf.DUMMYFUNCTION("""COMPUTED_VALUE"""),"OLD")</f>
        <v>OLD</v>
      </c>
      <c r="S1068" s="1" t="str">
        <f>IFERROR(__xludf.DUMMYFUNCTION("""COMPUTED_VALUE"""),"Yes")</f>
        <v>Yes</v>
      </c>
    </row>
    <row r="1069">
      <c r="A1069" s="2">
        <f>IFERROR(__xludf.DUMMYFUNCTION("""COMPUTED_VALUE"""),45715.706617662036)</f>
        <v>45715.70662</v>
      </c>
      <c r="B1069" s="1" t="str">
        <f>IFERROR(__xludf.DUMMYFUNCTION("""COMPUTED_VALUE"""),"Sherya soin")</f>
        <v>Sherya soin</v>
      </c>
      <c r="C1069" s="1">
        <f>IFERROR(__xludf.DUMMYFUNCTION("""COMPUTED_VALUE"""),7.5037E9)</f>
        <v>7503700000</v>
      </c>
      <c r="D1069" s="1">
        <f>IFERROR(__xludf.DUMMYFUNCTION("""COMPUTED_VALUE"""),3.0)</f>
        <v>3</v>
      </c>
      <c r="E1069" s="3">
        <f>IFERROR(__xludf.DUMMYFUNCTION("""COMPUTED_VALUE"""),0.6055555555576575)</f>
        <v>0.6055555556</v>
      </c>
      <c r="F1069" s="1" t="str">
        <f>IFERROR(__xludf.DUMMYFUNCTION("""COMPUTED_VALUE"""),"Diamond")</f>
        <v>Diamond</v>
      </c>
      <c r="G1069" s="1" t="str">
        <f>IFERROR(__xludf.DUMMYFUNCTION("""COMPUTED_VALUE"""),"Preeti")</f>
        <v>Preeti</v>
      </c>
      <c r="H1069" s="1" t="str">
        <f>IFERROR(__xludf.DUMMYFUNCTION("""COMPUTED_VALUE"""),"Daimond mangal,ring,5 cr. Solitaire ")</f>
        <v>Daimond mangal,ring,5 cr. Solitaire </v>
      </c>
      <c r="I1069" s="1"/>
      <c r="J1069" s="1"/>
      <c r="K1069" s="3">
        <f>IFERROR(__xludf.DUMMYFUNCTION("""COMPUTED_VALUE"""),0.6694444444437977)</f>
        <v>0.6694444444</v>
      </c>
      <c r="L1069" s="1" t="str">
        <f>IFERROR(__xludf.DUMMYFUNCTION("""COMPUTED_VALUE"""),"Yes")</f>
        <v>Yes</v>
      </c>
      <c r="M1069" s="1" t="str">
        <f>IFERROR(__xludf.DUMMYFUNCTION("""COMPUTED_VALUE"""),"Already done ")</f>
        <v>Already done </v>
      </c>
      <c r="N1069" s="1" t="str">
        <f>IFERROR(__xludf.DUMMYFUNCTION("""COMPUTED_VALUE"""),"Already done ")</f>
        <v>Already done </v>
      </c>
      <c r="O1069" s="1" t="str">
        <f>IFERROR(__xludf.DUMMYFUNCTION("""COMPUTED_VALUE"""),"WA ONLY, CALL")</f>
        <v>WA ONLY, CALL</v>
      </c>
      <c r="P1069" s="1" t="str">
        <f>IFERROR(__xludf.DUMMYFUNCTION("""COMPUTED_VALUE"""),"Sir")</f>
        <v>Sir</v>
      </c>
      <c r="Q1069" s="1" t="str">
        <f>IFERROR(__xludf.DUMMYFUNCTION("""COMPUTED_VALUE"""),"No")</f>
        <v>No</v>
      </c>
      <c r="R1069" s="1" t="str">
        <f>IFERROR(__xludf.DUMMYFUNCTION("""COMPUTED_VALUE"""),"OLD")</f>
        <v>OLD</v>
      </c>
      <c r="S1069" s="1" t="str">
        <f>IFERROR(__xludf.DUMMYFUNCTION("""COMPUTED_VALUE"""),"Yes")</f>
        <v>Yes</v>
      </c>
    </row>
    <row r="1070">
      <c r="A1070" s="2">
        <f>IFERROR(__xludf.DUMMYFUNCTION("""COMPUTED_VALUE"""),45715.70725603009)</f>
        <v>45715.70726</v>
      </c>
      <c r="B1070" s="1" t="str">
        <f>IFERROR(__xludf.DUMMYFUNCTION("""COMPUTED_VALUE"""),"Inamdar")</f>
        <v>Inamdar</v>
      </c>
      <c r="C1070" s="1">
        <f>IFERROR(__xludf.DUMMYFUNCTION("""COMPUTED_VALUE"""),8.999504724E9)</f>
        <v>8999504724</v>
      </c>
      <c r="D1070" s="1">
        <f>IFERROR(__xludf.DUMMYFUNCTION("""COMPUTED_VALUE"""),2.0)</f>
        <v>2</v>
      </c>
      <c r="E1070" s="3">
        <f>IFERROR(__xludf.DUMMYFUNCTION("""COMPUTED_VALUE"""),0.6374999999970896)</f>
        <v>0.6375</v>
      </c>
      <c r="F1070" s="1" t="str">
        <f>IFERROR(__xludf.DUMMYFUNCTION("""COMPUTED_VALUE"""),"Plain Gold")</f>
        <v>Plain Gold</v>
      </c>
      <c r="G1070" s="1" t="str">
        <f>IFERROR(__xludf.DUMMYFUNCTION("""COMPUTED_VALUE"""),"Sapna")</f>
        <v>Sapna</v>
      </c>
      <c r="H1070" s="1" t="str">
        <f>IFERROR(__xludf.DUMMYFUNCTION("""COMPUTED_VALUE"""),"Gold bali")</f>
        <v>Gold bali</v>
      </c>
      <c r="I1070" s="1"/>
      <c r="J1070" s="1"/>
      <c r="K1070" s="3">
        <f>IFERROR(__xludf.DUMMYFUNCTION("""COMPUTED_VALUE"""),0.6541666666671517)</f>
        <v>0.6541666667</v>
      </c>
      <c r="L1070" s="1" t="str">
        <f>IFERROR(__xludf.DUMMYFUNCTION("""COMPUTED_VALUE"""),"Yes")</f>
        <v>Yes</v>
      </c>
      <c r="M1070" s="1" t="str">
        <f>IFERROR(__xludf.DUMMYFUNCTION("""COMPUTED_VALUE"""),"Yed")</f>
        <v>Yed</v>
      </c>
      <c r="N1070" s="1" t="str">
        <f>IFERROR(__xludf.DUMMYFUNCTION("""COMPUTED_VALUE"""),"Yes")</f>
        <v>Yes</v>
      </c>
      <c r="O1070" s="1" t="str">
        <f>IFERROR(__xludf.DUMMYFUNCTION("""COMPUTED_VALUE"""),"WA ONLY, CALL")</f>
        <v>WA ONLY, CALL</v>
      </c>
      <c r="P1070" s="1" t="str">
        <f>IFERROR(__xludf.DUMMYFUNCTION("""COMPUTED_VALUE"""),"Sir")</f>
        <v>Sir</v>
      </c>
      <c r="Q1070" s="1" t="str">
        <f>IFERROR(__xludf.DUMMYFUNCTION("""COMPUTED_VALUE"""),"No")</f>
        <v>No</v>
      </c>
      <c r="R1070" s="1" t="str">
        <f>IFERROR(__xludf.DUMMYFUNCTION("""COMPUTED_VALUE"""),"NEW WALK IN")</f>
        <v>NEW WALK IN</v>
      </c>
      <c r="S1070" s="1" t="str">
        <f>IFERROR(__xludf.DUMMYFUNCTION("""COMPUTED_VALUE"""),"Yes")</f>
        <v>Yes</v>
      </c>
    </row>
    <row r="1071">
      <c r="A1071" s="2">
        <f>IFERROR(__xludf.DUMMYFUNCTION("""COMPUTED_VALUE"""),45715.7939669676)</f>
        <v>45715.79397</v>
      </c>
      <c r="B1071" s="1" t="str">
        <f>IFERROR(__xludf.DUMMYFUNCTION("""COMPUTED_VALUE"""),"Sunita")</f>
        <v>Sunita</v>
      </c>
      <c r="C1071" s="1">
        <f>IFERROR(__xludf.DUMMYFUNCTION("""COMPUTED_VALUE"""),9.899226225E9)</f>
        <v>9899226225</v>
      </c>
      <c r="D1071" s="1">
        <f>IFERROR(__xludf.DUMMYFUNCTION("""COMPUTED_VALUE"""),2.0)</f>
        <v>2</v>
      </c>
      <c r="E1071" s="3">
        <f>IFERROR(__xludf.DUMMYFUNCTION("""COMPUTED_VALUE"""),0.7388888888890506)</f>
        <v>0.7388888889</v>
      </c>
      <c r="F1071" s="1" t="str">
        <f>IFERROR(__xludf.DUMMYFUNCTION("""COMPUTED_VALUE"""),"Antique Gold")</f>
        <v>Antique Gold</v>
      </c>
      <c r="G1071" s="1" t="str">
        <f>IFERROR(__xludf.DUMMYFUNCTION("""COMPUTED_VALUE"""),"Suman")</f>
        <v>Suman</v>
      </c>
      <c r="H1071" s="1" t="str">
        <f>IFERROR(__xludf.DUMMYFUNCTION("""COMPUTED_VALUE"""),"Tarquish set,Italian br,manglsutr chain")</f>
        <v>Tarquish set,Italian br,manglsutr chain</v>
      </c>
      <c r="I1071" s="1" t="str">
        <f>IFERROR(__xludf.DUMMYFUNCTION("""COMPUTED_VALUE"""),"Pick up Order")</f>
        <v>Pick up Order</v>
      </c>
      <c r="J1071" s="1" t="str">
        <f>IFERROR(__xludf.DUMMYFUNCTION("""COMPUTED_VALUE"""),"5000 per month LUCKY DRAW 7 EVERY MONTH")</f>
        <v>5000 per month LUCKY DRAW 7 EVERY MONTH</v>
      </c>
      <c r="K1071" s="3">
        <f>IFERROR(__xludf.DUMMYFUNCTION("""COMPUTED_VALUE"""),0.7708333333357587)</f>
        <v>0.7708333333</v>
      </c>
      <c r="L1071" s="1" t="str">
        <f>IFERROR(__xludf.DUMMYFUNCTION("""COMPUTED_VALUE"""),"Yes")</f>
        <v>Yes</v>
      </c>
      <c r="M1071" s="1" t="str">
        <f>IFERROR(__xludf.DUMMYFUNCTION("""COMPUTED_VALUE"""),"Already done ")</f>
        <v>Already done </v>
      </c>
      <c r="N1071" s="1" t="str">
        <f>IFERROR(__xludf.DUMMYFUNCTION("""COMPUTED_VALUE"""),"Already done ")</f>
        <v>Already done </v>
      </c>
      <c r="O1071" s="1" t="str">
        <f>IFERROR(__xludf.DUMMYFUNCTION("""COMPUTED_VALUE"""),"WA ONLY, CALL")</f>
        <v>WA ONLY, CALL</v>
      </c>
      <c r="P1071" s="1" t="str">
        <f>IFERROR(__xludf.DUMMYFUNCTION("""COMPUTED_VALUE"""),"Madam")</f>
        <v>Madam</v>
      </c>
      <c r="Q1071" s="1" t="str">
        <f>IFERROR(__xludf.DUMMYFUNCTION("""COMPUTED_VALUE"""),"Yes")</f>
        <v>Yes</v>
      </c>
      <c r="R1071" s="1" t="str">
        <f>IFERROR(__xludf.DUMMYFUNCTION("""COMPUTED_VALUE"""),"OLD")</f>
        <v>OLD</v>
      </c>
      <c r="S1071" s="1" t="str">
        <f>IFERROR(__xludf.DUMMYFUNCTION("""COMPUTED_VALUE"""),"No")</f>
        <v>No</v>
      </c>
    </row>
    <row r="1072">
      <c r="A1072" s="2">
        <f>IFERROR(__xludf.DUMMYFUNCTION("""COMPUTED_VALUE"""),45715.79563826389)</f>
        <v>45715.79564</v>
      </c>
      <c r="B1072" s="1" t="str">
        <f>IFERROR(__xludf.DUMMYFUNCTION("""COMPUTED_VALUE"""),"Saba")</f>
        <v>Saba</v>
      </c>
      <c r="C1072" s="1">
        <f>IFERROR(__xludf.DUMMYFUNCTION("""COMPUTED_VALUE"""),9.213077935E9)</f>
        <v>9213077935</v>
      </c>
      <c r="D1072" s="1">
        <f>IFERROR(__xludf.DUMMYFUNCTION("""COMPUTED_VALUE"""),2.0)</f>
        <v>2</v>
      </c>
      <c r="E1072" s="3">
        <f>IFERROR(__xludf.DUMMYFUNCTION("""COMPUTED_VALUE"""),0.7673611111094942)</f>
        <v>0.7673611111</v>
      </c>
      <c r="F1072" s="1" t="str">
        <f>IFERROR(__xludf.DUMMYFUNCTION("""COMPUTED_VALUE"""),"Antique Gold")</f>
        <v>Antique Gold</v>
      </c>
      <c r="G1072" s="1" t="str">
        <f>IFERROR(__xludf.DUMMYFUNCTION("""COMPUTED_VALUE"""),"Suman")</f>
        <v>Suman</v>
      </c>
      <c r="H1072" s="1" t="str">
        <f>IFERROR(__xludf.DUMMYFUNCTION("""COMPUTED_VALUE"""),"Gold baar,tarquish set.")</f>
        <v>Gold baar,tarquish set.</v>
      </c>
      <c r="I1072" s="1"/>
      <c r="J1072" s="1"/>
      <c r="K1072" s="3">
        <f>IFERROR(__xludf.DUMMYFUNCTION("""COMPUTED_VALUE"""),0.7881944444452529)</f>
        <v>0.7881944444</v>
      </c>
      <c r="L1072" s="1" t="str">
        <f>IFERROR(__xludf.DUMMYFUNCTION("""COMPUTED_VALUE"""),"Yes")</f>
        <v>Yes</v>
      </c>
      <c r="M1072" s="1" t="str">
        <f>IFERROR(__xludf.DUMMYFUNCTION("""COMPUTED_VALUE"""),"Already done ")</f>
        <v>Already done </v>
      </c>
      <c r="N1072" s="1" t="str">
        <f>IFERROR(__xludf.DUMMYFUNCTION("""COMPUTED_VALUE"""),"Already done ")</f>
        <v>Already done </v>
      </c>
      <c r="O1072" s="1" t="str">
        <f>IFERROR(__xludf.DUMMYFUNCTION("""COMPUTED_VALUE"""),"WA ONLY, CALL")</f>
        <v>WA ONLY, CALL</v>
      </c>
      <c r="P1072" s="1" t="str">
        <f>IFERROR(__xludf.DUMMYFUNCTION("""COMPUTED_VALUE"""),"Madam")</f>
        <v>Madam</v>
      </c>
      <c r="Q1072" s="1" t="str">
        <f>IFERROR(__xludf.DUMMYFUNCTION("""COMPUTED_VALUE"""),"No")</f>
        <v>No</v>
      </c>
      <c r="R1072" s="1" t="str">
        <f>IFERROR(__xludf.DUMMYFUNCTION("""COMPUTED_VALUE"""),"OLD")</f>
        <v>OLD</v>
      </c>
      <c r="S1072" s="1" t="str">
        <f>IFERROR(__xludf.DUMMYFUNCTION("""COMPUTED_VALUE"""),"Yes")</f>
        <v>Yes</v>
      </c>
    </row>
    <row r="1073">
      <c r="A1073" s="2">
        <f>IFERROR(__xludf.DUMMYFUNCTION("""COMPUTED_VALUE"""),45716.81113640046)</f>
        <v>45716.81114</v>
      </c>
      <c r="B1073" s="1" t="str">
        <f>IFERROR(__xludf.DUMMYFUNCTION("""COMPUTED_VALUE"""),"Sunita duggal")</f>
        <v>Sunita duggal</v>
      </c>
      <c r="C1073" s="1">
        <f>IFERROR(__xludf.DUMMYFUNCTION("""COMPUTED_VALUE"""),9.31155707E9)</f>
        <v>9311557070</v>
      </c>
      <c r="D1073" s="1">
        <f>IFERROR(__xludf.DUMMYFUNCTION("""COMPUTED_VALUE"""),2.0)</f>
        <v>2</v>
      </c>
      <c r="E1073" s="3">
        <f>IFERROR(__xludf.DUMMYFUNCTION("""COMPUTED_VALUE"""),0.7826388888934162)</f>
        <v>0.7826388889</v>
      </c>
      <c r="F1073" s="1" t="str">
        <f>IFERROR(__xludf.DUMMYFUNCTION("""COMPUTED_VALUE"""),"Diamond")</f>
        <v>Diamond</v>
      </c>
      <c r="G1073" s="1" t="str">
        <f>IFERROR(__xludf.DUMMYFUNCTION("""COMPUTED_VALUE"""),"Preeti")</f>
        <v>Preeti</v>
      </c>
      <c r="H1073" s="1" t="str">
        <f>IFERROR(__xludf.DUMMYFUNCTION("""COMPUTED_VALUE"""),"Set dhaga")</f>
        <v>Set dhaga</v>
      </c>
      <c r="I1073" s="1"/>
      <c r="J1073" s="1"/>
      <c r="K1073" s="3">
        <f>IFERROR(__xludf.DUMMYFUNCTION("""COMPUTED_VALUE"""),0.8076388888875954)</f>
        <v>0.8076388889</v>
      </c>
      <c r="L1073" s="1" t="str">
        <f>IFERROR(__xludf.DUMMYFUNCTION("""COMPUTED_VALUE"""),"Yes")</f>
        <v>Yes</v>
      </c>
      <c r="M1073" s="1" t="str">
        <f>IFERROR(__xludf.DUMMYFUNCTION("""COMPUTED_VALUE"""),"Already done ")</f>
        <v>Already done </v>
      </c>
      <c r="N1073" s="1" t="str">
        <f>IFERROR(__xludf.DUMMYFUNCTION("""COMPUTED_VALUE"""),"Already done ")</f>
        <v>Already done </v>
      </c>
      <c r="O1073" s="1" t="str">
        <f>IFERROR(__xludf.DUMMYFUNCTION("""COMPUTED_VALUE"""),"WA ONLY, CALL")</f>
        <v>WA ONLY, CALL</v>
      </c>
      <c r="P1073" s="1" t="str">
        <f>IFERROR(__xludf.DUMMYFUNCTION("""COMPUTED_VALUE"""),"Madam")</f>
        <v>Madam</v>
      </c>
      <c r="Q1073" s="1" t="str">
        <f>IFERROR(__xludf.DUMMYFUNCTION("""COMPUTED_VALUE"""),"No")</f>
        <v>No</v>
      </c>
      <c r="R1073" s="1" t="str">
        <f>IFERROR(__xludf.DUMMYFUNCTION("""COMPUTED_VALUE"""),"OLD")</f>
        <v>OLD</v>
      </c>
      <c r="S1073" s="1" t="str">
        <f>IFERROR(__xludf.DUMMYFUNCTION("""COMPUTED_VALUE"""),"No")</f>
        <v>No</v>
      </c>
    </row>
    <row r="1074">
      <c r="A1074" s="2">
        <f>IFERROR(__xludf.DUMMYFUNCTION("""COMPUTED_VALUE"""),45717.69894930556)</f>
        <v>45717.69895</v>
      </c>
      <c r="B1074" s="1" t="str">
        <f>IFERROR(__xludf.DUMMYFUNCTION("""COMPUTED_VALUE"""),"Nalin budhaya")</f>
        <v>Nalin budhaya</v>
      </c>
      <c r="C1074" s="1">
        <f>IFERROR(__xludf.DUMMYFUNCTION("""COMPUTED_VALUE"""),9.81002191E9)</f>
        <v>9810021910</v>
      </c>
      <c r="D1074" s="1">
        <f>IFERROR(__xludf.DUMMYFUNCTION("""COMPUTED_VALUE"""),1.0)</f>
        <v>1</v>
      </c>
      <c r="E1074" s="3">
        <f>IFERROR(__xludf.DUMMYFUNCTION("""COMPUTED_VALUE"""),0.5520833333357587)</f>
        <v>0.5520833333</v>
      </c>
      <c r="F1074" s="1" t="str">
        <f>IFERROR(__xludf.DUMMYFUNCTION("""COMPUTED_VALUE"""),"Plain Gold")</f>
        <v>Plain Gold</v>
      </c>
      <c r="G1074" s="1" t="str">
        <f>IFERROR(__xludf.DUMMYFUNCTION("""COMPUTED_VALUE"""),"Preeti")</f>
        <v>Preeti</v>
      </c>
      <c r="H1074" s="1"/>
      <c r="I1074" s="1" t="str">
        <f>IFERROR(__xludf.DUMMYFUNCTION("""COMPUTED_VALUE"""),"Pick up Order")</f>
        <v>Pick up Order</v>
      </c>
      <c r="J1074" s="1"/>
      <c r="K1074" s="3">
        <f>IFERROR(__xludf.DUMMYFUNCTION("""COMPUTED_VALUE"""),0.5833333333357587)</f>
        <v>0.5833333333</v>
      </c>
      <c r="L1074" s="1" t="str">
        <f>IFERROR(__xludf.DUMMYFUNCTION("""COMPUTED_VALUE"""),"Yes")</f>
        <v>Yes</v>
      </c>
      <c r="M1074" s="1" t="str">
        <f>IFERROR(__xludf.DUMMYFUNCTION("""COMPUTED_VALUE"""),"Already done ")</f>
        <v>Already done </v>
      </c>
      <c r="N1074" s="1" t="str">
        <f>IFERROR(__xludf.DUMMYFUNCTION("""COMPUTED_VALUE"""),"Already done ")</f>
        <v>Already done </v>
      </c>
      <c r="O1074" s="1" t="str">
        <f>IFERROR(__xludf.DUMMYFUNCTION("""COMPUTED_VALUE"""),"WA ONLY, CALL")</f>
        <v>WA ONLY, CALL</v>
      </c>
      <c r="P1074" s="1" t="str">
        <f>IFERROR(__xludf.DUMMYFUNCTION("""COMPUTED_VALUE"""),"Sir")</f>
        <v>Sir</v>
      </c>
      <c r="Q1074" s="1" t="str">
        <f>IFERROR(__xludf.DUMMYFUNCTION("""COMPUTED_VALUE"""),"No")</f>
        <v>No</v>
      </c>
      <c r="R1074" s="1" t="str">
        <f>IFERROR(__xludf.DUMMYFUNCTION("""COMPUTED_VALUE"""),"OLD")</f>
        <v>OLD</v>
      </c>
      <c r="S1074" s="1" t="str">
        <f>IFERROR(__xludf.DUMMYFUNCTION("""COMPUTED_VALUE"""),"No")</f>
        <v>No</v>
      </c>
    </row>
    <row r="1075">
      <c r="A1075" s="2">
        <f>IFERROR(__xludf.DUMMYFUNCTION("""COMPUTED_VALUE"""),45717.70064199074)</f>
        <v>45717.70064</v>
      </c>
      <c r="B1075" s="1" t="str">
        <f>IFERROR(__xludf.DUMMYFUNCTION("""COMPUTED_VALUE"""),"Kalpna")</f>
        <v>Kalpna</v>
      </c>
      <c r="C1075" s="1">
        <f>IFERROR(__xludf.DUMMYFUNCTION("""COMPUTED_VALUE"""),9.819496621E9)</f>
        <v>9819496621</v>
      </c>
      <c r="D1075" s="1">
        <f>IFERROR(__xludf.DUMMYFUNCTION("""COMPUTED_VALUE"""),2.0)</f>
        <v>2</v>
      </c>
      <c r="E1075" s="3">
        <f>IFERROR(__xludf.DUMMYFUNCTION("""COMPUTED_VALUE"""),0.5625)</f>
        <v>0.5625</v>
      </c>
      <c r="F1075" s="1" t="str">
        <f>IFERROR(__xludf.DUMMYFUNCTION("""COMPUTED_VALUE"""),"Antique Gold")</f>
        <v>Antique Gold</v>
      </c>
      <c r="G1075" s="1" t="str">
        <f>IFERROR(__xludf.DUMMYFUNCTION("""COMPUTED_VALUE"""),"Suman")</f>
        <v>Suman</v>
      </c>
      <c r="H1075" s="1" t="str">
        <f>IFERROR(__xludf.DUMMYFUNCTION("""COMPUTED_VALUE"""),"Gold pendent ")</f>
        <v>Gold pendent </v>
      </c>
      <c r="I1075" s="1" t="str">
        <f>IFERROR(__xludf.DUMMYFUNCTION("""COMPUTED_VALUE"""),"Want to see More Variety")</f>
        <v>Want to see More Variety</v>
      </c>
      <c r="J1075" s="1"/>
      <c r="K1075" s="3">
        <f>IFERROR(__xludf.DUMMYFUNCTION("""COMPUTED_VALUE"""),0.586111111115315)</f>
        <v>0.5861111111</v>
      </c>
      <c r="L1075" s="1" t="str">
        <f>IFERROR(__xludf.DUMMYFUNCTION("""COMPUTED_VALUE"""),"No")</f>
        <v>No</v>
      </c>
      <c r="M1075" s="1" t="str">
        <f>IFERROR(__xludf.DUMMYFUNCTION("""COMPUTED_VALUE"""),"No")</f>
        <v>No</v>
      </c>
      <c r="N1075" s="1" t="str">
        <f>IFERROR(__xludf.DUMMYFUNCTION("""COMPUTED_VALUE"""),"No")</f>
        <v>No</v>
      </c>
      <c r="O1075" s="1" t="str">
        <f>IFERROR(__xludf.DUMMYFUNCTION("""COMPUTED_VALUE"""),"WA ONLY, CALL")</f>
        <v>WA ONLY, CALL</v>
      </c>
      <c r="P1075" s="1" t="str">
        <f>IFERROR(__xludf.DUMMYFUNCTION("""COMPUTED_VALUE"""),"Madam")</f>
        <v>Madam</v>
      </c>
      <c r="Q1075" s="1" t="str">
        <f>IFERROR(__xludf.DUMMYFUNCTION("""COMPUTED_VALUE"""),"No")</f>
        <v>No</v>
      </c>
      <c r="R1075" s="1" t="str">
        <f>IFERROR(__xludf.DUMMYFUNCTION("""COMPUTED_VALUE"""),"NEW WALK IN")</f>
        <v>NEW WALK IN</v>
      </c>
      <c r="S1075" s="1" t="str">
        <f>IFERROR(__xludf.DUMMYFUNCTION("""COMPUTED_VALUE"""),"No")</f>
        <v>No</v>
      </c>
    </row>
    <row r="1076">
      <c r="A1076" s="2">
        <f>IFERROR(__xludf.DUMMYFUNCTION("""COMPUTED_VALUE"""),45718.6868641551)</f>
        <v>45718.68686</v>
      </c>
      <c r="B1076" s="1" t="str">
        <f>IFERROR(__xludf.DUMMYFUNCTION("""COMPUTED_VALUE"""),"Priyanka ")</f>
        <v>Priyanka </v>
      </c>
      <c r="C1076" s="1">
        <f>IFERROR(__xludf.DUMMYFUNCTION("""COMPUTED_VALUE"""),9.101950248E9)</f>
        <v>9101950248</v>
      </c>
      <c r="D1076" s="1">
        <f>IFERROR(__xludf.DUMMYFUNCTION("""COMPUTED_VALUE"""),2.0)</f>
        <v>2</v>
      </c>
      <c r="E1076" s="3">
        <f>IFERROR(__xludf.DUMMYFUNCTION("""COMPUTED_VALUE"""),0.5243055555547471)</f>
        <v>0.5243055556</v>
      </c>
      <c r="F1076" s="1" t="str">
        <f>IFERROR(__xludf.DUMMYFUNCTION("""COMPUTED_VALUE"""),"Plain Gold")</f>
        <v>Plain Gold</v>
      </c>
      <c r="G1076" s="1" t="str">
        <f>IFERROR(__xludf.DUMMYFUNCTION("""COMPUTED_VALUE"""),"Sapna")</f>
        <v>Sapna</v>
      </c>
      <c r="H1076" s="1" t="str">
        <f>IFERROR(__xludf.DUMMYFUNCTION("""COMPUTED_VALUE"""),"Gold nose pin")</f>
        <v>Gold nose pin</v>
      </c>
      <c r="I1076" s="1"/>
      <c r="J1076" s="1"/>
      <c r="K1076" s="3">
        <f>IFERROR(__xludf.DUMMYFUNCTION("""COMPUTED_VALUE"""),0.547222222223354)</f>
        <v>0.5472222222</v>
      </c>
      <c r="L1076" s="1" t="str">
        <f>IFERROR(__xludf.DUMMYFUNCTION("""COMPUTED_VALUE"""),"Yes")</f>
        <v>Yes</v>
      </c>
      <c r="M1076" s="1" t="str">
        <f>IFERROR(__xludf.DUMMYFUNCTION("""COMPUTED_VALUE"""),"Yes")</f>
        <v>Yes</v>
      </c>
      <c r="N1076" s="1" t="str">
        <f>IFERROR(__xludf.DUMMYFUNCTION("""COMPUTED_VALUE"""),"Yes")</f>
        <v>Yes</v>
      </c>
      <c r="O1076" s="1" t="str">
        <f>IFERROR(__xludf.DUMMYFUNCTION("""COMPUTED_VALUE"""),"WA ONLY, CALL")</f>
        <v>WA ONLY, CALL</v>
      </c>
      <c r="P1076" s="1" t="str">
        <f>IFERROR(__xludf.DUMMYFUNCTION("""COMPUTED_VALUE"""),"Madam")</f>
        <v>Madam</v>
      </c>
      <c r="Q1076" s="1" t="str">
        <f>IFERROR(__xludf.DUMMYFUNCTION("""COMPUTED_VALUE"""),"No")</f>
        <v>No</v>
      </c>
      <c r="R1076" s="1" t="str">
        <f>IFERROR(__xludf.DUMMYFUNCTION("""COMPUTED_VALUE"""),"NEW WALK IN")</f>
        <v>NEW WALK IN</v>
      </c>
      <c r="S1076" s="1" t="str">
        <f>IFERROR(__xludf.DUMMYFUNCTION("""COMPUTED_VALUE"""),"Yes")</f>
        <v>Yes</v>
      </c>
    </row>
    <row r="1077">
      <c r="A1077" s="2">
        <f>IFERROR(__xludf.DUMMYFUNCTION("""COMPUTED_VALUE"""),45718.687616655094)</f>
        <v>45718.68762</v>
      </c>
      <c r="B1077" s="1" t="str">
        <f>IFERROR(__xludf.DUMMYFUNCTION("""COMPUTED_VALUE"""),"Anjali ")</f>
        <v>Anjali </v>
      </c>
      <c r="C1077" s="1">
        <f>IFERROR(__xludf.DUMMYFUNCTION("""COMPUTED_VALUE"""),8.29923193E9)</f>
        <v>8299231930</v>
      </c>
      <c r="D1077" s="1">
        <f>IFERROR(__xludf.DUMMYFUNCTION("""COMPUTED_VALUE"""),4.0)</f>
        <v>4</v>
      </c>
      <c r="E1077" s="3">
        <f>IFERROR(__xludf.DUMMYFUNCTION("""COMPUTED_VALUE"""),0.6368055555576575)</f>
        <v>0.6368055556</v>
      </c>
      <c r="F1077" s="1" t="str">
        <f>IFERROR(__xludf.DUMMYFUNCTION("""COMPUTED_VALUE"""),"Antique Gold")</f>
        <v>Antique Gold</v>
      </c>
      <c r="G1077" s="1" t="str">
        <f>IFERROR(__xludf.DUMMYFUNCTION("""COMPUTED_VALUE"""),"Suman")</f>
        <v>Suman</v>
      </c>
      <c r="H1077" s="1" t="str">
        <f>IFERROR(__xludf.DUMMYFUNCTION("""COMPUTED_VALUE"""),"Row gold")</f>
        <v>Row gold</v>
      </c>
      <c r="I1077" s="1"/>
      <c r="J1077" s="1"/>
      <c r="K1077" s="3">
        <f>IFERROR(__xludf.DUMMYFUNCTION("""COMPUTED_VALUE"""),0.6652777777781012)</f>
        <v>0.6652777778</v>
      </c>
      <c r="L1077" s="1" t="str">
        <f>IFERROR(__xludf.DUMMYFUNCTION("""COMPUTED_VALUE"""),"Yes")</f>
        <v>Yes</v>
      </c>
      <c r="M1077" s="1" t="str">
        <f>IFERROR(__xludf.DUMMYFUNCTION("""COMPUTED_VALUE"""),"Already done ")</f>
        <v>Already done </v>
      </c>
      <c r="N1077" s="1" t="str">
        <f>IFERROR(__xludf.DUMMYFUNCTION("""COMPUTED_VALUE"""),"Already done ")</f>
        <v>Already done </v>
      </c>
      <c r="O1077" s="1" t="str">
        <f>IFERROR(__xludf.DUMMYFUNCTION("""COMPUTED_VALUE"""),"WA ONLY, CALL")</f>
        <v>WA ONLY, CALL</v>
      </c>
      <c r="P1077" s="1" t="str">
        <f>IFERROR(__xludf.DUMMYFUNCTION("""COMPUTED_VALUE"""),"Madam")</f>
        <v>Madam</v>
      </c>
      <c r="Q1077" s="1" t="str">
        <f>IFERROR(__xludf.DUMMYFUNCTION("""COMPUTED_VALUE"""),"No")</f>
        <v>No</v>
      </c>
      <c r="R1077" s="1" t="str">
        <f>IFERROR(__xludf.DUMMYFUNCTION("""COMPUTED_VALUE"""),"OLD")</f>
        <v>OLD</v>
      </c>
      <c r="S1077" s="1" t="str">
        <f>IFERROR(__xludf.DUMMYFUNCTION("""COMPUTED_VALUE"""),"Yes")</f>
        <v>Yes</v>
      </c>
    </row>
    <row r="1078">
      <c r="A1078" s="2">
        <f>IFERROR(__xludf.DUMMYFUNCTION("""COMPUTED_VALUE"""),45718.688556493056)</f>
        <v>45718.68856</v>
      </c>
      <c r="B1078" s="1" t="str">
        <f>IFERROR(__xludf.DUMMYFUNCTION("""COMPUTED_VALUE"""),"Geetika sharma")</f>
        <v>Geetika sharma</v>
      </c>
      <c r="C1078" s="1">
        <f>IFERROR(__xludf.DUMMYFUNCTION("""COMPUTED_VALUE"""),8.432506282E9)</f>
        <v>8432506282</v>
      </c>
      <c r="D1078" s="1">
        <f>IFERROR(__xludf.DUMMYFUNCTION("""COMPUTED_VALUE"""),2.0)</f>
        <v>2</v>
      </c>
      <c r="E1078" s="3">
        <f>IFERROR(__xludf.DUMMYFUNCTION("""COMPUTED_VALUE"""),0.5729166666642413)</f>
        <v>0.5729166667</v>
      </c>
      <c r="F1078" s="1" t="str">
        <f>IFERROR(__xludf.DUMMYFUNCTION("""COMPUTED_VALUE"""),"Antique Gold")</f>
        <v>Antique Gold</v>
      </c>
      <c r="G1078" s="1" t="str">
        <f>IFERROR(__xludf.DUMMYFUNCTION("""COMPUTED_VALUE"""),"Suman")</f>
        <v>Suman</v>
      </c>
      <c r="H1078" s="1" t="str">
        <f>IFERROR(__xludf.DUMMYFUNCTION("""COMPUTED_VALUE"""),"Pukh raj ring order ")</f>
        <v>Pukh raj ring order </v>
      </c>
      <c r="I1078" s="1"/>
      <c r="J1078" s="1"/>
      <c r="K1078" s="3">
        <f>IFERROR(__xludf.DUMMYFUNCTION("""COMPUTED_VALUE"""),0.6180555555547471)</f>
        <v>0.6180555556</v>
      </c>
      <c r="L1078" s="1" t="str">
        <f>IFERROR(__xludf.DUMMYFUNCTION("""COMPUTED_VALUE"""),"Yes")</f>
        <v>Yes</v>
      </c>
      <c r="M1078" s="1" t="str">
        <f>IFERROR(__xludf.DUMMYFUNCTION("""COMPUTED_VALUE"""),"Already done ")</f>
        <v>Already done </v>
      </c>
      <c r="N1078" s="1" t="str">
        <f>IFERROR(__xludf.DUMMYFUNCTION("""COMPUTED_VALUE"""),"Already done ")</f>
        <v>Already done </v>
      </c>
      <c r="O1078" s="1" t="str">
        <f>IFERROR(__xludf.DUMMYFUNCTION("""COMPUTED_VALUE"""),"WA ONLY, CALL")</f>
        <v>WA ONLY, CALL</v>
      </c>
      <c r="P1078" s="1" t="str">
        <f>IFERROR(__xludf.DUMMYFUNCTION("""COMPUTED_VALUE"""),"Madam")</f>
        <v>Madam</v>
      </c>
      <c r="Q1078" s="1" t="str">
        <f>IFERROR(__xludf.DUMMYFUNCTION("""COMPUTED_VALUE"""),"No")</f>
        <v>No</v>
      </c>
      <c r="R1078" s="1" t="str">
        <f>IFERROR(__xludf.DUMMYFUNCTION("""COMPUTED_VALUE"""),"OLD")</f>
        <v>OLD</v>
      </c>
      <c r="S1078" s="1" t="str">
        <f>IFERROR(__xludf.DUMMYFUNCTION("""COMPUTED_VALUE"""),"Yes")</f>
        <v>Yes</v>
      </c>
    </row>
    <row r="1079">
      <c r="A1079" s="2">
        <f>IFERROR(__xludf.DUMMYFUNCTION("""COMPUTED_VALUE"""),45718.691770624995)</f>
        <v>45718.69177</v>
      </c>
      <c r="B1079" s="1"/>
      <c r="C1079" s="1"/>
      <c r="D1079" s="1">
        <f>IFERROR(__xludf.DUMMYFUNCTION("""COMPUTED_VALUE"""),4.0)</f>
        <v>4</v>
      </c>
      <c r="E1079" s="3">
        <f>IFERROR(__xludf.DUMMYFUNCTION("""COMPUTED_VALUE"""),0.5208333333357587)</f>
        <v>0.5208333333</v>
      </c>
      <c r="F1079" s="1" t="str">
        <f>IFERROR(__xludf.DUMMYFUNCTION("""COMPUTED_VALUE"""),"Diamond")</f>
        <v>Diamond</v>
      </c>
      <c r="G1079" s="1" t="str">
        <f>IFERROR(__xludf.DUMMYFUNCTION("""COMPUTED_VALUE"""),"Preeti")</f>
        <v>Preeti</v>
      </c>
      <c r="H1079" s="1" t="str">
        <f>IFERROR(__xludf.DUMMYFUNCTION("""COMPUTED_VALUE"""),"Daimond tops,danglers,necklaces on order ")</f>
        <v>Daimond tops,danglers,necklaces on order </v>
      </c>
      <c r="I1079" s="1"/>
      <c r="J1079" s="1"/>
      <c r="K1079" s="3">
        <f>IFERROR(__xludf.DUMMYFUNCTION("""COMPUTED_VALUE"""),0.6354166666642413)</f>
        <v>0.6354166667</v>
      </c>
      <c r="L1079" s="1" t="str">
        <f>IFERROR(__xludf.DUMMYFUNCTION("""COMPUTED_VALUE"""),"Yes")</f>
        <v>Yes</v>
      </c>
      <c r="M1079" s="1" t="str">
        <f>IFERROR(__xludf.DUMMYFUNCTION("""COMPUTED_VALUE"""),"Yes")</f>
        <v>Yes</v>
      </c>
      <c r="N1079" s="1" t="str">
        <f>IFERROR(__xludf.DUMMYFUNCTION("""COMPUTED_VALUE"""),"Yes")</f>
        <v>Yes</v>
      </c>
      <c r="O1079" s="1" t="str">
        <f>IFERROR(__xludf.DUMMYFUNCTION("""COMPUTED_VALUE"""),"WA ONLY, CALL")</f>
        <v>WA ONLY, CALL</v>
      </c>
      <c r="P1079" s="1" t="str">
        <f>IFERROR(__xludf.DUMMYFUNCTION("""COMPUTED_VALUE"""),"Madam")</f>
        <v>Madam</v>
      </c>
      <c r="Q1079" s="1" t="str">
        <f>IFERROR(__xludf.DUMMYFUNCTION("""COMPUTED_VALUE"""),"No")</f>
        <v>No</v>
      </c>
      <c r="R1079" s="1" t="str">
        <f>IFERROR(__xludf.DUMMYFUNCTION("""COMPUTED_VALUE"""),"OLD")</f>
        <v>OLD</v>
      </c>
      <c r="S1079" s="1" t="str">
        <f>IFERROR(__xludf.DUMMYFUNCTION("""COMPUTED_VALUE"""),"Yes")</f>
        <v>Yes</v>
      </c>
    </row>
    <row r="1080">
      <c r="A1080" s="2">
        <f>IFERROR(__xludf.DUMMYFUNCTION("""COMPUTED_VALUE"""),45720.77840984953)</f>
        <v>45720.77841</v>
      </c>
      <c r="B1080" s="1" t="str">
        <f>IFERROR(__xludf.DUMMYFUNCTION("""COMPUTED_VALUE"""),"Rupanki ")</f>
        <v>Rupanki </v>
      </c>
      <c r="C1080" s="1">
        <f>IFERROR(__xludf.DUMMYFUNCTION("""COMPUTED_VALUE"""),9.871767175E9)</f>
        <v>9871767175</v>
      </c>
      <c r="D1080" s="1">
        <f>IFERROR(__xludf.DUMMYFUNCTION("""COMPUTED_VALUE"""),1.0)</f>
        <v>1</v>
      </c>
      <c r="E1080" s="3">
        <f>IFERROR(__xludf.DUMMYFUNCTION("""COMPUTED_VALUE"""),0.5833333333357587)</f>
        <v>0.5833333333</v>
      </c>
      <c r="F1080" s="1" t="str">
        <f>IFERROR(__xludf.DUMMYFUNCTION("""COMPUTED_VALUE"""),"Diamond")</f>
        <v>Diamond</v>
      </c>
      <c r="G1080" s="1" t="str">
        <f>IFERROR(__xludf.DUMMYFUNCTION("""COMPUTED_VALUE"""),"Preeti")</f>
        <v>Preeti</v>
      </c>
      <c r="H1080" s="1" t="str">
        <f>IFERROR(__xludf.DUMMYFUNCTION("""COMPUTED_VALUE"""),"Daimond pendent,ring")</f>
        <v>Daimond pendent,ring</v>
      </c>
      <c r="I1080" s="1"/>
      <c r="J1080" s="1"/>
      <c r="K1080" s="3">
        <f>IFERROR(__xludf.DUMMYFUNCTION("""COMPUTED_VALUE"""),0.6972222222248092)</f>
        <v>0.6972222222</v>
      </c>
      <c r="L1080" s="1" t="str">
        <f>IFERROR(__xludf.DUMMYFUNCTION("""COMPUTED_VALUE"""),"Yes")</f>
        <v>Yes</v>
      </c>
      <c r="M1080" s="1" t="str">
        <f>IFERROR(__xludf.DUMMYFUNCTION("""COMPUTED_VALUE"""),"Already done ")</f>
        <v>Already done </v>
      </c>
      <c r="N1080" s="1" t="str">
        <f>IFERROR(__xludf.DUMMYFUNCTION("""COMPUTED_VALUE"""),"Already done ")</f>
        <v>Already done </v>
      </c>
      <c r="O1080" s="1" t="str">
        <f>IFERROR(__xludf.DUMMYFUNCTION("""COMPUTED_VALUE"""),"WA ONLY, CALL")</f>
        <v>WA ONLY, CALL</v>
      </c>
      <c r="P1080" s="1" t="str">
        <f>IFERROR(__xludf.DUMMYFUNCTION("""COMPUTED_VALUE"""),"Madam")</f>
        <v>Madam</v>
      </c>
      <c r="Q1080" s="1" t="str">
        <f>IFERROR(__xludf.DUMMYFUNCTION("""COMPUTED_VALUE"""),"No")</f>
        <v>No</v>
      </c>
      <c r="R1080" s="1" t="str">
        <f>IFERROR(__xludf.DUMMYFUNCTION("""COMPUTED_VALUE"""),"OLD")</f>
        <v>OLD</v>
      </c>
      <c r="S1080" s="1" t="str">
        <f>IFERROR(__xludf.DUMMYFUNCTION("""COMPUTED_VALUE"""),"Yes")</f>
        <v>Yes</v>
      </c>
    </row>
    <row r="1081">
      <c r="A1081" s="2">
        <f>IFERROR(__xludf.DUMMYFUNCTION("""COMPUTED_VALUE"""),45720.779445671295)</f>
        <v>45720.77945</v>
      </c>
      <c r="B1081" s="1" t="str">
        <f>IFERROR(__xludf.DUMMYFUNCTION("""COMPUTED_VALUE"""),"Seema chawla")</f>
        <v>Seema chawla</v>
      </c>
      <c r="C1081" s="1">
        <f>IFERROR(__xludf.DUMMYFUNCTION("""COMPUTED_VALUE"""),9.818304741E9)</f>
        <v>9818304741</v>
      </c>
      <c r="D1081" s="1">
        <f>IFERROR(__xludf.DUMMYFUNCTION("""COMPUTED_VALUE"""),1.0)</f>
        <v>1</v>
      </c>
      <c r="E1081" s="3">
        <f>IFERROR(__xludf.DUMMYFUNCTION("""COMPUTED_VALUE"""),0.6243055555532919)</f>
        <v>0.6243055556</v>
      </c>
      <c r="F1081" s="1" t="str">
        <f>IFERROR(__xludf.DUMMYFUNCTION("""COMPUTED_VALUE"""),"Diamond")</f>
        <v>Diamond</v>
      </c>
      <c r="G1081" s="1" t="str">
        <f>IFERROR(__xludf.DUMMYFUNCTION("""COMPUTED_VALUE"""),"Preeti")</f>
        <v>Preeti</v>
      </c>
      <c r="H1081" s="1"/>
      <c r="I1081" s="1" t="str">
        <f>IFERROR(__xludf.DUMMYFUNCTION("""COMPUTED_VALUE"""),"Repair daimond breslet ")</f>
        <v>Repair daimond breslet </v>
      </c>
      <c r="J1081" s="1"/>
      <c r="K1081" s="3">
        <f>IFERROR(__xludf.DUMMYFUNCTION("""COMPUTED_VALUE"""),0.6361111111109494)</f>
        <v>0.6361111111</v>
      </c>
      <c r="L1081" s="1" t="str">
        <f>IFERROR(__xludf.DUMMYFUNCTION("""COMPUTED_VALUE"""),"Yes")</f>
        <v>Yes</v>
      </c>
      <c r="M1081" s="1" t="str">
        <f>IFERROR(__xludf.DUMMYFUNCTION("""COMPUTED_VALUE"""),"Already done ")</f>
        <v>Already done </v>
      </c>
      <c r="N1081" s="1" t="str">
        <f>IFERROR(__xludf.DUMMYFUNCTION("""COMPUTED_VALUE"""),"Already done ")</f>
        <v>Already done </v>
      </c>
      <c r="O1081" s="1" t="str">
        <f>IFERROR(__xludf.DUMMYFUNCTION("""COMPUTED_VALUE"""),"WA ONLY, CALL")</f>
        <v>WA ONLY, CALL</v>
      </c>
      <c r="P1081" s="1" t="str">
        <f>IFERROR(__xludf.DUMMYFUNCTION("""COMPUTED_VALUE"""),"Madam")</f>
        <v>Madam</v>
      </c>
      <c r="Q1081" s="1" t="str">
        <f>IFERROR(__xludf.DUMMYFUNCTION("""COMPUTED_VALUE"""),"No")</f>
        <v>No</v>
      </c>
      <c r="R1081" s="1" t="str">
        <f>IFERROR(__xludf.DUMMYFUNCTION("""COMPUTED_VALUE"""),"OLD")</f>
        <v>OLD</v>
      </c>
      <c r="S1081" s="1" t="str">
        <f>IFERROR(__xludf.DUMMYFUNCTION("""COMPUTED_VALUE"""),"No")</f>
        <v>No</v>
      </c>
    </row>
    <row r="1082">
      <c r="A1082" s="2">
        <f>IFERROR(__xludf.DUMMYFUNCTION("""COMPUTED_VALUE"""),45722.76594690973)</f>
        <v>45722.76595</v>
      </c>
      <c r="B1082" s="1"/>
      <c r="C1082" s="1" t="str">
        <f>IFERROR(__xludf.DUMMYFUNCTION("""COMPUTED_VALUE"""),"Ruchika aggarwal ")</f>
        <v>Ruchika aggarwal </v>
      </c>
      <c r="D1082" s="1">
        <f>IFERROR(__xludf.DUMMYFUNCTION("""COMPUTED_VALUE"""),9.599232156E9)</f>
        <v>9599232156</v>
      </c>
      <c r="E1082" s="3">
        <f>IFERROR(__xludf.DUMMYFUNCTION("""COMPUTED_VALUE"""),0.5958333333328483)</f>
        <v>0.5958333333</v>
      </c>
      <c r="F1082" s="1" t="str">
        <f>IFERROR(__xludf.DUMMYFUNCTION("""COMPUTED_VALUE"""),"Diamond")</f>
        <v>Diamond</v>
      </c>
      <c r="G1082" s="1" t="str">
        <f>IFERROR(__xludf.DUMMYFUNCTION("""COMPUTED_VALUE"""),"Preeti")</f>
        <v>Preeti</v>
      </c>
      <c r="H1082" s="1" t="str">
        <f>IFERROR(__xludf.DUMMYFUNCTION("""COMPUTED_VALUE"""),"Daimond pendent,chain,polki set")</f>
        <v>Daimond pendent,chain,polki set</v>
      </c>
      <c r="I1082" s="1"/>
      <c r="J1082" s="1"/>
      <c r="K1082" s="3">
        <f>IFERROR(__xludf.DUMMYFUNCTION("""COMPUTED_VALUE"""),0.6979166666642413)</f>
        <v>0.6979166667</v>
      </c>
      <c r="L1082" s="1" t="str">
        <f>IFERROR(__xludf.DUMMYFUNCTION("""COMPUTED_VALUE"""),"Yes")</f>
        <v>Yes</v>
      </c>
      <c r="M1082" s="1" t="str">
        <f>IFERROR(__xludf.DUMMYFUNCTION("""COMPUTED_VALUE"""),"Already done ")</f>
        <v>Already done </v>
      </c>
      <c r="N1082" s="1" t="str">
        <f>IFERROR(__xludf.DUMMYFUNCTION("""COMPUTED_VALUE"""),"Already done ")</f>
        <v>Already done </v>
      </c>
      <c r="O1082" s="1" t="str">
        <f>IFERROR(__xludf.DUMMYFUNCTION("""COMPUTED_VALUE"""),"WA ONLY, CALL")</f>
        <v>WA ONLY, CALL</v>
      </c>
      <c r="P1082" s="1" t="str">
        <f>IFERROR(__xludf.DUMMYFUNCTION("""COMPUTED_VALUE"""),"Madam")</f>
        <v>Madam</v>
      </c>
      <c r="Q1082" s="1" t="str">
        <f>IFERROR(__xludf.DUMMYFUNCTION("""COMPUTED_VALUE"""),"No")</f>
        <v>No</v>
      </c>
      <c r="R1082" s="1" t="str">
        <f>IFERROR(__xludf.DUMMYFUNCTION("""COMPUTED_VALUE"""),"OLD")</f>
        <v>OLD</v>
      </c>
      <c r="S1082" s="1" t="str">
        <f>IFERROR(__xludf.DUMMYFUNCTION("""COMPUTED_VALUE"""),"Yes")</f>
        <v>Yes</v>
      </c>
    </row>
    <row r="1083">
      <c r="A1083" s="2">
        <f>IFERROR(__xludf.DUMMYFUNCTION("""COMPUTED_VALUE"""),45722.76675725695)</f>
        <v>45722.76676</v>
      </c>
      <c r="B1083" s="1" t="str">
        <f>IFERROR(__xludf.DUMMYFUNCTION("""COMPUTED_VALUE"""),"Anil kumar")</f>
        <v>Anil kumar</v>
      </c>
      <c r="C1083" s="1">
        <f>IFERROR(__xludf.DUMMYFUNCTION("""COMPUTED_VALUE"""),7.9828594616E10)</f>
        <v>79828594616</v>
      </c>
      <c r="D1083" s="1">
        <f>IFERROR(__xludf.DUMMYFUNCTION("""COMPUTED_VALUE"""),3.0)</f>
        <v>3</v>
      </c>
      <c r="E1083" s="3">
        <f>IFERROR(__xludf.DUMMYFUNCTION("""COMPUTED_VALUE"""),0.7256944444452529)</f>
        <v>0.7256944444</v>
      </c>
      <c r="F1083" s="1" t="str">
        <f>IFERROR(__xludf.DUMMYFUNCTION("""COMPUTED_VALUE"""),"Antique Gold")</f>
        <v>Antique Gold</v>
      </c>
      <c r="G1083" s="1" t="str">
        <f>IFERROR(__xludf.DUMMYFUNCTION("""COMPUTED_VALUE"""),"Suman")</f>
        <v>Suman</v>
      </c>
      <c r="H1083" s="1" t="str">
        <f>IFERROR(__xludf.DUMMYFUNCTION("""COMPUTED_VALUE"""),"Gold baar")</f>
        <v>Gold baar</v>
      </c>
      <c r="I1083" s="1" t="str">
        <f>IFERROR(__xludf.DUMMYFUNCTION("""COMPUTED_VALUE"""),"Visit Again in 1 Month")</f>
        <v>Visit Again in 1 Month</v>
      </c>
      <c r="J1083" s="1"/>
      <c r="K1083" s="3">
        <f>IFERROR(__xludf.DUMMYFUNCTION("""COMPUTED_VALUE"""),0.7430555555547471)</f>
        <v>0.7430555556</v>
      </c>
      <c r="L1083" s="1" t="str">
        <f>IFERROR(__xludf.DUMMYFUNCTION("""COMPUTED_VALUE"""),"No")</f>
        <v>No</v>
      </c>
      <c r="M1083" s="1" t="str">
        <f>IFERROR(__xludf.DUMMYFUNCTION("""COMPUTED_VALUE"""),"No")</f>
        <v>No</v>
      </c>
      <c r="N1083" s="1" t="str">
        <f>IFERROR(__xludf.DUMMYFUNCTION("""COMPUTED_VALUE"""),"No")</f>
        <v>No</v>
      </c>
      <c r="O1083" s="1" t="str">
        <f>IFERROR(__xludf.DUMMYFUNCTION("""COMPUTED_VALUE"""),"WA ONLY, CALL")</f>
        <v>WA ONLY, CALL</v>
      </c>
      <c r="P1083" s="1" t="str">
        <f>IFERROR(__xludf.DUMMYFUNCTION("""COMPUTED_VALUE"""),"Sir")</f>
        <v>Sir</v>
      </c>
      <c r="Q1083" s="1" t="str">
        <f>IFERROR(__xludf.DUMMYFUNCTION("""COMPUTED_VALUE"""),"No")</f>
        <v>No</v>
      </c>
      <c r="R1083" s="1" t="str">
        <f>IFERROR(__xludf.DUMMYFUNCTION("""COMPUTED_VALUE"""),"NEW WALK IN")</f>
        <v>NEW WALK IN</v>
      </c>
      <c r="S1083" s="1" t="str">
        <f>IFERROR(__xludf.DUMMYFUNCTION("""COMPUTED_VALUE"""),"No")</f>
        <v>No</v>
      </c>
    </row>
    <row r="1084">
      <c r="A1084" s="2">
        <f>IFERROR(__xludf.DUMMYFUNCTION("""COMPUTED_VALUE"""),45723.67389438658)</f>
        <v>45723.67389</v>
      </c>
      <c r="B1084" s="1" t="str">
        <f>IFERROR(__xludf.DUMMYFUNCTION("""COMPUTED_VALUE"""),"Ravinder ")</f>
        <v>Ravinder </v>
      </c>
      <c r="C1084" s="1">
        <f>IFERROR(__xludf.DUMMYFUNCTION("""COMPUTED_VALUE"""),9.811380088E9)</f>
        <v>9811380088</v>
      </c>
      <c r="D1084" s="1">
        <f>IFERROR(__xludf.DUMMYFUNCTION("""COMPUTED_VALUE"""),1.0)</f>
        <v>1</v>
      </c>
      <c r="E1084" s="3">
        <f>IFERROR(__xludf.DUMMYFUNCTION("""COMPUTED_VALUE"""),0.5694444444452529)</f>
        <v>0.5694444444</v>
      </c>
      <c r="F1084" s="1" t="str">
        <f>IFERROR(__xludf.DUMMYFUNCTION("""COMPUTED_VALUE"""),"Antique Gold")</f>
        <v>Antique Gold</v>
      </c>
      <c r="G1084" s="1" t="str">
        <f>IFERROR(__xludf.DUMMYFUNCTION("""COMPUTED_VALUE"""),"Suman")</f>
        <v>Suman</v>
      </c>
      <c r="H1084" s="1" t="str">
        <f>IFERROR(__xludf.DUMMYFUNCTION("""COMPUTED_VALUE"""),"Ledis chains")</f>
        <v>Ledis chains</v>
      </c>
      <c r="I1084" s="1" t="str">
        <f>IFERROR(__xludf.DUMMYFUNCTION("""COMPUTED_VALUE"""),"Want to see More Variety")</f>
        <v>Want to see More Variety</v>
      </c>
      <c r="J1084" s="1"/>
      <c r="K1084" s="3">
        <f>IFERROR(__xludf.DUMMYFUNCTION("""COMPUTED_VALUE"""),0.5930555555532919)</f>
        <v>0.5930555556</v>
      </c>
      <c r="L1084" s="1" t="str">
        <f>IFERROR(__xludf.DUMMYFUNCTION("""COMPUTED_VALUE"""),"No")</f>
        <v>No</v>
      </c>
      <c r="M1084" s="1" t="str">
        <f>IFERROR(__xludf.DUMMYFUNCTION("""COMPUTED_VALUE"""),"No")</f>
        <v>No</v>
      </c>
      <c r="N1084" s="1" t="str">
        <f>IFERROR(__xludf.DUMMYFUNCTION("""COMPUTED_VALUE"""),"No")</f>
        <v>No</v>
      </c>
      <c r="O1084" s="1" t="str">
        <f>IFERROR(__xludf.DUMMYFUNCTION("""COMPUTED_VALUE"""),"WA ONLY, CALL")</f>
        <v>WA ONLY, CALL</v>
      </c>
      <c r="P1084" s="1" t="str">
        <f>IFERROR(__xludf.DUMMYFUNCTION("""COMPUTED_VALUE"""),"Sir")</f>
        <v>Sir</v>
      </c>
      <c r="Q1084" s="1" t="str">
        <f>IFERROR(__xludf.DUMMYFUNCTION("""COMPUTED_VALUE"""),"No")</f>
        <v>No</v>
      </c>
      <c r="R1084" s="1" t="str">
        <f>IFERROR(__xludf.DUMMYFUNCTION("""COMPUTED_VALUE"""),"NEW WALK IN")</f>
        <v>NEW WALK IN</v>
      </c>
      <c r="S1084" s="1" t="str">
        <f>IFERROR(__xludf.DUMMYFUNCTION("""COMPUTED_VALUE"""),"No")</f>
        <v>No</v>
      </c>
    </row>
    <row r="1085">
      <c r="A1085" s="2">
        <f>IFERROR(__xludf.DUMMYFUNCTION("""COMPUTED_VALUE"""),45723.777591805556)</f>
        <v>45723.77759</v>
      </c>
      <c r="B1085" s="1" t="str">
        <f>IFERROR(__xludf.DUMMYFUNCTION("""COMPUTED_VALUE"""),"Kumar")</f>
        <v>Kumar</v>
      </c>
      <c r="C1085" s="1">
        <f>IFERROR(__xludf.DUMMYFUNCTION("""COMPUTED_VALUE"""),9.013329595E9)</f>
        <v>9013329595</v>
      </c>
      <c r="D1085" s="1">
        <f>IFERROR(__xludf.DUMMYFUNCTION("""COMPUTED_VALUE"""),1.0)</f>
        <v>1</v>
      </c>
      <c r="E1085" s="3">
        <f>IFERROR(__xludf.DUMMYFUNCTION("""COMPUTED_VALUE"""),0.6840277777810115)</f>
        <v>0.6840277778</v>
      </c>
      <c r="F1085" s="1" t="str">
        <f>IFERROR(__xludf.DUMMYFUNCTION("""COMPUTED_VALUE"""),"Plain Gold")</f>
        <v>Plain Gold</v>
      </c>
      <c r="G1085" s="1" t="str">
        <f>IFERROR(__xludf.DUMMYFUNCTION("""COMPUTED_VALUE"""),"Sapna")</f>
        <v>Sapna</v>
      </c>
      <c r="H1085" s="1" t="str">
        <f>IFERROR(__xludf.DUMMYFUNCTION("""COMPUTED_VALUE"""),"Gold ring,1 gm.golld coin")</f>
        <v>Gold ring,1 gm.golld coin</v>
      </c>
      <c r="I1085" s="1"/>
      <c r="J1085" s="1"/>
      <c r="K1085" s="3">
        <f>IFERROR(__xludf.DUMMYFUNCTION("""COMPUTED_VALUE"""),0.7368055555562023)</f>
        <v>0.7368055556</v>
      </c>
      <c r="L1085" s="1" t="str">
        <f>IFERROR(__xludf.DUMMYFUNCTION("""COMPUTED_VALUE"""),"Yes")</f>
        <v>Yes</v>
      </c>
      <c r="M1085" s="1" t="str">
        <f>IFERROR(__xludf.DUMMYFUNCTION("""COMPUTED_VALUE"""),"Yes")</f>
        <v>Yes</v>
      </c>
      <c r="N1085" s="1" t="str">
        <f>IFERROR(__xludf.DUMMYFUNCTION("""COMPUTED_VALUE"""),"Yes")</f>
        <v>Yes</v>
      </c>
      <c r="O1085" s="1" t="str">
        <f>IFERROR(__xludf.DUMMYFUNCTION("""COMPUTED_VALUE"""),"WA ONLY, CALL")</f>
        <v>WA ONLY, CALL</v>
      </c>
      <c r="P1085" s="1" t="str">
        <f>IFERROR(__xludf.DUMMYFUNCTION("""COMPUTED_VALUE"""),"Sir")</f>
        <v>Sir</v>
      </c>
      <c r="Q1085" s="1" t="str">
        <f>IFERROR(__xludf.DUMMYFUNCTION("""COMPUTED_VALUE"""),"No")</f>
        <v>No</v>
      </c>
      <c r="R1085" s="1" t="str">
        <f>IFERROR(__xludf.DUMMYFUNCTION("""COMPUTED_VALUE"""),"NEW WALK IN")</f>
        <v>NEW WALK IN</v>
      </c>
      <c r="S1085" s="1" t="str">
        <f>IFERROR(__xludf.DUMMYFUNCTION("""COMPUTED_VALUE"""),"Yes")</f>
        <v>Yes</v>
      </c>
    </row>
    <row r="1086">
      <c r="A1086" s="2">
        <f>IFERROR(__xludf.DUMMYFUNCTION("""COMPUTED_VALUE"""),45723.787427557865)</f>
        <v>45723.78743</v>
      </c>
      <c r="B1086" s="1" t="str">
        <f>IFERROR(__xludf.DUMMYFUNCTION("""COMPUTED_VALUE"""),"Kusum")</f>
        <v>Kusum</v>
      </c>
      <c r="C1086" s="1">
        <f>IFERROR(__xludf.DUMMYFUNCTION("""COMPUTED_VALUE"""),8.368953488E9)</f>
        <v>8368953488</v>
      </c>
      <c r="D1086" s="1">
        <f>IFERROR(__xludf.DUMMYFUNCTION("""COMPUTED_VALUE"""),2.0)</f>
        <v>2</v>
      </c>
      <c r="E1086" s="3">
        <f>IFERROR(__xludf.DUMMYFUNCTION("""COMPUTED_VALUE"""),0.7604166666642413)</f>
        <v>0.7604166667</v>
      </c>
      <c r="F1086" s="1" t="str">
        <f>IFERROR(__xludf.DUMMYFUNCTION("""COMPUTED_VALUE"""),"Plain Gold")</f>
        <v>Plain Gold</v>
      </c>
      <c r="G1086" s="1" t="str">
        <f>IFERROR(__xludf.DUMMYFUNCTION("""COMPUTED_VALUE"""),"Sapna")</f>
        <v>Sapna</v>
      </c>
      <c r="H1086" s="1" t="str">
        <f>IFERROR(__xludf.DUMMYFUNCTION("""COMPUTED_VALUE"""),".")</f>
        <v>.</v>
      </c>
      <c r="I1086" s="1" t="str">
        <f>IFERROR(__xludf.DUMMYFUNCTION("""COMPUTED_VALUE"""),"Give Payment")</f>
        <v>Give Payment</v>
      </c>
      <c r="J1086" s="1" t="str">
        <f>IFERROR(__xludf.DUMMYFUNCTION("""COMPUTED_VALUE"""),"2000 per month LUCKY PAY NO MORE")</f>
        <v>2000 per month LUCKY PAY NO MORE</v>
      </c>
      <c r="K1086" s="3">
        <f>IFERROR(__xludf.DUMMYFUNCTION("""COMPUTED_VALUE"""),0.7847222222189885)</f>
        <v>0.7847222222</v>
      </c>
      <c r="L1086" s="1" t="str">
        <f>IFERROR(__xludf.DUMMYFUNCTION("""COMPUTED_VALUE"""),"Yes")</f>
        <v>Yes</v>
      </c>
      <c r="M1086" s="1" t="str">
        <f>IFERROR(__xludf.DUMMYFUNCTION("""COMPUTED_VALUE"""),"Already done ")</f>
        <v>Already done </v>
      </c>
      <c r="N1086" s="1" t="str">
        <f>IFERROR(__xludf.DUMMYFUNCTION("""COMPUTED_VALUE"""),"Already done ")</f>
        <v>Already done </v>
      </c>
      <c r="O1086" s="1" t="str">
        <f>IFERROR(__xludf.DUMMYFUNCTION("""COMPUTED_VALUE"""),"WA ONLY, CALL")</f>
        <v>WA ONLY, CALL</v>
      </c>
      <c r="P1086" s="1" t="str">
        <f>IFERROR(__xludf.DUMMYFUNCTION("""COMPUTED_VALUE"""),"Madam")</f>
        <v>Madam</v>
      </c>
      <c r="Q1086" s="1" t="str">
        <f>IFERROR(__xludf.DUMMYFUNCTION("""COMPUTED_VALUE"""),"No")</f>
        <v>No</v>
      </c>
      <c r="R1086" s="1" t="str">
        <f>IFERROR(__xludf.DUMMYFUNCTION("""COMPUTED_VALUE"""),"OLD")</f>
        <v>OLD</v>
      </c>
      <c r="S1086" s="1" t="str">
        <f>IFERROR(__xludf.DUMMYFUNCTION("""COMPUTED_VALUE"""),"No")</f>
        <v>No</v>
      </c>
    </row>
    <row r="1087">
      <c r="A1087" s="2">
        <f>IFERROR(__xludf.DUMMYFUNCTION("""COMPUTED_VALUE"""),45723.79871378472)</f>
        <v>45723.79871</v>
      </c>
      <c r="B1087" s="1" t="str">
        <f>IFERROR(__xludf.DUMMYFUNCTION("""COMPUTED_VALUE"""),"Neha Malhotra ")</f>
        <v>Neha Malhotra </v>
      </c>
      <c r="C1087" s="1">
        <f>IFERROR(__xludf.DUMMYFUNCTION("""COMPUTED_VALUE"""),8.447610764E9)</f>
        <v>8447610764</v>
      </c>
      <c r="D1087" s="1">
        <f>IFERROR(__xludf.DUMMYFUNCTION("""COMPUTED_VALUE"""),2.0)</f>
        <v>2</v>
      </c>
      <c r="E1087" s="3">
        <f>IFERROR(__xludf.DUMMYFUNCTION("""COMPUTED_VALUE"""),0.75)</f>
        <v>0.75</v>
      </c>
      <c r="F1087" s="1" t="str">
        <f>IFERROR(__xludf.DUMMYFUNCTION("""COMPUTED_VALUE"""),"Antique Gold")</f>
        <v>Antique Gold</v>
      </c>
      <c r="G1087" s="1" t="str">
        <f>IFERROR(__xludf.DUMMYFUNCTION("""COMPUTED_VALUE"""),"Suman")</f>
        <v>Suman</v>
      </c>
      <c r="H1087" s="1" t="str">
        <f>IFERROR(__xludf.DUMMYFUNCTION("""COMPUTED_VALUE"""),"Gold hanging bali")</f>
        <v>Gold hanging bali</v>
      </c>
      <c r="I1087" s="1"/>
      <c r="J1087" s="1"/>
      <c r="K1087" s="1"/>
      <c r="L1087" s="1" t="str">
        <f>IFERROR(__xludf.DUMMYFUNCTION("""COMPUTED_VALUE"""),"Yes")</f>
        <v>Yes</v>
      </c>
      <c r="M1087" s="1" t="str">
        <f>IFERROR(__xludf.DUMMYFUNCTION("""COMPUTED_VALUE"""),"Yes")</f>
        <v>Yes</v>
      </c>
      <c r="N1087" s="1" t="str">
        <f>IFERROR(__xludf.DUMMYFUNCTION("""COMPUTED_VALUE"""),"Yes")</f>
        <v>Yes</v>
      </c>
      <c r="O1087" s="1" t="str">
        <f>IFERROR(__xludf.DUMMYFUNCTION("""COMPUTED_VALUE"""),"WA ONLY, CALL")</f>
        <v>WA ONLY, CALL</v>
      </c>
      <c r="P1087" s="1" t="str">
        <f>IFERROR(__xludf.DUMMYFUNCTION("""COMPUTED_VALUE"""),"Madam")</f>
        <v>Madam</v>
      </c>
      <c r="Q1087" s="1" t="str">
        <f>IFERROR(__xludf.DUMMYFUNCTION("""COMPUTED_VALUE"""),"No")</f>
        <v>No</v>
      </c>
      <c r="R1087" s="1" t="str">
        <f>IFERROR(__xludf.DUMMYFUNCTION("""COMPUTED_VALUE"""),"NEW WALK IN")</f>
        <v>NEW WALK IN</v>
      </c>
      <c r="S1087" s="1" t="str">
        <f>IFERROR(__xludf.DUMMYFUNCTION("""COMPUTED_VALUE"""),"Yes")</f>
        <v>Yes</v>
      </c>
    </row>
    <row r="1088">
      <c r="A1088" s="2">
        <f>IFERROR(__xludf.DUMMYFUNCTION("""COMPUTED_VALUE"""),45724.71040975694)</f>
        <v>45724.71041</v>
      </c>
      <c r="B1088" s="1" t="str">
        <f>IFERROR(__xludf.DUMMYFUNCTION("""COMPUTED_VALUE"""),"Indu bhatiya")</f>
        <v>Indu bhatiya</v>
      </c>
      <c r="C1088" s="1">
        <f>IFERROR(__xludf.DUMMYFUNCTION("""COMPUTED_VALUE"""),9.810085139E9)</f>
        <v>9810085139</v>
      </c>
      <c r="D1088" s="1">
        <f>IFERROR(__xludf.DUMMYFUNCTION("""COMPUTED_VALUE"""),2.0)</f>
        <v>2</v>
      </c>
      <c r="E1088" s="3">
        <f>IFERROR(__xludf.DUMMYFUNCTION("""COMPUTED_VALUE"""),0.5729166666642413)</f>
        <v>0.5729166667</v>
      </c>
      <c r="F1088" s="1" t="str">
        <f>IFERROR(__xludf.DUMMYFUNCTION("""COMPUTED_VALUE"""),"Plain Gold")</f>
        <v>Plain Gold</v>
      </c>
      <c r="G1088" s="1" t="str">
        <f>IFERROR(__xludf.DUMMYFUNCTION("""COMPUTED_VALUE"""),"Suman")</f>
        <v>Suman</v>
      </c>
      <c r="H1088" s="1" t="str">
        <f>IFERROR(__xludf.DUMMYFUNCTION("""COMPUTED_VALUE"""),"Jadau breslet ")</f>
        <v>Jadau breslet </v>
      </c>
      <c r="I1088" s="1"/>
      <c r="J1088" s="1"/>
      <c r="K1088" s="3">
        <f>IFERROR(__xludf.DUMMYFUNCTION("""COMPUTED_VALUE"""),0.6666666666642413)</f>
        <v>0.6666666667</v>
      </c>
      <c r="L1088" s="1" t="str">
        <f>IFERROR(__xludf.DUMMYFUNCTION("""COMPUTED_VALUE"""),"Yes")</f>
        <v>Yes</v>
      </c>
      <c r="M1088" s="1" t="str">
        <f>IFERROR(__xludf.DUMMYFUNCTION("""COMPUTED_VALUE"""),"Already done ")</f>
        <v>Already done </v>
      </c>
      <c r="N1088" s="1" t="str">
        <f>IFERROR(__xludf.DUMMYFUNCTION("""COMPUTED_VALUE"""),"Already done ")</f>
        <v>Already done </v>
      </c>
      <c r="O1088" s="1" t="str">
        <f>IFERROR(__xludf.DUMMYFUNCTION("""COMPUTED_VALUE"""),"WA ONLY, CALL")</f>
        <v>WA ONLY, CALL</v>
      </c>
      <c r="P1088" s="1" t="str">
        <f>IFERROR(__xludf.DUMMYFUNCTION("""COMPUTED_VALUE"""),"Madam")</f>
        <v>Madam</v>
      </c>
      <c r="Q1088" s="1" t="str">
        <f>IFERROR(__xludf.DUMMYFUNCTION("""COMPUTED_VALUE"""),"No")</f>
        <v>No</v>
      </c>
      <c r="R1088" s="1" t="str">
        <f>IFERROR(__xludf.DUMMYFUNCTION("""COMPUTED_VALUE"""),"OLD")</f>
        <v>OLD</v>
      </c>
      <c r="S1088" s="1" t="str">
        <f>IFERROR(__xludf.DUMMYFUNCTION("""COMPUTED_VALUE"""),"Yes")</f>
        <v>Yes</v>
      </c>
    </row>
    <row r="1089">
      <c r="A1089" s="2">
        <f>IFERROR(__xludf.DUMMYFUNCTION("""COMPUTED_VALUE"""),45724.71170864583)</f>
        <v>45724.71171</v>
      </c>
      <c r="B1089" s="1" t="str">
        <f>IFERROR(__xludf.DUMMYFUNCTION("""COMPUTED_VALUE"""),"Virender")</f>
        <v>Virender</v>
      </c>
      <c r="C1089" s="1">
        <f>IFERROR(__xludf.DUMMYFUNCTION("""COMPUTED_VALUE"""),9.013329595E9)</f>
        <v>9013329595</v>
      </c>
      <c r="D1089" s="1">
        <f>IFERROR(__xludf.DUMMYFUNCTION("""COMPUTED_VALUE"""),2.0)</f>
        <v>2</v>
      </c>
      <c r="E1089" s="3">
        <f>IFERROR(__xludf.DUMMYFUNCTION("""COMPUTED_VALUE"""),0.625)</f>
        <v>0.625</v>
      </c>
      <c r="F1089" s="1" t="str">
        <f>IFERROR(__xludf.DUMMYFUNCTION("""COMPUTED_VALUE"""),"Plain Gold")</f>
        <v>Plain Gold</v>
      </c>
      <c r="G1089" s="1" t="str">
        <f>IFERROR(__xludf.DUMMYFUNCTION("""COMPUTED_VALUE"""),"Suman")</f>
        <v>Suman</v>
      </c>
      <c r="H1089" s="1"/>
      <c r="I1089" s="1" t="str">
        <f>IFERROR(__xludf.DUMMYFUNCTION("""COMPUTED_VALUE"""),"Pick up Order")</f>
        <v>Pick up Order</v>
      </c>
      <c r="J1089" s="1"/>
      <c r="K1089" s="3">
        <f>IFERROR(__xludf.DUMMYFUNCTION("""COMPUTED_VALUE"""),0.6999999999970896)</f>
        <v>0.7</v>
      </c>
      <c r="L1089" s="1" t="str">
        <f>IFERROR(__xludf.DUMMYFUNCTION("""COMPUTED_VALUE"""),"Yes")</f>
        <v>Yes</v>
      </c>
      <c r="M1089" s="1" t="str">
        <f>IFERROR(__xludf.DUMMYFUNCTION("""COMPUTED_VALUE"""),"Already done ")</f>
        <v>Already done </v>
      </c>
      <c r="N1089" s="1" t="str">
        <f>IFERROR(__xludf.DUMMYFUNCTION("""COMPUTED_VALUE"""),"Already done ")</f>
        <v>Already done </v>
      </c>
      <c r="O1089" s="1" t="str">
        <f>IFERROR(__xludf.DUMMYFUNCTION("""COMPUTED_VALUE"""),"WA ONLY, CALL")</f>
        <v>WA ONLY, CALL</v>
      </c>
      <c r="P1089" s="1" t="str">
        <f>IFERROR(__xludf.DUMMYFUNCTION("""COMPUTED_VALUE"""),"Sir")</f>
        <v>Sir</v>
      </c>
      <c r="Q1089" s="1" t="str">
        <f>IFERROR(__xludf.DUMMYFUNCTION("""COMPUTED_VALUE"""),"No")</f>
        <v>No</v>
      </c>
      <c r="R1089" s="1" t="str">
        <f>IFERROR(__xludf.DUMMYFUNCTION("""COMPUTED_VALUE"""),"OLD")</f>
        <v>OLD</v>
      </c>
      <c r="S1089" s="1" t="str">
        <f>IFERROR(__xludf.DUMMYFUNCTION("""COMPUTED_VALUE"""),"No")</f>
        <v>No</v>
      </c>
    </row>
    <row r="1090">
      <c r="A1090" s="2">
        <f>IFERROR(__xludf.DUMMYFUNCTION("""COMPUTED_VALUE"""),45724.712713182875)</f>
        <v>45724.71271</v>
      </c>
      <c r="B1090" s="1" t="str">
        <f>IFERROR(__xludf.DUMMYFUNCTION("""COMPUTED_VALUE"""),"Shubhsm jain ")</f>
        <v>Shubhsm jain </v>
      </c>
      <c r="C1090" s="1">
        <f>IFERROR(__xludf.DUMMYFUNCTION("""COMPUTED_VALUE"""),9.65416037E9)</f>
        <v>9654160370</v>
      </c>
      <c r="D1090" s="1">
        <f>IFERROR(__xludf.DUMMYFUNCTION("""COMPUTED_VALUE"""),2.0)</f>
        <v>2</v>
      </c>
      <c r="E1090" s="3">
        <f>IFERROR(__xludf.DUMMYFUNCTION("""COMPUTED_VALUE"""),0.5833333333357587)</f>
        <v>0.5833333333</v>
      </c>
      <c r="F1090" s="1" t="str">
        <f>IFERROR(__xludf.DUMMYFUNCTION("""COMPUTED_VALUE"""),"Antique Gold")</f>
        <v>Antique Gold</v>
      </c>
      <c r="G1090" s="1" t="str">
        <f>IFERROR(__xludf.DUMMYFUNCTION("""COMPUTED_VALUE"""),"Sapna")</f>
        <v>Sapna</v>
      </c>
      <c r="H1090" s="1" t="str">
        <f>IFERROR(__xludf.DUMMYFUNCTION("""COMPUTED_VALUE"""),"Gold tops,gold chain")</f>
        <v>Gold tops,gold chain</v>
      </c>
      <c r="I1090" s="1"/>
      <c r="J1090" s="1"/>
      <c r="K1090" s="3">
        <f>IFERROR(__xludf.DUMMYFUNCTION("""COMPUTED_VALUE"""),0.679861111115315)</f>
        <v>0.6798611111</v>
      </c>
      <c r="L1090" s="1" t="str">
        <f>IFERROR(__xludf.DUMMYFUNCTION("""COMPUTED_VALUE"""),"Yes")</f>
        <v>Yes</v>
      </c>
      <c r="M1090" s="1" t="str">
        <f>IFERROR(__xludf.DUMMYFUNCTION("""COMPUTED_VALUE"""),"Already done ")</f>
        <v>Already done </v>
      </c>
      <c r="N1090" s="1" t="str">
        <f>IFERROR(__xludf.DUMMYFUNCTION("""COMPUTED_VALUE"""),"Already done ")</f>
        <v>Already done </v>
      </c>
      <c r="O1090" s="1" t="str">
        <f>IFERROR(__xludf.DUMMYFUNCTION("""COMPUTED_VALUE"""),"WA ONLY, CALL")</f>
        <v>WA ONLY, CALL</v>
      </c>
      <c r="P1090" s="1" t="str">
        <f>IFERROR(__xludf.DUMMYFUNCTION("""COMPUTED_VALUE"""),"Sir")</f>
        <v>Sir</v>
      </c>
      <c r="Q1090" s="1" t="str">
        <f>IFERROR(__xludf.DUMMYFUNCTION("""COMPUTED_VALUE"""),"No")</f>
        <v>No</v>
      </c>
      <c r="R1090" s="1" t="str">
        <f>IFERROR(__xludf.DUMMYFUNCTION("""COMPUTED_VALUE"""),"OLD")</f>
        <v>OLD</v>
      </c>
      <c r="S1090" s="1" t="str">
        <f>IFERROR(__xludf.DUMMYFUNCTION("""COMPUTED_VALUE"""),"Yes")</f>
        <v>Yes</v>
      </c>
    </row>
    <row r="1091">
      <c r="A1091" s="2">
        <f>IFERROR(__xludf.DUMMYFUNCTION("""COMPUTED_VALUE"""),45727.76238324074)</f>
        <v>45727.76238</v>
      </c>
      <c r="B1091" s="1" t="str">
        <f>IFERROR(__xludf.DUMMYFUNCTION("""COMPUTED_VALUE"""),"Sonali")</f>
        <v>Sonali</v>
      </c>
      <c r="C1091" s="1">
        <f>IFERROR(__xludf.DUMMYFUNCTION("""COMPUTED_VALUE"""),9.310337017E9)</f>
        <v>9310337017</v>
      </c>
      <c r="D1091" s="1">
        <f>IFERROR(__xludf.DUMMYFUNCTION("""COMPUTED_VALUE"""),2.0)</f>
        <v>2</v>
      </c>
      <c r="E1091" s="3">
        <f>IFERROR(__xludf.DUMMYFUNCTION("""COMPUTED_VALUE"""),0.7083333333357587)</f>
        <v>0.7083333333</v>
      </c>
      <c r="F1091" s="1" t="str">
        <f>IFERROR(__xludf.DUMMYFUNCTION("""COMPUTED_VALUE"""),"Plain Gold")</f>
        <v>Plain Gold</v>
      </c>
      <c r="G1091" s="1" t="str">
        <f>IFERROR(__xludf.DUMMYFUNCTION("""COMPUTED_VALUE"""),"Sapna")</f>
        <v>Sapna</v>
      </c>
      <c r="H1091" s="1" t="str">
        <f>IFERROR(__xludf.DUMMYFUNCTION("""COMPUTED_VALUE"""),"Daimond tops")</f>
        <v>Daimond tops</v>
      </c>
      <c r="I1091" s="1"/>
      <c r="J1091" s="1"/>
      <c r="K1091" s="3">
        <f>IFERROR(__xludf.DUMMYFUNCTION("""COMPUTED_VALUE"""),0.7604166666642413)</f>
        <v>0.7604166667</v>
      </c>
      <c r="L1091" s="1" t="str">
        <f>IFERROR(__xludf.DUMMYFUNCTION("""COMPUTED_VALUE"""),"Yes")</f>
        <v>Yes</v>
      </c>
      <c r="M1091" s="1" t="str">
        <f>IFERROR(__xludf.DUMMYFUNCTION("""COMPUTED_VALUE"""),"Yes")</f>
        <v>Yes</v>
      </c>
      <c r="N1091" s="1" t="str">
        <f>IFERROR(__xludf.DUMMYFUNCTION("""COMPUTED_VALUE"""),"Yes")</f>
        <v>Yes</v>
      </c>
      <c r="O1091" s="1" t="str">
        <f>IFERROR(__xludf.DUMMYFUNCTION("""COMPUTED_VALUE"""),"WA ONLY, CALL")</f>
        <v>WA ONLY, CALL</v>
      </c>
      <c r="P1091" s="1" t="str">
        <f>IFERROR(__xludf.DUMMYFUNCTION("""COMPUTED_VALUE"""),"Madam")</f>
        <v>Madam</v>
      </c>
      <c r="Q1091" s="1" t="str">
        <f>IFERROR(__xludf.DUMMYFUNCTION("""COMPUTED_VALUE"""),"No")</f>
        <v>No</v>
      </c>
      <c r="R1091" s="1"/>
      <c r="S1091" s="1" t="str">
        <f>IFERROR(__xludf.DUMMYFUNCTION("""COMPUTED_VALUE"""),"Yes")</f>
        <v>Yes</v>
      </c>
    </row>
    <row r="1092">
      <c r="A1092" s="2">
        <f>IFERROR(__xludf.DUMMYFUNCTION("""COMPUTED_VALUE"""),45727.80605672454)</f>
        <v>45727.80606</v>
      </c>
      <c r="B1092" s="1" t="str">
        <f>IFERROR(__xludf.DUMMYFUNCTION("""COMPUTED_VALUE"""),"Virendra")</f>
        <v>Virendra</v>
      </c>
      <c r="C1092" s="1">
        <f>IFERROR(__xludf.DUMMYFUNCTION("""COMPUTED_VALUE"""),9.818720209E9)</f>
        <v>9818720209</v>
      </c>
      <c r="D1092" s="1">
        <f>IFERROR(__xludf.DUMMYFUNCTION("""COMPUTED_VALUE"""),1.0)</f>
        <v>1</v>
      </c>
      <c r="E1092" s="3">
        <f>IFERROR(__xludf.DUMMYFUNCTION("""COMPUTED_VALUE"""),0.8013888888890506)</f>
        <v>0.8013888889</v>
      </c>
      <c r="F1092" s="1" t="str">
        <f>IFERROR(__xludf.DUMMYFUNCTION("""COMPUTED_VALUE"""),"Diamond")</f>
        <v>Diamond</v>
      </c>
      <c r="G1092" s="1" t="str">
        <f>IFERROR(__xludf.DUMMYFUNCTION("""COMPUTED_VALUE"""),"Preeti")</f>
        <v>Preeti</v>
      </c>
      <c r="H1092" s="1" t="str">
        <f>IFERROR(__xludf.DUMMYFUNCTION("""COMPUTED_VALUE"""),"Solitaire daimond ")</f>
        <v>Solitaire daimond </v>
      </c>
      <c r="I1092" s="1" t="str">
        <f>IFERROR(__xludf.DUMMYFUNCTION("""COMPUTED_VALUE"""),"Want to see More Variety")</f>
        <v>Want to see More Variety</v>
      </c>
      <c r="J1092" s="1"/>
      <c r="K1092" s="3">
        <f>IFERROR(__xludf.DUMMYFUNCTION("""COMPUTED_VALUE"""),0.8034722222218988)</f>
        <v>0.8034722222</v>
      </c>
      <c r="L1092" s="1" t="str">
        <f>IFERROR(__xludf.DUMMYFUNCTION("""COMPUTED_VALUE"""),"No")</f>
        <v>No</v>
      </c>
      <c r="M1092" s="1" t="str">
        <f>IFERROR(__xludf.DUMMYFUNCTION("""COMPUTED_VALUE"""),"No")</f>
        <v>No</v>
      </c>
      <c r="N1092" s="1" t="str">
        <f>IFERROR(__xludf.DUMMYFUNCTION("""COMPUTED_VALUE"""),"No")</f>
        <v>No</v>
      </c>
      <c r="O1092" s="1" t="str">
        <f>IFERROR(__xludf.DUMMYFUNCTION("""COMPUTED_VALUE"""),"WA ONLY, CALL")</f>
        <v>WA ONLY, CALL</v>
      </c>
      <c r="P1092" s="1" t="str">
        <f>IFERROR(__xludf.DUMMYFUNCTION("""COMPUTED_VALUE"""),"Sir")</f>
        <v>Sir</v>
      </c>
      <c r="Q1092" s="1" t="str">
        <f>IFERROR(__xludf.DUMMYFUNCTION("""COMPUTED_VALUE"""),"No")</f>
        <v>No</v>
      </c>
      <c r="R1092" s="1" t="str">
        <f>IFERROR(__xludf.DUMMYFUNCTION("""COMPUTED_VALUE"""),"NEW WALK IN")</f>
        <v>NEW WALK IN</v>
      </c>
      <c r="S1092" s="1" t="str">
        <f>IFERROR(__xludf.DUMMYFUNCTION("""COMPUTED_VALUE"""),"No")</f>
        <v>No</v>
      </c>
    </row>
    <row r="1093">
      <c r="A1093" s="2">
        <f>IFERROR(__xludf.DUMMYFUNCTION("""COMPUTED_VALUE"""),45728.78085097222)</f>
        <v>45728.78085</v>
      </c>
      <c r="B1093" s="1" t="str">
        <f>IFERROR(__xludf.DUMMYFUNCTION("""COMPUTED_VALUE"""),"Dr.saloni")</f>
        <v>Dr.saloni</v>
      </c>
      <c r="C1093" s="1">
        <f>IFERROR(__xludf.DUMMYFUNCTION("""COMPUTED_VALUE"""),8.368114066E9)</f>
        <v>8368114066</v>
      </c>
      <c r="D1093" s="1">
        <f>IFERROR(__xludf.DUMMYFUNCTION("""COMPUTED_VALUE"""),3.0)</f>
        <v>3</v>
      </c>
      <c r="E1093" s="3">
        <f>IFERROR(__xludf.DUMMYFUNCTION("""COMPUTED_VALUE"""),0.7687500000029104)</f>
        <v>0.76875</v>
      </c>
      <c r="F1093" s="1" t="str">
        <f>IFERROR(__xludf.DUMMYFUNCTION("""COMPUTED_VALUE"""),"Diamond")</f>
        <v>Diamond</v>
      </c>
      <c r="G1093" s="1" t="str">
        <f>IFERROR(__xludf.DUMMYFUNCTION("""COMPUTED_VALUE"""),"Preeti")</f>
        <v>Preeti</v>
      </c>
      <c r="H1093" s="1" t="str">
        <f>IFERROR(__xludf.DUMMYFUNCTION("""COMPUTED_VALUE"""),"Daimond rings")</f>
        <v>Daimond rings</v>
      </c>
      <c r="I1093" s="1" t="str">
        <f>IFERROR(__xludf.DUMMYFUNCTION("""COMPUTED_VALUE"""),"Customer like rings but explore the shops and visit again ")</f>
        <v>Customer like rings but explore the shops and visit again </v>
      </c>
      <c r="J1093" s="1"/>
      <c r="K1093" s="3">
        <f>IFERROR(__xludf.DUMMYFUNCTION("""COMPUTED_VALUE"""),0.7756944444408873)</f>
        <v>0.7756944444</v>
      </c>
      <c r="L1093" s="1" t="str">
        <f>IFERROR(__xludf.DUMMYFUNCTION("""COMPUTED_VALUE"""),"No")</f>
        <v>No</v>
      </c>
      <c r="M1093" s="1" t="str">
        <f>IFERROR(__xludf.DUMMYFUNCTION("""COMPUTED_VALUE"""),"No")</f>
        <v>No</v>
      </c>
      <c r="N1093" s="1" t="str">
        <f>IFERROR(__xludf.DUMMYFUNCTION("""COMPUTED_VALUE"""),"No")</f>
        <v>No</v>
      </c>
      <c r="O1093" s="1" t="str">
        <f>IFERROR(__xludf.DUMMYFUNCTION("""COMPUTED_VALUE"""),"WA ONLY, CALL")</f>
        <v>WA ONLY, CALL</v>
      </c>
      <c r="P1093" s="1" t="str">
        <f>IFERROR(__xludf.DUMMYFUNCTION("""COMPUTED_VALUE"""),"Madam")</f>
        <v>Madam</v>
      </c>
      <c r="Q1093" s="1" t="str">
        <f>IFERROR(__xludf.DUMMYFUNCTION("""COMPUTED_VALUE"""),"No")</f>
        <v>No</v>
      </c>
      <c r="R1093" s="1" t="str">
        <f>IFERROR(__xludf.DUMMYFUNCTION("""COMPUTED_VALUE"""),"NEW WALK IN")</f>
        <v>NEW WALK IN</v>
      </c>
      <c r="S1093" s="1" t="str">
        <f>IFERROR(__xludf.DUMMYFUNCTION("""COMPUTED_VALUE"""),"No")</f>
        <v>No</v>
      </c>
    </row>
    <row r="1094">
      <c r="A1094" s="2">
        <f>IFERROR(__xludf.DUMMYFUNCTION("""COMPUTED_VALUE"""),45734.669950428244)</f>
        <v>45734.66995</v>
      </c>
      <c r="B1094" s="1" t="str">
        <f>IFERROR(__xludf.DUMMYFUNCTION("""COMPUTED_VALUE"""),"Sheetal agarwal ")</f>
        <v>Sheetal agarwal </v>
      </c>
      <c r="C1094" s="1">
        <f>IFERROR(__xludf.DUMMYFUNCTION("""COMPUTED_VALUE"""),9.999887268E9)</f>
        <v>9999887268</v>
      </c>
      <c r="D1094" s="1">
        <f>IFERROR(__xludf.DUMMYFUNCTION("""COMPUTED_VALUE"""),3.0)</f>
        <v>3</v>
      </c>
      <c r="E1094" s="3">
        <f>IFERROR(__xludf.DUMMYFUNCTION("""COMPUTED_VALUE"""),0.5277777777810115)</f>
        <v>0.5277777778</v>
      </c>
      <c r="F1094" s="1" t="str">
        <f>IFERROR(__xludf.DUMMYFUNCTION("""COMPUTED_VALUE"""),"Diamond")</f>
        <v>Diamond</v>
      </c>
      <c r="G1094" s="1" t="str">
        <f>IFERROR(__xludf.DUMMYFUNCTION("""COMPUTED_VALUE"""),"Preeti")</f>
        <v>Preeti</v>
      </c>
      <c r="H1094" s="1"/>
      <c r="I1094" s="1" t="str">
        <f>IFERROR(__xludf.DUMMYFUNCTION("""COMPUTED_VALUE"""),"Pick up Order")</f>
        <v>Pick up Order</v>
      </c>
      <c r="J1094" s="1"/>
      <c r="K1094" s="3">
        <f>IFERROR(__xludf.DUMMYFUNCTION("""COMPUTED_VALUE"""),0.6180555555547471)</f>
        <v>0.6180555556</v>
      </c>
      <c r="L1094" s="1" t="str">
        <f>IFERROR(__xludf.DUMMYFUNCTION("""COMPUTED_VALUE"""),"Yes")</f>
        <v>Yes</v>
      </c>
      <c r="M1094" s="1" t="str">
        <f>IFERROR(__xludf.DUMMYFUNCTION("""COMPUTED_VALUE"""),"Already done ")</f>
        <v>Already done </v>
      </c>
      <c r="N1094" s="1" t="str">
        <f>IFERROR(__xludf.DUMMYFUNCTION("""COMPUTED_VALUE"""),"Already done ")</f>
        <v>Already done </v>
      </c>
      <c r="O1094" s="1" t="str">
        <f>IFERROR(__xludf.DUMMYFUNCTION("""COMPUTED_VALUE"""),"WA ONLY, CALL")</f>
        <v>WA ONLY, CALL</v>
      </c>
      <c r="P1094" s="1" t="str">
        <f>IFERROR(__xludf.DUMMYFUNCTION("""COMPUTED_VALUE"""),"Madam")</f>
        <v>Madam</v>
      </c>
      <c r="Q1094" s="1" t="str">
        <f>IFERROR(__xludf.DUMMYFUNCTION("""COMPUTED_VALUE"""),"No")</f>
        <v>No</v>
      </c>
      <c r="R1094" s="1" t="str">
        <f>IFERROR(__xludf.DUMMYFUNCTION("""COMPUTED_VALUE"""),"OLD")</f>
        <v>OLD</v>
      </c>
      <c r="S1094" s="1" t="str">
        <f>IFERROR(__xludf.DUMMYFUNCTION("""COMPUTED_VALUE"""),"No")</f>
        <v>No</v>
      </c>
    </row>
    <row r="1095">
      <c r="A1095" s="2">
        <f>IFERROR(__xludf.DUMMYFUNCTION("""COMPUTED_VALUE"""),45734.67102349537)</f>
        <v>45734.67102</v>
      </c>
      <c r="B1095" s="1" t="str">
        <f>IFERROR(__xludf.DUMMYFUNCTION("""COMPUTED_VALUE"""),"Nitesh")</f>
        <v>Nitesh</v>
      </c>
      <c r="C1095" s="1">
        <f>IFERROR(__xludf.DUMMYFUNCTION("""COMPUTED_VALUE"""),9.654951709E9)</f>
        <v>9654951709</v>
      </c>
      <c r="D1095" s="1">
        <f>IFERROR(__xludf.DUMMYFUNCTION("""COMPUTED_VALUE"""),1.0)</f>
        <v>1</v>
      </c>
      <c r="E1095" s="3">
        <f>IFERROR(__xludf.DUMMYFUNCTION("""COMPUTED_VALUE"""),0.5500000000029104)</f>
        <v>0.55</v>
      </c>
      <c r="F1095" s="1" t="str">
        <f>IFERROR(__xludf.DUMMYFUNCTION("""COMPUTED_VALUE"""),"Plain Gold")</f>
        <v>Plain Gold</v>
      </c>
      <c r="G1095" s="1" t="str">
        <f>IFERROR(__xludf.DUMMYFUNCTION("""COMPUTED_VALUE"""),"Sapna")</f>
        <v>Sapna</v>
      </c>
      <c r="H1095" s="1" t="str">
        <f>IFERROR(__xludf.DUMMYFUNCTION("""COMPUTED_VALUE"""),"Gold pendent ")</f>
        <v>Gold pendent </v>
      </c>
      <c r="I1095" s="1" t="str">
        <f>IFERROR(__xludf.DUMMYFUNCTION("""COMPUTED_VALUE"""),"Want to see More Variety")</f>
        <v>Want to see More Variety</v>
      </c>
      <c r="J1095" s="1"/>
      <c r="K1095" s="3">
        <f>IFERROR(__xludf.DUMMYFUNCTION("""COMPUTED_VALUE"""),0.554861111115315)</f>
        <v>0.5548611111</v>
      </c>
      <c r="L1095" s="1" t="str">
        <f>IFERROR(__xludf.DUMMYFUNCTION("""COMPUTED_VALUE"""),"No")</f>
        <v>No</v>
      </c>
      <c r="M1095" s="1" t="str">
        <f>IFERROR(__xludf.DUMMYFUNCTION("""COMPUTED_VALUE"""),"No")</f>
        <v>No</v>
      </c>
      <c r="N1095" s="1" t="str">
        <f>IFERROR(__xludf.DUMMYFUNCTION("""COMPUTED_VALUE"""),"No")</f>
        <v>No</v>
      </c>
      <c r="O1095" s="1" t="str">
        <f>IFERROR(__xludf.DUMMYFUNCTION("""COMPUTED_VALUE"""),"WA ONLY, CALL")</f>
        <v>WA ONLY, CALL</v>
      </c>
      <c r="P1095" s="1" t="str">
        <f>IFERROR(__xludf.DUMMYFUNCTION("""COMPUTED_VALUE"""),"Sir")</f>
        <v>Sir</v>
      </c>
      <c r="Q1095" s="1" t="str">
        <f>IFERROR(__xludf.DUMMYFUNCTION("""COMPUTED_VALUE"""),"No")</f>
        <v>No</v>
      </c>
      <c r="R1095" s="1" t="str">
        <f>IFERROR(__xludf.DUMMYFUNCTION("""COMPUTED_VALUE"""),"NEW WALK IN")</f>
        <v>NEW WALK IN</v>
      </c>
      <c r="S1095" s="1" t="str">
        <f>IFERROR(__xludf.DUMMYFUNCTION("""COMPUTED_VALUE"""),"No")</f>
        <v>No</v>
      </c>
    </row>
    <row r="1096">
      <c r="A1096" s="2">
        <f>IFERROR(__xludf.DUMMYFUNCTION("""COMPUTED_VALUE"""),45735.77972170139)</f>
        <v>45735.77972</v>
      </c>
      <c r="B1096" s="1" t="str">
        <f>IFERROR(__xludf.DUMMYFUNCTION("""COMPUTED_VALUE"""),"Shikha aggarwal ")</f>
        <v>Shikha aggarwal </v>
      </c>
      <c r="C1096" s="1">
        <f>IFERROR(__xludf.DUMMYFUNCTION("""COMPUTED_VALUE"""),9.4784954E9)</f>
        <v>9478495400</v>
      </c>
      <c r="D1096" s="1">
        <f>IFERROR(__xludf.DUMMYFUNCTION("""COMPUTED_VALUE"""),3.0)</f>
        <v>3</v>
      </c>
      <c r="E1096" s="3">
        <f>IFERROR(__xludf.DUMMYFUNCTION("""COMPUTED_VALUE"""),0.5625)</f>
        <v>0.5625</v>
      </c>
      <c r="F1096" s="1" t="str">
        <f>IFERROR(__xludf.DUMMYFUNCTION("""COMPUTED_VALUE"""),"Antique Gold")</f>
        <v>Antique Gold</v>
      </c>
      <c r="G1096" s="1" t="str">
        <f>IFERROR(__xludf.DUMMYFUNCTION("""COMPUTED_VALUE"""),"Suman")</f>
        <v>Suman</v>
      </c>
      <c r="H1096" s="1" t="str">
        <f>IFERROR(__xludf.DUMMYFUNCTION("""COMPUTED_VALUE"""),"Gold antique pendent set")</f>
        <v>Gold antique pendent set</v>
      </c>
      <c r="I1096" s="1"/>
      <c r="J1096" s="1"/>
      <c r="K1096" s="3">
        <f>IFERROR(__xludf.DUMMYFUNCTION("""COMPUTED_VALUE"""),0.75)</f>
        <v>0.75</v>
      </c>
      <c r="L1096" s="1" t="str">
        <f>IFERROR(__xludf.DUMMYFUNCTION("""COMPUTED_VALUE"""),"Yes")</f>
        <v>Yes</v>
      </c>
      <c r="M1096" s="1" t="str">
        <f>IFERROR(__xludf.DUMMYFUNCTION("""COMPUTED_VALUE"""),"Already done ")</f>
        <v>Already done </v>
      </c>
      <c r="N1096" s="1" t="str">
        <f>IFERROR(__xludf.DUMMYFUNCTION("""COMPUTED_VALUE"""),"Already done ")</f>
        <v>Already done </v>
      </c>
      <c r="O1096" s="1" t="str">
        <f>IFERROR(__xludf.DUMMYFUNCTION("""COMPUTED_VALUE"""),"WA ONLY, CALL")</f>
        <v>WA ONLY, CALL</v>
      </c>
      <c r="P1096" s="1" t="str">
        <f>IFERROR(__xludf.DUMMYFUNCTION("""COMPUTED_VALUE"""),"Madam")</f>
        <v>Madam</v>
      </c>
      <c r="Q1096" s="1" t="str">
        <f>IFERROR(__xludf.DUMMYFUNCTION("""COMPUTED_VALUE"""),"No")</f>
        <v>No</v>
      </c>
      <c r="R1096" s="1" t="str">
        <f>IFERROR(__xludf.DUMMYFUNCTION("""COMPUTED_VALUE"""),"OLD")</f>
        <v>OLD</v>
      </c>
      <c r="S1096" s="1" t="str">
        <f>IFERROR(__xludf.DUMMYFUNCTION("""COMPUTED_VALUE"""),"Yes")</f>
        <v>Yes</v>
      </c>
    </row>
    <row r="1097">
      <c r="A1097" s="2">
        <f>IFERROR(__xludf.DUMMYFUNCTION("""COMPUTED_VALUE"""),45735.78045988426)</f>
        <v>45735.78046</v>
      </c>
      <c r="B1097" s="1" t="str">
        <f>IFERROR(__xludf.DUMMYFUNCTION("""COMPUTED_VALUE"""),"Deepak gupta")</f>
        <v>Deepak gupta</v>
      </c>
      <c r="C1097" s="1">
        <f>IFERROR(__xludf.DUMMYFUNCTION("""COMPUTED_VALUE"""),9.910488907E9)</f>
        <v>9910488907</v>
      </c>
      <c r="D1097" s="1">
        <f>IFERROR(__xludf.DUMMYFUNCTION("""COMPUTED_VALUE"""),1.0)</f>
        <v>1</v>
      </c>
      <c r="E1097" s="3">
        <f>IFERROR(__xludf.DUMMYFUNCTION("""COMPUTED_VALUE"""),0.5763888888905058)</f>
        <v>0.5763888889</v>
      </c>
      <c r="F1097" s="1" t="str">
        <f>IFERROR(__xludf.DUMMYFUNCTION("""COMPUTED_VALUE"""),"Plain Gold")</f>
        <v>Plain Gold</v>
      </c>
      <c r="G1097" s="1" t="str">
        <f>IFERROR(__xludf.DUMMYFUNCTION("""COMPUTED_VALUE"""),"Sapna")</f>
        <v>Sapna</v>
      </c>
      <c r="H1097" s="1" t="str">
        <f>IFERROR(__xludf.DUMMYFUNCTION("""COMPUTED_VALUE"""),"20gm.MMTc coin")</f>
        <v>20gm.MMTc coin</v>
      </c>
      <c r="I1097" s="1"/>
      <c r="J1097" s="1"/>
      <c r="K1097" s="3">
        <f>IFERROR(__xludf.DUMMYFUNCTION("""COMPUTED_VALUE"""),0.6111111111094942)</f>
        <v>0.6111111111</v>
      </c>
      <c r="L1097" s="1" t="str">
        <f>IFERROR(__xludf.DUMMYFUNCTION("""COMPUTED_VALUE"""),"Yes")</f>
        <v>Yes</v>
      </c>
      <c r="M1097" s="1" t="str">
        <f>IFERROR(__xludf.DUMMYFUNCTION("""COMPUTED_VALUE"""),"Yes ")</f>
        <v>Yes </v>
      </c>
      <c r="N1097" s="1" t="str">
        <f>IFERROR(__xludf.DUMMYFUNCTION("""COMPUTED_VALUE"""),"Yes")</f>
        <v>Yes</v>
      </c>
      <c r="O1097" s="1" t="str">
        <f>IFERROR(__xludf.DUMMYFUNCTION("""COMPUTED_VALUE"""),"WA ONLY, CALL")</f>
        <v>WA ONLY, CALL</v>
      </c>
      <c r="P1097" s="1" t="str">
        <f>IFERROR(__xludf.DUMMYFUNCTION("""COMPUTED_VALUE"""),"Sir")</f>
        <v>Sir</v>
      </c>
      <c r="Q1097" s="1" t="str">
        <f>IFERROR(__xludf.DUMMYFUNCTION("""COMPUTED_VALUE"""),"No")</f>
        <v>No</v>
      </c>
      <c r="R1097" s="1" t="str">
        <f>IFERROR(__xludf.DUMMYFUNCTION("""COMPUTED_VALUE"""),"NEW WALK IN")</f>
        <v>NEW WALK IN</v>
      </c>
      <c r="S1097" s="1" t="str">
        <f>IFERROR(__xludf.DUMMYFUNCTION("""COMPUTED_VALUE"""),"Yes")</f>
        <v>Yes</v>
      </c>
    </row>
    <row r="1098">
      <c r="A1098" s="2">
        <f>IFERROR(__xludf.DUMMYFUNCTION("""COMPUTED_VALUE"""),45736.77540993056)</f>
        <v>45736.77541</v>
      </c>
      <c r="B1098" s="1" t="str">
        <f>IFERROR(__xludf.DUMMYFUNCTION("""COMPUTED_VALUE"""),"Neha khandelwal")</f>
        <v>Neha khandelwal</v>
      </c>
      <c r="C1098" s="1">
        <f>IFERROR(__xludf.DUMMYFUNCTION("""COMPUTED_VALUE"""),9.953318887E9)</f>
        <v>9953318887</v>
      </c>
      <c r="D1098" s="1">
        <f>IFERROR(__xludf.DUMMYFUNCTION("""COMPUTED_VALUE"""),2.0)</f>
        <v>2</v>
      </c>
      <c r="E1098" s="3">
        <f>IFERROR(__xludf.DUMMYFUNCTION("""COMPUTED_VALUE"""),0.7451388888875954)</f>
        <v>0.7451388889</v>
      </c>
      <c r="F1098" s="1" t="str">
        <f>IFERROR(__xludf.DUMMYFUNCTION("""COMPUTED_VALUE"""),"Antique Gold")</f>
        <v>Antique Gold</v>
      </c>
      <c r="G1098" s="1" t="str">
        <f>IFERROR(__xludf.DUMMYFUNCTION("""COMPUTED_VALUE"""),"Suman")</f>
        <v>Suman</v>
      </c>
      <c r="H1098" s="1" t="str">
        <f>IFERROR(__xludf.DUMMYFUNCTION("""COMPUTED_VALUE"""),"Antique chokar set")</f>
        <v>Antique chokar set</v>
      </c>
      <c r="I1098" s="1" t="str">
        <f>IFERROR(__xludf.DUMMYFUNCTION("""COMPUTED_VALUE"""),"Will ask family and come with them")</f>
        <v>Will ask family and come with them</v>
      </c>
      <c r="J1098" s="1"/>
      <c r="K1098" s="3">
        <f>IFERROR(__xludf.DUMMYFUNCTION("""COMPUTED_VALUE"""),0.7673611111094942)</f>
        <v>0.7673611111</v>
      </c>
      <c r="L1098" s="1" t="str">
        <f>IFERROR(__xludf.DUMMYFUNCTION("""COMPUTED_VALUE"""),"No")</f>
        <v>No</v>
      </c>
      <c r="M1098" s="1" t="str">
        <f>IFERROR(__xludf.DUMMYFUNCTION("""COMPUTED_VALUE"""),"No")</f>
        <v>No</v>
      </c>
      <c r="N1098" s="1" t="str">
        <f>IFERROR(__xludf.DUMMYFUNCTION("""COMPUTED_VALUE"""),"No")</f>
        <v>No</v>
      </c>
      <c r="O1098" s="1" t="str">
        <f>IFERROR(__xludf.DUMMYFUNCTION("""COMPUTED_VALUE"""),"WA ONLY, CALL")</f>
        <v>WA ONLY, CALL</v>
      </c>
      <c r="P1098" s="1" t="str">
        <f>IFERROR(__xludf.DUMMYFUNCTION("""COMPUTED_VALUE"""),"Madam")</f>
        <v>Madam</v>
      </c>
      <c r="Q1098" s="1" t="str">
        <f>IFERROR(__xludf.DUMMYFUNCTION("""COMPUTED_VALUE"""),"No")</f>
        <v>No</v>
      </c>
      <c r="R1098" s="1" t="str">
        <f>IFERROR(__xludf.DUMMYFUNCTION("""COMPUTED_VALUE"""),"NEW WALK IN")</f>
        <v>NEW WALK IN</v>
      </c>
      <c r="S1098" s="1" t="str">
        <f>IFERROR(__xludf.DUMMYFUNCTION("""COMPUTED_VALUE"""),"No")</f>
        <v>No</v>
      </c>
    </row>
    <row r="1099">
      <c r="A1099" s="2">
        <f>IFERROR(__xludf.DUMMYFUNCTION("""COMPUTED_VALUE"""),45736.77640383102)</f>
        <v>45736.7764</v>
      </c>
      <c r="B1099" s="1" t="str">
        <f>IFERROR(__xludf.DUMMYFUNCTION("""COMPUTED_VALUE"""),"Kusum")</f>
        <v>Kusum</v>
      </c>
      <c r="C1099" s="1">
        <f>IFERROR(__xludf.DUMMYFUNCTION("""COMPUTED_VALUE"""),8.368953488E9)</f>
        <v>8368953488</v>
      </c>
      <c r="D1099" s="1">
        <f>IFERROR(__xludf.DUMMYFUNCTION("""COMPUTED_VALUE"""),1.0)</f>
        <v>1</v>
      </c>
      <c r="E1099" s="3">
        <f>IFERROR(__xludf.DUMMYFUNCTION("""COMPUTED_VALUE"""),0.7291666666642413)</f>
        <v>0.7291666667</v>
      </c>
      <c r="F1099" s="1" t="str">
        <f>IFERROR(__xludf.DUMMYFUNCTION("""COMPUTED_VALUE"""),"Plain Gold")</f>
        <v>Plain Gold</v>
      </c>
      <c r="G1099" s="1" t="str">
        <f>IFERROR(__xludf.DUMMYFUNCTION("""COMPUTED_VALUE"""),"Sapna")</f>
        <v>Sapna</v>
      </c>
      <c r="H1099" s="1" t="str">
        <f>IFERROR(__xludf.DUMMYFUNCTION("""COMPUTED_VALUE"""),"Gold rings")</f>
        <v>Gold rings</v>
      </c>
      <c r="I1099" s="1" t="str">
        <f>IFERROR(__xludf.DUMMYFUNCTION("""COMPUTED_VALUE"""),"Give Payment")</f>
        <v>Give Payment</v>
      </c>
      <c r="J1099" s="1"/>
      <c r="K1099" s="3">
        <f>IFERROR(__xludf.DUMMYFUNCTION("""COMPUTED_VALUE"""),0.7604166666642413)</f>
        <v>0.7604166667</v>
      </c>
      <c r="L1099" s="1" t="str">
        <f>IFERROR(__xludf.DUMMYFUNCTION("""COMPUTED_VALUE"""),"Yes")</f>
        <v>Yes</v>
      </c>
      <c r="M1099" s="1" t="str">
        <f>IFERROR(__xludf.DUMMYFUNCTION("""COMPUTED_VALUE"""),"Already done ")</f>
        <v>Already done </v>
      </c>
      <c r="N1099" s="1" t="str">
        <f>IFERROR(__xludf.DUMMYFUNCTION("""COMPUTED_VALUE"""),"Already done ")</f>
        <v>Already done </v>
      </c>
      <c r="O1099" s="1" t="str">
        <f>IFERROR(__xludf.DUMMYFUNCTION("""COMPUTED_VALUE"""),"WA ONLY, CALL")</f>
        <v>WA ONLY, CALL</v>
      </c>
      <c r="P1099" s="1" t="str">
        <f>IFERROR(__xludf.DUMMYFUNCTION("""COMPUTED_VALUE"""),"Madam")</f>
        <v>Madam</v>
      </c>
      <c r="Q1099" s="1" t="str">
        <f>IFERROR(__xludf.DUMMYFUNCTION("""COMPUTED_VALUE"""),"No")</f>
        <v>No</v>
      </c>
      <c r="R1099" s="1" t="str">
        <f>IFERROR(__xludf.DUMMYFUNCTION("""COMPUTED_VALUE"""),"OLD")</f>
        <v>OLD</v>
      </c>
      <c r="S1099" s="1" t="str">
        <f>IFERROR(__xludf.DUMMYFUNCTION("""COMPUTED_VALUE"""),"No")</f>
        <v>No</v>
      </c>
    </row>
    <row r="1100">
      <c r="A1100" s="2">
        <f>IFERROR(__xludf.DUMMYFUNCTION("""COMPUTED_VALUE"""),45737.767204710646)</f>
        <v>45737.7672</v>
      </c>
      <c r="B1100" s="1" t="str">
        <f>IFERROR(__xludf.DUMMYFUNCTION("""COMPUTED_VALUE"""),"Rachit Khandelwal ")</f>
        <v>Rachit Khandelwal </v>
      </c>
      <c r="C1100" s="1">
        <f>IFERROR(__xludf.DUMMYFUNCTION("""COMPUTED_VALUE"""),9.953063597E9)</f>
        <v>9953063597</v>
      </c>
      <c r="D1100" s="1">
        <f>IFERROR(__xludf.DUMMYFUNCTION("""COMPUTED_VALUE"""),3.0)</f>
        <v>3</v>
      </c>
      <c r="E1100" s="3">
        <f>IFERROR(__xludf.DUMMYFUNCTION("""COMPUTED_VALUE"""),0.6624999999985448)</f>
        <v>0.6625</v>
      </c>
      <c r="F1100" s="1" t="str">
        <f>IFERROR(__xludf.DUMMYFUNCTION("""COMPUTED_VALUE"""),"Antique Gold")</f>
        <v>Antique Gold</v>
      </c>
      <c r="G1100" s="1" t="str">
        <f>IFERROR(__xludf.DUMMYFUNCTION("""COMPUTED_VALUE"""),"Suman")</f>
        <v>Suman</v>
      </c>
      <c r="H1100" s="1" t="str">
        <f>IFERROR(__xludf.DUMMYFUNCTION("""COMPUTED_VALUE"""),"Antique gold set")</f>
        <v>Antique gold set</v>
      </c>
      <c r="I1100" s="1"/>
      <c r="J1100" s="1"/>
      <c r="K1100" s="3">
        <f>IFERROR(__xludf.DUMMYFUNCTION("""COMPUTED_VALUE"""),0.7326388888905058)</f>
        <v>0.7326388889</v>
      </c>
      <c r="L1100" s="1" t="str">
        <f>IFERROR(__xludf.DUMMYFUNCTION("""COMPUTED_VALUE"""),"Yes")</f>
        <v>Yes</v>
      </c>
      <c r="M1100" s="1" t="str">
        <f>IFERROR(__xludf.DUMMYFUNCTION("""COMPUTED_VALUE"""),"Yes")</f>
        <v>Yes</v>
      </c>
      <c r="N1100" s="1" t="str">
        <f>IFERROR(__xludf.DUMMYFUNCTION("""COMPUTED_VALUE"""),"Yes")</f>
        <v>Yes</v>
      </c>
      <c r="O1100" s="1" t="str">
        <f>IFERROR(__xludf.DUMMYFUNCTION("""COMPUTED_VALUE"""),"WA ONLY, CALL")</f>
        <v>WA ONLY, CALL</v>
      </c>
      <c r="P1100" s="1" t="str">
        <f>IFERROR(__xludf.DUMMYFUNCTION("""COMPUTED_VALUE"""),"Sir")</f>
        <v>Sir</v>
      </c>
      <c r="Q1100" s="1" t="str">
        <f>IFERROR(__xludf.DUMMYFUNCTION("""COMPUTED_VALUE"""),"No")</f>
        <v>No</v>
      </c>
      <c r="R1100" s="1" t="str">
        <f>IFERROR(__xludf.DUMMYFUNCTION("""COMPUTED_VALUE"""),"NEW WALK IN")</f>
        <v>NEW WALK IN</v>
      </c>
      <c r="S1100" s="1" t="str">
        <f>IFERROR(__xludf.DUMMYFUNCTION("""COMPUTED_VALUE"""),"Yes")</f>
        <v>Yes</v>
      </c>
    </row>
    <row r="1101">
      <c r="A1101" s="2">
        <f>IFERROR(__xludf.DUMMYFUNCTION("""COMPUTED_VALUE"""),45737.767915613425)</f>
        <v>45737.76792</v>
      </c>
      <c r="B1101" s="1" t="str">
        <f>IFERROR(__xludf.DUMMYFUNCTION("""COMPUTED_VALUE"""),"Yogendra ")</f>
        <v>Yogendra </v>
      </c>
      <c r="C1101" s="1">
        <f>IFERROR(__xludf.DUMMYFUNCTION("""COMPUTED_VALUE"""),7.982756328E9)</f>
        <v>7982756328</v>
      </c>
      <c r="D1101" s="1">
        <f>IFERROR(__xludf.DUMMYFUNCTION("""COMPUTED_VALUE"""),1.0)</f>
        <v>1</v>
      </c>
      <c r="E1101" s="3">
        <f>IFERROR(__xludf.DUMMYFUNCTION("""COMPUTED_VALUE"""),0.71875)</f>
        <v>0.71875</v>
      </c>
      <c r="F1101" s="1" t="str">
        <f>IFERROR(__xludf.DUMMYFUNCTION("""COMPUTED_VALUE"""),"Antique Gold")</f>
        <v>Antique Gold</v>
      </c>
      <c r="G1101" s="1" t="str">
        <f>IFERROR(__xludf.DUMMYFUNCTION("""COMPUTED_VALUE"""),"Suman")</f>
        <v>Suman</v>
      </c>
      <c r="H1101" s="1"/>
      <c r="I1101" s="1" t="str">
        <f>IFERROR(__xludf.DUMMYFUNCTION("""COMPUTED_VALUE"""),"Pick up Order")</f>
        <v>Pick up Order</v>
      </c>
      <c r="J1101" s="1"/>
      <c r="K1101" s="3">
        <f>IFERROR(__xludf.DUMMYFUNCTION("""COMPUTED_VALUE"""),0.7555555555591127)</f>
        <v>0.7555555556</v>
      </c>
      <c r="L1101" s="1" t="str">
        <f>IFERROR(__xludf.DUMMYFUNCTION("""COMPUTED_VALUE"""),"Yes")</f>
        <v>Yes</v>
      </c>
      <c r="M1101" s="1" t="str">
        <f>IFERROR(__xludf.DUMMYFUNCTION("""COMPUTED_VALUE"""),"Already done ")</f>
        <v>Already done </v>
      </c>
      <c r="N1101" s="1" t="str">
        <f>IFERROR(__xludf.DUMMYFUNCTION("""COMPUTED_VALUE"""),"Already done ")</f>
        <v>Already done </v>
      </c>
      <c r="O1101" s="1" t="str">
        <f>IFERROR(__xludf.DUMMYFUNCTION("""COMPUTED_VALUE"""),"WA ONLY, CALL")</f>
        <v>WA ONLY, CALL</v>
      </c>
      <c r="P1101" s="1" t="str">
        <f>IFERROR(__xludf.DUMMYFUNCTION("""COMPUTED_VALUE"""),"Sir")</f>
        <v>Sir</v>
      </c>
      <c r="Q1101" s="1" t="str">
        <f>IFERROR(__xludf.DUMMYFUNCTION("""COMPUTED_VALUE"""),"No")</f>
        <v>No</v>
      </c>
      <c r="R1101" s="1" t="str">
        <f>IFERROR(__xludf.DUMMYFUNCTION("""COMPUTED_VALUE"""),"OLD")</f>
        <v>OLD</v>
      </c>
      <c r="S1101" s="1" t="str">
        <f>IFERROR(__xludf.DUMMYFUNCTION("""COMPUTED_VALUE"""),"No")</f>
        <v>No</v>
      </c>
    </row>
    <row r="1102">
      <c r="A1102" s="2">
        <f>IFERROR(__xludf.DUMMYFUNCTION("""COMPUTED_VALUE"""),45737.77039334491)</f>
        <v>45737.77039</v>
      </c>
      <c r="B1102" s="1" t="str">
        <f>IFERROR(__xludf.DUMMYFUNCTION("""COMPUTED_VALUE"""),"Parnam")</f>
        <v>Parnam</v>
      </c>
      <c r="C1102" s="1">
        <f>IFERROR(__xludf.DUMMYFUNCTION("""COMPUTED_VALUE"""),8.448100127E9)</f>
        <v>8448100127</v>
      </c>
      <c r="D1102" s="1">
        <f>IFERROR(__xludf.DUMMYFUNCTION("""COMPUTED_VALUE"""),1.0)</f>
        <v>1</v>
      </c>
      <c r="E1102" s="3">
        <f>IFERROR(__xludf.DUMMYFUNCTION("""COMPUTED_VALUE"""),0.7361111111094942)</f>
        <v>0.7361111111</v>
      </c>
      <c r="F1102" s="1" t="str">
        <f>IFERROR(__xludf.DUMMYFUNCTION("""COMPUTED_VALUE"""),"Plain Gold")</f>
        <v>Plain Gold</v>
      </c>
      <c r="G1102" s="1" t="str">
        <f>IFERROR(__xludf.DUMMYFUNCTION("""COMPUTED_VALUE"""),"Sapna")</f>
        <v>Sapna</v>
      </c>
      <c r="H1102" s="1" t="str">
        <f>IFERROR(__xludf.DUMMYFUNCTION("""COMPUTED_VALUE"""),"Gold ring")</f>
        <v>Gold ring</v>
      </c>
      <c r="I1102" s="1"/>
      <c r="J1102" s="1"/>
      <c r="K1102" s="3">
        <f>IFERROR(__xludf.DUMMYFUNCTION("""COMPUTED_VALUE"""),0.7847222222189885)</f>
        <v>0.7847222222</v>
      </c>
      <c r="L1102" s="1" t="str">
        <f>IFERROR(__xludf.DUMMYFUNCTION("""COMPUTED_VALUE"""),"Yes")</f>
        <v>Yes</v>
      </c>
      <c r="M1102" s="1" t="str">
        <f>IFERROR(__xludf.DUMMYFUNCTION("""COMPUTED_VALUE"""),"Already done ")</f>
        <v>Already done </v>
      </c>
      <c r="N1102" s="1" t="str">
        <f>IFERROR(__xludf.DUMMYFUNCTION("""COMPUTED_VALUE"""),"Already done ")</f>
        <v>Already done </v>
      </c>
      <c r="O1102" s="1" t="str">
        <f>IFERROR(__xludf.DUMMYFUNCTION("""COMPUTED_VALUE"""),"WA ONLY, CALL")</f>
        <v>WA ONLY, CALL</v>
      </c>
      <c r="P1102" s="1" t="str">
        <f>IFERROR(__xludf.DUMMYFUNCTION("""COMPUTED_VALUE"""),"Sir")</f>
        <v>Sir</v>
      </c>
      <c r="Q1102" s="1" t="str">
        <f>IFERROR(__xludf.DUMMYFUNCTION("""COMPUTED_VALUE"""),"No")</f>
        <v>No</v>
      </c>
      <c r="R1102" s="1" t="str">
        <f>IFERROR(__xludf.DUMMYFUNCTION("""COMPUTED_VALUE"""),"OLD")</f>
        <v>OLD</v>
      </c>
      <c r="S1102" s="1" t="str">
        <f>IFERROR(__xludf.DUMMYFUNCTION("""COMPUTED_VALUE"""),"Yes")</f>
        <v>Yes</v>
      </c>
    </row>
    <row r="1103">
      <c r="A1103" s="2">
        <f>IFERROR(__xludf.DUMMYFUNCTION("""COMPUTED_VALUE"""),45738.79102243055)</f>
        <v>45738.79102</v>
      </c>
      <c r="B1103" s="1" t="str">
        <f>IFERROR(__xludf.DUMMYFUNCTION("""COMPUTED_VALUE"""),"Vikas")</f>
        <v>Vikas</v>
      </c>
      <c r="C1103" s="1">
        <f>IFERROR(__xludf.DUMMYFUNCTION("""COMPUTED_VALUE"""),7.082809197E9)</f>
        <v>7082809197</v>
      </c>
      <c r="D1103" s="1">
        <f>IFERROR(__xludf.DUMMYFUNCTION("""COMPUTED_VALUE"""),1.0)</f>
        <v>1</v>
      </c>
      <c r="E1103" s="3">
        <f>IFERROR(__xludf.DUMMYFUNCTION("""COMPUTED_VALUE"""),0.5305555555532919)</f>
        <v>0.5305555556</v>
      </c>
      <c r="F1103" s="1" t="str">
        <f>IFERROR(__xludf.DUMMYFUNCTION("""COMPUTED_VALUE"""),"Antique Gold")</f>
        <v>Antique Gold</v>
      </c>
      <c r="G1103" s="1" t="str">
        <f>IFERROR(__xludf.DUMMYFUNCTION("""COMPUTED_VALUE"""),"Suman")</f>
        <v>Suman</v>
      </c>
      <c r="H1103" s="1" t="str">
        <f>IFERROR(__xludf.DUMMYFUNCTION("""COMPUTED_VALUE"""),"Silver gents bangles ")</f>
        <v>Silver gents bangles </v>
      </c>
      <c r="I1103" s="1" t="str">
        <f>IFERROR(__xludf.DUMMYFUNCTION("""COMPUTED_VALUE"""),"Want to see More Variety")</f>
        <v>Want to see More Variety</v>
      </c>
      <c r="J1103" s="1"/>
      <c r="K1103" s="3">
        <f>IFERROR(__xludf.DUMMYFUNCTION("""COMPUTED_VALUE"""),0.5486111111094942)</f>
        <v>0.5486111111</v>
      </c>
      <c r="L1103" s="1" t="str">
        <f>IFERROR(__xludf.DUMMYFUNCTION("""COMPUTED_VALUE"""),"No")</f>
        <v>No</v>
      </c>
      <c r="M1103" s="1" t="str">
        <f>IFERROR(__xludf.DUMMYFUNCTION("""COMPUTED_VALUE"""),"No")</f>
        <v>No</v>
      </c>
      <c r="N1103" s="1" t="str">
        <f>IFERROR(__xludf.DUMMYFUNCTION("""COMPUTED_VALUE"""),"No")</f>
        <v>No</v>
      </c>
      <c r="O1103" s="1" t="str">
        <f>IFERROR(__xludf.DUMMYFUNCTION("""COMPUTED_VALUE"""),"WA ONLY, CALL")</f>
        <v>WA ONLY, CALL</v>
      </c>
      <c r="P1103" s="1" t="str">
        <f>IFERROR(__xludf.DUMMYFUNCTION("""COMPUTED_VALUE"""),"Sir")</f>
        <v>Sir</v>
      </c>
      <c r="Q1103" s="1" t="str">
        <f>IFERROR(__xludf.DUMMYFUNCTION("""COMPUTED_VALUE"""),"No")</f>
        <v>No</v>
      </c>
      <c r="R1103" s="1" t="str">
        <f>IFERROR(__xludf.DUMMYFUNCTION("""COMPUTED_VALUE"""),"NEW WALK IN")</f>
        <v>NEW WALK IN</v>
      </c>
      <c r="S1103" s="1" t="str">
        <f>IFERROR(__xludf.DUMMYFUNCTION("""COMPUTED_VALUE"""),"No")</f>
        <v>No</v>
      </c>
    </row>
    <row r="1104">
      <c r="A1104" s="2">
        <f>IFERROR(__xludf.DUMMYFUNCTION("""COMPUTED_VALUE"""),45738.7936327662)</f>
        <v>45738.79363</v>
      </c>
      <c r="B1104" s="1" t="str">
        <f>IFERROR(__xludf.DUMMYFUNCTION("""COMPUTED_VALUE"""),"Anil kumar ")</f>
        <v>Anil kumar </v>
      </c>
      <c r="C1104" s="1">
        <f>IFERROR(__xludf.DUMMYFUNCTION("""COMPUTED_VALUE"""),9.914703643E9)</f>
        <v>9914703643</v>
      </c>
      <c r="D1104" s="1">
        <f>IFERROR(__xludf.DUMMYFUNCTION("""COMPUTED_VALUE"""),4.0)</f>
        <v>4</v>
      </c>
      <c r="E1104" s="3">
        <f>IFERROR(__xludf.DUMMYFUNCTION("""COMPUTED_VALUE"""),0.625)</f>
        <v>0.625</v>
      </c>
      <c r="F1104" s="1" t="str">
        <f>IFERROR(__xludf.DUMMYFUNCTION("""COMPUTED_VALUE"""),"Antique Gold")</f>
        <v>Antique Gold</v>
      </c>
      <c r="G1104" s="1" t="str">
        <f>IFERROR(__xludf.DUMMYFUNCTION("""COMPUTED_VALUE"""),"Suman")</f>
        <v>Suman</v>
      </c>
      <c r="H1104" s="1" t="str">
        <f>IFERROR(__xludf.DUMMYFUNCTION("""COMPUTED_VALUE"""),"Daimond set,Daimond breslet ")</f>
        <v>Daimond set,Daimond breslet </v>
      </c>
      <c r="I1104" s="1"/>
      <c r="J1104" s="1"/>
      <c r="K1104" s="3">
        <f>IFERROR(__xludf.DUMMYFUNCTION("""COMPUTED_VALUE"""),0.7777777777810115)</f>
        <v>0.7777777778</v>
      </c>
      <c r="L1104" s="1" t="str">
        <f>IFERROR(__xludf.DUMMYFUNCTION("""COMPUTED_VALUE"""),"Yes")</f>
        <v>Yes</v>
      </c>
      <c r="M1104" s="1" t="str">
        <f>IFERROR(__xludf.DUMMYFUNCTION("""COMPUTED_VALUE"""),"Already done ")</f>
        <v>Already done </v>
      </c>
      <c r="N1104" s="1" t="str">
        <f>IFERROR(__xludf.DUMMYFUNCTION("""COMPUTED_VALUE"""),"Already done ")</f>
        <v>Already done </v>
      </c>
      <c r="O1104" s="1" t="str">
        <f>IFERROR(__xludf.DUMMYFUNCTION("""COMPUTED_VALUE"""),"WA ONLY, CALL")</f>
        <v>WA ONLY, CALL</v>
      </c>
      <c r="P1104" s="1" t="str">
        <f>IFERROR(__xludf.DUMMYFUNCTION("""COMPUTED_VALUE"""),"Sir")</f>
        <v>Sir</v>
      </c>
      <c r="Q1104" s="1" t="str">
        <f>IFERROR(__xludf.DUMMYFUNCTION("""COMPUTED_VALUE"""),"No")</f>
        <v>No</v>
      </c>
      <c r="R1104" s="1" t="str">
        <f>IFERROR(__xludf.DUMMYFUNCTION("""COMPUTED_VALUE"""),"OLD")</f>
        <v>OLD</v>
      </c>
      <c r="S1104" s="1" t="str">
        <f>IFERROR(__xludf.DUMMYFUNCTION("""COMPUTED_VALUE"""),"Yes")</f>
        <v>Yes</v>
      </c>
    </row>
    <row r="1105">
      <c r="A1105" s="2">
        <f>IFERROR(__xludf.DUMMYFUNCTION("""COMPUTED_VALUE"""),45738.79446402778)</f>
        <v>45738.79446</v>
      </c>
      <c r="B1105" s="1" t="str">
        <f>IFERROR(__xludf.DUMMYFUNCTION("""COMPUTED_VALUE"""),"Arshad")</f>
        <v>Arshad</v>
      </c>
      <c r="C1105" s="1">
        <f>IFERROR(__xludf.DUMMYFUNCTION("""COMPUTED_VALUE"""),9.555343053E9)</f>
        <v>9555343053</v>
      </c>
      <c r="D1105" s="1">
        <f>IFERROR(__xludf.DUMMYFUNCTION("""COMPUTED_VALUE"""),1.0)</f>
        <v>1</v>
      </c>
      <c r="E1105" s="3">
        <f>IFERROR(__xludf.DUMMYFUNCTION("""COMPUTED_VALUE"""),0.7243055555591127)</f>
        <v>0.7243055556</v>
      </c>
      <c r="F1105" s="1" t="str">
        <f>IFERROR(__xludf.DUMMYFUNCTION("""COMPUTED_VALUE"""),"Plain Gold")</f>
        <v>Plain Gold</v>
      </c>
      <c r="G1105" s="1" t="str">
        <f>IFERROR(__xludf.DUMMYFUNCTION("""COMPUTED_VALUE"""),"Sapna")</f>
        <v>Sapna</v>
      </c>
      <c r="H1105" s="1" t="str">
        <f>IFERROR(__xludf.DUMMYFUNCTION("""COMPUTED_VALUE"""),"Daimond pendent ")</f>
        <v>Daimond pendent </v>
      </c>
      <c r="I1105" s="1" t="str">
        <f>IFERROR(__xludf.DUMMYFUNCTION("""COMPUTED_VALUE"""),"Visit Again in 1 Month")</f>
        <v>Visit Again in 1 Month</v>
      </c>
      <c r="J1105" s="1"/>
      <c r="K1105" s="3">
        <f>IFERROR(__xludf.DUMMYFUNCTION("""COMPUTED_VALUE"""),0.7361111111094942)</f>
        <v>0.7361111111</v>
      </c>
      <c r="L1105" s="1" t="str">
        <f>IFERROR(__xludf.DUMMYFUNCTION("""COMPUTED_VALUE"""),"No")</f>
        <v>No</v>
      </c>
      <c r="M1105" s="1" t="str">
        <f>IFERROR(__xludf.DUMMYFUNCTION("""COMPUTED_VALUE"""),"No")</f>
        <v>No</v>
      </c>
      <c r="N1105" s="1" t="str">
        <f>IFERROR(__xludf.DUMMYFUNCTION("""COMPUTED_VALUE"""),"No")</f>
        <v>No</v>
      </c>
      <c r="O1105" s="1" t="str">
        <f>IFERROR(__xludf.DUMMYFUNCTION("""COMPUTED_VALUE"""),"WA ONLY, CALL")</f>
        <v>WA ONLY, CALL</v>
      </c>
      <c r="P1105" s="1" t="str">
        <f>IFERROR(__xludf.DUMMYFUNCTION("""COMPUTED_VALUE"""),"Sir")</f>
        <v>Sir</v>
      </c>
      <c r="Q1105" s="1" t="str">
        <f>IFERROR(__xludf.DUMMYFUNCTION("""COMPUTED_VALUE"""),"No")</f>
        <v>No</v>
      </c>
      <c r="R1105" s="1" t="str">
        <f>IFERROR(__xludf.DUMMYFUNCTION("""COMPUTED_VALUE"""),"NEW WALK IN")</f>
        <v>NEW WALK IN</v>
      </c>
      <c r="S1105" s="1" t="str">
        <f>IFERROR(__xludf.DUMMYFUNCTION("""COMPUTED_VALUE"""),"No")</f>
        <v>No</v>
      </c>
    </row>
    <row r="1106">
      <c r="A1106" s="2">
        <f>IFERROR(__xludf.DUMMYFUNCTION("""COMPUTED_VALUE"""),45738.79650636574)</f>
        <v>45738.79651</v>
      </c>
      <c r="B1106" s="1" t="str">
        <f>IFERROR(__xludf.DUMMYFUNCTION("""COMPUTED_VALUE"""),"Priyanka ")</f>
        <v>Priyanka </v>
      </c>
      <c r="C1106" s="1">
        <f>IFERROR(__xludf.DUMMYFUNCTION("""COMPUTED_VALUE"""),9.871231215E9)</f>
        <v>9871231215</v>
      </c>
      <c r="D1106" s="1">
        <f>IFERROR(__xludf.DUMMYFUNCTION("""COMPUTED_VALUE"""),5.0)</f>
        <v>5</v>
      </c>
      <c r="E1106" s="3">
        <f>IFERROR(__xludf.DUMMYFUNCTION("""COMPUTED_VALUE"""),0.6041666666642413)</f>
        <v>0.6041666667</v>
      </c>
      <c r="F1106" s="1" t="str">
        <f>IFERROR(__xludf.DUMMYFUNCTION("""COMPUTED_VALUE"""),"Diamond")</f>
        <v>Diamond</v>
      </c>
      <c r="G1106" s="1" t="str">
        <f>IFERROR(__xludf.DUMMYFUNCTION("""COMPUTED_VALUE"""),"Preeti")</f>
        <v>Preeti</v>
      </c>
      <c r="H1106" s="1" t="str">
        <f>IFERROR(__xludf.DUMMYFUNCTION("""COMPUTED_VALUE"""),"Polki sets,Daimond breslet,antique matar mala")</f>
        <v>Polki sets,Daimond breslet,antique matar mala</v>
      </c>
      <c r="I1106" s="1"/>
      <c r="J1106" s="1"/>
      <c r="K1106" s="3">
        <f>IFERROR(__xludf.DUMMYFUNCTION("""COMPUTED_VALUE"""),0.7708333333357587)</f>
        <v>0.7708333333</v>
      </c>
      <c r="L1106" s="1" t="str">
        <f>IFERROR(__xludf.DUMMYFUNCTION("""COMPUTED_VALUE"""),"Yes")</f>
        <v>Yes</v>
      </c>
      <c r="M1106" s="1" t="str">
        <f>IFERROR(__xludf.DUMMYFUNCTION("""COMPUTED_VALUE"""),"Already done ")</f>
        <v>Already done </v>
      </c>
      <c r="N1106" s="1" t="str">
        <f>IFERROR(__xludf.DUMMYFUNCTION("""COMPUTED_VALUE"""),"Already done ")</f>
        <v>Already done </v>
      </c>
      <c r="O1106" s="1" t="str">
        <f>IFERROR(__xludf.DUMMYFUNCTION("""COMPUTED_VALUE"""),"WA ONLY, CALL")</f>
        <v>WA ONLY, CALL</v>
      </c>
      <c r="P1106" s="1" t="str">
        <f>IFERROR(__xludf.DUMMYFUNCTION("""COMPUTED_VALUE"""),"Madam")</f>
        <v>Madam</v>
      </c>
      <c r="Q1106" s="1" t="str">
        <f>IFERROR(__xludf.DUMMYFUNCTION("""COMPUTED_VALUE"""),"No")</f>
        <v>No</v>
      </c>
      <c r="R1106" s="1" t="str">
        <f>IFERROR(__xludf.DUMMYFUNCTION("""COMPUTED_VALUE"""),"OLD")</f>
        <v>OLD</v>
      </c>
      <c r="S1106" s="1" t="str">
        <f>IFERROR(__xludf.DUMMYFUNCTION("""COMPUTED_VALUE"""),"Yes")</f>
        <v>Yes</v>
      </c>
    </row>
    <row r="1107">
      <c r="A1107" s="2">
        <f>IFERROR(__xludf.DUMMYFUNCTION("""COMPUTED_VALUE"""),45741.708807476854)</f>
        <v>45741.70881</v>
      </c>
      <c r="B1107" s="1" t="str">
        <f>IFERROR(__xludf.DUMMYFUNCTION("""COMPUTED_VALUE"""),"Shika")</f>
        <v>Shika</v>
      </c>
      <c r="C1107" s="1">
        <f>IFERROR(__xludf.DUMMYFUNCTION("""COMPUTED_VALUE"""),9.4784954E9)</f>
        <v>9478495400</v>
      </c>
      <c r="D1107" s="1">
        <f>IFERROR(__xludf.DUMMYFUNCTION("""COMPUTED_VALUE"""),3.0)</f>
        <v>3</v>
      </c>
      <c r="E1107" s="3">
        <f>IFERROR(__xludf.DUMMYFUNCTION("""COMPUTED_VALUE"""),0.5493055555562023)</f>
        <v>0.5493055556</v>
      </c>
      <c r="F1107" s="1" t="str">
        <f>IFERROR(__xludf.DUMMYFUNCTION("""COMPUTED_VALUE"""),"Diamond")</f>
        <v>Diamond</v>
      </c>
      <c r="G1107" s="1" t="str">
        <f>IFERROR(__xludf.DUMMYFUNCTION("""COMPUTED_VALUE"""),"Suman")</f>
        <v>Suman</v>
      </c>
      <c r="H1107" s="1"/>
      <c r="I1107" s="1" t="str">
        <f>IFERROR(__xludf.DUMMYFUNCTION("""COMPUTED_VALUE"""),"Pick up Order")</f>
        <v>Pick up Order</v>
      </c>
      <c r="J1107" s="1"/>
      <c r="K1107" s="3">
        <f>IFERROR(__xludf.DUMMYFUNCTION("""COMPUTED_VALUE"""),0.6222222222204437)</f>
        <v>0.6222222222</v>
      </c>
      <c r="L1107" s="1" t="str">
        <f>IFERROR(__xludf.DUMMYFUNCTION("""COMPUTED_VALUE"""),"Yes")</f>
        <v>Yes</v>
      </c>
      <c r="M1107" s="1" t="str">
        <f>IFERROR(__xludf.DUMMYFUNCTION("""COMPUTED_VALUE"""),"Already done ")</f>
        <v>Already done </v>
      </c>
      <c r="N1107" s="1" t="str">
        <f>IFERROR(__xludf.DUMMYFUNCTION("""COMPUTED_VALUE"""),"Already done ")</f>
        <v>Already done </v>
      </c>
      <c r="O1107" s="1" t="str">
        <f>IFERROR(__xludf.DUMMYFUNCTION("""COMPUTED_VALUE"""),"WA ONLY, CALL")</f>
        <v>WA ONLY, CALL</v>
      </c>
      <c r="P1107" s="1" t="str">
        <f>IFERROR(__xludf.DUMMYFUNCTION("""COMPUTED_VALUE"""),"Madam")</f>
        <v>Madam</v>
      </c>
      <c r="Q1107" s="1" t="str">
        <f>IFERROR(__xludf.DUMMYFUNCTION("""COMPUTED_VALUE"""),"No")</f>
        <v>No</v>
      </c>
      <c r="R1107" s="1" t="str">
        <f>IFERROR(__xludf.DUMMYFUNCTION("""COMPUTED_VALUE"""),"OLD")</f>
        <v>OLD</v>
      </c>
      <c r="S1107" s="1" t="str">
        <f>IFERROR(__xludf.DUMMYFUNCTION("""COMPUTED_VALUE"""),"No")</f>
        <v>No</v>
      </c>
    </row>
    <row r="1108">
      <c r="A1108" s="2">
        <f>IFERROR(__xludf.DUMMYFUNCTION("""COMPUTED_VALUE"""),45741.709996840276)</f>
        <v>45741.71</v>
      </c>
      <c r="B1108" s="1" t="str">
        <f>IFERROR(__xludf.DUMMYFUNCTION("""COMPUTED_VALUE"""),"Nidhi")</f>
        <v>Nidhi</v>
      </c>
      <c r="C1108" s="1">
        <f>IFERROR(__xludf.DUMMYFUNCTION("""COMPUTED_VALUE"""),9.1105226E8)</f>
        <v>911052260</v>
      </c>
      <c r="D1108" s="1">
        <f>IFERROR(__xludf.DUMMYFUNCTION("""COMPUTED_VALUE"""),1.0)</f>
        <v>1</v>
      </c>
      <c r="E1108" s="3">
        <f>IFERROR(__xludf.DUMMYFUNCTION("""COMPUTED_VALUE"""),0.5381944444452529)</f>
        <v>0.5381944444</v>
      </c>
      <c r="F1108" s="1" t="str">
        <f>IFERROR(__xludf.DUMMYFUNCTION("""COMPUTED_VALUE"""),"Antique Gold")</f>
        <v>Antique Gold</v>
      </c>
      <c r="G1108" s="1" t="str">
        <f>IFERROR(__xludf.DUMMYFUNCTION("""COMPUTED_VALUE"""),"Sapna")</f>
        <v>Sapna</v>
      </c>
      <c r="H1108" s="1" t="str">
        <f>IFERROR(__xludf.DUMMYFUNCTION("""COMPUTED_VALUE"""),"18k rose gold chain")</f>
        <v>18k rose gold chain</v>
      </c>
      <c r="I1108" s="1" t="str">
        <f>IFERROR(__xludf.DUMMYFUNCTION("""COMPUTED_VALUE"""),"Visit Again in 1 Month")</f>
        <v>Visit Again in 1 Month</v>
      </c>
      <c r="J1108" s="1"/>
      <c r="K1108" s="3">
        <f>IFERROR(__xludf.DUMMYFUNCTION("""COMPUTED_VALUE"""),0.5763888888905058)</f>
        <v>0.5763888889</v>
      </c>
      <c r="L1108" s="1" t="str">
        <f>IFERROR(__xludf.DUMMYFUNCTION("""COMPUTED_VALUE"""),"Yes")</f>
        <v>Yes</v>
      </c>
      <c r="M1108" s="1" t="str">
        <f>IFERROR(__xludf.DUMMYFUNCTION("""COMPUTED_VALUE"""),"Already done ")</f>
        <v>Already done </v>
      </c>
      <c r="N1108" s="1" t="str">
        <f>IFERROR(__xludf.DUMMYFUNCTION("""COMPUTED_VALUE"""),"Already done ")</f>
        <v>Already done </v>
      </c>
      <c r="O1108" s="1" t="str">
        <f>IFERROR(__xludf.DUMMYFUNCTION("""COMPUTED_VALUE"""),"WA ONLY, CALL")</f>
        <v>WA ONLY, CALL</v>
      </c>
      <c r="P1108" s="1" t="str">
        <f>IFERROR(__xludf.DUMMYFUNCTION("""COMPUTED_VALUE"""),"Madam")</f>
        <v>Madam</v>
      </c>
      <c r="Q1108" s="1" t="str">
        <f>IFERROR(__xludf.DUMMYFUNCTION("""COMPUTED_VALUE"""),"No")</f>
        <v>No</v>
      </c>
      <c r="R1108" s="1" t="str">
        <f>IFERROR(__xludf.DUMMYFUNCTION("""COMPUTED_VALUE"""),"OLD")</f>
        <v>OLD</v>
      </c>
      <c r="S1108" s="1" t="str">
        <f>IFERROR(__xludf.DUMMYFUNCTION("""COMPUTED_VALUE"""),"No")</f>
        <v>No</v>
      </c>
    </row>
    <row r="1109">
      <c r="A1109" s="2">
        <f>IFERROR(__xludf.DUMMYFUNCTION("""COMPUTED_VALUE"""),45741.767493368054)</f>
        <v>45741.76749</v>
      </c>
      <c r="B1109" s="1" t="str">
        <f>IFERROR(__xludf.DUMMYFUNCTION("""COMPUTED_VALUE"""),"Rajeshwari")</f>
        <v>Rajeshwari</v>
      </c>
      <c r="C1109" s="1">
        <f>IFERROR(__xludf.DUMMYFUNCTION("""COMPUTED_VALUE"""),9.910930162E9)</f>
        <v>9910930162</v>
      </c>
      <c r="D1109" s="1">
        <f>IFERROR(__xludf.DUMMYFUNCTION("""COMPUTED_VALUE"""),2.0)</f>
        <v>2</v>
      </c>
      <c r="E1109" s="3">
        <f>IFERROR(__xludf.DUMMYFUNCTION("""COMPUTED_VALUE"""),0.7083333333357587)</f>
        <v>0.7083333333</v>
      </c>
      <c r="F1109" s="1" t="str">
        <f>IFERROR(__xludf.DUMMYFUNCTION("""COMPUTED_VALUE"""),"Antique Gold")</f>
        <v>Antique Gold</v>
      </c>
      <c r="G1109" s="1" t="str">
        <f>IFERROR(__xludf.DUMMYFUNCTION("""COMPUTED_VALUE"""),"Suman")</f>
        <v>Suman</v>
      </c>
      <c r="H1109" s="1" t="str">
        <f>IFERROR(__xludf.DUMMYFUNCTION("""COMPUTED_VALUE"""),"10 gm mmtc coin")</f>
        <v>10 gm mmtc coin</v>
      </c>
      <c r="I1109" s="1"/>
      <c r="J1109" s="1"/>
      <c r="K1109" s="3">
        <f>IFERROR(__xludf.DUMMYFUNCTION("""COMPUTED_VALUE"""),0.7569444444452529)</f>
        <v>0.7569444444</v>
      </c>
      <c r="L1109" s="1" t="str">
        <f>IFERROR(__xludf.DUMMYFUNCTION("""COMPUTED_VALUE"""),"Yes")</f>
        <v>Yes</v>
      </c>
      <c r="M1109" s="1" t="str">
        <f>IFERROR(__xludf.DUMMYFUNCTION("""COMPUTED_VALUE"""),"Already done ")</f>
        <v>Already done </v>
      </c>
      <c r="N1109" s="1" t="str">
        <f>IFERROR(__xludf.DUMMYFUNCTION("""COMPUTED_VALUE"""),"Already done ")</f>
        <v>Already done </v>
      </c>
      <c r="O1109" s="1" t="str">
        <f>IFERROR(__xludf.DUMMYFUNCTION("""COMPUTED_VALUE"""),"WA ONLY, CALL")</f>
        <v>WA ONLY, CALL</v>
      </c>
      <c r="P1109" s="1" t="str">
        <f>IFERROR(__xludf.DUMMYFUNCTION("""COMPUTED_VALUE"""),"Madam")</f>
        <v>Madam</v>
      </c>
      <c r="Q1109" s="1" t="str">
        <f>IFERROR(__xludf.DUMMYFUNCTION("""COMPUTED_VALUE"""),"No")</f>
        <v>No</v>
      </c>
      <c r="R1109" s="1" t="str">
        <f>IFERROR(__xludf.DUMMYFUNCTION("""COMPUTED_VALUE"""),"OLD")</f>
        <v>OLD</v>
      </c>
      <c r="S1109" s="1" t="str">
        <f>IFERROR(__xludf.DUMMYFUNCTION("""COMPUTED_VALUE"""),"Yes")</f>
        <v>Yes</v>
      </c>
    </row>
    <row r="1110">
      <c r="A1110" s="2">
        <f>IFERROR(__xludf.DUMMYFUNCTION("""COMPUTED_VALUE"""),45741.820247048614)</f>
        <v>45741.82025</v>
      </c>
      <c r="B1110" s="1" t="str">
        <f>IFERROR(__xludf.DUMMYFUNCTION("""COMPUTED_VALUE"""),"Mirnalini")</f>
        <v>Mirnalini</v>
      </c>
      <c r="C1110" s="1">
        <f>IFERROR(__xludf.DUMMYFUNCTION("""COMPUTED_VALUE"""),9.990256379E9)</f>
        <v>9990256379</v>
      </c>
      <c r="D1110" s="1">
        <f>IFERROR(__xludf.DUMMYFUNCTION("""COMPUTED_VALUE"""),1.0)</f>
        <v>1</v>
      </c>
      <c r="E1110" s="3">
        <f>IFERROR(__xludf.DUMMYFUNCTION("""COMPUTED_VALUE"""),0.8041666666686069)</f>
        <v>0.8041666667</v>
      </c>
      <c r="F1110" s="1" t="str">
        <f>IFERROR(__xludf.DUMMYFUNCTION("""COMPUTED_VALUE"""),"Plain Gold")</f>
        <v>Plain Gold</v>
      </c>
      <c r="G1110" s="1" t="str">
        <f>IFERROR(__xludf.DUMMYFUNCTION("""COMPUTED_VALUE"""),"Sapna")</f>
        <v>Sapna</v>
      </c>
      <c r="H1110" s="1" t="str">
        <f>IFERROR(__xludf.DUMMYFUNCTION("""COMPUTED_VALUE"""),"Gents bracelet ")</f>
        <v>Gents bracelet </v>
      </c>
      <c r="I1110" s="1" t="str">
        <f>IFERROR(__xludf.DUMMYFUNCTION("""COMPUTED_VALUE"""),"Making High or Wants Discount")</f>
        <v>Making High or Wants Discount</v>
      </c>
      <c r="J1110" s="1"/>
      <c r="K1110" s="3">
        <f>IFERROR(__xludf.DUMMYFUNCTION("""COMPUTED_VALUE"""),0.8180555555591127)</f>
        <v>0.8180555556</v>
      </c>
      <c r="L1110" s="1" t="str">
        <f>IFERROR(__xludf.DUMMYFUNCTION("""COMPUTED_VALUE"""),"No")</f>
        <v>No</v>
      </c>
      <c r="M1110" s="1" t="str">
        <f>IFERROR(__xludf.DUMMYFUNCTION("""COMPUTED_VALUE"""),"No")</f>
        <v>No</v>
      </c>
      <c r="N1110" s="1" t="str">
        <f>IFERROR(__xludf.DUMMYFUNCTION("""COMPUTED_VALUE"""),"No")</f>
        <v>No</v>
      </c>
      <c r="O1110" s="1" t="str">
        <f>IFERROR(__xludf.DUMMYFUNCTION("""COMPUTED_VALUE"""),"WA ONLY, CALL")</f>
        <v>WA ONLY, CALL</v>
      </c>
      <c r="P1110" s="1" t="str">
        <f>IFERROR(__xludf.DUMMYFUNCTION("""COMPUTED_VALUE"""),"Madam")</f>
        <v>Madam</v>
      </c>
      <c r="Q1110" s="1" t="str">
        <f>IFERROR(__xludf.DUMMYFUNCTION("""COMPUTED_VALUE"""),"No")</f>
        <v>No</v>
      </c>
      <c r="R1110" s="1" t="str">
        <f>IFERROR(__xludf.DUMMYFUNCTION("""COMPUTED_VALUE"""),"NEW WALK IN")</f>
        <v>NEW WALK IN</v>
      </c>
      <c r="S1110" s="1" t="str">
        <f>IFERROR(__xludf.DUMMYFUNCTION("""COMPUTED_VALUE"""),"No")</f>
        <v>No</v>
      </c>
    </row>
    <row r="1111">
      <c r="A1111" s="2">
        <f>IFERROR(__xludf.DUMMYFUNCTION("""COMPUTED_VALUE"""),45742.78520388889)</f>
        <v>45742.7852</v>
      </c>
      <c r="B1111" s="1" t="str">
        <f>IFERROR(__xludf.DUMMYFUNCTION("""COMPUTED_VALUE"""),"Sonam gupta")</f>
        <v>Sonam gupta</v>
      </c>
      <c r="C1111" s="1">
        <f>IFERROR(__xludf.DUMMYFUNCTION("""COMPUTED_VALUE"""),8.375019908E9)</f>
        <v>8375019908</v>
      </c>
      <c r="D1111" s="1">
        <f>IFERROR(__xludf.DUMMYFUNCTION("""COMPUTED_VALUE"""),3.0)</f>
        <v>3</v>
      </c>
      <c r="E1111" s="3">
        <f>IFERROR(__xludf.DUMMYFUNCTION("""COMPUTED_VALUE"""),0.6736111111094942)</f>
        <v>0.6736111111</v>
      </c>
      <c r="F1111" s="1" t="str">
        <f>IFERROR(__xludf.DUMMYFUNCTION("""COMPUTED_VALUE"""),"Diamond")</f>
        <v>Diamond</v>
      </c>
      <c r="G1111" s="1" t="str">
        <f>IFERROR(__xludf.DUMMYFUNCTION("""COMPUTED_VALUE"""),"Preeti")</f>
        <v>Preeti</v>
      </c>
      <c r="H1111" s="1" t="str">
        <f>IFERROR(__xludf.DUMMYFUNCTION("""COMPUTED_VALUE"""),"Stone ring in order ")</f>
        <v>Stone ring in order </v>
      </c>
      <c r="I1111" s="1"/>
      <c r="J1111" s="1"/>
      <c r="K1111" s="3">
        <f>IFERROR(__xludf.DUMMYFUNCTION("""COMPUTED_VALUE"""),0.7513888888934162)</f>
        <v>0.7513888889</v>
      </c>
      <c r="L1111" s="1" t="str">
        <f>IFERROR(__xludf.DUMMYFUNCTION("""COMPUTED_VALUE"""),"Yes")</f>
        <v>Yes</v>
      </c>
      <c r="M1111" s="1" t="str">
        <f>IFERROR(__xludf.DUMMYFUNCTION("""COMPUTED_VALUE"""),"Already done ")</f>
        <v>Already done </v>
      </c>
      <c r="N1111" s="1" t="str">
        <f>IFERROR(__xludf.DUMMYFUNCTION("""COMPUTED_VALUE"""),"Already done ")</f>
        <v>Already done </v>
      </c>
      <c r="O1111" s="1" t="str">
        <f>IFERROR(__xludf.DUMMYFUNCTION("""COMPUTED_VALUE"""),"WA ONLY, CALL")</f>
        <v>WA ONLY, CALL</v>
      </c>
      <c r="P1111" s="1" t="str">
        <f>IFERROR(__xludf.DUMMYFUNCTION("""COMPUTED_VALUE"""),"Madam")</f>
        <v>Madam</v>
      </c>
      <c r="Q1111" s="1" t="str">
        <f>IFERROR(__xludf.DUMMYFUNCTION("""COMPUTED_VALUE"""),"No")</f>
        <v>No</v>
      </c>
      <c r="R1111" s="1" t="str">
        <f>IFERROR(__xludf.DUMMYFUNCTION("""COMPUTED_VALUE"""),"OLD")</f>
        <v>OLD</v>
      </c>
      <c r="S1111" s="1" t="str">
        <f>IFERROR(__xludf.DUMMYFUNCTION("""COMPUTED_VALUE"""),"Yes")</f>
        <v>Yes</v>
      </c>
    </row>
    <row r="1112">
      <c r="A1112" s="2">
        <f>IFERROR(__xludf.DUMMYFUNCTION("""COMPUTED_VALUE"""),45742.78748777778)</f>
        <v>45742.78749</v>
      </c>
      <c r="B1112" s="1" t="str">
        <f>IFERROR(__xludf.DUMMYFUNCTION("""COMPUTED_VALUE"""),"Kapila ")</f>
        <v>Kapila </v>
      </c>
      <c r="C1112" s="1">
        <f>IFERROR(__xludf.DUMMYFUNCTION("""COMPUTED_VALUE"""),9.015802726E9)</f>
        <v>9015802726</v>
      </c>
      <c r="D1112" s="1">
        <f>IFERROR(__xludf.DUMMYFUNCTION("""COMPUTED_VALUE"""),1.0)</f>
        <v>1</v>
      </c>
      <c r="E1112" s="3">
        <f>IFERROR(__xludf.DUMMYFUNCTION("""COMPUTED_VALUE"""),0.6805555555547471)</f>
        <v>0.6805555556</v>
      </c>
      <c r="F1112" s="1" t="str">
        <f>IFERROR(__xludf.DUMMYFUNCTION("""COMPUTED_VALUE"""),"Diamond")</f>
        <v>Diamond</v>
      </c>
      <c r="G1112" s="1" t="str">
        <f>IFERROR(__xludf.DUMMYFUNCTION("""COMPUTED_VALUE"""),"Suman")</f>
        <v>Suman</v>
      </c>
      <c r="H1112" s="1"/>
      <c r="I1112" s="1" t="str">
        <f>IFERROR(__xludf.DUMMYFUNCTION("""COMPUTED_VALUE"""),"Repairing bracelet ")</f>
        <v>Repairing bracelet </v>
      </c>
      <c r="J1112" s="1"/>
      <c r="K1112" s="3">
        <f>IFERROR(__xludf.DUMMYFUNCTION("""COMPUTED_VALUE"""),0.7395833333357587)</f>
        <v>0.7395833333</v>
      </c>
      <c r="L1112" s="1" t="str">
        <f>IFERROR(__xludf.DUMMYFUNCTION("""COMPUTED_VALUE"""),"Yes")</f>
        <v>Yes</v>
      </c>
      <c r="M1112" s="1" t="str">
        <f>IFERROR(__xludf.DUMMYFUNCTION("""COMPUTED_VALUE"""),"Already done ")</f>
        <v>Already done </v>
      </c>
      <c r="N1112" s="1" t="str">
        <f>IFERROR(__xludf.DUMMYFUNCTION("""COMPUTED_VALUE"""),"Already done ")</f>
        <v>Already done </v>
      </c>
      <c r="O1112" s="1" t="str">
        <f>IFERROR(__xludf.DUMMYFUNCTION("""COMPUTED_VALUE"""),"WA ONLY, CALL")</f>
        <v>WA ONLY, CALL</v>
      </c>
      <c r="P1112" s="1" t="str">
        <f>IFERROR(__xludf.DUMMYFUNCTION("""COMPUTED_VALUE"""),"Madam")</f>
        <v>Madam</v>
      </c>
      <c r="Q1112" s="1" t="str">
        <f>IFERROR(__xludf.DUMMYFUNCTION("""COMPUTED_VALUE"""),"No")</f>
        <v>No</v>
      </c>
      <c r="R1112" s="1" t="str">
        <f>IFERROR(__xludf.DUMMYFUNCTION("""COMPUTED_VALUE"""),"OLD")</f>
        <v>OLD</v>
      </c>
      <c r="S1112" s="1" t="str">
        <f>IFERROR(__xludf.DUMMYFUNCTION("""COMPUTED_VALUE"""),"No")</f>
        <v>No</v>
      </c>
    </row>
    <row r="1113">
      <c r="A1113" s="2">
        <f>IFERROR(__xludf.DUMMYFUNCTION("""COMPUTED_VALUE"""),45742.78840232639)</f>
        <v>45742.7884</v>
      </c>
      <c r="B1113" s="1" t="str">
        <f>IFERROR(__xludf.DUMMYFUNCTION("""COMPUTED_VALUE"""),"Kiran")</f>
        <v>Kiran</v>
      </c>
      <c r="C1113" s="1">
        <f>IFERROR(__xludf.DUMMYFUNCTION("""COMPUTED_VALUE"""),9.999373896E9)</f>
        <v>9999373896</v>
      </c>
      <c r="D1113" s="1">
        <f>IFERROR(__xludf.DUMMYFUNCTION("""COMPUTED_VALUE"""),3.0)</f>
        <v>3</v>
      </c>
      <c r="E1113" s="3">
        <f>IFERROR(__xludf.DUMMYFUNCTION("""COMPUTED_VALUE"""),0.6979166666642413)</f>
        <v>0.6979166667</v>
      </c>
      <c r="F1113" s="1" t="str">
        <f>IFERROR(__xludf.DUMMYFUNCTION("""COMPUTED_VALUE"""),"Plain Gold")</f>
        <v>Plain Gold</v>
      </c>
      <c r="G1113" s="1" t="str">
        <f>IFERROR(__xludf.DUMMYFUNCTION("""COMPUTED_VALUE"""),"Sapna")</f>
        <v>Sapna</v>
      </c>
      <c r="H1113" s="1" t="str">
        <f>IFERROR(__xludf.DUMMYFUNCTION("""COMPUTED_VALUE"""),"Gents br,ring,tops")</f>
        <v>Gents br,ring,tops</v>
      </c>
      <c r="I1113" s="1"/>
      <c r="J1113" s="1"/>
      <c r="K1113" s="3">
        <f>IFERROR(__xludf.DUMMYFUNCTION("""COMPUTED_VALUE"""),0.7708333333357587)</f>
        <v>0.7708333333</v>
      </c>
      <c r="L1113" s="1" t="str">
        <f>IFERROR(__xludf.DUMMYFUNCTION("""COMPUTED_VALUE"""),"Yes")</f>
        <v>Yes</v>
      </c>
      <c r="M1113" s="1" t="str">
        <f>IFERROR(__xludf.DUMMYFUNCTION("""COMPUTED_VALUE"""),"Already done ")</f>
        <v>Already done </v>
      </c>
      <c r="N1113" s="1" t="str">
        <f>IFERROR(__xludf.DUMMYFUNCTION("""COMPUTED_VALUE"""),"Already done ")</f>
        <v>Already done </v>
      </c>
      <c r="O1113" s="1" t="str">
        <f>IFERROR(__xludf.DUMMYFUNCTION("""COMPUTED_VALUE"""),"WA ONLY, CALL")</f>
        <v>WA ONLY, CALL</v>
      </c>
      <c r="P1113" s="1" t="str">
        <f>IFERROR(__xludf.DUMMYFUNCTION("""COMPUTED_VALUE"""),"Madam")</f>
        <v>Madam</v>
      </c>
      <c r="Q1113" s="1" t="str">
        <f>IFERROR(__xludf.DUMMYFUNCTION("""COMPUTED_VALUE"""),"No")</f>
        <v>No</v>
      </c>
      <c r="R1113" s="1" t="str">
        <f>IFERROR(__xludf.DUMMYFUNCTION("""COMPUTED_VALUE"""),"OLD")</f>
        <v>OLD</v>
      </c>
      <c r="S1113" s="1" t="str">
        <f>IFERROR(__xludf.DUMMYFUNCTION("""COMPUTED_VALUE"""),"Yes")</f>
        <v>Yes</v>
      </c>
    </row>
    <row r="1114">
      <c r="A1114" s="2">
        <f>IFERROR(__xludf.DUMMYFUNCTION("""COMPUTED_VALUE"""),45743.68833130787)</f>
        <v>45743.68833</v>
      </c>
      <c r="B1114" s="1" t="str">
        <f>IFERROR(__xludf.DUMMYFUNCTION("""COMPUTED_VALUE"""),"Rajeshwari")</f>
        <v>Rajeshwari</v>
      </c>
      <c r="C1114" s="1">
        <f>IFERROR(__xludf.DUMMYFUNCTION("""COMPUTED_VALUE"""),9.910930162E9)</f>
        <v>9910930162</v>
      </c>
      <c r="D1114" s="1">
        <f>IFERROR(__xludf.DUMMYFUNCTION("""COMPUTED_VALUE"""),2.0)</f>
        <v>2</v>
      </c>
      <c r="E1114" s="3">
        <f>IFERROR(__xludf.DUMMYFUNCTION("""COMPUTED_VALUE"""),0.5833333333357587)</f>
        <v>0.5833333333</v>
      </c>
      <c r="F1114" s="1" t="str">
        <f>IFERROR(__xludf.DUMMYFUNCTION("""COMPUTED_VALUE"""),"Antique Gold")</f>
        <v>Antique Gold</v>
      </c>
      <c r="G1114" s="1" t="str">
        <f>IFERROR(__xludf.DUMMYFUNCTION("""COMPUTED_VALUE"""),"Suman")</f>
        <v>Suman</v>
      </c>
      <c r="H1114" s="1" t="str">
        <f>IFERROR(__xludf.DUMMYFUNCTION("""COMPUTED_VALUE"""),"10 gm mttc gold coin")</f>
        <v>10 gm mttc gold coin</v>
      </c>
      <c r="I1114" s="1"/>
      <c r="J1114" s="1"/>
      <c r="K1114" s="3">
        <f>IFERROR(__xludf.DUMMYFUNCTION("""COMPUTED_VALUE"""),0.6145833333357587)</f>
        <v>0.6145833333</v>
      </c>
      <c r="L1114" s="1" t="str">
        <f>IFERROR(__xludf.DUMMYFUNCTION("""COMPUTED_VALUE"""),"Yes")</f>
        <v>Yes</v>
      </c>
      <c r="M1114" s="1" t="str">
        <f>IFERROR(__xludf.DUMMYFUNCTION("""COMPUTED_VALUE"""),"Already done ")</f>
        <v>Already done </v>
      </c>
      <c r="N1114" s="1" t="str">
        <f>IFERROR(__xludf.DUMMYFUNCTION("""COMPUTED_VALUE"""),"Already done ")</f>
        <v>Already done </v>
      </c>
      <c r="O1114" s="1" t="str">
        <f>IFERROR(__xludf.DUMMYFUNCTION("""COMPUTED_VALUE"""),"WA ONLY, CALL")</f>
        <v>WA ONLY, CALL</v>
      </c>
      <c r="P1114" s="1" t="str">
        <f>IFERROR(__xludf.DUMMYFUNCTION("""COMPUTED_VALUE"""),"Madam")</f>
        <v>Madam</v>
      </c>
      <c r="Q1114" s="1" t="str">
        <f>IFERROR(__xludf.DUMMYFUNCTION("""COMPUTED_VALUE"""),"No")</f>
        <v>No</v>
      </c>
      <c r="R1114" s="1" t="str">
        <f>IFERROR(__xludf.DUMMYFUNCTION("""COMPUTED_VALUE"""),"OLD")</f>
        <v>OLD</v>
      </c>
      <c r="S1114" s="1" t="str">
        <f>IFERROR(__xludf.DUMMYFUNCTION("""COMPUTED_VALUE"""),"Yes")</f>
        <v>Yes</v>
      </c>
    </row>
    <row r="1115">
      <c r="A1115" s="2">
        <f>IFERROR(__xludf.DUMMYFUNCTION("""COMPUTED_VALUE"""),45743.68951202546)</f>
        <v>45743.68951</v>
      </c>
      <c r="B1115" s="1" t="str">
        <f>IFERROR(__xludf.DUMMYFUNCTION("""COMPUTED_VALUE"""),"Veena dixit")</f>
        <v>Veena dixit</v>
      </c>
      <c r="C1115" s="1">
        <f>IFERROR(__xludf.DUMMYFUNCTION("""COMPUTED_VALUE"""),9.205726956E9)</f>
        <v>9205726956</v>
      </c>
      <c r="D1115" s="1">
        <f>IFERROR(__xludf.DUMMYFUNCTION("""COMPUTED_VALUE"""),3.0)</f>
        <v>3</v>
      </c>
      <c r="E1115" s="3">
        <f>IFERROR(__xludf.DUMMYFUNCTION("""COMPUTED_VALUE"""),0.6388888888905058)</f>
        <v>0.6388888889</v>
      </c>
      <c r="F1115" s="1" t="str">
        <f>IFERROR(__xludf.DUMMYFUNCTION("""COMPUTED_VALUE"""),"Diamond")</f>
        <v>Diamond</v>
      </c>
      <c r="G1115" s="1" t="str">
        <f>IFERROR(__xludf.DUMMYFUNCTION("""COMPUTED_VALUE"""),"Suman")</f>
        <v>Suman</v>
      </c>
      <c r="H1115" s="1" t="str">
        <f>IFERROR(__xludf.DUMMYFUNCTION("""COMPUTED_VALUE"""),"Au bangle,rudraksh")</f>
        <v>Au bangle,rudraksh</v>
      </c>
      <c r="I1115" s="1"/>
      <c r="J1115" s="1"/>
      <c r="K1115" s="3">
        <f>IFERROR(__xludf.DUMMYFUNCTION("""COMPUTED_VALUE"""),0.7083333333357587)</f>
        <v>0.7083333333</v>
      </c>
      <c r="L1115" s="1" t="str">
        <f>IFERROR(__xludf.DUMMYFUNCTION("""COMPUTED_VALUE"""),"Yes")</f>
        <v>Yes</v>
      </c>
      <c r="M1115" s="1" t="str">
        <f>IFERROR(__xludf.DUMMYFUNCTION("""COMPUTED_VALUE"""),"Already done ")</f>
        <v>Already done </v>
      </c>
      <c r="N1115" s="1" t="str">
        <f>IFERROR(__xludf.DUMMYFUNCTION("""COMPUTED_VALUE"""),"Already done ")</f>
        <v>Already done </v>
      </c>
      <c r="O1115" s="1" t="str">
        <f>IFERROR(__xludf.DUMMYFUNCTION("""COMPUTED_VALUE"""),"WA ONLY, CALL")</f>
        <v>WA ONLY, CALL</v>
      </c>
      <c r="P1115" s="1" t="str">
        <f>IFERROR(__xludf.DUMMYFUNCTION("""COMPUTED_VALUE"""),"Madam")</f>
        <v>Madam</v>
      </c>
      <c r="Q1115" s="1" t="str">
        <f>IFERROR(__xludf.DUMMYFUNCTION("""COMPUTED_VALUE"""),"No")</f>
        <v>No</v>
      </c>
      <c r="R1115" s="1" t="str">
        <f>IFERROR(__xludf.DUMMYFUNCTION("""COMPUTED_VALUE"""),"OLD")</f>
        <v>OLD</v>
      </c>
      <c r="S1115" s="1" t="str">
        <f>IFERROR(__xludf.DUMMYFUNCTION("""COMPUTED_VALUE"""),"Yes")</f>
        <v>Yes</v>
      </c>
    </row>
    <row r="1116">
      <c r="A1116" s="2">
        <f>IFERROR(__xludf.DUMMYFUNCTION("""COMPUTED_VALUE"""),45748.784423425925)</f>
        <v>45748.78442</v>
      </c>
      <c r="B1116" s="1" t="str">
        <f>IFERROR(__xludf.DUMMYFUNCTION("""COMPUTED_VALUE"""),"Neelam ")</f>
        <v>Neelam </v>
      </c>
      <c r="C1116" s="1">
        <f>IFERROR(__xludf.DUMMYFUNCTION("""COMPUTED_VALUE"""),9.826419725E9)</f>
        <v>9826419725</v>
      </c>
      <c r="D1116" s="1">
        <f>IFERROR(__xludf.DUMMYFUNCTION("""COMPUTED_VALUE"""),2.0)</f>
        <v>2</v>
      </c>
      <c r="E1116" s="3">
        <f>IFERROR(__xludf.DUMMYFUNCTION("""COMPUTED_VALUE"""),0.6201388888875954)</f>
        <v>0.6201388889</v>
      </c>
      <c r="F1116" s="1" t="str">
        <f>IFERROR(__xludf.DUMMYFUNCTION("""COMPUTED_VALUE"""),"Antique Gold")</f>
        <v>Antique Gold</v>
      </c>
      <c r="G1116" s="1" t="str">
        <f>IFERROR(__xludf.DUMMYFUNCTION("""COMPUTED_VALUE"""),"Suman")</f>
        <v>Suman</v>
      </c>
      <c r="H1116" s="1" t="str">
        <f>IFERROR(__xludf.DUMMYFUNCTION("""COMPUTED_VALUE"""),"Solitaire tops in order,rudraksh br")</f>
        <v>Solitaire tops in order,rudraksh br</v>
      </c>
      <c r="I1116" s="1"/>
      <c r="J1116" s="1"/>
      <c r="K1116" s="3">
        <f>IFERROR(__xludf.DUMMYFUNCTION("""COMPUTED_VALUE"""),0.7180555555532919)</f>
        <v>0.7180555556</v>
      </c>
      <c r="L1116" s="1" t="str">
        <f>IFERROR(__xludf.DUMMYFUNCTION("""COMPUTED_VALUE"""),"Yes")</f>
        <v>Yes</v>
      </c>
      <c r="M1116" s="1" t="str">
        <f>IFERROR(__xludf.DUMMYFUNCTION("""COMPUTED_VALUE"""),"Already done ")</f>
        <v>Already done </v>
      </c>
      <c r="N1116" s="1" t="str">
        <f>IFERROR(__xludf.DUMMYFUNCTION("""COMPUTED_VALUE"""),"Already done ")</f>
        <v>Already done </v>
      </c>
      <c r="O1116" s="1" t="str">
        <f>IFERROR(__xludf.DUMMYFUNCTION("""COMPUTED_VALUE"""),"WA ONLY, CALL")</f>
        <v>WA ONLY, CALL</v>
      </c>
      <c r="P1116" s="1" t="str">
        <f>IFERROR(__xludf.DUMMYFUNCTION("""COMPUTED_VALUE"""),"Madam")</f>
        <v>Madam</v>
      </c>
      <c r="Q1116" s="1" t="str">
        <f>IFERROR(__xludf.DUMMYFUNCTION("""COMPUTED_VALUE"""),"No")</f>
        <v>No</v>
      </c>
      <c r="R1116" s="1" t="str">
        <f>IFERROR(__xludf.DUMMYFUNCTION("""COMPUTED_VALUE"""),"OLD")</f>
        <v>OLD</v>
      </c>
      <c r="S1116" s="1" t="str">
        <f>IFERROR(__xludf.DUMMYFUNCTION("""COMPUTED_VALUE"""),"Yes")</f>
        <v>Yes</v>
      </c>
    </row>
    <row r="1117">
      <c r="A1117" s="2">
        <f>IFERROR(__xludf.DUMMYFUNCTION("""COMPUTED_VALUE"""),45748.790444212966)</f>
        <v>45748.79044</v>
      </c>
      <c r="B1117" s="1" t="str">
        <f>IFERROR(__xludf.DUMMYFUNCTION("""COMPUTED_VALUE"""),"Radhika jain")</f>
        <v>Radhika jain</v>
      </c>
      <c r="C1117" s="1">
        <f>IFERROR(__xludf.DUMMYFUNCTION("""COMPUTED_VALUE"""),9.999399577E9)</f>
        <v>9999399577</v>
      </c>
      <c r="D1117" s="1">
        <f>IFERROR(__xludf.DUMMYFUNCTION("""COMPUTED_VALUE"""),3.0)</f>
        <v>3</v>
      </c>
      <c r="E1117" s="3">
        <f>IFERROR(__xludf.DUMMYFUNCTION("""COMPUTED_VALUE"""),0.6666666666642413)</f>
        <v>0.6666666667</v>
      </c>
      <c r="F1117" s="1" t="str">
        <f>IFERROR(__xludf.DUMMYFUNCTION("""COMPUTED_VALUE"""),"Plain Gold")</f>
        <v>Plain Gold</v>
      </c>
      <c r="G1117" s="1" t="str">
        <f>IFERROR(__xludf.DUMMYFUNCTION("""COMPUTED_VALUE"""),"Sapna")</f>
        <v>Sapna</v>
      </c>
      <c r="H1117" s="1" t="str">
        <f>IFERROR(__xludf.DUMMYFUNCTION("""COMPUTED_VALUE"""),"Gold  antique au. Bangles ")</f>
        <v>Gold  antique au. Bangles </v>
      </c>
      <c r="I1117" s="1"/>
      <c r="J1117" s="1"/>
      <c r="K1117" s="3">
        <f>IFERROR(__xludf.DUMMYFUNCTION("""COMPUTED_VALUE"""),0.75)</f>
        <v>0.75</v>
      </c>
      <c r="L1117" s="1" t="str">
        <f>IFERROR(__xludf.DUMMYFUNCTION("""COMPUTED_VALUE"""),"Yes")</f>
        <v>Yes</v>
      </c>
      <c r="M1117" s="1" t="str">
        <f>IFERROR(__xludf.DUMMYFUNCTION("""COMPUTED_VALUE"""),"Yes")</f>
        <v>Yes</v>
      </c>
      <c r="N1117" s="1" t="str">
        <f>IFERROR(__xludf.DUMMYFUNCTION("""COMPUTED_VALUE"""),"Yes")</f>
        <v>Yes</v>
      </c>
      <c r="O1117" s="1" t="str">
        <f>IFERROR(__xludf.DUMMYFUNCTION("""COMPUTED_VALUE"""),"WA ONLY, CALL")</f>
        <v>WA ONLY, CALL</v>
      </c>
      <c r="P1117" s="1" t="str">
        <f>IFERROR(__xludf.DUMMYFUNCTION("""COMPUTED_VALUE"""),"Madam")</f>
        <v>Madam</v>
      </c>
      <c r="Q1117" s="1" t="str">
        <f>IFERROR(__xludf.DUMMYFUNCTION("""COMPUTED_VALUE"""),"No")</f>
        <v>No</v>
      </c>
      <c r="R1117" s="1" t="str">
        <f>IFERROR(__xludf.DUMMYFUNCTION("""COMPUTED_VALUE"""),"OLD")</f>
        <v>OLD</v>
      </c>
      <c r="S1117" s="1" t="str">
        <f>IFERROR(__xludf.DUMMYFUNCTION("""COMPUTED_VALUE"""),"Yes")</f>
        <v>Yes</v>
      </c>
    </row>
    <row r="1118">
      <c r="A1118" s="2">
        <f>IFERROR(__xludf.DUMMYFUNCTION("""COMPUTED_VALUE"""),45750.780495150466)</f>
        <v>45750.7805</v>
      </c>
      <c r="B1118" s="1" t="str">
        <f>IFERROR(__xludf.DUMMYFUNCTION("""COMPUTED_VALUE"""),"Partiksha")</f>
        <v>Partiksha</v>
      </c>
      <c r="C1118" s="1">
        <f>IFERROR(__xludf.DUMMYFUNCTION("""COMPUTED_VALUE"""),8.447166487E9)</f>
        <v>8447166487</v>
      </c>
      <c r="D1118" s="1">
        <f>IFERROR(__xludf.DUMMYFUNCTION("""COMPUTED_VALUE"""),3.0)</f>
        <v>3</v>
      </c>
      <c r="E1118" s="3">
        <f>IFERROR(__xludf.DUMMYFUNCTION("""COMPUTED_VALUE"""),0.5625)</f>
        <v>0.5625</v>
      </c>
      <c r="F1118" s="1" t="str">
        <f>IFERROR(__xludf.DUMMYFUNCTION("""COMPUTED_VALUE"""),"Plain Gold")</f>
        <v>Plain Gold</v>
      </c>
      <c r="G1118" s="1" t="str">
        <f>IFERROR(__xludf.DUMMYFUNCTION("""COMPUTED_VALUE"""),"Suman")</f>
        <v>Suman</v>
      </c>
      <c r="H1118" s="1" t="str">
        <f>IFERROR(__xludf.DUMMYFUNCTION("""COMPUTED_VALUE"""),"Gold chain ")</f>
        <v>Gold chain </v>
      </c>
      <c r="I1118" s="1"/>
      <c r="J1118" s="1"/>
      <c r="K1118" s="3">
        <f>IFERROR(__xludf.DUMMYFUNCTION("""COMPUTED_VALUE"""),0.625)</f>
        <v>0.625</v>
      </c>
      <c r="L1118" s="1" t="str">
        <f>IFERROR(__xludf.DUMMYFUNCTION("""COMPUTED_VALUE"""),"Yes")</f>
        <v>Yes</v>
      </c>
      <c r="M1118" s="1" t="str">
        <f>IFERROR(__xludf.DUMMYFUNCTION("""COMPUTED_VALUE"""),"Already done ")</f>
        <v>Already done </v>
      </c>
      <c r="N1118" s="1" t="str">
        <f>IFERROR(__xludf.DUMMYFUNCTION("""COMPUTED_VALUE"""),"Already done ")</f>
        <v>Already done </v>
      </c>
      <c r="O1118" s="1" t="str">
        <f>IFERROR(__xludf.DUMMYFUNCTION("""COMPUTED_VALUE"""),"WA ONLY, CALL")</f>
        <v>WA ONLY, CALL</v>
      </c>
      <c r="P1118" s="1" t="str">
        <f>IFERROR(__xludf.DUMMYFUNCTION("""COMPUTED_VALUE"""),"Madam")</f>
        <v>Madam</v>
      </c>
      <c r="Q1118" s="1" t="str">
        <f>IFERROR(__xludf.DUMMYFUNCTION("""COMPUTED_VALUE"""),"Yes")</f>
        <v>Yes</v>
      </c>
      <c r="R1118" s="1" t="str">
        <f>IFERROR(__xludf.DUMMYFUNCTION("""COMPUTED_VALUE"""),"OLD")</f>
        <v>OLD</v>
      </c>
      <c r="S1118" s="1" t="str">
        <f>IFERROR(__xludf.DUMMYFUNCTION("""COMPUTED_VALUE"""),"Yes")</f>
        <v>Yes</v>
      </c>
    </row>
    <row r="1119">
      <c r="A1119" s="2">
        <f>IFERROR(__xludf.DUMMYFUNCTION("""COMPUTED_VALUE"""),45750.78119530092)</f>
        <v>45750.7812</v>
      </c>
      <c r="B1119" s="1"/>
      <c r="C1119" s="1" t="str">
        <f>IFERROR(__xludf.DUMMYFUNCTION("""COMPUTED_VALUE"""),"Shruti")</f>
        <v>Shruti</v>
      </c>
      <c r="D1119" s="1">
        <f>IFERROR(__xludf.DUMMYFUNCTION("""COMPUTED_VALUE"""),9.990187833E9)</f>
        <v>9990187833</v>
      </c>
      <c r="E1119" s="3">
        <f>IFERROR(__xludf.DUMMYFUNCTION("""COMPUTED_VALUE"""),0.5833333333357587)</f>
        <v>0.5833333333</v>
      </c>
      <c r="F1119" s="1" t="str">
        <f>IFERROR(__xludf.DUMMYFUNCTION("""COMPUTED_VALUE"""),"Antique Gold")</f>
        <v>Antique Gold</v>
      </c>
      <c r="G1119" s="1" t="str">
        <f>IFERROR(__xludf.DUMMYFUNCTION("""COMPUTED_VALUE"""),"Suman")</f>
        <v>Suman</v>
      </c>
      <c r="H1119" s="1" t="str">
        <f>IFERROR(__xludf.DUMMYFUNCTION("""COMPUTED_VALUE"""),"Daimond srt")</f>
        <v>Daimond srt</v>
      </c>
      <c r="I1119" s="1"/>
      <c r="J1119" s="1"/>
      <c r="K1119" s="3">
        <f>IFERROR(__xludf.DUMMYFUNCTION("""COMPUTED_VALUE"""),0.7750000000014552)</f>
        <v>0.775</v>
      </c>
      <c r="L1119" s="1" t="str">
        <f>IFERROR(__xludf.DUMMYFUNCTION("""COMPUTED_VALUE"""),"Yes")</f>
        <v>Yes</v>
      </c>
      <c r="M1119" s="1" t="str">
        <f>IFERROR(__xludf.DUMMYFUNCTION("""COMPUTED_VALUE"""),"Yes")</f>
        <v>Yes</v>
      </c>
      <c r="N1119" s="1" t="str">
        <f>IFERROR(__xludf.DUMMYFUNCTION("""COMPUTED_VALUE"""),"Yes")</f>
        <v>Yes</v>
      </c>
      <c r="O1119" s="1" t="str">
        <f>IFERROR(__xludf.DUMMYFUNCTION("""COMPUTED_VALUE"""),"WA ONLY, CALL")</f>
        <v>WA ONLY, CALL</v>
      </c>
      <c r="P1119" s="1" t="str">
        <f>IFERROR(__xludf.DUMMYFUNCTION("""COMPUTED_VALUE"""),"Madam")</f>
        <v>Madam</v>
      </c>
      <c r="Q1119" s="1" t="str">
        <f>IFERROR(__xludf.DUMMYFUNCTION("""COMPUTED_VALUE"""),"No")</f>
        <v>No</v>
      </c>
      <c r="R1119" s="1" t="str">
        <f>IFERROR(__xludf.DUMMYFUNCTION("""COMPUTED_VALUE"""),"OLD")</f>
        <v>OLD</v>
      </c>
      <c r="S1119" s="1" t="str">
        <f>IFERROR(__xludf.DUMMYFUNCTION("""COMPUTED_VALUE"""),"Yes")</f>
        <v>Yes</v>
      </c>
    </row>
    <row r="1120">
      <c r="A1120" s="2">
        <f>IFERROR(__xludf.DUMMYFUNCTION("""COMPUTED_VALUE"""),45750.78186633102)</f>
        <v>45750.78187</v>
      </c>
      <c r="B1120" s="1" t="str">
        <f>IFERROR(__xludf.DUMMYFUNCTION("""COMPUTED_VALUE"""),"Sayam")</f>
        <v>Sayam</v>
      </c>
      <c r="C1120" s="1">
        <f>IFERROR(__xludf.DUMMYFUNCTION("""COMPUTED_VALUE"""),9.811311747E9)</f>
        <v>9811311747</v>
      </c>
      <c r="D1120" s="1">
        <f>IFERROR(__xludf.DUMMYFUNCTION("""COMPUTED_VALUE"""),1.0)</f>
        <v>1</v>
      </c>
      <c r="E1120" s="3">
        <f>IFERROR(__xludf.DUMMYFUNCTION("""COMPUTED_VALUE"""),0.6666666666642413)</f>
        <v>0.6666666667</v>
      </c>
      <c r="F1120" s="1" t="str">
        <f>IFERROR(__xludf.DUMMYFUNCTION("""COMPUTED_VALUE"""),"Diamond")</f>
        <v>Diamond</v>
      </c>
      <c r="G1120" s="1" t="str">
        <f>IFERROR(__xludf.DUMMYFUNCTION("""COMPUTED_VALUE"""),"Deepali")</f>
        <v>Deepali</v>
      </c>
      <c r="H1120" s="1" t="str">
        <f>IFERROR(__xludf.DUMMYFUNCTION("""COMPUTED_VALUE"""),"Gold pendent ")</f>
        <v>Gold pendent </v>
      </c>
      <c r="I1120" s="1"/>
      <c r="J1120" s="1"/>
      <c r="K1120" s="3">
        <f>IFERROR(__xludf.DUMMYFUNCTION("""COMPUTED_VALUE"""),0.7333333333372138)</f>
        <v>0.7333333333</v>
      </c>
      <c r="L1120" s="1" t="str">
        <f>IFERROR(__xludf.DUMMYFUNCTION("""COMPUTED_VALUE"""),"Yes")</f>
        <v>Yes</v>
      </c>
      <c r="M1120" s="1" t="str">
        <f>IFERROR(__xludf.DUMMYFUNCTION("""COMPUTED_VALUE"""),"Already done ")</f>
        <v>Already done </v>
      </c>
      <c r="N1120" s="1" t="str">
        <f>IFERROR(__xludf.DUMMYFUNCTION("""COMPUTED_VALUE"""),"Already done ")</f>
        <v>Already done </v>
      </c>
      <c r="O1120" s="1" t="str">
        <f>IFERROR(__xludf.DUMMYFUNCTION("""COMPUTED_VALUE"""),"WA ONLY, CALL")</f>
        <v>WA ONLY, CALL</v>
      </c>
      <c r="P1120" s="1" t="str">
        <f>IFERROR(__xludf.DUMMYFUNCTION("""COMPUTED_VALUE"""),"Sir")</f>
        <v>Sir</v>
      </c>
      <c r="Q1120" s="1" t="str">
        <f>IFERROR(__xludf.DUMMYFUNCTION("""COMPUTED_VALUE"""),"No")</f>
        <v>No</v>
      </c>
      <c r="R1120" s="1" t="str">
        <f>IFERROR(__xludf.DUMMYFUNCTION("""COMPUTED_VALUE"""),"OLD")</f>
        <v>OLD</v>
      </c>
      <c r="S1120" s="1" t="str">
        <f>IFERROR(__xludf.DUMMYFUNCTION("""COMPUTED_VALUE"""),"Yes")</f>
        <v>Yes</v>
      </c>
    </row>
    <row r="1121">
      <c r="A1121" s="2">
        <f>IFERROR(__xludf.DUMMYFUNCTION("""COMPUTED_VALUE"""),45751.71365854167)</f>
        <v>45751.71366</v>
      </c>
      <c r="B1121" s="1" t="str">
        <f>IFERROR(__xludf.DUMMYFUNCTION("""COMPUTED_VALUE""")," Puneet")</f>
        <v> Puneet</v>
      </c>
      <c r="C1121" s="1">
        <f>IFERROR(__xludf.DUMMYFUNCTION("""COMPUTED_VALUE"""),9.899459402E9)</f>
        <v>9899459402</v>
      </c>
      <c r="D1121" s="1">
        <f>IFERROR(__xludf.DUMMYFUNCTION("""COMPUTED_VALUE"""),1.0)</f>
        <v>1</v>
      </c>
      <c r="E1121" s="3">
        <f>IFERROR(__xludf.DUMMYFUNCTION("""COMPUTED_VALUE"""),0.625)</f>
        <v>0.625</v>
      </c>
      <c r="F1121" s="1" t="str">
        <f>IFERROR(__xludf.DUMMYFUNCTION("""COMPUTED_VALUE"""),"Plain Gold")</f>
        <v>Plain Gold</v>
      </c>
      <c r="G1121" s="1" t="str">
        <f>IFERROR(__xludf.DUMMYFUNCTION("""COMPUTED_VALUE"""),"Sapna")</f>
        <v>Sapna</v>
      </c>
      <c r="H1121" s="1" t="str">
        <f>IFERROR(__xludf.DUMMYFUNCTION("""COMPUTED_VALUE"""),"Gold tops")</f>
        <v>Gold tops</v>
      </c>
      <c r="I1121" s="1"/>
      <c r="J1121" s="1"/>
      <c r="K1121" s="3">
        <f>IFERROR(__xludf.DUMMYFUNCTION("""COMPUTED_VALUE"""),0.6458333333357587)</f>
        <v>0.6458333333</v>
      </c>
      <c r="L1121" s="1" t="str">
        <f>IFERROR(__xludf.DUMMYFUNCTION("""COMPUTED_VALUE"""),"Yes")</f>
        <v>Yes</v>
      </c>
      <c r="M1121" s="1" t="str">
        <f>IFERROR(__xludf.DUMMYFUNCTION("""COMPUTED_VALUE"""),"Yes")</f>
        <v>Yes</v>
      </c>
      <c r="N1121" s="1" t="str">
        <f>IFERROR(__xludf.DUMMYFUNCTION("""COMPUTED_VALUE"""),"Yes")</f>
        <v>Yes</v>
      </c>
      <c r="O1121" s="1" t="str">
        <f>IFERROR(__xludf.DUMMYFUNCTION("""COMPUTED_VALUE"""),"WA ONLY, CALL")</f>
        <v>WA ONLY, CALL</v>
      </c>
      <c r="P1121" s="1" t="str">
        <f>IFERROR(__xludf.DUMMYFUNCTION("""COMPUTED_VALUE"""),"Sir")</f>
        <v>Sir</v>
      </c>
      <c r="Q1121" s="1" t="str">
        <f>IFERROR(__xludf.DUMMYFUNCTION("""COMPUTED_VALUE"""),"No")</f>
        <v>No</v>
      </c>
      <c r="R1121" s="1" t="str">
        <f>IFERROR(__xludf.DUMMYFUNCTION("""COMPUTED_VALUE"""),"NEW WALK IN")</f>
        <v>NEW WALK IN</v>
      </c>
      <c r="S1121" s="1" t="str">
        <f>IFERROR(__xludf.DUMMYFUNCTION("""COMPUTED_VALUE"""),"Yes")</f>
        <v>Yes</v>
      </c>
    </row>
    <row r="1122">
      <c r="A1122" s="2">
        <f>IFERROR(__xludf.DUMMYFUNCTION("""COMPUTED_VALUE"""),45751.715436631945)</f>
        <v>45751.71544</v>
      </c>
      <c r="B1122" s="1" t="str">
        <f>IFERROR(__xludf.DUMMYFUNCTION("""COMPUTED_VALUE"""),"Shivam fabric ")</f>
        <v>Shivam fabric </v>
      </c>
      <c r="C1122" s="1">
        <f>IFERROR(__xludf.DUMMYFUNCTION("""COMPUTED_VALUE"""),9.891102336E9)</f>
        <v>9891102336</v>
      </c>
      <c r="D1122" s="1">
        <f>IFERROR(__xludf.DUMMYFUNCTION("""COMPUTED_VALUE"""),2.0)</f>
        <v>2</v>
      </c>
      <c r="E1122" s="3">
        <f>IFERROR(__xludf.DUMMYFUNCTION("""COMPUTED_VALUE"""),0.6472222222218988)</f>
        <v>0.6472222222</v>
      </c>
      <c r="F1122" s="1" t="str">
        <f>IFERROR(__xludf.DUMMYFUNCTION("""COMPUTED_VALUE"""),"Plain Gold")</f>
        <v>Plain Gold</v>
      </c>
      <c r="G1122" s="1" t="str">
        <f>IFERROR(__xludf.DUMMYFUNCTION("""COMPUTED_VALUE"""),"Sapna")</f>
        <v>Sapna</v>
      </c>
      <c r="H1122" s="1" t="str">
        <f>IFERROR(__xludf.DUMMYFUNCTION("""COMPUTED_VALUE"""),"Gold tops ")</f>
        <v>Gold tops </v>
      </c>
      <c r="I1122" s="1"/>
      <c r="J1122" s="1"/>
      <c r="K1122" s="3">
        <f>IFERROR(__xludf.DUMMYFUNCTION("""COMPUTED_VALUE"""),0.6999999999970896)</f>
        <v>0.7</v>
      </c>
      <c r="L1122" s="1" t="str">
        <f>IFERROR(__xludf.DUMMYFUNCTION("""COMPUTED_VALUE"""),"Yes")</f>
        <v>Yes</v>
      </c>
      <c r="M1122" s="1" t="str">
        <f>IFERROR(__xludf.DUMMYFUNCTION("""COMPUTED_VALUE"""),"Already done ⁿ")</f>
        <v>Already done ⁿ</v>
      </c>
      <c r="N1122" s="1" t="str">
        <f>IFERROR(__xludf.DUMMYFUNCTION("""COMPUTED_VALUE"""),"Already done ")</f>
        <v>Already done </v>
      </c>
      <c r="O1122" s="1" t="str">
        <f>IFERROR(__xludf.DUMMYFUNCTION("""COMPUTED_VALUE"""),"WA ONLY, CALL")</f>
        <v>WA ONLY, CALL</v>
      </c>
      <c r="P1122" s="1" t="str">
        <f>IFERROR(__xludf.DUMMYFUNCTION("""COMPUTED_VALUE"""),"Sir")</f>
        <v>Sir</v>
      </c>
      <c r="Q1122" s="1" t="str">
        <f>IFERROR(__xludf.DUMMYFUNCTION("""COMPUTED_VALUE"""),"No")</f>
        <v>No</v>
      </c>
      <c r="R1122" s="1" t="str">
        <f>IFERROR(__xludf.DUMMYFUNCTION("""COMPUTED_VALUE"""),"OLD")</f>
        <v>OLD</v>
      </c>
      <c r="S1122" s="1" t="str">
        <f>IFERROR(__xludf.DUMMYFUNCTION("""COMPUTED_VALUE"""),"Yes")</f>
        <v>Yes</v>
      </c>
    </row>
    <row r="1123">
      <c r="A1123" s="2">
        <f>IFERROR(__xludf.DUMMYFUNCTION("""COMPUTED_VALUE"""),45751.71611972222)</f>
        <v>45751.71612</v>
      </c>
      <c r="B1123" s="1" t="str">
        <f>IFERROR(__xludf.DUMMYFUNCTION("""COMPUTED_VALUE"""),"Sanjay ")</f>
        <v>Sanjay </v>
      </c>
      <c r="C1123" s="1">
        <f>IFERROR(__xludf.DUMMYFUNCTION("""COMPUTED_VALUE"""),9.81116777E9)</f>
        <v>9811167770</v>
      </c>
      <c r="D1123" s="1">
        <f>IFERROR(__xludf.DUMMYFUNCTION("""COMPUTED_VALUE"""),2.0)</f>
        <v>2</v>
      </c>
      <c r="E1123" s="3">
        <f>IFERROR(__xludf.DUMMYFUNCTION("""COMPUTED_VALUE"""),0.6875)</f>
        <v>0.6875</v>
      </c>
      <c r="F1123" s="1" t="str">
        <f>IFERROR(__xludf.DUMMYFUNCTION("""COMPUTED_VALUE"""),"Diamond")</f>
        <v>Diamond</v>
      </c>
      <c r="G1123" s="1" t="str">
        <f>IFERROR(__xludf.DUMMYFUNCTION("""COMPUTED_VALUE"""),"Suman")</f>
        <v>Suman</v>
      </c>
      <c r="H1123" s="1" t="str">
        <f>IFERROR(__xludf.DUMMYFUNCTION("""COMPUTED_VALUE"""),"Daimond set ")</f>
        <v>Daimond set </v>
      </c>
      <c r="I1123" s="1" t="str">
        <f>IFERROR(__xludf.DUMMYFUNCTION("""COMPUTED_VALUE"""),"Visit Again in 1 Month")</f>
        <v>Visit Again in 1 Month</v>
      </c>
      <c r="J1123" s="1"/>
      <c r="K1123" s="3">
        <f>IFERROR(__xludf.DUMMYFUNCTION("""COMPUTED_VALUE"""),0.7006944444437977)</f>
        <v>0.7006944444</v>
      </c>
      <c r="L1123" s="1" t="str">
        <f>IFERROR(__xludf.DUMMYFUNCTION("""COMPUTED_VALUE"""),"No")</f>
        <v>No</v>
      </c>
      <c r="M1123" s="1" t="str">
        <f>IFERROR(__xludf.DUMMYFUNCTION("""COMPUTED_VALUE"""),"No")</f>
        <v>No</v>
      </c>
      <c r="N1123" s="1" t="str">
        <f>IFERROR(__xludf.DUMMYFUNCTION("""COMPUTED_VALUE"""),"No")</f>
        <v>No</v>
      </c>
      <c r="O1123" s="1" t="str">
        <f>IFERROR(__xludf.DUMMYFUNCTION("""COMPUTED_VALUE"""),"WA ONLY, CALL")</f>
        <v>WA ONLY, CALL</v>
      </c>
      <c r="P1123" s="1" t="str">
        <f>IFERROR(__xludf.DUMMYFUNCTION("""COMPUTED_VALUE"""),"Sir")</f>
        <v>Sir</v>
      </c>
      <c r="Q1123" s="1" t="str">
        <f>IFERROR(__xludf.DUMMYFUNCTION("""COMPUTED_VALUE"""),"No")</f>
        <v>No</v>
      </c>
      <c r="R1123" s="1" t="str">
        <f>IFERROR(__xludf.DUMMYFUNCTION("""COMPUTED_VALUE"""),"NEW WALK IN")</f>
        <v>NEW WALK IN</v>
      </c>
      <c r="S1123" s="1" t="str">
        <f>IFERROR(__xludf.DUMMYFUNCTION("""COMPUTED_VALUE"""),"No")</f>
        <v>No</v>
      </c>
    </row>
    <row r="1124">
      <c r="A1124" s="2">
        <f>IFERROR(__xludf.DUMMYFUNCTION("""COMPUTED_VALUE"""),45751.774195555554)</f>
        <v>45751.7742</v>
      </c>
      <c r="B1124" s="1" t="str">
        <f>IFERROR(__xludf.DUMMYFUNCTION("""COMPUTED_VALUE"""),"Mrinalini ")</f>
        <v>Mrinalini </v>
      </c>
      <c r="C1124" s="1">
        <f>IFERROR(__xludf.DUMMYFUNCTION("""COMPUTED_VALUE"""),9.990256379E9)</f>
        <v>9990256379</v>
      </c>
      <c r="D1124" s="1">
        <f>IFERROR(__xludf.DUMMYFUNCTION("""COMPUTED_VALUE"""),2.0)</f>
        <v>2</v>
      </c>
      <c r="E1124" s="3">
        <f>IFERROR(__xludf.DUMMYFUNCTION("""COMPUTED_VALUE"""),0.7291666666642413)</f>
        <v>0.7291666667</v>
      </c>
      <c r="F1124" s="1" t="str">
        <f>IFERROR(__xludf.DUMMYFUNCTION("""COMPUTED_VALUE"""),"Plain Gold")</f>
        <v>Plain Gold</v>
      </c>
      <c r="G1124" s="1" t="str">
        <f>IFERROR(__xludf.DUMMYFUNCTION("""COMPUTED_VALUE"""),"Sapna")</f>
        <v>Sapna</v>
      </c>
      <c r="H1124" s="1" t="str">
        <f>IFERROR(__xludf.DUMMYFUNCTION("""COMPUTED_VALUE"""),"Gents breslet ")</f>
        <v>Gents breslet </v>
      </c>
      <c r="I1124" s="1" t="str">
        <f>IFERROR(__xludf.DUMMYFUNCTION("""COMPUTED_VALUE"""),"Making High or Wants Discount")</f>
        <v>Making High or Wants Discount</v>
      </c>
      <c r="J1124" s="1"/>
      <c r="K1124" s="3">
        <f>IFERROR(__xludf.DUMMYFUNCTION("""COMPUTED_VALUE"""),0.7708333333357587)</f>
        <v>0.7708333333</v>
      </c>
      <c r="L1124" s="1" t="str">
        <f>IFERROR(__xludf.DUMMYFUNCTION("""COMPUTED_VALUE"""),"No")</f>
        <v>No</v>
      </c>
      <c r="M1124" s="1" t="str">
        <f>IFERROR(__xludf.DUMMYFUNCTION("""COMPUTED_VALUE"""),"No")</f>
        <v>No</v>
      </c>
      <c r="N1124" s="1" t="str">
        <f>IFERROR(__xludf.DUMMYFUNCTION("""COMPUTED_VALUE"""),"No")</f>
        <v>No</v>
      </c>
      <c r="O1124" s="1" t="str">
        <f>IFERROR(__xludf.DUMMYFUNCTION("""COMPUTED_VALUE"""),"WA ONLY, CALL")</f>
        <v>WA ONLY, CALL</v>
      </c>
      <c r="P1124" s="1" t="str">
        <f>IFERROR(__xludf.DUMMYFUNCTION("""COMPUTED_VALUE"""),"Madam")</f>
        <v>Madam</v>
      </c>
      <c r="Q1124" s="1" t="str">
        <f>IFERROR(__xludf.DUMMYFUNCTION("""COMPUTED_VALUE"""),"No")</f>
        <v>No</v>
      </c>
      <c r="R1124" s="1" t="str">
        <f>IFERROR(__xludf.DUMMYFUNCTION("""COMPUTED_VALUE"""),"NEW WALK IN")</f>
        <v>NEW WALK IN</v>
      </c>
      <c r="S1124" s="1" t="str">
        <f>IFERROR(__xludf.DUMMYFUNCTION("""COMPUTED_VALUE"""),"No")</f>
        <v>No</v>
      </c>
    </row>
    <row r="1125">
      <c r="A1125" s="2">
        <f>IFERROR(__xludf.DUMMYFUNCTION("""COMPUTED_VALUE"""),45812.748504918985)</f>
        <v>45812.7485</v>
      </c>
      <c r="B1125" s="1" t="str">
        <f>IFERROR(__xludf.DUMMYFUNCTION("""COMPUTED_VALUE"""),"Kamlesh ")</f>
        <v>Kamlesh </v>
      </c>
      <c r="C1125" s="1">
        <f>IFERROR(__xludf.DUMMYFUNCTION("""COMPUTED_VALUE"""),9.289317137E9)</f>
        <v>9289317137</v>
      </c>
      <c r="D1125" s="1">
        <f>IFERROR(__xludf.DUMMYFUNCTION("""COMPUTED_VALUE"""),2.0)</f>
        <v>2</v>
      </c>
      <c r="E1125" s="3">
        <f>IFERROR(__xludf.DUMMYFUNCTION("""COMPUTED_VALUE"""),0.16666666666424135)</f>
        <v>0.1666666667</v>
      </c>
      <c r="F1125" s="1" t="str">
        <f>IFERROR(__xludf.DUMMYFUNCTION("""COMPUTED_VALUE"""),"Plain Gold")</f>
        <v>Plain Gold</v>
      </c>
      <c r="G1125" s="1" t="str">
        <f>IFERROR(__xludf.DUMMYFUNCTION("""COMPUTED_VALUE"""),"Sapna")</f>
        <v>Sapna</v>
      </c>
      <c r="H1125" s="1" t="str">
        <f>IFERROR(__xludf.DUMMYFUNCTION("""COMPUTED_VALUE"""),"Ring &amp; tops")</f>
        <v>Ring &amp; tops</v>
      </c>
      <c r="I1125" s="1" t="str">
        <f>IFERROR(__xludf.DUMMYFUNCTION("""COMPUTED_VALUE"""),"Give Payment")</f>
        <v>Give Payment</v>
      </c>
      <c r="J1125" s="1"/>
      <c r="K1125" s="3">
        <f>IFERROR(__xludf.DUMMYFUNCTION("""COMPUTED_VALUE"""),0.2381944444423425)</f>
        <v>0.2381944444</v>
      </c>
      <c r="L1125" s="1" t="str">
        <f>IFERROR(__xludf.DUMMYFUNCTION("""COMPUTED_VALUE"""),"No")</f>
        <v>No</v>
      </c>
      <c r="M1125" s="1" t="str">
        <f>IFERROR(__xludf.DUMMYFUNCTION("""COMPUTED_VALUE"""),"No")</f>
        <v>No</v>
      </c>
      <c r="N1125" s="1" t="str">
        <f>IFERROR(__xludf.DUMMYFUNCTION("""COMPUTED_VALUE"""),"No")</f>
        <v>No</v>
      </c>
      <c r="O1125" s="1" t="str">
        <f>IFERROR(__xludf.DUMMYFUNCTION("""COMPUTED_VALUE"""),"CALL")</f>
        <v>CALL</v>
      </c>
      <c r="P1125" s="1" t="str">
        <f>IFERROR(__xludf.DUMMYFUNCTION("""COMPUTED_VALUE"""),"Madam")</f>
        <v>Madam</v>
      </c>
      <c r="Q1125" s="1" t="str">
        <f>IFERROR(__xludf.DUMMYFUNCTION("""COMPUTED_VALUE"""),"Yes")</f>
        <v>Yes</v>
      </c>
      <c r="R1125" s="1" t="str">
        <f>IFERROR(__xludf.DUMMYFUNCTION("""COMPUTED_VALUE"""),"OLD")</f>
        <v>OLD</v>
      </c>
      <c r="S1125" s="1" t="str">
        <f>IFERROR(__xludf.DUMMYFUNCTION("""COMPUTED_VALUE"""),"Yes")</f>
        <v>Yes</v>
      </c>
    </row>
    <row r="1126">
      <c r="A1126" s="2">
        <f>IFERROR(__xludf.DUMMYFUNCTION("""COMPUTED_VALUE"""),45812.75036438658)</f>
        <v>45812.75036</v>
      </c>
      <c r="B1126" s="1" t="str">
        <f>IFERROR(__xludf.DUMMYFUNCTION("""COMPUTED_VALUE"""),"Sameera")</f>
        <v>Sameera</v>
      </c>
      <c r="C1126" s="1">
        <f>IFERROR(__xludf.DUMMYFUNCTION("""COMPUTED_VALUE"""),9.811900815E9)</f>
        <v>9811900815</v>
      </c>
      <c r="D1126" s="1">
        <f>IFERROR(__xludf.DUMMYFUNCTION("""COMPUTED_VALUE"""),2.0)</f>
        <v>2</v>
      </c>
      <c r="E1126" s="3">
        <f>IFERROR(__xludf.DUMMYFUNCTION("""COMPUTED_VALUE"""),0.6083333333372138)</f>
        <v>0.6083333333</v>
      </c>
      <c r="F1126" s="1" t="str">
        <f>IFERROR(__xludf.DUMMYFUNCTION("""COMPUTED_VALUE"""),"Diamond")</f>
        <v>Diamond</v>
      </c>
      <c r="G1126" s="1" t="str">
        <f>IFERROR(__xludf.DUMMYFUNCTION("""COMPUTED_VALUE"""),"Sapna")</f>
        <v>Sapna</v>
      </c>
      <c r="H1126" s="1" t="str">
        <f>IFERROR(__xludf.DUMMYFUNCTION("""COMPUTED_VALUE"""),"Bangles")</f>
        <v>Bangles</v>
      </c>
      <c r="I1126" s="1" t="str">
        <f>IFERROR(__xludf.DUMMYFUNCTION("""COMPUTED_VALUE"""),"Visit Again in 1 Month")</f>
        <v>Visit Again in 1 Month</v>
      </c>
      <c r="J1126" s="1"/>
      <c r="K1126" s="3">
        <f>IFERROR(__xludf.DUMMYFUNCTION("""COMPUTED_VALUE"""),0.6777777777751908)</f>
        <v>0.6777777778</v>
      </c>
      <c r="L1126" s="1" t="str">
        <f>IFERROR(__xludf.DUMMYFUNCTION("""COMPUTED_VALUE"""),"No")</f>
        <v>No</v>
      </c>
      <c r="M1126" s="1" t="str">
        <f>IFERROR(__xludf.DUMMYFUNCTION("""COMPUTED_VALUE"""),"No")</f>
        <v>No</v>
      </c>
      <c r="N1126" s="1" t="str">
        <f>IFERROR(__xludf.DUMMYFUNCTION("""COMPUTED_VALUE"""),"No")</f>
        <v>No</v>
      </c>
      <c r="O1126" s="1" t="str">
        <f>IFERROR(__xludf.DUMMYFUNCTION("""COMPUTED_VALUE"""),"OWNER CONTACT ONLY")</f>
        <v>OWNER CONTACT ONLY</v>
      </c>
      <c r="P1126" s="1" t="str">
        <f>IFERROR(__xludf.DUMMYFUNCTION("""COMPUTED_VALUE"""),"Madam")</f>
        <v>Madam</v>
      </c>
      <c r="Q1126" s="1" t="str">
        <f>IFERROR(__xludf.DUMMYFUNCTION("""COMPUTED_VALUE"""),"No")</f>
        <v>No</v>
      </c>
      <c r="R1126" s="1" t="str">
        <f>IFERROR(__xludf.DUMMYFUNCTION("""COMPUTED_VALUE"""),"OLD")</f>
        <v>OLD</v>
      </c>
      <c r="S1126" s="1" t="str">
        <f>IFERROR(__xludf.DUMMYFUNCTION("""COMPUTED_VALUE"""),"No")</f>
        <v>No</v>
      </c>
    </row>
    <row r="1127">
      <c r="A1127" s="2">
        <f>IFERROR(__xludf.DUMMYFUNCTION("""COMPUTED_VALUE"""),45812.752675358795)</f>
        <v>45812.75268</v>
      </c>
      <c r="B1127" s="1" t="str">
        <f>IFERROR(__xludf.DUMMYFUNCTION("""COMPUTED_VALUE"""),"Kavita kapila")</f>
        <v>Kavita kapila</v>
      </c>
      <c r="C1127" s="1">
        <f>IFERROR(__xludf.DUMMYFUNCTION("""COMPUTED_VALUE"""),9.015802726E9)</f>
        <v>9015802726</v>
      </c>
      <c r="D1127" s="1">
        <f>IFERROR(__xludf.DUMMYFUNCTION("""COMPUTED_VALUE"""),2.0)</f>
        <v>2</v>
      </c>
      <c r="E1127" s="3">
        <f>IFERROR(__xludf.DUMMYFUNCTION("""COMPUTED_VALUE"""),0.6458333333357587)</f>
        <v>0.6458333333</v>
      </c>
      <c r="F1127" s="1" t="str">
        <f>IFERROR(__xludf.DUMMYFUNCTION("""COMPUTED_VALUE"""),"Diamond")</f>
        <v>Diamond</v>
      </c>
      <c r="G1127" s="1"/>
      <c r="H1127" s="1" t="str">
        <f>IFERROR(__xludf.DUMMYFUNCTION("""COMPUTED_VALUE"""),"Earring ")</f>
        <v>Earring </v>
      </c>
      <c r="I1127" s="1" t="str">
        <f>IFERROR(__xludf.DUMMYFUNCTION("""COMPUTED_VALUE"""),"Visit Again in 1 Month")</f>
        <v>Visit Again in 1 Month</v>
      </c>
      <c r="J1127" s="1"/>
      <c r="K1127" s="3">
        <f>IFERROR(__xludf.DUMMYFUNCTION("""COMPUTED_VALUE"""),0.7166666666671517)</f>
        <v>0.7166666667</v>
      </c>
      <c r="L1127" s="1" t="str">
        <f>IFERROR(__xludf.DUMMYFUNCTION("""COMPUTED_VALUE"""),"No")</f>
        <v>No</v>
      </c>
      <c r="M1127" s="1" t="str">
        <f>IFERROR(__xludf.DUMMYFUNCTION("""COMPUTED_VALUE"""),"Yes ")</f>
        <v>Yes </v>
      </c>
      <c r="N1127" s="1" t="str">
        <f>IFERROR(__xludf.DUMMYFUNCTION("""COMPUTED_VALUE"""),"Yes")</f>
        <v>Yes</v>
      </c>
      <c r="O1127" s="1" t="str">
        <f>IFERROR(__xludf.DUMMYFUNCTION("""COMPUTED_VALUE"""),"OWNER CONTACT ONLY")</f>
        <v>OWNER CONTACT ONLY</v>
      </c>
      <c r="P1127" s="1" t="str">
        <f>IFERROR(__xludf.DUMMYFUNCTION("""COMPUTED_VALUE"""),"Madam")</f>
        <v>Madam</v>
      </c>
      <c r="Q1127" s="1" t="str">
        <f>IFERROR(__xludf.DUMMYFUNCTION("""COMPUTED_VALUE"""),"No")</f>
        <v>No</v>
      </c>
      <c r="R1127" s="1" t="str">
        <f>IFERROR(__xludf.DUMMYFUNCTION("""COMPUTED_VALUE"""),"OLD")</f>
        <v>OLD</v>
      </c>
      <c r="S1127" s="1" t="str">
        <f>IFERROR(__xludf.DUMMYFUNCTION("""COMPUTED_VALUE"""),"No")</f>
        <v>No</v>
      </c>
    </row>
    <row r="1128">
      <c r="A1128" s="2">
        <f>IFERROR(__xludf.DUMMYFUNCTION("""COMPUTED_VALUE"""),45812.75599178241)</f>
        <v>45812.75599</v>
      </c>
      <c r="B1128" s="1" t="str">
        <f>IFERROR(__xludf.DUMMYFUNCTION("""COMPUTED_VALUE"""),"Anand Pathak")</f>
        <v>Anand Pathak</v>
      </c>
      <c r="C1128" s="1">
        <f>IFERROR(__xludf.DUMMYFUNCTION("""COMPUTED_VALUE"""),9.323726535E9)</f>
        <v>9323726535</v>
      </c>
      <c r="D1128" s="1">
        <f>IFERROR(__xludf.DUMMYFUNCTION("""COMPUTED_VALUE"""),2.0)</f>
        <v>2</v>
      </c>
      <c r="E1128" s="3">
        <f>IFERROR(__xludf.DUMMYFUNCTION("""COMPUTED_VALUE"""),0.5694444444452529)</f>
        <v>0.5694444444</v>
      </c>
      <c r="F1128" s="1" t="str">
        <f>IFERROR(__xludf.DUMMYFUNCTION("""COMPUTED_VALUE"""),"Silver Items")</f>
        <v>Silver Items</v>
      </c>
      <c r="G1128" s="1" t="str">
        <f>IFERROR(__xludf.DUMMYFUNCTION("""COMPUTED_VALUE"""),"Preeti")</f>
        <v>Preeti</v>
      </c>
      <c r="H1128" s="1" t="str">
        <f>IFERROR(__xludf.DUMMYFUNCTION("""COMPUTED_VALUE"""),"Silver coin ")</f>
        <v>Silver coin </v>
      </c>
      <c r="I1128" s="1" t="str">
        <f>IFERROR(__xludf.DUMMYFUNCTION("""COMPUTED_VALUE"""),"Want to see More Variety")</f>
        <v>Want to see More Variety</v>
      </c>
      <c r="J1128" s="1"/>
      <c r="K1128" s="3">
        <f>IFERROR(__xludf.DUMMYFUNCTION("""COMPUTED_VALUE"""),0.6041666666642413)</f>
        <v>0.6041666667</v>
      </c>
      <c r="L1128" s="1" t="str">
        <f>IFERROR(__xludf.DUMMYFUNCTION("""COMPUTED_VALUE"""),"No")</f>
        <v>No</v>
      </c>
      <c r="M1128" s="1" t="str">
        <f>IFERROR(__xludf.DUMMYFUNCTION("""COMPUTED_VALUE"""),"Yes")</f>
        <v>Yes</v>
      </c>
      <c r="N1128" s="1" t="str">
        <f>IFERROR(__xludf.DUMMYFUNCTION("""COMPUTED_VALUE"""),"No")</f>
        <v>No</v>
      </c>
      <c r="O1128" s="1" t="str">
        <f>IFERROR(__xludf.DUMMYFUNCTION("""COMPUTED_VALUE"""),"WA ONLY")</f>
        <v>WA ONLY</v>
      </c>
      <c r="P1128" s="1" t="str">
        <f>IFERROR(__xludf.DUMMYFUNCTION("""COMPUTED_VALUE"""),"Sir")</f>
        <v>Sir</v>
      </c>
      <c r="Q1128" s="1" t="str">
        <f>IFERROR(__xludf.DUMMYFUNCTION("""COMPUTED_VALUE"""),"No")</f>
        <v>No</v>
      </c>
      <c r="R1128" s="1" t="str">
        <f>IFERROR(__xludf.DUMMYFUNCTION("""COMPUTED_VALUE"""),"NEW WALK IN")</f>
        <v>NEW WALK IN</v>
      </c>
      <c r="S1128" s="1" t="str">
        <f>IFERROR(__xludf.DUMMYFUNCTION("""COMPUTED_VALUE"""),"No")</f>
        <v>No</v>
      </c>
    </row>
    <row r="1129">
      <c r="A1129" s="2">
        <f>IFERROR(__xludf.DUMMYFUNCTION("""COMPUTED_VALUE"""),45812.7730794213)</f>
        <v>45812.77308</v>
      </c>
      <c r="B1129" s="1" t="str">
        <f>IFERROR(__xludf.DUMMYFUNCTION("""COMPUTED_VALUE"""),"Khushboo")</f>
        <v>Khushboo</v>
      </c>
      <c r="C1129" s="1">
        <f>IFERROR(__xludf.DUMMYFUNCTION("""COMPUTED_VALUE"""),9.015802726E9)</f>
        <v>9015802726</v>
      </c>
      <c r="D1129" s="1">
        <f>IFERROR(__xludf.DUMMYFUNCTION("""COMPUTED_VALUE"""),2.0)</f>
        <v>2</v>
      </c>
      <c r="E1129" s="3">
        <f>IFERROR(__xludf.DUMMYFUNCTION("""COMPUTED_VALUE"""),0.75)</f>
        <v>0.75</v>
      </c>
      <c r="F1129" s="1" t="str">
        <f>IFERROR(__xludf.DUMMYFUNCTION("""COMPUTED_VALUE"""),"Diamond")</f>
        <v>Diamond</v>
      </c>
      <c r="G1129" s="1" t="str">
        <f>IFERROR(__xludf.DUMMYFUNCTION("""COMPUTED_VALUE"""),"Preeti")</f>
        <v>Preeti</v>
      </c>
      <c r="H1129" s="1" t="str">
        <f>IFERROR(__xludf.DUMMYFUNCTION("""COMPUTED_VALUE"""),"Rings")</f>
        <v>Rings</v>
      </c>
      <c r="I1129" s="1" t="str">
        <f>IFERROR(__xludf.DUMMYFUNCTION("""COMPUTED_VALUE"""),"Give Payment")</f>
        <v>Give Payment</v>
      </c>
      <c r="J1129" s="1"/>
      <c r="K1129" s="3">
        <f>IFERROR(__xludf.DUMMYFUNCTION("""COMPUTED_VALUE"""),0.6979166666642413)</f>
        <v>0.6979166667</v>
      </c>
      <c r="L1129" s="1" t="str">
        <f>IFERROR(__xludf.DUMMYFUNCTION("""COMPUTED_VALUE"""),"No")</f>
        <v>No</v>
      </c>
      <c r="M1129" s="1" t="str">
        <f>IFERROR(__xludf.DUMMYFUNCTION("""COMPUTED_VALUE"""),"Yes")</f>
        <v>Yes</v>
      </c>
      <c r="N1129" s="1" t="str">
        <f>IFERROR(__xludf.DUMMYFUNCTION("""COMPUTED_VALUE"""),"Yes")</f>
        <v>Yes</v>
      </c>
      <c r="O1129" s="1" t="str">
        <f>IFERROR(__xludf.DUMMYFUNCTION("""COMPUTED_VALUE"""),"OWNER CONTACT ONLY")</f>
        <v>OWNER CONTACT ONLY</v>
      </c>
      <c r="P1129" s="1" t="str">
        <f>IFERROR(__xludf.DUMMYFUNCTION("""COMPUTED_VALUE"""),"Madam")</f>
        <v>Madam</v>
      </c>
      <c r="Q1129" s="1" t="str">
        <f>IFERROR(__xludf.DUMMYFUNCTION("""COMPUTED_VALUE"""),"No")</f>
        <v>No</v>
      </c>
      <c r="R1129" s="1" t="str">
        <f>IFERROR(__xludf.DUMMYFUNCTION("""COMPUTED_VALUE"""),"OLD")</f>
        <v>OLD</v>
      </c>
      <c r="S1129" s="1" t="str">
        <f>IFERROR(__xludf.DUMMYFUNCTION("""COMPUTED_VALUE"""),"Yes")</f>
        <v>Yes</v>
      </c>
    </row>
    <row r="1130">
      <c r="A1130" s="2">
        <f>IFERROR(__xludf.DUMMYFUNCTION("""COMPUTED_VALUE"""),45812.79958731482)</f>
        <v>45812.79959</v>
      </c>
      <c r="B1130" s="1" t="str">
        <f>IFERROR(__xludf.DUMMYFUNCTION("""COMPUTED_VALUE"""),"Yatin jain")</f>
        <v>Yatin jain</v>
      </c>
      <c r="C1130" s="1">
        <f>IFERROR(__xludf.DUMMYFUNCTION("""COMPUTED_VALUE"""),9.811233455E9)</f>
        <v>9811233455</v>
      </c>
      <c r="D1130" s="1">
        <f>IFERROR(__xludf.DUMMYFUNCTION("""COMPUTED_VALUE"""),2.0)</f>
        <v>2</v>
      </c>
      <c r="E1130" s="3">
        <f>IFERROR(__xludf.DUMMYFUNCTION("""COMPUTED_VALUE"""),0.78125)</f>
        <v>0.78125</v>
      </c>
      <c r="F1130" s="1" t="str">
        <f>IFERROR(__xludf.DUMMYFUNCTION("""COMPUTED_VALUE"""),"Plain Gold")</f>
        <v>Plain Gold</v>
      </c>
      <c r="G1130" s="1"/>
      <c r="H1130" s="1" t="str">
        <f>IFERROR(__xludf.DUMMYFUNCTION("""COMPUTED_VALUE"""),"Gold bar")</f>
        <v>Gold bar</v>
      </c>
      <c r="I1130" s="1" t="str">
        <f>IFERROR(__xludf.DUMMYFUNCTION("""COMPUTED_VALUE"""),"Pick up Order")</f>
        <v>Pick up Order</v>
      </c>
      <c r="J1130" s="1"/>
      <c r="K1130" s="3">
        <f>IFERROR(__xludf.DUMMYFUNCTION("""COMPUTED_VALUE"""),0.797222222223354)</f>
        <v>0.7972222222</v>
      </c>
      <c r="L1130" s="1" t="str">
        <f>IFERROR(__xludf.DUMMYFUNCTION("""COMPUTED_VALUE"""),"No")</f>
        <v>No</v>
      </c>
      <c r="M1130" s="1" t="str">
        <f>IFERROR(__xludf.DUMMYFUNCTION("""COMPUTED_VALUE"""),"Yes")</f>
        <v>Yes</v>
      </c>
      <c r="N1130" s="1" t="str">
        <f>IFERROR(__xludf.DUMMYFUNCTION("""COMPUTED_VALUE"""),"Yes")</f>
        <v>Yes</v>
      </c>
      <c r="O1130" s="1" t="str">
        <f>IFERROR(__xludf.DUMMYFUNCTION("""COMPUTED_VALUE"""),"OWNER CONTACT ONLY")</f>
        <v>OWNER CONTACT ONLY</v>
      </c>
      <c r="P1130" s="1"/>
      <c r="Q1130" s="1" t="str">
        <f>IFERROR(__xludf.DUMMYFUNCTION("""COMPUTED_VALUE"""),"No")</f>
        <v>No</v>
      </c>
      <c r="R1130" s="1"/>
      <c r="S1130" s="1" t="str">
        <f>IFERROR(__xludf.DUMMYFUNCTION("""COMPUTED_VALUE"""),"Yes")</f>
        <v>Yes</v>
      </c>
    </row>
    <row r="1131">
      <c r="A1131" s="2">
        <f>IFERROR(__xludf.DUMMYFUNCTION("""COMPUTED_VALUE"""),45813.50837458333)</f>
        <v>45813.50837</v>
      </c>
      <c r="B1131" s="1" t="str">
        <f>IFERROR(__xludf.DUMMYFUNCTION("""COMPUTED_VALUE"""),"Vinod")</f>
        <v>Vinod</v>
      </c>
      <c r="C1131" s="1">
        <f>IFERROR(__xludf.DUMMYFUNCTION("""COMPUTED_VALUE"""),9.650060991E9)</f>
        <v>9650060991</v>
      </c>
      <c r="D1131" s="1">
        <f>IFERROR(__xludf.DUMMYFUNCTION("""COMPUTED_VALUE"""),1.0)</f>
        <v>1</v>
      </c>
      <c r="E1131" s="3">
        <f>IFERROR(__xludf.DUMMYFUNCTION("""COMPUTED_VALUE"""),0.46875)</f>
        <v>0.46875</v>
      </c>
      <c r="F1131" s="1" t="str">
        <f>IFERROR(__xludf.DUMMYFUNCTION("""COMPUTED_VALUE"""),"Antique Gold")</f>
        <v>Antique Gold</v>
      </c>
      <c r="G1131" s="1"/>
      <c r="H1131" s="1" t="str">
        <f>IFERROR(__xludf.DUMMYFUNCTION("""COMPUTED_VALUE"""),"Rings")</f>
        <v>Rings</v>
      </c>
      <c r="I1131" s="1" t="str">
        <f>IFERROR(__xludf.DUMMYFUNCTION("""COMPUTED_VALUE"""),"Visit Again in 1 Month")</f>
        <v>Visit Again in 1 Month</v>
      </c>
      <c r="J1131" s="1"/>
      <c r="K1131" s="3">
        <f>IFERROR(__xludf.DUMMYFUNCTION("""COMPUTED_VALUE"""),0.5208333333357587)</f>
        <v>0.5208333333</v>
      </c>
      <c r="L1131" s="1" t="str">
        <f>IFERROR(__xludf.DUMMYFUNCTION("""COMPUTED_VALUE"""),"No")</f>
        <v>No</v>
      </c>
      <c r="M1131" s="1" t="str">
        <f>IFERROR(__xludf.DUMMYFUNCTION("""COMPUTED_VALUE"""),"Yes")</f>
        <v>Yes</v>
      </c>
      <c r="N1131" s="1" t="str">
        <f>IFERROR(__xludf.DUMMYFUNCTION("""COMPUTED_VALUE"""),"No")</f>
        <v>No</v>
      </c>
      <c r="O1131" s="1" t="str">
        <f>IFERROR(__xludf.DUMMYFUNCTION("""COMPUTED_VALUE"""),"WA ONLY")</f>
        <v>WA ONLY</v>
      </c>
      <c r="P1131" s="1" t="str">
        <f>IFERROR(__xludf.DUMMYFUNCTION("""COMPUTED_VALUE"""),"Sir")</f>
        <v>Sir</v>
      </c>
      <c r="Q1131" s="1" t="str">
        <f>IFERROR(__xludf.DUMMYFUNCTION("""COMPUTED_VALUE"""),"No")</f>
        <v>No</v>
      </c>
      <c r="R1131" s="1" t="str">
        <f>IFERROR(__xludf.DUMMYFUNCTION("""COMPUTED_VALUE"""),"OLD")</f>
        <v>OLD</v>
      </c>
      <c r="S1131" s="1" t="str">
        <f>IFERROR(__xludf.DUMMYFUNCTION("""COMPUTED_VALUE"""),"No")</f>
        <v>No</v>
      </c>
    </row>
    <row r="1132">
      <c r="A1132" s="2">
        <f>IFERROR(__xludf.DUMMYFUNCTION("""COMPUTED_VALUE"""),45814.51350883102)</f>
        <v>45814.51351</v>
      </c>
      <c r="B1132" s="1" t="str">
        <f>IFERROR(__xludf.DUMMYFUNCTION("""COMPUTED_VALUE"""),"Shahista khan")</f>
        <v>Shahista khan</v>
      </c>
      <c r="C1132" s="1">
        <f>IFERROR(__xludf.DUMMYFUNCTION("""COMPUTED_VALUE"""),8.860741616E9)</f>
        <v>8860741616</v>
      </c>
      <c r="D1132" s="1">
        <f>IFERROR(__xludf.DUMMYFUNCTION("""COMPUTED_VALUE"""),1.0)</f>
        <v>1</v>
      </c>
      <c r="E1132" s="3">
        <f>IFERROR(__xludf.DUMMYFUNCTION("""COMPUTED_VALUE"""),0.7604166666642413)</f>
        <v>0.7604166667</v>
      </c>
      <c r="F1132" s="1" t="str">
        <f>IFERROR(__xludf.DUMMYFUNCTION("""COMPUTED_VALUE"""),"Antique Gold")</f>
        <v>Antique Gold</v>
      </c>
      <c r="G1132" s="1" t="str">
        <f>IFERROR(__xludf.DUMMYFUNCTION("""COMPUTED_VALUE"""),"Sapna")</f>
        <v>Sapna</v>
      </c>
      <c r="H1132" s="1" t="str">
        <f>IFERROR(__xludf.DUMMYFUNCTION("""COMPUTED_VALUE"""),"Ring and pirate bracelet ")</f>
        <v>Ring and pirate bracelet </v>
      </c>
      <c r="I1132" s="1" t="str">
        <f>IFERROR(__xludf.DUMMYFUNCTION("""COMPUTED_VALUE"""),"Give Payment")</f>
        <v>Give Payment</v>
      </c>
      <c r="J1132" s="1"/>
      <c r="K1132" s="3">
        <f>IFERROR(__xludf.DUMMYFUNCTION("""COMPUTED_VALUE"""),0.7847222222189885)</f>
        <v>0.7847222222</v>
      </c>
      <c r="L1132" s="1" t="str">
        <f>IFERROR(__xludf.DUMMYFUNCTION("""COMPUTED_VALUE"""),"No")</f>
        <v>No</v>
      </c>
      <c r="M1132" s="1" t="str">
        <f>IFERROR(__xludf.DUMMYFUNCTION("""COMPUTED_VALUE"""),"Yes")</f>
        <v>Yes</v>
      </c>
      <c r="N1132" s="1" t="str">
        <f>IFERROR(__xludf.DUMMYFUNCTION("""COMPUTED_VALUE"""),"Yes")</f>
        <v>Yes</v>
      </c>
      <c r="O1132" s="1" t="str">
        <f>IFERROR(__xludf.DUMMYFUNCTION("""COMPUTED_VALUE"""),"WA ONLY, OWNER CONTACT ONLY")</f>
        <v>WA ONLY, OWNER CONTACT ONLY</v>
      </c>
      <c r="P1132" s="1" t="str">
        <f>IFERROR(__xludf.DUMMYFUNCTION("""COMPUTED_VALUE"""),"Madam")</f>
        <v>Madam</v>
      </c>
      <c r="Q1132" s="1" t="str">
        <f>IFERROR(__xludf.DUMMYFUNCTION("""COMPUTED_VALUE"""),"No")</f>
        <v>No</v>
      </c>
      <c r="R1132" s="1" t="str">
        <f>IFERROR(__xludf.DUMMYFUNCTION("""COMPUTED_VALUE"""),"OLD")</f>
        <v>OLD</v>
      </c>
      <c r="S1132" s="1" t="str">
        <f>IFERROR(__xludf.DUMMYFUNCTION("""COMPUTED_VALUE"""),"Yes")</f>
        <v>Yes</v>
      </c>
    </row>
    <row r="1133">
      <c r="A1133" s="2">
        <f>IFERROR(__xludf.DUMMYFUNCTION("""COMPUTED_VALUE"""),45814.51506348379)</f>
        <v>45814.51506</v>
      </c>
      <c r="B1133" s="1" t="str">
        <f>IFERROR(__xludf.DUMMYFUNCTION("""COMPUTED_VALUE"""),"Kamlesh")</f>
        <v>Kamlesh</v>
      </c>
      <c r="C1133" s="1">
        <f>IFERROR(__xludf.DUMMYFUNCTION("""COMPUTED_VALUE"""),9.289317137E9)</f>
        <v>9289317137</v>
      </c>
      <c r="D1133" s="1">
        <f>IFERROR(__xludf.DUMMYFUNCTION("""COMPUTED_VALUE"""),2.0)</f>
        <v>2</v>
      </c>
      <c r="E1133" s="3">
        <f>IFERROR(__xludf.DUMMYFUNCTION("""COMPUTED_VALUE"""),0.7548611111124046)</f>
        <v>0.7548611111</v>
      </c>
      <c r="F1133" s="1" t="str">
        <f>IFERROR(__xludf.DUMMYFUNCTION("""COMPUTED_VALUE"""),"Plain Gold")</f>
        <v>Plain Gold</v>
      </c>
      <c r="G1133" s="1" t="str">
        <f>IFERROR(__xludf.DUMMYFUNCTION("""COMPUTED_VALUE"""),"Sapna")</f>
        <v>Sapna</v>
      </c>
      <c r="H1133" s="1" t="str">
        <f>IFERROR(__xludf.DUMMYFUNCTION("""COMPUTED_VALUE"""),"Mangalsutra pendent")</f>
        <v>Mangalsutra pendent</v>
      </c>
      <c r="I1133" s="1" t="str">
        <f>IFERROR(__xludf.DUMMYFUNCTION("""COMPUTED_VALUE"""),"Give Payment")</f>
        <v>Give Payment</v>
      </c>
      <c r="J1133" s="1"/>
      <c r="K1133" s="3">
        <f>IFERROR(__xludf.DUMMYFUNCTION("""COMPUTED_VALUE"""),0.7847222222189885)</f>
        <v>0.7847222222</v>
      </c>
      <c r="L1133" s="1" t="str">
        <f>IFERROR(__xludf.DUMMYFUNCTION("""COMPUTED_VALUE"""),"No")</f>
        <v>No</v>
      </c>
      <c r="M1133" s="1" t="str">
        <f>IFERROR(__xludf.DUMMYFUNCTION("""COMPUTED_VALUE"""),"Yes")</f>
        <v>Yes</v>
      </c>
      <c r="N1133" s="1" t="str">
        <f>IFERROR(__xludf.DUMMYFUNCTION("""COMPUTED_VALUE"""),"No")</f>
        <v>No</v>
      </c>
      <c r="O1133" s="1" t="str">
        <f>IFERROR(__xludf.DUMMYFUNCTION("""COMPUTED_VALUE"""),"WA ONLY")</f>
        <v>WA ONLY</v>
      </c>
      <c r="P1133" s="1" t="str">
        <f>IFERROR(__xludf.DUMMYFUNCTION("""COMPUTED_VALUE"""),"Madam")</f>
        <v>Madam</v>
      </c>
      <c r="Q1133" s="1" t="str">
        <f>IFERROR(__xludf.DUMMYFUNCTION("""COMPUTED_VALUE"""),"Yes")</f>
        <v>Yes</v>
      </c>
      <c r="R1133" s="1" t="str">
        <f>IFERROR(__xludf.DUMMYFUNCTION("""COMPUTED_VALUE"""),"OLD")</f>
        <v>OLD</v>
      </c>
      <c r="S1133" s="1" t="str">
        <f>IFERROR(__xludf.DUMMYFUNCTION("""COMPUTED_VALUE"""),"Yes")</f>
        <v>Yes</v>
      </c>
    </row>
    <row r="1134">
      <c r="A1134" s="2">
        <f>IFERROR(__xludf.DUMMYFUNCTION("""COMPUTED_VALUE"""),45814.60830289352)</f>
        <v>45814.6083</v>
      </c>
      <c r="B1134" s="1" t="str">
        <f>IFERROR(__xludf.DUMMYFUNCTION("""COMPUTED_VALUE"""),"Ritu gupta")</f>
        <v>Ritu gupta</v>
      </c>
      <c r="C1134" s="1">
        <f>IFERROR(__xludf.DUMMYFUNCTION("""COMPUTED_VALUE"""),9.818345009E9)</f>
        <v>9818345009</v>
      </c>
      <c r="D1134" s="1">
        <f>IFERROR(__xludf.DUMMYFUNCTION("""COMPUTED_VALUE"""),2.0)</f>
        <v>2</v>
      </c>
      <c r="E1134" s="3">
        <f>IFERROR(__xludf.DUMMYFUNCTION("""COMPUTED_VALUE"""),0.5715277777781012)</f>
        <v>0.5715277778</v>
      </c>
      <c r="F1134" s="1" t="str">
        <f>IFERROR(__xludf.DUMMYFUNCTION("""COMPUTED_VALUE"""),"Diamond")</f>
        <v>Diamond</v>
      </c>
      <c r="G1134" s="1"/>
      <c r="H1134" s="1" t="str">
        <f>IFERROR(__xludf.DUMMYFUNCTION("""COMPUTED_VALUE"""),"Bracelet ")</f>
        <v>Bracelet </v>
      </c>
      <c r="I1134" s="1" t="str">
        <f>IFERROR(__xludf.DUMMYFUNCTION("""COMPUTED_VALUE"""),"Visit Again in 1 Month")</f>
        <v>Visit Again in 1 Month</v>
      </c>
      <c r="J1134" s="1"/>
      <c r="K1134" s="3">
        <f>IFERROR(__xludf.DUMMYFUNCTION("""COMPUTED_VALUE"""),0.59375)</f>
        <v>0.59375</v>
      </c>
      <c r="L1134" s="1" t="str">
        <f>IFERROR(__xludf.DUMMYFUNCTION("""COMPUTED_VALUE"""),"No")</f>
        <v>No</v>
      </c>
      <c r="M1134" s="1" t="str">
        <f>IFERROR(__xludf.DUMMYFUNCTION("""COMPUTED_VALUE"""),"Yes")</f>
        <v>Yes</v>
      </c>
      <c r="N1134" s="1" t="str">
        <f>IFERROR(__xludf.DUMMYFUNCTION("""COMPUTED_VALUE"""),"Yes")</f>
        <v>Yes</v>
      </c>
      <c r="O1134" s="1" t="str">
        <f>IFERROR(__xludf.DUMMYFUNCTION("""COMPUTED_VALUE"""),"WA ONLY")</f>
        <v>WA ONLY</v>
      </c>
      <c r="P1134" s="1" t="str">
        <f>IFERROR(__xludf.DUMMYFUNCTION("""COMPUTED_VALUE"""),"Madam")</f>
        <v>Madam</v>
      </c>
      <c r="Q1134" s="1" t="str">
        <f>IFERROR(__xludf.DUMMYFUNCTION("""COMPUTED_VALUE"""),"No")</f>
        <v>No</v>
      </c>
      <c r="R1134" s="1" t="str">
        <f>IFERROR(__xludf.DUMMYFUNCTION("""COMPUTED_VALUE"""),"OLD")</f>
        <v>OLD</v>
      </c>
      <c r="S1134" s="1" t="str">
        <f>IFERROR(__xludf.DUMMYFUNCTION("""COMPUTED_VALUE"""),"No")</f>
        <v>No</v>
      </c>
    </row>
    <row r="1135">
      <c r="A1135" s="2">
        <f>IFERROR(__xludf.DUMMYFUNCTION("""COMPUTED_VALUE"""),45816.71458196759)</f>
        <v>45816.71458</v>
      </c>
      <c r="B1135" s="1" t="str">
        <f>IFERROR(__xludf.DUMMYFUNCTION("""COMPUTED_VALUE"""),"Rajni kalra ")</f>
        <v>Rajni kalra </v>
      </c>
      <c r="C1135" s="1">
        <f>IFERROR(__xludf.DUMMYFUNCTION("""COMPUTED_VALUE"""),9.860483319E9)</f>
        <v>9860483319</v>
      </c>
      <c r="D1135" s="1">
        <f>IFERROR(__xludf.DUMMYFUNCTION("""COMPUTED_VALUE"""),1.0)</f>
        <v>1</v>
      </c>
      <c r="E1135" s="3">
        <f>IFERROR(__xludf.DUMMYFUNCTION("""COMPUTED_VALUE"""),0.5173611111094942)</f>
        <v>0.5173611111</v>
      </c>
      <c r="F1135" s="1" t="str">
        <f>IFERROR(__xludf.DUMMYFUNCTION("""COMPUTED_VALUE"""),"Diamond")</f>
        <v>Diamond</v>
      </c>
      <c r="G1135" s="1"/>
      <c r="H1135" s="1" t="str">
        <f>IFERROR(__xludf.DUMMYFUNCTION("""COMPUTED_VALUE"""),"Ring")</f>
        <v>Ring</v>
      </c>
      <c r="I1135" s="1"/>
      <c r="J1135" s="1"/>
      <c r="K1135" s="3">
        <f>IFERROR(__xludf.DUMMYFUNCTION("""COMPUTED_VALUE"""),0.5416666666642413)</f>
        <v>0.5416666667</v>
      </c>
      <c r="L1135" s="1" t="str">
        <f>IFERROR(__xludf.DUMMYFUNCTION("""COMPUTED_VALUE"""),"No")</f>
        <v>No</v>
      </c>
      <c r="M1135" s="1" t="str">
        <f>IFERROR(__xludf.DUMMYFUNCTION("""COMPUTED_VALUE"""),"Yes")</f>
        <v>Yes</v>
      </c>
      <c r="N1135" s="1" t="str">
        <f>IFERROR(__xludf.DUMMYFUNCTION("""COMPUTED_VALUE"""),"Yes")</f>
        <v>Yes</v>
      </c>
      <c r="O1135" s="1" t="str">
        <f>IFERROR(__xludf.DUMMYFUNCTION("""COMPUTED_VALUE"""),"OWNER CONTACT ONLY")</f>
        <v>OWNER CONTACT ONLY</v>
      </c>
      <c r="P1135" s="1" t="str">
        <f>IFERROR(__xludf.DUMMYFUNCTION("""COMPUTED_VALUE"""),"Madam")</f>
        <v>Madam</v>
      </c>
      <c r="Q1135" s="1" t="str">
        <f>IFERROR(__xludf.DUMMYFUNCTION("""COMPUTED_VALUE"""),"Yes")</f>
        <v>Yes</v>
      </c>
      <c r="R1135" s="1" t="str">
        <f>IFERROR(__xludf.DUMMYFUNCTION("""COMPUTED_VALUE"""),"OLD")</f>
        <v>OLD</v>
      </c>
      <c r="S1135" s="1" t="str">
        <f>IFERROR(__xludf.DUMMYFUNCTION("""COMPUTED_VALUE"""),"No")</f>
        <v>No</v>
      </c>
    </row>
    <row r="1136">
      <c r="A1136" s="2">
        <f>IFERROR(__xludf.DUMMYFUNCTION("""COMPUTED_VALUE"""),45816.716000706016)</f>
        <v>45816.716</v>
      </c>
      <c r="B1136" s="1" t="str">
        <f>IFERROR(__xludf.DUMMYFUNCTION("""COMPUTED_VALUE"""),"Isha")</f>
        <v>Isha</v>
      </c>
      <c r="C1136" s="1">
        <f>IFERROR(__xludf.DUMMYFUNCTION("""COMPUTED_VALUE"""),9.079826701E9)</f>
        <v>9079826701</v>
      </c>
      <c r="D1136" s="1">
        <f>IFERROR(__xludf.DUMMYFUNCTION("""COMPUTED_VALUE"""),3.0)</f>
        <v>3</v>
      </c>
      <c r="E1136" s="3">
        <f>IFERROR(__xludf.DUMMYFUNCTION("""COMPUTED_VALUE"""),0.6145833333357587)</f>
        <v>0.6145833333</v>
      </c>
      <c r="F1136" s="1" t="str">
        <f>IFERROR(__xludf.DUMMYFUNCTION("""COMPUTED_VALUE"""),"Diamond")</f>
        <v>Diamond</v>
      </c>
      <c r="G1136" s="1" t="str">
        <f>IFERROR(__xludf.DUMMYFUNCTION("""COMPUTED_VALUE"""),"Preeti")</f>
        <v>Preeti</v>
      </c>
      <c r="H1136" s="1" t="str">
        <f>IFERROR(__xludf.DUMMYFUNCTION("""COMPUTED_VALUE"""),"Bangles")</f>
        <v>Bangles</v>
      </c>
      <c r="I1136" s="1" t="str">
        <f>IFERROR(__xludf.DUMMYFUNCTION("""COMPUTED_VALUE"""),"Pick up Order")</f>
        <v>Pick up Order</v>
      </c>
      <c r="J1136" s="1"/>
      <c r="K1136" s="3">
        <f>IFERROR(__xludf.DUMMYFUNCTION("""COMPUTED_VALUE"""),0.6777777777751908)</f>
        <v>0.6777777778</v>
      </c>
      <c r="L1136" s="1" t="str">
        <f>IFERROR(__xludf.DUMMYFUNCTION("""COMPUTED_VALUE"""),"No")</f>
        <v>No</v>
      </c>
      <c r="M1136" s="1" t="str">
        <f>IFERROR(__xludf.DUMMYFUNCTION("""COMPUTED_VALUE"""),"Yes")</f>
        <v>Yes</v>
      </c>
      <c r="N1136" s="1" t="str">
        <f>IFERROR(__xludf.DUMMYFUNCTION("""COMPUTED_VALUE"""),"Yes")</f>
        <v>Yes</v>
      </c>
      <c r="O1136" s="1" t="str">
        <f>IFERROR(__xludf.DUMMYFUNCTION("""COMPUTED_VALUE"""),"WA ONLY")</f>
        <v>WA ONLY</v>
      </c>
      <c r="P1136" s="1" t="str">
        <f>IFERROR(__xludf.DUMMYFUNCTION("""COMPUTED_VALUE"""),"Madam")</f>
        <v>Madam</v>
      </c>
      <c r="Q1136" s="1" t="str">
        <f>IFERROR(__xludf.DUMMYFUNCTION("""COMPUTED_VALUE"""),"No")</f>
        <v>No</v>
      </c>
      <c r="R1136" s="1" t="str">
        <f>IFERROR(__xludf.DUMMYFUNCTION("""COMPUTED_VALUE"""),"OLD")</f>
        <v>OLD</v>
      </c>
      <c r="S1136" s="1" t="str">
        <f>IFERROR(__xludf.DUMMYFUNCTION("""COMPUTED_VALUE"""),"Yes")</f>
        <v>Yes</v>
      </c>
    </row>
    <row r="1137">
      <c r="A1137" s="2">
        <f>IFERROR(__xludf.DUMMYFUNCTION("""COMPUTED_VALUE"""),45816.72453871528)</f>
        <v>45816.72454</v>
      </c>
      <c r="B1137" s="1" t="str">
        <f>IFERROR(__xludf.DUMMYFUNCTION("""COMPUTED_VALUE"""),"Khushboo")</f>
        <v>Khushboo</v>
      </c>
      <c r="C1137" s="1">
        <f>IFERROR(__xludf.DUMMYFUNCTION("""COMPUTED_VALUE"""),9.667337279E9)</f>
        <v>9667337279</v>
      </c>
      <c r="D1137" s="1">
        <f>IFERROR(__xludf.DUMMYFUNCTION("""COMPUTED_VALUE"""),3.0)</f>
        <v>3</v>
      </c>
      <c r="E1137" s="3">
        <f>IFERROR(__xludf.DUMMYFUNCTION("""COMPUTED_VALUE"""),0.59375)</f>
        <v>0.59375</v>
      </c>
      <c r="F1137" s="1" t="str">
        <f>IFERROR(__xludf.DUMMYFUNCTION("""COMPUTED_VALUE"""),"Antique Gold")</f>
        <v>Antique Gold</v>
      </c>
      <c r="G1137" s="1" t="str">
        <f>IFERROR(__xludf.DUMMYFUNCTION("""COMPUTED_VALUE"""),"Sapna")</f>
        <v>Sapna</v>
      </c>
      <c r="H1137" s="1" t="str">
        <f>IFERROR(__xludf.DUMMYFUNCTION("""COMPUTED_VALUE"""),"Neck chains")</f>
        <v>Neck chains</v>
      </c>
      <c r="I1137" s="1" t="str">
        <f>IFERROR(__xludf.DUMMYFUNCTION("""COMPUTED_VALUE"""),"Give Payment")</f>
        <v>Give Payment</v>
      </c>
      <c r="J1137" s="1"/>
      <c r="K1137" s="3">
        <f>IFERROR(__xludf.DUMMYFUNCTION("""COMPUTED_VALUE"""),0.7222222222189885)</f>
        <v>0.7222222222</v>
      </c>
      <c r="L1137" s="1" t="str">
        <f>IFERROR(__xludf.DUMMYFUNCTION("""COMPUTED_VALUE"""),"No")</f>
        <v>No</v>
      </c>
      <c r="M1137" s="1" t="str">
        <f>IFERROR(__xludf.DUMMYFUNCTION("""COMPUTED_VALUE"""),"Yes")</f>
        <v>Yes</v>
      </c>
      <c r="N1137" s="1" t="str">
        <f>IFERROR(__xludf.DUMMYFUNCTION("""COMPUTED_VALUE"""),"Yes")</f>
        <v>Yes</v>
      </c>
      <c r="O1137" s="1" t="str">
        <f>IFERROR(__xludf.DUMMYFUNCTION("""COMPUTED_VALUE"""),"WA ONLY")</f>
        <v>WA ONLY</v>
      </c>
      <c r="P1137" s="1" t="str">
        <f>IFERROR(__xludf.DUMMYFUNCTION("""COMPUTED_VALUE"""),"Madam")</f>
        <v>Madam</v>
      </c>
      <c r="Q1137" s="1" t="str">
        <f>IFERROR(__xludf.DUMMYFUNCTION("""COMPUTED_VALUE"""),"Yes")</f>
        <v>Yes</v>
      </c>
      <c r="R1137" s="1" t="str">
        <f>IFERROR(__xludf.DUMMYFUNCTION("""COMPUTED_VALUE"""),"OLD")</f>
        <v>OLD</v>
      </c>
      <c r="S1137" s="1" t="str">
        <f>IFERROR(__xludf.DUMMYFUNCTION("""COMPUTED_VALUE"""),"Yes")</f>
        <v>Yes</v>
      </c>
    </row>
    <row r="1138">
      <c r="A1138" s="2">
        <f>IFERROR(__xludf.DUMMYFUNCTION("""COMPUTED_VALUE"""),45818.73518078704)</f>
        <v>45818.73518</v>
      </c>
      <c r="B1138" s="1" t="str">
        <f>IFERROR(__xludf.DUMMYFUNCTION("""COMPUTED_VALUE"""),"Bhavana")</f>
        <v>Bhavana</v>
      </c>
      <c r="C1138" s="1">
        <f>IFERROR(__xludf.DUMMYFUNCTION("""COMPUTED_VALUE"""),7.827677772E9)</f>
        <v>7827677772</v>
      </c>
      <c r="D1138" s="1">
        <f>IFERROR(__xludf.DUMMYFUNCTION("""COMPUTED_VALUE"""),3.0)</f>
        <v>3</v>
      </c>
      <c r="E1138" s="3">
        <f>IFERROR(__xludf.DUMMYFUNCTION("""COMPUTED_VALUE"""),0.6770833333357587)</f>
        <v>0.6770833333</v>
      </c>
      <c r="F1138" s="1" t="str">
        <f>IFERROR(__xludf.DUMMYFUNCTION("""COMPUTED_VALUE"""),"Plain Gold")</f>
        <v>Plain Gold</v>
      </c>
      <c r="G1138" s="1" t="str">
        <f>IFERROR(__xludf.DUMMYFUNCTION("""COMPUTED_VALUE"""),"Preeti")</f>
        <v>Preeti</v>
      </c>
      <c r="H1138" s="1" t="str">
        <f>IFERROR(__xludf.DUMMYFUNCTION("""COMPUTED_VALUE"""),"Bracelet ")</f>
        <v>Bracelet </v>
      </c>
      <c r="I1138" s="1" t="str">
        <f>IFERROR(__xludf.DUMMYFUNCTION("""COMPUTED_VALUE"""),"Visit Again in 1 Month")</f>
        <v>Visit Again in 1 Month</v>
      </c>
      <c r="J1138" s="1"/>
      <c r="K1138" s="3">
        <f>IFERROR(__xludf.DUMMYFUNCTION("""COMPUTED_VALUE"""),0.7284722222248092)</f>
        <v>0.7284722222</v>
      </c>
      <c r="L1138" s="1" t="str">
        <f>IFERROR(__xludf.DUMMYFUNCTION("""COMPUTED_VALUE"""),"No")</f>
        <v>No</v>
      </c>
      <c r="M1138" s="1" t="str">
        <f>IFERROR(__xludf.DUMMYFUNCTION("""COMPUTED_VALUE"""),"Yes")</f>
        <v>Yes</v>
      </c>
      <c r="N1138" s="1" t="str">
        <f>IFERROR(__xludf.DUMMYFUNCTION("""COMPUTED_VALUE"""),"Yes")</f>
        <v>Yes</v>
      </c>
      <c r="O1138" s="1" t="str">
        <f>IFERROR(__xludf.DUMMYFUNCTION("""COMPUTED_VALUE"""),"WA ONLY")</f>
        <v>WA ONLY</v>
      </c>
      <c r="P1138" s="1" t="str">
        <f>IFERROR(__xludf.DUMMYFUNCTION("""COMPUTED_VALUE"""),"Madam")</f>
        <v>Madam</v>
      </c>
      <c r="Q1138" s="1" t="str">
        <f>IFERROR(__xludf.DUMMYFUNCTION("""COMPUTED_VALUE"""),"No")</f>
        <v>No</v>
      </c>
      <c r="R1138" s="1" t="str">
        <f>IFERROR(__xludf.DUMMYFUNCTION("""COMPUTED_VALUE"""),"NEW WALK IN")</f>
        <v>NEW WALK IN</v>
      </c>
      <c r="S1138" s="1" t="str">
        <f>IFERROR(__xludf.DUMMYFUNCTION("""COMPUTED_VALUE"""),"No")</f>
        <v>No</v>
      </c>
    </row>
    <row r="1139">
      <c r="A1139" s="2">
        <f>IFERROR(__xludf.DUMMYFUNCTION("""COMPUTED_VALUE"""),45820.71434715278)</f>
        <v>45820.71435</v>
      </c>
      <c r="B1139" s="1" t="str">
        <f>IFERROR(__xludf.DUMMYFUNCTION("""COMPUTED_VALUE"""),"Shweta")</f>
        <v>Shweta</v>
      </c>
      <c r="C1139" s="1">
        <f>IFERROR(__xludf.DUMMYFUNCTION("""COMPUTED_VALUE"""),9.95311425E9)</f>
        <v>9953114250</v>
      </c>
      <c r="D1139" s="1">
        <f>IFERROR(__xludf.DUMMYFUNCTION("""COMPUTED_VALUE"""),1.0)</f>
        <v>1</v>
      </c>
      <c r="E1139" s="3">
        <f>IFERROR(__xludf.DUMMYFUNCTION("""COMPUTED_VALUE"""),0.6875)</f>
        <v>0.6875</v>
      </c>
      <c r="F1139" s="1" t="str">
        <f>IFERROR(__xludf.DUMMYFUNCTION("""COMPUTED_VALUE"""),"Diamond")</f>
        <v>Diamond</v>
      </c>
      <c r="G1139" s="1" t="str">
        <f>IFERROR(__xludf.DUMMYFUNCTION("""COMPUTED_VALUE"""),"Preeti")</f>
        <v>Preeti</v>
      </c>
      <c r="H1139" s="1"/>
      <c r="I1139" s="1"/>
      <c r="J1139" s="1"/>
      <c r="K1139" s="3">
        <f>IFERROR(__xludf.DUMMYFUNCTION("""COMPUTED_VALUE"""),0.7291666666642413)</f>
        <v>0.7291666667</v>
      </c>
      <c r="L1139" s="1" t="str">
        <f>IFERROR(__xludf.DUMMYFUNCTION("""COMPUTED_VALUE"""),"No")</f>
        <v>No</v>
      </c>
      <c r="M1139" s="1" t="str">
        <f>IFERROR(__xludf.DUMMYFUNCTION("""COMPUTED_VALUE"""),"Yes")</f>
        <v>Yes</v>
      </c>
      <c r="N1139" s="1" t="str">
        <f>IFERROR(__xludf.DUMMYFUNCTION("""COMPUTED_VALUE"""),"Yes")</f>
        <v>Yes</v>
      </c>
      <c r="O1139" s="1" t="str">
        <f>IFERROR(__xludf.DUMMYFUNCTION("""COMPUTED_VALUE"""),"WA ONLY")</f>
        <v>WA ONLY</v>
      </c>
      <c r="P1139" s="1" t="str">
        <f>IFERROR(__xludf.DUMMYFUNCTION("""COMPUTED_VALUE"""),"Madam")</f>
        <v>Madam</v>
      </c>
      <c r="Q1139" s="1" t="str">
        <f>IFERROR(__xludf.DUMMYFUNCTION("""COMPUTED_VALUE"""),"No")</f>
        <v>No</v>
      </c>
      <c r="R1139" s="1" t="str">
        <f>IFERROR(__xludf.DUMMYFUNCTION("""COMPUTED_VALUE"""),"OLD")</f>
        <v>OLD</v>
      </c>
      <c r="S1139" s="1" t="str">
        <f>IFERROR(__xludf.DUMMYFUNCTION("""COMPUTED_VALUE"""),"No")</f>
        <v>No</v>
      </c>
    </row>
    <row r="1140">
      <c r="A1140" s="2">
        <f>IFERROR(__xludf.DUMMYFUNCTION("""COMPUTED_VALUE"""),45821.481412974535)</f>
        <v>45821.48141</v>
      </c>
      <c r="B1140" s="1" t="str">
        <f>IFERROR(__xludf.DUMMYFUNCTION("""COMPUTED_VALUE"""),"Anubha Jain")</f>
        <v>Anubha Jain</v>
      </c>
      <c r="C1140" s="1">
        <f>IFERROR(__xludf.DUMMYFUNCTION("""COMPUTED_VALUE"""),9.81182022E9)</f>
        <v>9811820220</v>
      </c>
      <c r="D1140" s="1">
        <f>IFERROR(__xludf.DUMMYFUNCTION("""COMPUTED_VALUE"""),2.0)</f>
        <v>2</v>
      </c>
      <c r="E1140" s="3">
        <f>IFERROR(__xludf.DUMMYFUNCTION("""COMPUTED_VALUE"""),0.7708333333357587)</f>
        <v>0.7708333333</v>
      </c>
      <c r="F1140" s="1" t="str">
        <f>IFERROR(__xludf.DUMMYFUNCTION("""COMPUTED_VALUE"""),"Plain Gold")</f>
        <v>Plain Gold</v>
      </c>
      <c r="G1140" s="1"/>
      <c r="H1140" s="1" t="str">
        <f>IFERROR(__xludf.DUMMYFUNCTION("""COMPUTED_VALUE"""),"Bangles tops")</f>
        <v>Bangles tops</v>
      </c>
      <c r="I1140" s="1" t="str">
        <f>IFERROR(__xludf.DUMMYFUNCTION("""COMPUTED_VALUE"""),"Visit Again in 1 Month")</f>
        <v>Visit Again in 1 Month</v>
      </c>
      <c r="J1140" s="1"/>
      <c r="K1140" s="3">
        <f>IFERROR(__xludf.DUMMYFUNCTION("""COMPUTED_VALUE"""),0.8020833333357587)</f>
        <v>0.8020833333</v>
      </c>
      <c r="L1140" s="1" t="str">
        <f>IFERROR(__xludf.DUMMYFUNCTION("""COMPUTED_VALUE"""),"No")</f>
        <v>No</v>
      </c>
      <c r="M1140" s="1" t="str">
        <f>IFERROR(__xludf.DUMMYFUNCTION("""COMPUTED_VALUE"""),"Yes")</f>
        <v>Yes</v>
      </c>
      <c r="N1140" s="1" t="str">
        <f>IFERROR(__xludf.DUMMYFUNCTION("""COMPUTED_VALUE"""),"Yes")</f>
        <v>Yes</v>
      </c>
      <c r="O1140" s="1" t="str">
        <f>IFERROR(__xludf.DUMMYFUNCTION("""COMPUTED_VALUE"""),"OWNER CONTACT ONLY")</f>
        <v>OWNER CONTACT ONLY</v>
      </c>
      <c r="P1140" s="1" t="str">
        <f>IFERROR(__xludf.DUMMYFUNCTION("""COMPUTED_VALUE"""),"Madam")</f>
        <v>Madam</v>
      </c>
      <c r="Q1140" s="1" t="str">
        <f>IFERROR(__xludf.DUMMYFUNCTION("""COMPUTED_VALUE"""),"No")</f>
        <v>No</v>
      </c>
      <c r="R1140" s="1" t="str">
        <f>IFERROR(__xludf.DUMMYFUNCTION("""COMPUTED_VALUE"""),"OLD")</f>
        <v>OLD</v>
      </c>
      <c r="S1140" s="1" t="str">
        <f>IFERROR(__xludf.DUMMYFUNCTION("""COMPUTED_VALUE"""),"No")</f>
        <v>No</v>
      </c>
    </row>
    <row r="1141">
      <c r="A1141" s="2">
        <f>IFERROR(__xludf.DUMMYFUNCTION("""COMPUTED_VALUE"""),45821.769646782406)</f>
        <v>45821.76965</v>
      </c>
      <c r="B1141" s="1" t="str">
        <f>IFERROR(__xludf.DUMMYFUNCTION("""COMPUTED_VALUE"""),"Tanishq")</f>
        <v>Tanishq</v>
      </c>
      <c r="C1141" s="1">
        <f>IFERROR(__xludf.DUMMYFUNCTION("""COMPUTED_VALUE"""),9.810548661E9)</f>
        <v>9810548661</v>
      </c>
      <c r="D1141" s="1">
        <f>IFERROR(__xludf.DUMMYFUNCTION("""COMPUTED_VALUE"""),2.0)</f>
        <v>2</v>
      </c>
      <c r="E1141" s="3">
        <f>IFERROR(__xludf.DUMMYFUNCTION("""COMPUTED_VALUE"""),0.7222222222189885)</f>
        <v>0.7222222222</v>
      </c>
      <c r="F1141" s="1" t="str">
        <f>IFERROR(__xludf.DUMMYFUNCTION("""COMPUTED_VALUE"""),"Plain Gold")</f>
        <v>Plain Gold</v>
      </c>
      <c r="G1141" s="1" t="str">
        <f>IFERROR(__xludf.DUMMYFUNCTION("""COMPUTED_VALUE"""),"Sapna")</f>
        <v>Sapna</v>
      </c>
      <c r="H1141" s="1" t="str">
        <f>IFERROR(__xludf.DUMMYFUNCTION("""COMPUTED_VALUE"""),"Nothing")</f>
        <v>Nothing</v>
      </c>
      <c r="I1141" s="1"/>
      <c r="J1141" s="1"/>
      <c r="K1141" s="3">
        <f>IFERROR(__xludf.DUMMYFUNCTION("""COMPUTED_VALUE"""),0.7583333333313931)</f>
        <v>0.7583333333</v>
      </c>
      <c r="L1141" s="1" t="str">
        <f>IFERROR(__xludf.DUMMYFUNCTION("""COMPUTED_VALUE"""),"No")</f>
        <v>No</v>
      </c>
      <c r="M1141" s="1" t="str">
        <f>IFERROR(__xludf.DUMMYFUNCTION("""COMPUTED_VALUE"""),"Yes")</f>
        <v>Yes</v>
      </c>
      <c r="N1141" s="1" t="str">
        <f>IFERROR(__xludf.DUMMYFUNCTION("""COMPUTED_VALUE"""),"Yes")</f>
        <v>Yes</v>
      </c>
      <c r="O1141" s="1" t="str">
        <f>IFERROR(__xludf.DUMMYFUNCTION("""COMPUTED_VALUE"""),"WA ONLY, OWNER CONTACT ONLY")</f>
        <v>WA ONLY, OWNER CONTACT ONLY</v>
      </c>
      <c r="P1141" s="1" t="str">
        <f>IFERROR(__xludf.DUMMYFUNCTION("""COMPUTED_VALUE"""),"Sir")</f>
        <v>Sir</v>
      </c>
      <c r="Q1141" s="1" t="str">
        <f>IFERROR(__xludf.DUMMYFUNCTION("""COMPUTED_VALUE"""),"No")</f>
        <v>No</v>
      </c>
      <c r="R1141" s="1" t="str">
        <f>IFERROR(__xludf.DUMMYFUNCTION("""COMPUTED_VALUE"""),"OLD")</f>
        <v>OLD</v>
      </c>
      <c r="S1141" s="1" t="str">
        <f>IFERROR(__xludf.DUMMYFUNCTION("""COMPUTED_VALUE"""),"No")</f>
        <v>No</v>
      </c>
    </row>
    <row r="1142">
      <c r="A1142" s="2">
        <f>IFERROR(__xludf.DUMMYFUNCTION("""COMPUTED_VALUE"""),45821.78472789352)</f>
        <v>45821.78473</v>
      </c>
      <c r="B1142" s="1" t="str">
        <f>IFERROR(__xludf.DUMMYFUNCTION("""COMPUTED_VALUE"""),"Gauri goel")</f>
        <v>Gauri goel</v>
      </c>
      <c r="C1142" s="1">
        <f>IFERROR(__xludf.DUMMYFUNCTION("""COMPUTED_VALUE"""),8.860015116E9)</f>
        <v>8860015116</v>
      </c>
      <c r="D1142" s="1">
        <f>IFERROR(__xludf.DUMMYFUNCTION("""COMPUTED_VALUE"""),2.0)</f>
        <v>2</v>
      </c>
      <c r="E1142" s="3">
        <f>IFERROR(__xludf.DUMMYFUNCTION("""COMPUTED_VALUE"""),0.7298611111109494)</f>
        <v>0.7298611111</v>
      </c>
      <c r="F1142" s="1" t="str">
        <f>IFERROR(__xludf.DUMMYFUNCTION("""COMPUTED_VALUE"""),"Diamond")</f>
        <v>Diamond</v>
      </c>
      <c r="G1142" s="1" t="str">
        <f>IFERROR(__xludf.DUMMYFUNCTION("""COMPUTED_VALUE"""),"Preeti")</f>
        <v>Preeti</v>
      </c>
      <c r="H1142" s="1" t="str">
        <f>IFERROR(__xludf.DUMMYFUNCTION("""COMPUTED_VALUE"""),"Necklaces ")</f>
        <v>Necklaces </v>
      </c>
      <c r="I1142" s="1" t="str">
        <f>IFERROR(__xludf.DUMMYFUNCTION("""COMPUTED_VALUE"""),"Making High or Wants Discount")</f>
        <v>Making High or Wants Discount</v>
      </c>
      <c r="J1142" s="1"/>
      <c r="K1142" s="3">
        <f>IFERROR(__xludf.DUMMYFUNCTION("""COMPUTED_VALUE"""),0.7833333333328483)</f>
        <v>0.7833333333</v>
      </c>
      <c r="L1142" s="1" t="str">
        <f>IFERROR(__xludf.DUMMYFUNCTION("""COMPUTED_VALUE"""),"No")</f>
        <v>No</v>
      </c>
      <c r="M1142" s="1" t="str">
        <f>IFERROR(__xludf.DUMMYFUNCTION("""COMPUTED_VALUE"""),"Yes")</f>
        <v>Yes</v>
      </c>
      <c r="N1142" s="1" t="str">
        <f>IFERROR(__xludf.DUMMYFUNCTION("""COMPUTED_VALUE"""),"Yes")</f>
        <v>Yes</v>
      </c>
      <c r="O1142" s="1" t="str">
        <f>IFERROR(__xludf.DUMMYFUNCTION("""COMPUTED_VALUE"""),"WA ONLY")</f>
        <v>WA ONLY</v>
      </c>
      <c r="P1142" s="1" t="str">
        <f>IFERROR(__xludf.DUMMYFUNCTION("""COMPUTED_VALUE"""),"Madam")</f>
        <v>Madam</v>
      </c>
      <c r="Q1142" s="1" t="str">
        <f>IFERROR(__xludf.DUMMYFUNCTION("""COMPUTED_VALUE"""),"No")</f>
        <v>No</v>
      </c>
      <c r="R1142" s="1" t="str">
        <f>IFERROR(__xludf.DUMMYFUNCTION("""COMPUTED_VALUE"""),"OLD")</f>
        <v>OLD</v>
      </c>
      <c r="S1142" s="1" t="str">
        <f>IFERROR(__xludf.DUMMYFUNCTION("""COMPUTED_VALUE"""),"No")</f>
        <v>No</v>
      </c>
    </row>
    <row r="1143">
      <c r="A1143" s="2">
        <f>IFERROR(__xludf.DUMMYFUNCTION("""COMPUTED_VALUE"""),45822.688669386574)</f>
        <v>45822.68867</v>
      </c>
      <c r="B1143" s="1" t="str">
        <f>IFERROR(__xludf.DUMMYFUNCTION("""COMPUTED_VALUE"""),"Kajal")</f>
        <v>Kajal</v>
      </c>
      <c r="C1143" s="1">
        <f>IFERROR(__xludf.DUMMYFUNCTION("""COMPUTED_VALUE"""),8.527162516E9)</f>
        <v>8527162516</v>
      </c>
      <c r="D1143" s="1">
        <f>IFERROR(__xludf.DUMMYFUNCTION("""COMPUTED_VALUE"""),2.0)</f>
        <v>2</v>
      </c>
      <c r="E1143" s="3">
        <f>IFERROR(__xludf.DUMMYFUNCTION("""COMPUTED_VALUE"""),0.5381944444452529)</f>
        <v>0.5381944444</v>
      </c>
      <c r="F1143" s="1" t="str">
        <f>IFERROR(__xludf.DUMMYFUNCTION("""COMPUTED_VALUE"""),"Plain Gold")</f>
        <v>Plain Gold</v>
      </c>
      <c r="G1143" s="1" t="str">
        <f>IFERROR(__xludf.DUMMYFUNCTION("""COMPUTED_VALUE"""),"Sapna")</f>
        <v>Sapna</v>
      </c>
      <c r="H1143" s="1" t="str">
        <f>IFERROR(__xludf.DUMMYFUNCTION("""COMPUTED_VALUE"""),"Gents kadha")</f>
        <v>Gents kadha</v>
      </c>
      <c r="I1143" s="1"/>
      <c r="J1143" s="1"/>
      <c r="K1143" s="3">
        <f>IFERROR(__xludf.DUMMYFUNCTION("""COMPUTED_VALUE"""),0.6041666666642413)</f>
        <v>0.6041666667</v>
      </c>
      <c r="L1143" s="1" t="str">
        <f>IFERROR(__xludf.DUMMYFUNCTION("""COMPUTED_VALUE"""),"No")</f>
        <v>No</v>
      </c>
      <c r="M1143" s="1" t="str">
        <f>IFERROR(__xludf.DUMMYFUNCTION("""COMPUTED_VALUE"""),"No")</f>
        <v>No</v>
      </c>
      <c r="N1143" s="1" t="str">
        <f>IFERROR(__xludf.DUMMYFUNCTION("""COMPUTED_VALUE"""),"No")</f>
        <v>No</v>
      </c>
      <c r="O1143" s="1" t="str">
        <f>IFERROR(__xludf.DUMMYFUNCTION("""COMPUTED_VALUE"""),"WA ONLY")</f>
        <v>WA ONLY</v>
      </c>
      <c r="P1143" s="1" t="str">
        <f>IFERROR(__xludf.DUMMYFUNCTION("""COMPUTED_VALUE"""),"Madam")</f>
        <v>Madam</v>
      </c>
      <c r="Q1143" s="1" t="str">
        <f>IFERROR(__xludf.DUMMYFUNCTION("""COMPUTED_VALUE"""),"No")</f>
        <v>No</v>
      </c>
      <c r="R1143" s="1" t="str">
        <f>IFERROR(__xludf.DUMMYFUNCTION("""COMPUTED_VALUE"""),"OLD")</f>
        <v>OLD</v>
      </c>
      <c r="S1143" s="1" t="str">
        <f>IFERROR(__xludf.DUMMYFUNCTION("""COMPUTED_VALUE"""),"Yes")</f>
        <v>Yes</v>
      </c>
    </row>
    <row r="1144">
      <c r="A1144" s="2">
        <f>IFERROR(__xludf.DUMMYFUNCTION("""COMPUTED_VALUE"""),45822.69051478009)</f>
        <v>45822.69051</v>
      </c>
      <c r="B1144" s="1" t="str">
        <f>IFERROR(__xludf.DUMMYFUNCTION("""COMPUTED_VALUE"""),"Gauri goel")</f>
        <v>Gauri goel</v>
      </c>
      <c r="C1144" s="1">
        <f>IFERROR(__xludf.DUMMYFUNCTION("""COMPUTED_VALUE"""),8.860015116E9)</f>
        <v>8860015116</v>
      </c>
      <c r="D1144" s="1">
        <f>IFERROR(__xludf.DUMMYFUNCTION("""COMPUTED_VALUE"""),2.0)</f>
        <v>2</v>
      </c>
      <c r="E1144" s="3">
        <f>IFERROR(__xludf.DUMMYFUNCTION("""COMPUTED_VALUE"""),0.6354166666642413)</f>
        <v>0.6354166667</v>
      </c>
      <c r="F1144" s="1" t="str">
        <f>IFERROR(__xludf.DUMMYFUNCTION("""COMPUTED_VALUE"""),"Plain Gold")</f>
        <v>Plain Gold</v>
      </c>
      <c r="G1144" s="1" t="str">
        <f>IFERROR(__xludf.DUMMYFUNCTION("""COMPUTED_VALUE"""),"Sapna")</f>
        <v>Sapna</v>
      </c>
      <c r="H1144" s="1" t="str">
        <f>IFERROR(__xludf.DUMMYFUNCTION("""COMPUTED_VALUE"""),"Gold chain")</f>
        <v>Gold chain</v>
      </c>
      <c r="I1144" s="1"/>
      <c r="J1144" s="1"/>
      <c r="K1144" s="3">
        <f>IFERROR(__xludf.DUMMYFUNCTION("""COMPUTED_VALUE"""),0.6666666666642413)</f>
        <v>0.6666666667</v>
      </c>
      <c r="L1144" s="1" t="str">
        <f>IFERROR(__xludf.DUMMYFUNCTION("""COMPUTED_VALUE"""),"No")</f>
        <v>No</v>
      </c>
      <c r="M1144" s="1" t="str">
        <f>IFERROR(__xludf.DUMMYFUNCTION("""COMPUTED_VALUE"""),"Already done")</f>
        <v>Already done</v>
      </c>
      <c r="N1144" s="1" t="str">
        <f>IFERROR(__xludf.DUMMYFUNCTION("""COMPUTED_VALUE"""),"Already done")</f>
        <v>Already done</v>
      </c>
      <c r="O1144" s="1" t="str">
        <f>IFERROR(__xludf.DUMMYFUNCTION("""COMPUTED_VALUE"""),"WA ONLY")</f>
        <v>WA ONLY</v>
      </c>
      <c r="P1144" s="1" t="str">
        <f>IFERROR(__xludf.DUMMYFUNCTION("""COMPUTED_VALUE"""),"Madam")</f>
        <v>Madam</v>
      </c>
      <c r="Q1144" s="1" t="str">
        <f>IFERROR(__xludf.DUMMYFUNCTION("""COMPUTED_VALUE"""),"No")</f>
        <v>No</v>
      </c>
      <c r="R1144" s="1" t="str">
        <f>IFERROR(__xludf.DUMMYFUNCTION("""COMPUTED_VALUE"""),"OLD")</f>
        <v>OLD</v>
      </c>
      <c r="S1144" s="1" t="str">
        <f>IFERROR(__xludf.DUMMYFUNCTION("""COMPUTED_VALUE"""),"Yes")</f>
        <v>Yes</v>
      </c>
    </row>
    <row r="1145">
      <c r="A1145" s="2">
        <f>IFERROR(__xludf.DUMMYFUNCTION("""COMPUTED_VALUE"""),45823.502086203705)</f>
        <v>45823.50209</v>
      </c>
      <c r="B1145" s="1" t="str">
        <f>IFERROR(__xludf.DUMMYFUNCTION("""COMPUTED_VALUE"""),"Rukaieya")</f>
        <v>Rukaieya</v>
      </c>
      <c r="C1145" s="1">
        <f>IFERROR(__xludf.DUMMYFUNCTION("""COMPUTED_VALUE"""),9.996528515E9)</f>
        <v>9996528515</v>
      </c>
      <c r="D1145" s="1">
        <f>IFERROR(__xludf.DUMMYFUNCTION("""COMPUTED_VALUE"""),2.0)</f>
        <v>2</v>
      </c>
      <c r="E1145" s="3">
        <f>IFERROR(__xludf.DUMMYFUNCTION("""COMPUTED_VALUE"""),0.7708333333357587)</f>
        <v>0.7708333333</v>
      </c>
      <c r="F1145" s="1" t="str">
        <f>IFERROR(__xludf.DUMMYFUNCTION("""COMPUTED_VALUE"""),"Diamond")</f>
        <v>Diamond</v>
      </c>
      <c r="G1145" s="1" t="str">
        <f>IFERROR(__xludf.DUMMYFUNCTION("""COMPUTED_VALUE"""),"Preeti")</f>
        <v>Preeti</v>
      </c>
      <c r="H1145" s="1" t="str">
        <f>IFERROR(__xludf.DUMMYFUNCTION("""COMPUTED_VALUE"""),"Neck chains")</f>
        <v>Neck chains</v>
      </c>
      <c r="I1145" s="1"/>
      <c r="J1145" s="1"/>
      <c r="K1145" s="3">
        <f>IFERROR(__xludf.DUMMYFUNCTION("""COMPUTED_VALUE"""),0.8020833333357587)</f>
        <v>0.8020833333</v>
      </c>
      <c r="L1145" s="1" t="str">
        <f>IFERROR(__xludf.DUMMYFUNCTION("""COMPUTED_VALUE"""),"No")</f>
        <v>No</v>
      </c>
      <c r="M1145" s="1" t="str">
        <f>IFERROR(__xludf.DUMMYFUNCTION("""COMPUTED_VALUE"""),"Yes")</f>
        <v>Yes</v>
      </c>
      <c r="N1145" s="1" t="str">
        <f>IFERROR(__xludf.DUMMYFUNCTION("""COMPUTED_VALUE"""),"Already done")</f>
        <v>Already done</v>
      </c>
      <c r="O1145" s="1" t="str">
        <f>IFERROR(__xludf.DUMMYFUNCTION("""COMPUTED_VALUE"""),"WA ONLY")</f>
        <v>WA ONLY</v>
      </c>
      <c r="P1145" s="1" t="str">
        <f>IFERROR(__xludf.DUMMYFUNCTION("""COMPUTED_VALUE"""),"Madam")</f>
        <v>Madam</v>
      </c>
      <c r="Q1145" s="1" t="str">
        <f>IFERROR(__xludf.DUMMYFUNCTION("""COMPUTED_VALUE"""),"No")</f>
        <v>No</v>
      </c>
      <c r="R1145" s="1" t="str">
        <f>IFERROR(__xludf.DUMMYFUNCTION("""COMPUTED_VALUE"""),"OLD")</f>
        <v>OLD</v>
      </c>
      <c r="S1145" s="1" t="str">
        <f>IFERROR(__xludf.DUMMYFUNCTION("""COMPUTED_VALUE"""),"No")</f>
        <v>No</v>
      </c>
    </row>
    <row r="1146">
      <c r="A1146" s="2">
        <f>IFERROR(__xludf.DUMMYFUNCTION("""COMPUTED_VALUE"""),45823.50380659722)</f>
        <v>45823.50381</v>
      </c>
      <c r="B1146" s="1" t="str">
        <f>IFERROR(__xludf.DUMMYFUNCTION("""COMPUTED_VALUE"""),"Geetika")</f>
        <v>Geetika</v>
      </c>
      <c r="C1146" s="1">
        <f>IFERROR(__xludf.DUMMYFUNCTION("""COMPUTED_VALUE"""),8.432506262E9)</f>
        <v>8432506262</v>
      </c>
      <c r="D1146" s="1">
        <f>IFERROR(__xludf.DUMMYFUNCTION("""COMPUTED_VALUE"""),2.0)</f>
        <v>2</v>
      </c>
      <c r="E1146" s="3">
        <f>IFERROR(__xludf.DUMMYFUNCTION("""COMPUTED_VALUE"""),0.7777777777810115)</f>
        <v>0.7777777778</v>
      </c>
      <c r="F1146" s="1" t="str">
        <f>IFERROR(__xludf.DUMMYFUNCTION("""COMPUTED_VALUE"""),"Antique Gold")</f>
        <v>Antique Gold</v>
      </c>
      <c r="G1146" s="1" t="str">
        <f>IFERROR(__xludf.DUMMYFUNCTION("""COMPUTED_VALUE"""),"Sapna")</f>
        <v>Sapna</v>
      </c>
      <c r="H1146" s="1"/>
      <c r="I1146" s="1" t="str">
        <f>IFERROR(__xludf.DUMMYFUNCTION("""COMPUTED_VALUE"""),"Give Payment")</f>
        <v>Give Payment</v>
      </c>
      <c r="J1146" s="1"/>
      <c r="K1146" s="3">
        <f>IFERROR(__xludf.DUMMYFUNCTION("""COMPUTED_VALUE"""),0.7291666666642413)</f>
        <v>0.7291666667</v>
      </c>
      <c r="L1146" s="1" t="str">
        <f>IFERROR(__xludf.DUMMYFUNCTION("""COMPUTED_VALUE"""),"No")</f>
        <v>No</v>
      </c>
      <c r="M1146" s="1" t="str">
        <f>IFERROR(__xludf.DUMMYFUNCTION("""COMPUTED_VALUE"""),"Already done")</f>
        <v>Already done</v>
      </c>
      <c r="N1146" s="1" t="str">
        <f>IFERROR(__xludf.DUMMYFUNCTION("""COMPUTED_VALUE"""),"Already done")</f>
        <v>Already done</v>
      </c>
      <c r="O1146" s="1" t="str">
        <f>IFERROR(__xludf.DUMMYFUNCTION("""COMPUTED_VALUE"""),"WA ONLY")</f>
        <v>WA ONLY</v>
      </c>
      <c r="P1146" s="1" t="str">
        <f>IFERROR(__xludf.DUMMYFUNCTION("""COMPUTED_VALUE"""),"Madam")</f>
        <v>Madam</v>
      </c>
      <c r="Q1146" s="1" t="str">
        <f>IFERROR(__xludf.DUMMYFUNCTION("""COMPUTED_VALUE"""),"No")</f>
        <v>No</v>
      </c>
      <c r="R1146" s="1" t="str">
        <f>IFERROR(__xludf.DUMMYFUNCTION("""COMPUTED_VALUE"""),"OLD")</f>
        <v>OLD</v>
      </c>
      <c r="S1146" s="1" t="str">
        <f>IFERROR(__xludf.DUMMYFUNCTION("""COMPUTED_VALUE"""),"No")</f>
        <v>No</v>
      </c>
    </row>
    <row r="1147">
      <c r="A1147" s="2">
        <f>IFERROR(__xludf.DUMMYFUNCTION("""COMPUTED_VALUE"""),45823.670633368056)</f>
        <v>45823.67063</v>
      </c>
      <c r="B1147" s="1" t="str">
        <f>IFERROR(__xludf.DUMMYFUNCTION("""COMPUTED_VALUE"""),"Yatin")</f>
        <v>Yatin</v>
      </c>
      <c r="C1147" s="1">
        <f>IFERROR(__xludf.DUMMYFUNCTION("""COMPUTED_VALUE"""),9.625570997E9)</f>
        <v>9625570997</v>
      </c>
      <c r="D1147" s="1">
        <f>IFERROR(__xludf.DUMMYFUNCTION("""COMPUTED_VALUE"""),2.0)</f>
        <v>2</v>
      </c>
      <c r="E1147" s="3">
        <f>IFERROR(__xludf.DUMMYFUNCTION("""COMPUTED_VALUE"""),0.65625)</f>
        <v>0.65625</v>
      </c>
      <c r="F1147" s="1" t="str">
        <f>IFERROR(__xludf.DUMMYFUNCTION("""COMPUTED_VALUE"""),"Diamond")</f>
        <v>Diamond</v>
      </c>
      <c r="G1147" s="1"/>
      <c r="H1147" s="1" t="str">
        <f>IFERROR(__xludf.DUMMYFUNCTION("""COMPUTED_VALUE"""),"Ring")</f>
        <v>Ring</v>
      </c>
      <c r="I1147" s="1"/>
      <c r="J1147" s="1"/>
      <c r="K1147" s="3">
        <f>IFERROR(__xludf.DUMMYFUNCTION("""COMPUTED_VALUE"""),0.6666666666642413)</f>
        <v>0.6666666667</v>
      </c>
      <c r="L1147" s="1" t="str">
        <f>IFERROR(__xludf.DUMMYFUNCTION("""COMPUTED_VALUE"""),"No")</f>
        <v>No</v>
      </c>
      <c r="M1147" s="1" t="str">
        <f>IFERROR(__xludf.DUMMYFUNCTION("""COMPUTED_VALUE"""),"Already done")</f>
        <v>Already done</v>
      </c>
      <c r="N1147" s="1" t="str">
        <f>IFERROR(__xludf.DUMMYFUNCTION("""COMPUTED_VALUE"""),"Already done ")</f>
        <v>Already done </v>
      </c>
      <c r="O1147" s="1" t="str">
        <f>IFERROR(__xludf.DUMMYFUNCTION("""COMPUTED_VALUE"""),"WA ONLY")</f>
        <v>WA ONLY</v>
      </c>
      <c r="P1147" s="1" t="str">
        <f>IFERROR(__xludf.DUMMYFUNCTION("""COMPUTED_VALUE"""),"Sir")</f>
        <v>Sir</v>
      </c>
      <c r="Q1147" s="1" t="str">
        <f>IFERROR(__xludf.DUMMYFUNCTION("""COMPUTED_VALUE"""),"No")</f>
        <v>No</v>
      </c>
      <c r="R1147" s="1" t="str">
        <f>IFERROR(__xludf.DUMMYFUNCTION("""COMPUTED_VALUE"""),"OLD")</f>
        <v>OLD</v>
      </c>
      <c r="S1147" s="1" t="str">
        <f>IFERROR(__xludf.DUMMYFUNCTION("""COMPUTED_VALUE"""),"Yes")</f>
        <v>Yes</v>
      </c>
    </row>
    <row r="1148">
      <c r="A1148" s="2">
        <f>IFERROR(__xludf.DUMMYFUNCTION("""COMPUTED_VALUE"""),45823.70686737269)</f>
        <v>45823.70687</v>
      </c>
      <c r="B1148" s="1" t="str">
        <f>IFERROR(__xludf.DUMMYFUNCTION("""COMPUTED_VALUE"""),"Y.G jaiswal")</f>
        <v>Y.G jaiswal</v>
      </c>
      <c r="C1148" s="1">
        <f>IFERROR(__xludf.DUMMYFUNCTION("""COMPUTED_VALUE"""),9.708351987E9)</f>
        <v>9708351987</v>
      </c>
      <c r="D1148" s="1">
        <f>IFERROR(__xludf.DUMMYFUNCTION("""COMPUTED_VALUE"""),1.0)</f>
        <v>1</v>
      </c>
      <c r="E1148" s="3">
        <f>IFERROR(__xludf.DUMMYFUNCTION("""COMPUTED_VALUE"""),0.6763888888890506)</f>
        <v>0.6763888889</v>
      </c>
      <c r="F1148" s="1" t="str">
        <f>IFERROR(__xludf.DUMMYFUNCTION("""COMPUTED_VALUE"""),"Plain Gold")</f>
        <v>Plain Gold</v>
      </c>
      <c r="G1148" s="1" t="str">
        <f>IFERROR(__xludf.DUMMYFUNCTION("""COMPUTED_VALUE"""),"Sapna")</f>
        <v>Sapna</v>
      </c>
      <c r="H1148" s="1" t="str">
        <f>IFERROR(__xludf.DUMMYFUNCTION("""COMPUTED_VALUE"""),"Mmtc coin")</f>
        <v>Mmtc coin</v>
      </c>
      <c r="I1148" s="1"/>
      <c r="J1148" s="1"/>
      <c r="K1148" s="3">
        <f>IFERROR(__xludf.DUMMYFUNCTION("""COMPUTED_VALUE"""),0.7041666666627862)</f>
        <v>0.7041666667</v>
      </c>
      <c r="L1148" s="1" t="str">
        <f>IFERROR(__xludf.DUMMYFUNCTION("""COMPUTED_VALUE"""),"No")</f>
        <v>No</v>
      </c>
      <c r="M1148" s="1" t="str">
        <f>IFERROR(__xludf.DUMMYFUNCTION("""COMPUTED_VALUE"""),"No")</f>
        <v>No</v>
      </c>
      <c r="N1148" s="1" t="str">
        <f>IFERROR(__xludf.DUMMYFUNCTION("""COMPUTED_VALUE"""),"No")</f>
        <v>No</v>
      </c>
      <c r="O1148" s="1" t="str">
        <f>IFERROR(__xludf.DUMMYFUNCTION("""COMPUTED_VALUE"""),"WA ONLY")</f>
        <v>WA ONLY</v>
      </c>
      <c r="P1148" s="1" t="str">
        <f>IFERROR(__xludf.DUMMYFUNCTION("""COMPUTED_VALUE"""),"Sir")</f>
        <v>Sir</v>
      </c>
      <c r="Q1148" s="1" t="str">
        <f>IFERROR(__xludf.DUMMYFUNCTION("""COMPUTED_VALUE"""),"No")</f>
        <v>No</v>
      </c>
      <c r="R1148" s="1" t="str">
        <f>IFERROR(__xludf.DUMMYFUNCTION("""COMPUTED_VALUE"""),"NEW WALK IN")</f>
        <v>NEW WALK IN</v>
      </c>
      <c r="S1148" s="1" t="str">
        <f>IFERROR(__xludf.DUMMYFUNCTION("""COMPUTED_VALUE"""),"Yes")</f>
        <v>Yes</v>
      </c>
    </row>
    <row r="1149">
      <c r="A1149" s="2">
        <f>IFERROR(__xludf.DUMMYFUNCTION("""COMPUTED_VALUE"""),45825.65235665509)</f>
        <v>45825.65236</v>
      </c>
      <c r="B1149" s="1" t="str">
        <f>IFERROR(__xludf.DUMMYFUNCTION("""COMPUTED_VALUE"""),"Narendra Mehta")</f>
        <v>Narendra Mehta</v>
      </c>
      <c r="C1149" s="1">
        <f>IFERROR(__xludf.DUMMYFUNCTION("""COMPUTED_VALUE"""),9.211910401E9)</f>
        <v>9211910401</v>
      </c>
      <c r="D1149" s="1">
        <f>IFERROR(__xludf.DUMMYFUNCTION("""COMPUTED_VALUE"""),2.0)</f>
        <v>2</v>
      </c>
      <c r="E1149" s="3">
        <f>IFERROR(__xludf.DUMMYFUNCTION("""COMPUTED_VALUE"""),0.6840277777810115)</f>
        <v>0.6840277778</v>
      </c>
      <c r="F1149" s="1" t="str">
        <f>IFERROR(__xludf.DUMMYFUNCTION("""COMPUTED_VALUE"""),"Diamond")</f>
        <v>Diamond</v>
      </c>
      <c r="G1149" s="1" t="str">
        <f>IFERROR(__xludf.DUMMYFUNCTION("""COMPUTED_VALUE"""),"Preeti")</f>
        <v>Preeti</v>
      </c>
      <c r="H1149" s="1"/>
      <c r="I1149" s="1"/>
      <c r="J1149" s="1"/>
      <c r="K1149" s="3">
        <f>IFERROR(__xludf.DUMMYFUNCTION("""COMPUTED_VALUE"""),0.6979166666642413)</f>
        <v>0.6979166667</v>
      </c>
      <c r="L1149" s="1" t="str">
        <f>IFERROR(__xludf.DUMMYFUNCTION("""COMPUTED_VALUE"""),"No")</f>
        <v>No</v>
      </c>
      <c r="M1149" s="1" t="str">
        <f>IFERROR(__xludf.DUMMYFUNCTION("""COMPUTED_VALUE"""),"No")</f>
        <v>No</v>
      </c>
      <c r="N1149" s="1" t="str">
        <f>IFERROR(__xludf.DUMMYFUNCTION("""COMPUTED_VALUE"""),"No")</f>
        <v>No</v>
      </c>
      <c r="O1149" s="1" t="str">
        <f>IFERROR(__xludf.DUMMYFUNCTION("""COMPUTED_VALUE"""),"WA ONLY")</f>
        <v>WA ONLY</v>
      </c>
      <c r="P1149" s="1" t="str">
        <f>IFERROR(__xludf.DUMMYFUNCTION("""COMPUTED_VALUE"""),"Sir")</f>
        <v>Sir</v>
      </c>
      <c r="Q1149" s="1" t="str">
        <f>IFERROR(__xludf.DUMMYFUNCTION("""COMPUTED_VALUE"""),"Yes")</f>
        <v>Yes</v>
      </c>
      <c r="R1149" s="1" t="str">
        <f>IFERROR(__xludf.DUMMYFUNCTION("""COMPUTED_VALUE"""),"OLD")</f>
        <v>OLD</v>
      </c>
      <c r="S1149" s="1" t="str">
        <f>IFERROR(__xludf.DUMMYFUNCTION("""COMPUTED_VALUE"""),"No")</f>
        <v>No</v>
      </c>
    </row>
    <row r="1150">
      <c r="A1150" s="2">
        <f>IFERROR(__xludf.DUMMYFUNCTION("""COMPUTED_VALUE"""),45825.65373712963)</f>
        <v>45825.65374</v>
      </c>
      <c r="B1150" s="1" t="str">
        <f>IFERROR(__xludf.DUMMYFUNCTION("""COMPUTED_VALUE"""),"Sanjeev Arora")</f>
        <v>Sanjeev Arora</v>
      </c>
      <c r="C1150" s="1">
        <f>IFERROR(__xludf.DUMMYFUNCTION("""COMPUTED_VALUE"""),9.811224638E9)</f>
        <v>9811224638</v>
      </c>
      <c r="D1150" s="1">
        <f>IFERROR(__xludf.DUMMYFUNCTION("""COMPUTED_VALUE"""),5.0)</f>
        <v>5</v>
      </c>
      <c r="E1150" s="3">
        <f>IFERROR(__xludf.DUMMYFUNCTION("""COMPUTED_VALUE"""),0.7222222222189885)</f>
        <v>0.7222222222</v>
      </c>
      <c r="F1150" s="1" t="str">
        <f>IFERROR(__xludf.DUMMYFUNCTION("""COMPUTED_VALUE"""),"Diamond")</f>
        <v>Diamond</v>
      </c>
      <c r="G1150" s="1" t="str">
        <f>IFERROR(__xludf.DUMMYFUNCTION("""COMPUTED_VALUE"""),"Preeti")</f>
        <v>Preeti</v>
      </c>
      <c r="H1150" s="1" t="str">
        <f>IFERROR(__xludf.DUMMYFUNCTION("""COMPUTED_VALUE"""),"Necklace ")</f>
        <v>Necklace </v>
      </c>
      <c r="I1150" s="1" t="str">
        <f>IFERROR(__xludf.DUMMYFUNCTION("""COMPUTED_VALUE"""),"Will ask family and come with them")</f>
        <v>Will ask family and come with them</v>
      </c>
      <c r="J1150" s="1"/>
      <c r="K1150" s="3">
        <f>IFERROR(__xludf.DUMMYFUNCTION("""COMPUTED_VALUE"""),0.7881944444452529)</f>
        <v>0.7881944444</v>
      </c>
      <c r="L1150" s="1" t="str">
        <f>IFERROR(__xludf.DUMMYFUNCTION("""COMPUTED_VALUE"""),"No")</f>
        <v>No</v>
      </c>
      <c r="M1150" s="1" t="str">
        <f>IFERROR(__xludf.DUMMYFUNCTION("""COMPUTED_VALUE"""),"Yes")</f>
        <v>Yes</v>
      </c>
      <c r="N1150" s="1" t="str">
        <f>IFERROR(__xludf.DUMMYFUNCTION("""COMPUTED_VALUE"""),"Yes")</f>
        <v>Yes</v>
      </c>
      <c r="O1150" s="1" t="str">
        <f>IFERROR(__xludf.DUMMYFUNCTION("""COMPUTED_VALUE"""),"WA ONLY")</f>
        <v>WA ONLY</v>
      </c>
      <c r="P1150" s="1" t="str">
        <f>IFERROR(__xludf.DUMMYFUNCTION("""COMPUTED_VALUE"""),"Sir")</f>
        <v>Sir</v>
      </c>
      <c r="Q1150" s="1" t="str">
        <f>IFERROR(__xludf.DUMMYFUNCTION("""COMPUTED_VALUE"""),"No")</f>
        <v>No</v>
      </c>
      <c r="R1150" s="1" t="str">
        <f>IFERROR(__xludf.DUMMYFUNCTION("""COMPUTED_VALUE"""),"OLD")</f>
        <v>OLD</v>
      </c>
      <c r="S1150" s="1" t="str">
        <f>IFERROR(__xludf.DUMMYFUNCTION("""COMPUTED_VALUE"""),"No")</f>
        <v>No</v>
      </c>
    </row>
    <row r="1151">
      <c r="A1151" s="2">
        <f>IFERROR(__xludf.DUMMYFUNCTION("""COMPUTED_VALUE"""),45825.65511258102)</f>
        <v>45825.65511</v>
      </c>
      <c r="B1151" s="1" t="str">
        <f>IFERROR(__xludf.DUMMYFUNCTION("""COMPUTED_VALUE"""),"Kapil Mohan")</f>
        <v>Kapil Mohan</v>
      </c>
      <c r="C1151" s="1">
        <f>IFERROR(__xludf.DUMMYFUNCTION("""COMPUTED_VALUE"""),9.311409596E9)</f>
        <v>9311409596</v>
      </c>
      <c r="D1151" s="1">
        <f>IFERROR(__xludf.DUMMYFUNCTION("""COMPUTED_VALUE"""),3.0)</f>
        <v>3</v>
      </c>
      <c r="E1151" s="3">
        <f>IFERROR(__xludf.DUMMYFUNCTION("""COMPUTED_VALUE"""),0.78125)</f>
        <v>0.78125</v>
      </c>
      <c r="F1151" s="1" t="str">
        <f>IFERROR(__xludf.DUMMYFUNCTION("""COMPUTED_VALUE"""),"Diamond")</f>
        <v>Diamond</v>
      </c>
      <c r="G1151" s="1" t="str">
        <f>IFERROR(__xludf.DUMMYFUNCTION("""COMPUTED_VALUE"""),"Preeti")</f>
        <v>Preeti</v>
      </c>
      <c r="H1151" s="1" t="str">
        <f>IFERROR(__xludf.DUMMYFUNCTION("""COMPUTED_VALUE"""),"Bracelet ")</f>
        <v>Bracelet </v>
      </c>
      <c r="I1151" s="1"/>
      <c r="J1151" s="1"/>
      <c r="K1151" s="3">
        <f>IFERROR(__xludf.DUMMYFUNCTION("""COMPUTED_VALUE"""),0.8125)</f>
        <v>0.8125</v>
      </c>
      <c r="L1151" s="1" t="str">
        <f>IFERROR(__xludf.DUMMYFUNCTION("""COMPUTED_VALUE"""),"No")</f>
        <v>No</v>
      </c>
      <c r="M1151" s="1" t="str">
        <f>IFERROR(__xludf.DUMMYFUNCTION("""COMPUTED_VALUE"""),"No")</f>
        <v>No</v>
      </c>
      <c r="N1151" s="1" t="str">
        <f>IFERROR(__xludf.DUMMYFUNCTION("""COMPUTED_VALUE"""),"No")</f>
        <v>No</v>
      </c>
      <c r="O1151" s="1" t="str">
        <f>IFERROR(__xludf.DUMMYFUNCTION("""COMPUTED_VALUE"""),"WA ONLY")</f>
        <v>WA ONLY</v>
      </c>
      <c r="P1151" s="1"/>
      <c r="Q1151" s="1" t="str">
        <f>IFERROR(__xludf.DUMMYFUNCTION("""COMPUTED_VALUE"""),"No")</f>
        <v>No</v>
      </c>
      <c r="R1151" s="1" t="str">
        <f>IFERROR(__xludf.DUMMYFUNCTION("""COMPUTED_VALUE"""),"OLD")</f>
        <v>OLD</v>
      </c>
      <c r="S1151" s="1" t="str">
        <f>IFERROR(__xludf.DUMMYFUNCTION("""COMPUTED_VALUE"""),"Yes")</f>
        <v>Yes</v>
      </c>
    </row>
    <row r="1152">
      <c r="A1152" s="2">
        <f>IFERROR(__xludf.DUMMYFUNCTION("""COMPUTED_VALUE"""),45825.656582129624)</f>
        <v>45825.65658</v>
      </c>
      <c r="B1152" s="1" t="str">
        <f>IFERROR(__xludf.DUMMYFUNCTION("""COMPUTED_VALUE"""),"Mrs. Ahuja")</f>
        <v>Mrs. Ahuja</v>
      </c>
      <c r="C1152" s="1">
        <f>IFERROR(__xludf.DUMMYFUNCTION("""COMPUTED_VALUE"""),9.810799668E9)</f>
        <v>9810799668</v>
      </c>
      <c r="D1152" s="1">
        <f>IFERROR(__xludf.DUMMYFUNCTION("""COMPUTED_VALUE"""),1.0)</f>
        <v>1</v>
      </c>
      <c r="E1152" s="3">
        <f>IFERROR(__xludf.DUMMYFUNCTION("""COMPUTED_VALUE"""),0.5486111111094942)</f>
        <v>0.5486111111</v>
      </c>
      <c r="F1152" s="1" t="str">
        <f>IFERROR(__xludf.DUMMYFUNCTION("""COMPUTED_VALUE"""),"Diamond")</f>
        <v>Diamond</v>
      </c>
      <c r="G1152" s="1"/>
      <c r="H1152" s="1" t="str">
        <f>IFERROR(__xludf.DUMMYFUNCTION("""COMPUTED_VALUE"""),"Bangles")</f>
        <v>Bangles</v>
      </c>
      <c r="I1152" s="1" t="str">
        <f>IFERROR(__xludf.DUMMYFUNCTION("""COMPUTED_VALUE"""),"Repair")</f>
        <v>Repair</v>
      </c>
      <c r="J1152" s="1"/>
      <c r="K1152" s="3">
        <f>IFERROR(__xludf.DUMMYFUNCTION("""COMPUTED_VALUE"""),0.640277777776646)</f>
        <v>0.6402777778</v>
      </c>
      <c r="L1152" s="1" t="str">
        <f>IFERROR(__xludf.DUMMYFUNCTION("""COMPUTED_VALUE"""),"No")</f>
        <v>No</v>
      </c>
      <c r="M1152" s="1" t="str">
        <f>IFERROR(__xludf.DUMMYFUNCTION("""COMPUTED_VALUE"""),"No")</f>
        <v>No</v>
      </c>
      <c r="N1152" s="1" t="str">
        <f>IFERROR(__xludf.DUMMYFUNCTION("""COMPUTED_VALUE"""),"No")</f>
        <v>No</v>
      </c>
      <c r="O1152" s="1" t="str">
        <f>IFERROR(__xludf.DUMMYFUNCTION("""COMPUTED_VALUE"""),"WA ONLY, OWNER CONTACT ONLY")</f>
        <v>WA ONLY, OWNER CONTACT ONLY</v>
      </c>
      <c r="P1152" s="1" t="str">
        <f>IFERROR(__xludf.DUMMYFUNCTION("""COMPUTED_VALUE"""),"Madam")</f>
        <v>Madam</v>
      </c>
      <c r="Q1152" s="1" t="str">
        <f>IFERROR(__xludf.DUMMYFUNCTION("""COMPUTED_VALUE"""),"No")</f>
        <v>No</v>
      </c>
      <c r="R1152" s="1" t="str">
        <f>IFERROR(__xludf.DUMMYFUNCTION("""COMPUTED_VALUE"""),"OLD")</f>
        <v>OLD</v>
      </c>
      <c r="S1152" s="1" t="str">
        <f>IFERROR(__xludf.DUMMYFUNCTION("""COMPUTED_VALUE"""),"No")</f>
        <v>No</v>
      </c>
    </row>
    <row r="1153">
      <c r="A1153" s="2">
        <f>IFERROR(__xludf.DUMMYFUNCTION("""COMPUTED_VALUE"""),45825.65782811343)</f>
        <v>45825.65783</v>
      </c>
      <c r="B1153" s="1" t="str">
        <f>IFERROR(__xludf.DUMMYFUNCTION("""COMPUTED_VALUE"""),"Mehnaaz")</f>
        <v>Mehnaaz</v>
      </c>
      <c r="C1153" s="1">
        <f>IFERROR(__xludf.DUMMYFUNCTION("""COMPUTED_VALUE"""),8.882916844E9)</f>
        <v>8882916844</v>
      </c>
      <c r="D1153" s="1">
        <f>IFERROR(__xludf.DUMMYFUNCTION("""COMPUTED_VALUE"""),2.0)</f>
        <v>2</v>
      </c>
      <c r="E1153" s="3">
        <f>IFERROR(__xludf.DUMMYFUNCTION("""COMPUTED_VALUE"""),0.6006944444452529)</f>
        <v>0.6006944444</v>
      </c>
      <c r="F1153" s="1" t="str">
        <f>IFERROR(__xludf.DUMMYFUNCTION("""COMPUTED_VALUE"""),"Plain Gold")</f>
        <v>Plain Gold</v>
      </c>
      <c r="G1153" s="1" t="str">
        <f>IFERROR(__xludf.DUMMYFUNCTION("""COMPUTED_VALUE"""),"Sapna")</f>
        <v>Sapna</v>
      </c>
      <c r="H1153" s="1" t="str">
        <f>IFERROR(__xludf.DUMMYFUNCTION("""COMPUTED_VALUE"""),"Earring ")</f>
        <v>Earring </v>
      </c>
      <c r="I1153" s="1" t="str">
        <f>IFERROR(__xludf.DUMMYFUNCTION("""COMPUTED_VALUE"""),"Want to see More Variety")</f>
        <v>Want to see More Variety</v>
      </c>
      <c r="J1153" s="1"/>
      <c r="K1153" s="3">
        <f>IFERROR(__xludf.DUMMYFUNCTION("""COMPUTED_VALUE"""),0.6222222222204437)</f>
        <v>0.6222222222</v>
      </c>
      <c r="L1153" s="1" t="str">
        <f>IFERROR(__xludf.DUMMYFUNCTION("""COMPUTED_VALUE"""),"No")</f>
        <v>No</v>
      </c>
      <c r="M1153" s="1" t="str">
        <f>IFERROR(__xludf.DUMMYFUNCTION("""COMPUTED_VALUE"""),"Yes")</f>
        <v>Yes</v>
      </c>
      <c r="N1153" s="1" t="str">
        <f>IFERROR(__xludf.DUMMYFUNCTION("""COMPUTED_VALUE"""),"No")</f>
        <v>No</v>
      </c>
      <c r="O1153" s="1" t="str">
        <f>IFERROR(__xludf.DUMMYFUNCTION("""COMPUTED_VALUE"""),"WA ONLY")</f>
        <v>WA ONLY</v>
      </c>
      <c r="P1153" s="1" t="str">
        <f>IFERROR(__xludf.DUMMYFUNCTION("""COMPUTED_VALUE"""),"Madam")</f>
        <v>Madam</v>
      </c>
      <c r="Q1153" s="1" t="str">
        <f>IFERROR(__xludf.DUMMYFUNCTION("""COMPUTED_VALUE"""),"No")</f>
        <v>No</v>
      </c>
      <c r="R1153" s="1" t="str">
        <f>IFERROR(__xludf.DUMMYFUNCTION("""COMPUTED_VALUE"""),"NEW WALK IN")</f>
        <v>NEW WALK IN</v>
      </c>
      <c r="S1153" s="1" t="str">
        <f>IFERROR(__xludf.DUMMYFUNCTION("""COMPUTED_VALUE"""),"No")</f>
        <v>No</v>
      </c>
    </row>
    <row r="1154">
      <c r="A1154" s="2">
        <f>IFERROR(__xludf.DUMMYFUNCTION("""COMPUTED_VALUE"""),45826.63493443287)</f>
        <v>45826.63493</v>
      </c>
      <c r="B1154" s="1" t="str">
        <f>IFERROR(__xludf.DUMMYFUNCTION("""COMPUTED_VALUE"""),"Khushboo kapila")</f>
        <v>Khushboo kapila</v>
      </c>
      <c r="C1154" s="1">
        <f>IFERROR(__xludf.DUMMYFUNCTION("""COMPUTED_VALUE"""),9.891567166E9)</f>
        <v>9891567166</v>
      </c>
      <c r="D1154" s="1">
        <f>IFERROR(__xludf.DUMMYFUNCTION("""COMPUTED_VALUE"""),1.0)</f>
        <v>1</v>
      </c>
      <c r="E1154" s="3">
        <f>IFERROR(__xludf.DUMMYFUNCTION("""COMPUTED_VALUE"""),0.6215277777810115)</f>
        <v>0.6215277778</v>
      </c>
      <c r="F1154" s="1"/>
      <c r="G1154" s="1"/>
      <c r="H1154" s="1" t="str">
        <f>IFERROR(__xludf.DUMMYFUNCTION("""COMPUTED_VALUE"""),"Meet purpose")</f>
        <v>Meet purpose</v>
      </c>
      <c r="I1154" s="1"/>
      <c r="J1154" s="1"/>
      <c r="K1154" s="3">
        <f>IFERROR(__xludf.DUMMYFUNCTION("""COMPUTED_VALUE"""),0.65625)</f>
        <v>0.65625</v>
      </c>
      <c r="L1154" s="1" t="str">
        <f>IFERROR(__xludf.DUMMYFUNCTION("""COMPUTED_VALUE"""),"No")</f>
        <v>No</v>
      </c>
      <c r="M1154" s="1" t="str">
        <f>IFERROR(__xludf.DUMMYFUNCTION("""COMPUTED_VALUE"""),"Already done ")</f>
        <v>Already done </v>
      </c>
      <c r="N1154" s="1" t="str">
        <f>IFERROR(__xludf.DUMMYFUNCTION("""COMPUTED_VALUE"""),"Already done")</f>
        <v>Already done</v>
      </c>
      <c r="O1154" s="1" t="str">
        <f>IFERROR(__xludf.DUMMYFUNCTION("""COMPUTED_VALUE"""),"OWNER CONTACT ONLY")</f>
        <v>OWNER CONTACT ONLY</v>
      </c>
      <c r="P1154" s="1" t="str">
        <f>IFERROR(__xludf.DUMMYFUNCTION("""COMPUTED_VALUE"""),"Madam")</f>
        <v>Madam</v>
      </c>
      <c r="Q1154" s="1" t="str">
        <f>IFERROR(__xludf.DUMMYFUNCTION("""COMPUTED_VALUE"""),"No")</f>
        <v>No</v>
      </c>
      <c r="R1154" s="1" t="str">
        <f>IFERROR(__xludf.DUMMYFUNCTION("""COMPUTED_VALUE"""),"OLD")</f>
        <v>OLD</v>
      </c>
      <c r="S1154" s="1" t="str">
        <f>IFERROR(__xludf.DUMMYFUNCTION("""COMPUTED_VALUE"""),"No")</f>
        <v>No</v>
      </c>
    </row>
    <row r="1155">
      <c r="A1155" s="2">
        <f>IFERROR(__xludf.DUMMYFUNCTION("""COMPUTED_VALUE"""),45826.71088778935)</f>
        <v>45826.71089</v>
      </c>
      <c r="B1155" s="1" t="str">
        <f>IFERROR(__xludf.DUMMYFUNCTION("""COMPUTED_VALUE"""),"Mini sachdeva ")</f>
        <v>Mini sachdeva </v>
      </c>
      <c r="C1155" s="1">
        <f>IFERROR(__xludf.DUMMYFUNCTION("""COMPUTED_VALUE"""),9.91079727E8)</f>
        <v>991079727</v>
      </c>
      <c r="D1155" s="1">
        <f>IFERROR(__xludf.DUMMYFUNCTION("""COMPUTED_VALUE"""),2.0)</f>
        <v>2</v>
      </c>
      <c r="E1155" s="3">
        <f>IFERROR(__xludf.DUMMYFUNCTION("""COMPUTED_VALUE"""),0.6458333333357587)</f>
        <v>0.6458333333</v>
      </c>
      <c r="F1155" s="1" t="str">
        <f>IFERROR(__xludf.DUMMYFUNCTION("""COMPUTED_VALUE"""),"Diamond")</f>
        <v>Diamond</v>
      </c>
      <c r="G1155" s="1" t="str">
        <f>IFERROR(__xludf.DUMMYFUNCTION("""COMPUTED_VALUE"""),"Sapna")</f>
        <v>Sapna</v>
      </c>
      <c r="H1155" s="1" t="str">
        <f>IFERROR(__xludf.DUMMYFUNCTION("""COMPUTED_VALUE"""),"Rings and mangalsutra")</f>
        <v>Rings and mangalsutra</v>
      </c>
      <c r="I1155" s="1"/>
      <c r="J1155" s="1"/>
      <c r="K1155" s="3">
        <f>IFERROR(__xludf.DUMMYFUNCTION("""COMPUTED_VALUE"""),0.7083333333357587)</f>
        <v>0.7083333333</v>
      </c>
      <c r="L1155" s="1" t="str">
        <f>IFERROR(__xludf.DUMMYFUNCTION("""COMPUTED_VALUE"""),"No")</f>
        <v>No</v>
      </c>
      <c r="M1155" s="1" t="str">
        <f>IFERROR(__xludf.DUMMYFUNCTION("""COMPUTED_VALUE"""),"Already done ")</f>
        <v>Already done </v>
      </c>
      <c r="N1155" s="1" t="str">
        <f>IFERROR(__xludf.DUMMYFUNCTION("""COMPUTED_VALUE"""),"Already done")</f>
        <v>Already done</v>
      </c>
      <c r="O1155" s="1" t="str">
        <f>IFERROR(__xludf.DUMMYFUNCTION("""COMPUTED_VALUE"""),"WA ONLY")</f>
        <v>WA ONLY</v>
      </c>
      <c r="P1155" s="1" t="str">
        <f>IFERROR(__xludf.DUMMYFUNCTION("""COMPUTED_VALUE"""),"Madam")</f>
        <v>Madam</v>
      </c>
      <c r="Q1155" s="1" t="str">
        <f>IFERROR(__xludf.DUMMYFUNCTION("""COMPUTED_VALUE"""),"No")</f>
        <v>No</v>
      </c>
      <c r="R1155" s="1" t="str">
        <f>IFERROR(__xludf.DUMMYFUNCTION("""COMPUTED_VALUE"""),"OLD")</f>
        <v>OLD</v>
      </c>
      <c r="S1155" s="1" t="str">
        <f>IFERROR(__xludf.DUMMYFUNCTION("""COMPUTED_VALUE"""),"Yes")</f>
        <v>Yes</v>
      </c>
    </row>
    <row r="1156">
      <c r="A1156" s="2">
        <f>IFERROR(__xludf.DUMMYFUNCTION("""COMPUTED_VALUE"""),45826.74589319444)</f>
        <v>45826.74589</v>
      </c>
      <c r="B1156" s="1" t="str">
        <f>IFERROR(__xludf.DUMMYFUNCTION("""COMPUTED_VALUE"""),"Reena gupta")</f>
        <v>Reena gupta</v>
      </c>
      <c r="C1156" s="1">
        <f>IFERROR(__xludf.DUMMYFUNCTION("""COMPUTED_VALUE"""),9.811084741E9)</f>
        <v>9811084741</v>
      </c>
      <c r="D1156" s="1">
        <f>IFERROR(__xludf.DUMMYFUNCTION("""COMPUTED_VALUE"""),2.0)</f>
        <v>2</v>
      </c>
      <c r="E1156" s="3">
        <f>IFERROR(__xludf.DUMMYFUNCTION("""COMPUTED_VALUE"""),0.6701388888905058)</f>
        <v>0.6701388889</v>
      </c>
      <c r="F1156" s="1" t="str">
        <f>IFERROR(__xludf.DUMMYFUNCTION("""COMPUTED_VALUE"""),"Antique Gold")</f>
        <v>Antique Gold</v>
      </c>
      <c r="G1156" s="1"/>
      <c r="H1156" s="1" t="str">
        <f>IFERROR(__xludf.DUMMYFUNCTION("""COMPUTED_VALUE"""),"Rings")</f>
        <v>Rings</v>
      </c>
      <c r="I1156" s="1"/>
      <c r="J1156" s="1"/>
      <c r="K1156" s="3">
        <f>IFERROR(__xludf.DUMMYFUNCTION("""COMPUTED_VALUE"""),0.7256944444452529)</f>
        <v>0.7256944444</v>
      </c>
      <c r="L1156" s="1" t="str">
        <f>IFERROR(__xludf.DUMMYFUNCTION("""COMPUTED_VALUE"""),"Yes")</f>
        <v>Yes</v>
      </c>
      <c r="M1156" s="1" t="str">
        <f>IFERROR(__xludf.DUMMYFUNCTION("""COMPUTED_VALUE"""),"Already done")</f>
        <v>Already done</v>
      </c>
      <c r="N1156" s="1" t="str">
        <f>IFERROR(__xludf.DUMMYFUNCTION("""COMPUTED_VALUE"""),"Yes")</f>
        <v>Yes</v>
      </c>
      <c r="O1156" s="1" t="str">
        <f>IFERROR(__xludf.DUMMYFUNCTION("""COMPUTED_VALUE"""),"WA ONLY, OWNER CONTACT ONLY")</f>
        <v>WA ONLY, OWNER CONTACT ONLY</v>
      </c>
      <c r="P1156" s="1"/>
      <c r="Q1156" s="1" t="str">
        <f>IFERROR(__xludf.DUMMYFUNCTION("""COMPUTED_VALUE"""),"No")</f>
        <v>No</v>
      </c>
      <c r="R1156" s="1" t="str">
        <f>IFERROR(__xludf.DUMMYFUNCTION("""COMPUTED_VALUE"""),"OLD")</f>
        <v>OLD</v>
      </c>
      <c r="S1156" s="1" t="str">
        <f>IFERROR(__xludf.DUMMYFUNCTION("""COMPUTED_VALUE"""),"Yes")</f>
        <v>Yes</v>
      </c>
    </row>
    <row r="1157">
      <c r="A1157" s="2">
        <f>IFERROR(__xludf.DUMMYFUNCTION("""COMPUTED_VALUE"""),45827.738293773145)</f>
        <v>45827.73829</v>
      </c>
      <c r="B1157" s="1" t="str">
        <f>IFERROR(__xludf.DUMMYFUNCTION("""COMPUTED_VALUE"""),"Shammi chadha")</f>
        <v>Shammi chadha</v>
      </c>
      <c r="C1157" s="1">
        <f>IFERROR(__xludf.DUMMYFUNCTION("""COMPUTED_VALUE"""),9.811072827E9)</f>
        <v>9811072827</v>
      </c>
      <c r="D1157" s="1">
        <f>IFERROR(__xludf.DUMMYFUNCTION("""COMPUTED_VALUE"""),2.0)</f>
        <v>2</v>
      </c>
      <c r="E1157" s="3">
        <f>IFERROR(__xludf.DUMMYFUNCTION("""COMPUTED_VALUE"""),0.7430555555547471)</f>
        <v>0.7430555556</v>
      </c>
      <c r="F1157" s="1" t="str">
        <f>IFERROR(__xludf.DUMMYFUNCTION("""COMPUTED_VALUE"""),"Plain Gold")</f>
        <v>Plain Gold</v>
      </c>
      <c r="G1157" s="1" t="str">
        <f>IFERROR(__xludf.DUMMYFUNCTION("""COMPUTED_VALUE"""),"Sapna")</f>
        <v>Sapna</v>
      </c>
      <c r="H1157" s="1" t="str">
        <f>IFERROR(__xludf.DUMMYFUNCTION("""COMPUTED_VALUE"""),"Necklaces and earrings")</f>
        <v>Necklaces and earrings</v>
      </c>
      <c r="I1157" s="1"/>
      <c r="J1157" s="1"/>
      <c r="K1157" s="3">
        <f>IFERROR(__xludf.DUMMYFUNCTION("""COMPUTED_VALUE"""),0.7916666666642413)</f>
        <v>0.7916666667</v>
      </c>
      <c r="L1157" s="1" t="str">
        <f>IFERROR(__xludf.DUMMYFUNCTION("""COMPUTED_VALUE"""),"Yes")</f>
        <v>Yes</v>
      </c>
      <c r="M1157" s="1" t="str">
        <f>IFERROR(__xludf.DUMMYFUNCTION("""COMPUTED_VALUE"""),"Yes")</f>
        <v>Yes</v>
      </c>
      <c r="N1157" s="1" t="str">
        <f>IFERROR(__xludf.DUMMYFUNCTION("""COMPUTED_VALUE"""),"Yes")</f>
        <v>Yes</v>
      </c>
      <c r="O1157" s="1" t="str">
        <f>IFERROR(__xludf.DUMMYFUNCTION("""COMPUTED_VALUE"""),"WA ONLY, OWNER CONTACT ONLY")</f>
        <v>WA ONLY, OWNER CONTACT ONLY</v>
      </c>
      <c r="P1157" s="1" t="str">
        <f>IFERROR(__xludf.DUMMYFUNCTION("""COMPUTED_VALUE"""),"Sir")</f>
        <v>Sir</v>
      </c>
      <c r="Q1157" s="1" t="str">
        <f>IFERROR(__xludf.DUMMYFUNCTION("""COMPUTED_VALUE"""),"Yes")</f>
        <v>Yes</v>
      </c>
      <c r="R1157" s="1" t="str">
        <f>IFERROR(__xludf.DUMMYFUNCTION("""COMPUTED_VALUE"""),"OLD")</f>
        <v>OLD</v>
      </c>
      <c r="S1157" s="1" t="str">
        <f>IFERROR(__xludf.DUMMYFUNCTION("""COMPUTED_VALUE"""),"Yes")</f>
        <v>Yes</v>
      </c>
    </row>
    <row r="1158">
      <c r="A1158" s="2">
        <f>IFERROR(__xludf.DUMMYFUNCTION("""COMPUTED_VALUE"""),45827.73970719907)</f>
        <v>45827.73971</v>
      </c>
      <c r="B1158" s="1" t="str">
        <f>IFERROR(__xludf.DUMMYFUNCTION("""COMPUTED_VALUE"""),"Ajit Singh")</f>
        <v>Ajit Singh</v>
      </c>
      <c r="C1158" s="1">
        <f>IFERROR(__xludf.DUMMYFUNCTION("""COMPUTED_VALUE"""),9.811505962E9)</f>
        <v>9811505962</v>
      </c>
      <c r="D1158" s="1">
        <f>IFERROR(__xludf.DUMMYFUNCTION("""COMPUTED_VALUE"""),2.0)</f>
        <v>2</v>
      </c>
      <c r="E1158" s="3">
        <f>IFERROR(__xludf.DUMMYFUNCTION("""COMPUTED_VALUE"""),0.5069444444452529)</f>
        <v>0.5069444444</v>
      </c>
      <c r="F1158" s="1" t="str">
        <f>IFERROR(__xludf.DUMMYFUNCTION("""COMPUTED_VALUE"""),"Plain Gold")</f>
        <v>Plain Gold</v>
      </c>
      <c r="G1158" s="1" t="str">
        <f>IFERROR(__xludf.DUMMYFUNCTION("""COMPUTED_VALUE"""),"Sapna")</f>
        <v>Sapna</v>
      </c>
      <c r="H1158" s="1" t="str">
        <f>IFERROR(__xludf.DUMMYFUNCTION("""COMPUTED_VALUE"""),"Kadha and bracelets ")</f>
        <v>Kadha and bracelets </v>
      </c>
      <c r="I1158" s="1"/>
      <c r="J1158" s="1"/>
      <c r="K1158" s="3">
        <f>IFERROR(__xludf.DUMMYFUNCTION("""COMPUTED_VALUE"""),0.5250000000014552)</f>
        <v>0.525</v>
      </c>
      <c r="L1158" s="1" t="str">
        <f>IFERROR(__xludf.DUMMYFUNCTION("""COMPUTED_VALUE"""),"No")</f>
        <v>No</v>
      </c>
      <c r="M1158" s="1" t="str">
        <f>IFERROR(__xludf.DUMMYFUNCTION("""COMPUTED_VALUE"""),"No")</f>
        <v>No</v>
      </c>
      <c r="N1158" s="1" t="str">
        <f>IFERROR(__xludf.DUMMYFUNCTION("""COMPUTED_VALUE"""),"No")</f>
        <v>No</v>
      </c>
      <c r="O1158" s="1" t="str">
        <f>IFERROR(__xludf.DUMMYFUNCTION("""COMPUTED_VALUE"""),"WA ONLY")</f>
        <v>WA ONLY</v>
      </c>
      <c r="P1158" s="1" t="str">
        <f>IFERROR(__xludf.DUMMYFUNCTION("""COMPUTED_VALUE"""),"Sir")</f>
        <v>Sir</v>
      </c>
      <c r="Q1158" s="1" t="str">
        <f>IFERROR(__xludf.DUMMYFUNCTION("""COMPUTED_VALUE"""),"No")</f>
        <v>No</v>
      </c>
      <c r="R1158" s="1" t="str">
        <f>IFERROR(__xludf.DUMMYFUNCTION("""COMPUTED_VALUE"""),"NEW WALK IN")</f>
        <v>NEW WALK IN</v>
      </c>
      <c r="S1158" s="1" t="str">
        <f>IFERROR(__xludf.DUMMYFUNCTION("""COMPUTED_VALUE"""),"Yes")</f>
        <v>Yes</v>
      </c>
    </row>
    <row r="1159">
      <c r="A1159" s="2">
        <f>IFERROR(__xludf.DUMMYFUNCTION("""COMPUTED_VALUE"""),45827.74571349537)</f>
        <v>45827.74571</v>
      </c>
      <c r="B1159" s="1" t="str">
        <f>IFERROR(__xludf.DUMMYFUNCTION("""COMPUTED_VALUE"""),"Rinky")</f>
        <v>Rinky</v>
      </c>
      <c r="C1159" s="1">
        <f>IFERROR(__xludf.DUMMYFUNCTION("""COMPUTED_VALUE"""),9.4192007E9)</f>
        <v>9419200700</v>
      </c>
      <c r="D1159" s="1">
        <f>IFERROR(__xludf.DUMMYFUNCTION("""COMPUTED_VALUE"""),1.0)</f>
        <v>1</v>
      </c>
      <c r="E1159" s="3">
        <f>IFERROR(__xludf.DUMMYFUNCTION("""COMPUTED_VALUE"""),0.5034722222189885)</f>
        <v>0.5034722222</v>
      </c>
      <c r="F1159" s="1" t="str">
        <f>IFERROR(__xludf.DUMMYFUNCTION("""COMPUTED_VALUE"""),"Diamond")</f>
        <v>Diamond</v>
      </c>
      <c r="G1159" s="1" t="str">
        <f>IFERROR(__xludf.DUMMYFUNCTION("""COMPUTED_VALUE"""),"Preeti")</f>
        <v>Preeti</v>
      </c>
      <c r="H1159" s="1" t="str">
        <f>IFERROR(__xludf.DUMMYFUNCTION("""COMPUTED_VALUE"""),"Necklace ")</f>
        <v>Necklace </v>
      </c>
      <c r="I1159" s="1"/>
      <c r="J1159" s="1"/>
      <c r="K1159" s="3">
        <f>IFERROR(__xludf.DUMMYFUNCTION("""COMPUTED_VALUE"""),0.5833333333357587)</f>
        <v>0.5833333333</v>
      </c>
      <c r="L1159" s="1" t="str">
        <f>IFERROR(__xludf.DUMMYFUNCTION("""COMPUTED_VALUE"""),"No")</f>
        <v>No</v>
      </c>
      <c r="M1159" s="1" t="str">
        <f>IFERROR(__xludf.DUMMYFUNCTION("""COMPUTED_VALUE"""),"Yes")</f>
        <v>Yes</v>
      </c>
      <c r="N1159" s="1" t="str">
        <f>IFERROR(__xludf.DUMMYFUNCTION("""COMPUTED_VALUE"""),"Already done")</f>
        <v>Already done</v>
      </c>
      <c r="O1159" s="1" t="str">
        <f>IFERROR(__xludf.DUMMYFUNCTION("""COMPUTED_VALUE"""),"WA ONLY, OWNER CONTACT ONLY")</f>
        <v>WA ONLY, OWNER CONTACT ONLY</v>
      </c>
      <c r="P1159" s="1" t="str">
        <f>IFERROR(__xludf.DUMMYFUNCTION("""COMPUTED_VALUE"""),"Madam")</f>
        <v>Madam</v>
      </c>
      <c r="Q1159" s="1" t="str">
        <f>IFERROR(__xludf.DUMMYFUNCTION("""COMPUTED_VALUE"""),"No")</f>
        <v>No</v>
      </c>
      <c r="R1159" s="1" t="str">
        <f>IFERROR(__xludf.DUMMYFUNCTION("""COMPUTED_VALUE"""),"OLD")</f>
        <v>OLD</v>
      </c>
      <c r="S1159" s="1" t="str">
        <f>IFERROR(__xludf.DUMMYFUNCTION("""COMPUTED_VALUE"""),"No")</f>
        <v>No</v>
      </c>
    </row>
    <row r="1160">
      <c r="A1160" s="2">
        <f>IFERROR(__xludf.DUMMYFUNCTION("""COMPUTED_VALUE"""),45828.680846874995)</f>
        <v>45828.68085</v>
      </c>
      <c r="B1160" s="1" t="str">
        <f>IFERROR(__xludf.DUMMYFUNCTION("""COMPUTED_VALUE"""),"Raman")</f>
        <v>Raman</v>
      </c>
      <c r="C1160" s="1">
        <f>IFERROR(__xludf.DUMMYFUNCTION("""COMPUTED_VALUE"""),7.417489778E9)</f>
        <v>7417489778</v>
      </c>
      <c r="D1160" s="1">
        <f>IFERROR(__xludf.DUMMYFUNCTION("""COMPUTED_VALUE"""),2.0)</f>
        <v>2</v>
      </c>
      <c r="E1160" s="3">
        <f>IFERROR(__xludf.DUMMYFUNCTION("""COMPUTED_VALUE"""),0.6597222222189885)</f>
        <v>0.6597222222</v>
      </c>
      <c r="F1160" s="1" t="str">
        <f>IFERROR(__xludf.DUMMYFUNCTION("""COMPUTED_VALUE"""),"Plain Gold")</f>
        <v>Plain Gold</v>
      </c>
      <c r="G1160" s="1" t="str">
        <f>IFERROR(__xludf.DUMMYFUNCTION("""COMPUTED_VALUE"""),"Sapna")</f>
        <v>Sapna</v>
      </c>
      <c r="H1160" s="1" t="str">
        <f>IFERROR(__xludf.DUMMYFUNCTION("""COMPUTED_VALUE"""),"Silver chain")</f>
        <v>Silver chain</v>
      </c>
      <c r="I1160" s="1"/>
      <c r="J1160" s="1"/>
      <c r="K1160" s="3">
        <f>IFERROR(__xludf.DUMMYFUNCTION("""COMPUTED_VALUE"""),0.6770833333357587)</f>
        <v>0.6770833333</v>
      </c>
      <c r="L1160" s="1" t="str">
        <f>IFERROR(__xludf.DUMMYFUNCTION("""COMPUTED_VALUE"""),"No")</f>
        <v>No</v>
      </c>
      <c r="M1160" s="1" t="str">
        <f>IFERROR(__xludf.DUMMYFUNCTION("""COMPUTED_VALUE"""),"Yes")</f>
        <v>Yes</v>
      </c>
      <c r="N1160" s="1" t="str">
        <f>IFERROR(__xludf.DUMMYFUNCTION("""COMPUTED_VALUE"""),"No")</f>
        <v>No</v>
      </c>
      <c r="O1160" s="1" t="str">
        <f>IFERROR(__xludf.DUMMYFUNCTION("""COMPUTED_VALUE"""),"WA ONLY")</f>
        <v>WA ONLY</v>
      </c>
      <c r="P1160" s="1" t="str">
        <f>IFERROR(__xludf.DUMMYFUNCTION("""COMPUTED_VALUE"""),"Madam")</f>
        <v>Madam</v>
      </c>
      <c r="Q1160" s="1" t="str">
        <f>IFERROR(__xludf.DUMMYFUNCTION("""COMPUTED_VALUE"""),"No")</f>
        <v>No</v>
      </c>
      <c r="R1160" s="1" t="str">
        <f>IFERROR(__xludf.DUMMYFUNCTION("""COMPUTED_VALUE"""),"NEW WALK IN")</f>
        <v>NEW WALK IN</v>
      </c>
      <c r="S1160" s="1" t="str">
        <f>IFERROR(__xludf.DUMMYFUNCTION("""COMPUTED_VALUE"""),"Yes")</f>
        <v>Yes</v>
      </c>
    </row>
    <row r="1161">
      <c r="A1161" s="2">
        <f>IFERROR(__xludf.DUMMYFUNCTION("""COMPUTED_VALUE"""),45829.567476446755)</f>
        <v>45829.56748</v>
      </c>
      <c r="B1161" s="1" t="str">
        <f>IFERROR(__xludf.DUMMYFUNCTION("""COMPUTED_VALUE"""),"Divya")</f>
        <v>Divya</v>
      </c>
      <c r="C1161" s="1">
        <f>IFERROR(__xludf.DUMMYFUNCTION("""COMPUTED_VALUE"""),9.650778004E9)</f>
        <v>9650778004</v>
      </c>
      <c r="D1161" s="1">
        <f>IFERROR(__xludf.DUMMYFUNCTION("""COMPUTED_VALUE"""),2.0)</f>
        <v>2</v>
      </c>
      <c r="E1161" s="3">
        <f>IFERROR(__xludf.DUMMYFUNCTION("""COMPUTED_VALUE"""),0.7743055555547471)</f>
        <v>0.7743055556</v>
      </c>
      <c r="F1161" s="1" t="str">
        <f>IFERROR(__xludf.DUMMYFUNCTION("""COMPUTED_VALUE"""),"Antique Gold")</f>
        <v>Antique Gold</v>
      </c>
      <c r="G1161" s="1" t="str">
        <f>IFERROR(__xludf.DUMMYFUNCTION("""COMPUTED_VALUE"""),"Sapna")</f>
        <v>Sapna</v>
      </c>
      <c r="H1161" s="1" t="str">
        <f>IFERROR(__xludf.DUMMYFUNCTION("""COMPUTED_VALUE"""),"Pendents ")</f>
        <v>Pendents </v>
      </c>
      <c r="I1161" s="1" t="str">
        <f>IFERROR(__xludf.DUMMYFUNCTION("""COMPUTED_VALUE"""),"Pick up Order")</f>
        <v>Pick up Order</v>
      </c>
      <c r="J1161" s="1"/>
      <c r="K1161" s="3">
        <f>IFERROR(__xludf.DUMMYFUNCTION("""COMPUTED_VALUE"""),0.8055555555547471)</f>
        <v>0.8055555556</v>
      </c>
      <c r="L1161" s="1" t="str">
        <f>IFERROR(__xludf.DUMMYFUNCTION("""COMPUTED_VALUE"""),"No")</f>
        <v>No</v>
      </c>
      <c r="M1161" s="1" t="str">
        <f>IFERROR(__xludf.DUMMYFUNCTION("""COMPUTED_VALUE"""),"Already done ")</f>
        <v>Already done </v>
      </c>
      <c r="N1161" s="1" t="str">
        <f>IFERROR(__xludf.DUMMYFUNCTION("""COMPUTED_VALUE"""),"Already done")</f>
        <v>Already done</v>
      </c>
      <c r="O1161" s="1" t="str">
        <f>IFERROR(__xludf.DUMMYFUNCTION("""COMPUTED_VALUE"""),"WA ONLY, OWNER CONTACT ONLY")</f>
        <v>WA ONLY, OWNER CONTACT ONLY</v>
      </c>
      <c r="P1161" s="1" t="str">
        <f>IFERROR(__xludf.DUMMYFUNCTION("""COMPUTED_VALUE"""),"Madam")</f>
        <v>Madam</v>
      </c>
      <c r="Q1161" s="1" t="str">
        <f>IFERROR(__xludf.DUMMYFUNCTION("""COMPUTED_VALUE"""),"No")</f>
        <v>No</v>
      </c>
      <c r="R1161" s="1" t="str">
        <f>IFERROR(__xludf.DUMMYFUNCTION("""COMPUTED_VALUE"""),"OLD")</f>
        <v>OLD</v>
      </c>
      <c r="S1161" s="1" t="str">
        <f>IFERROR(__xludf.DUMMYFUNCTION("""COMPUTED_VALUE"""),"Yes")</f>
        <v>Yes</v>
      </c>
    </row>
    <row r="1162">
      <c r="A1162" s="2">
        <f>IFERROR(__xludf.DUMMYFUNCTION("""COMPUTED_VALUE"""),45829.56866655093)</f>
        <v>45829.56867</v>
      </c>
      <c r="B1162" s="1" t="str">
        <f>IFERROR(__xludf.DUMMYFUNCTION("""COMPUTED_VALUE"""),"Poonam")</f>
        <v>Poonam</v>
      </c>
      <c r="C1162" s="1">
        <f>IFERROR(__xludf.DUMMYFUNCTION("""COMPUTED_VALUE"""),9.999488996E9)</f>
        <v>9999488996</v>
      </c>
      <c r="D1162" s="1">
        <f>IFERROR(__xludf.DUMMYFUNCTION("""COMPUTED_VALUE"""),2.0)</f>
        <v>2</v>
      </c>
      <c r="E1162" s="3">
        <f>IFERROR(__xludf.DUMMYFUNCTION("""COMPUTED_VALUE"""),0.5069444444452529)</f>
        <v>0.5069444444</v>
      </c>
      <c r="F1162" s="1" t="str">
        <f>IFERROR(__xludf.DUMMYFUNCTION("""COMPUTED_VALUE"""),"Diamond")</f>
        <v>Diamond</v>
      </c>
      <c r="G1162" s="1" t="str">
        <f>IFERROR(__xludf.DUMMYFUNCTION("""COMPUTED_VALUE"""),"Preeti")</f>
        <v>Preeti</v>
      </c>
      <c r="H1162" s="1" t="str">
        <f>IFERROR(__xludf.DUMMYFUNCTION("""COMPUTED_VALUE"""),"Rings")</f>
        <v>Rings</v>
      </c>
      <c r="I1162" s="1" t="str">
        <f>IFERROR(__xludf.DUMMYFUNCTION("""COMPUTED_VALUE"""),"Pick up Order")</f>
        <v>Pick up Order</v>
      </c>
      <c r="J1162" s="1"/>
      <c r="K1162" s="3">
        <f>IFERROR(__xludf.DUMMYFUNCTION("""COMPUTED_VALUE"""),0.5645833333328483)</f>
        <v>0.5645833333</v>
      </c>
      <c r="L1162" s="1" t="str">
        <f>IFERROR(__xludf.DUMMYFUNCTION("""COMPUTED_VALUE"""),"No")</f>
        <v>No</v>
      </c>
      <c r="M1162" s="1" t="str">
        <f>IFERROR(__xludf.DUMMYFUNCTION("""COMPUTED_VALUE"""),"Already done ")</f>
        <v>Already done </v>
      </c>
      <c r="N1162" s="1" t="str">
        <f>IFERROR(__xludf.DUMMYFUNCTION("""COMPUTED_VALUE"""),"Already done ")</f>
        <v>Already done </v>
      </c>
      <c r="O1162" s="1" t="str">
        <f>IFERROR(__xludf.DUMMYFUNCTION("""COMPUTED_VALUE"""),"WA ONLY, OWNER CONTACT ONLY")</f>
        <v>WA ONLY, OWNER CONTACT ONLY</v>
      </c>
      <c r="P1162" s="1" t="str">
        <f>IFERROR(__xludf.DUMMYFUNCTION("""COMPUTED_VALUE"""),"Madam")</f>
        <v>Madam</v>
      </c>
      <c r="Q1162" s="1" t="str">
        <f>IFERROR(__xludf.DUMMYFUNCTION("""COMPUTED_VALUE"""),"No")</f>
        <v>No</v>
      </c>
      <c r="R1162" s="1" t="str">
        <f>IFERROR(__xludf.DUMMYFUNCTION("""COMPUTED_VALUE"""),"OLD")</f>
        <v>OLD</v>
      </c>
      <c r="S1162" s="1" t="str">
        <f>IFERROR(__xludf.DUMMYFUNCTION("""COMPUTED_VALUE"""),"No")</f>
        <v>No</v>
      </c>
    </row>
    <row r="1163">
      <c r="A1163" s="2">
        <f>IFERROR(__xludf.DUMMYFUNCTION("""COMPUTED_VALUE"""),45829.67913771991)</f>
        <v>45829.67914</v>
      </c>
      <c r="B1163" s="1" t="str">
        <f>IFERROR(__xludf.DUMMYFUNCTION("""COMPUTED_VALUE"""),"Sanjeev")</f>
        <v>Sanjeev</v>
      </c>
      <c r="C1163" s="1">
        <f>IFERROR(__xludf.DUMMYFUNCTION("""COMPUTED_VALUE"""),9.999942122E9)</f>
        <v>9999942122</v>
      </c>
      <c r="D1163" s="1">
        <f>IFERROR(__xludf.DUMMYFUNCTION("""COMPUTED_VALUE"""),1.0)</f>
        <v>1</v>
      </c>
      <c r="E1163" s="3">
        <f>IFERROR(__xludf.DUMMYFUNCTION("""COMPUTED_VALUE"""),0.6145833333357587)</f>
        <v>0.6145833333</v>
      </c>
      <c r="F1163" s="1" t="str">
        <f>IFERROR(__xludf.DUMMYFUNCTION("""COMPUTED_VALUE"""),"Plain Gold")</f>
        <v>Plain Gold</v>
      </c>
      <c r="G1163" s="1" t="str">
        <f>IFERROR(__xludf.DUMMYFUNCTION("""COMPUTED_VALUE"""),"Sapna")</f>
        <v>Sapna</v>
      </c>
      <c r="H1163" s="1" t="str">
        <f>IFERROR(__xludf.DUMMYFUNCTION("""COMPUTED_VALUE"""),"Gold tops")</f>
        <v>Gold tops</v>
      </c>
      <c r="I1163" s="1"/>
      <c r="J1163" s="1"/>
      <c r="K1163" s="3">
        <f>IFERROR(__xludf.DUMMYFUNCTION("""COMPUTED_VALUE"""),0.6770833333357587)</f>
        <v>0.6770833333</v>
      </c>
      <c r="L1163" s="1" t="str">
        <f>IFERROR(__xludf.DUMMYFUNCTION("""COMPUTED_VALUE"""),"No")</f>
        <v>No</v>
      </c>
      <c r="M1163" s="1" t="str">
        <f>IFERROR(__xludf.DUMMYFUNCTION("""COMPUTED_VALUE"""),"Yes")</f>
        <v>Yes</v>
      </c>
      <c r="N1163" s="1" t="str">
        <f>IFERROR(__xludf.DUMMYFUNCTION("""COMPUTED_VALUE"""),"No")</f>
        <v>No</v>
      </c>
      <c r="O1163" s="1" t="str">
        <f>IFERROR(__xludf.DUMMYFUNCTION("""COMPUTED_VALUE"""),"WA ONLY, OWNER CONTACT ONLY")</f>
        <v>WA ONLY, OWNER CONTACT ONLY</v>
      </c>
      <c r="P1163" s="1" t="str">
        <f>IFERROR(__xludf.DUMMYFUNCTION("""COMPUTED_VALUE"""),"Sir")</f>
        <v>Sir</v>
      </c>
      <c r="Q1163" s="1" t="str">
        <f>IFERROR(__xludf.DUMMYFUNCTION("""COMPUTED_VALUE"""),"No")</f>
        <v>No</v>
      </c>
      <c r="R1163" s="1" t="str">
        <f>IFERROR(__xludf.DUMMYFUNCTION("""COMPUTED_VALUE"""),"NEW WALK IN")</f>
        <v>NEW WALK IN</v>
      </c>
      <c r="S1163" s="1" t="str">
        <f>IFERROR(__xludf.DUMMYFUNCTION("""COMPUTED_VALUE"""),"No")</f>
        <v>No</v>
      </c>
    </row>
    <row r="1164">
      <c r="A1164" s="2">
        <f>IFERROR(__xludf.DUMMYFUNCTION("""COMPUTED_VALUE"""),45830.718472187495)</f>
        <v>45830.71847</v>
      </c>
      <c r="B1164" s="1" t="str">
        <f>IFERROR(__xludf.DUMMYFUNCTION("""COMPUTED_VALUE"""),"Priyanka ")</f>
        <v>Priyanka </v>
      </c>
      <c r="C1164" s="1">
        <f>IFERROR(__xludf.DUMMYFUNCTION("""COMPUTED_VALUE"""),9.711100748E9)</f>
        <v>9711100748</v>
      </c>
      <c r="D1164" s="1">
        <f>IFERROR(__xludf.DUMMYFUNCTION("""COMPUTED_VALUE"""),4.0)</f>
        <v>4</v>
      </c>
      <c r="E1164" s="3">
        <f>IFERROR(__xludf.DUMMYFUNCTION("""COMPUTED_VALUE"""),0.6388888888905058)</f>
        <v>0.6388888889</v>
      </c>
      <c r="F1164" s="1" t="str">
        <f>IFERROR(__xludf.DUMMYFUNCTION("""COMPUTED_VALUE"""),"Diamond")</f>
        <v>Diamond</v>
      </c>
      <c r="G1164" s="1" t="str">
        <f>IFERROR(__xludf.DUMMYFUNCTION("""COMPUTED_VALUE"""),"Preeti")</f>
        <v>Preeti</v>
      </c>
      <c r="H1164" s="1" t="str">
        <f>IFERROR(__xludf.DUMMYFUNCTION("""COMPUTED_VALUE"""),"Kadha")</f>
        <v>Kadha</v>
      </c>
      <c r="I1164" s="1" t="str">
        <f>IFERROR(__xludf.DUMMYFUNCTION("""COMPUTED_VALUE"""),"Size not found")</f>
        <v>Size not found</v>
      </c>
      <c r="J1164" s="1"/>
      <c r="K1164" s="3">
        <f>IFERROR(__xludf.DUMMYFUNCTION("""COMPUTED_VALUE"""),0.7055555555562023)</f>
        <v>0.7055555556</v>
      </c>
      <c r="L1164" s="1" t="str">
        <f>IFERROR(__xludf.DUMMYFUNCTION("""COMPUTED_VALUE"""),"No")</f>
        <v>No</v>
      </c>
      <c r="M1164" s="1" t="str">
        <f>IFERROR(__xludf.DUMMYFUNCTION("""COMPUTED_VALUE"""),"Yes")</f>
        <v>Yes</v>
      </c>
      <c r="N1164" s="1" t="str">
        <f>IFERROR(__xludf.DUMMYFUNCTION("""COMPUTED_VALUE"""),"Yes")</f>
        <v>Yes</v>
      </c>
      <c r="O1164" s="1" t="str">
        <f>IFERROR(__xludf.DUMMYFUNCTION("""COMPUTED_VALUE"""),"WA ONLY, OWNER CONTACT ONLY")</f>
        <v>WA ONLY, OWNER CONTACT ONLY</v>
      </c>
      <c r="P1164" s="1" t="str">
        <f>IFERROR(__xludf.DUMMYFUNCTION("""COMPUTED_VALUE"""),"Madam")</f>
        <v>Madam</v>
      </c>
      <c r="Q1164" s="1" t="str">
        <f>IFERROR(__xludf.DUMMYFUNCTION("""COMPUTED_VALUE"""),"Yes")</f>
        <v>Yes</v>
      </c>
      <c r="R1164" s="1" t="str">
        <f>IFERROR(__xludf.DUMMYFUNCTION("""COMPUTED_VALUE"""),"NEW WALK IN")</f>
        <v>NEW WALK IN</v>
      </c>
      <c r="S1164" s="1" t="str">
        <f>IFERROR(__xludf.DUMMYFUNCTION("""COMPUTED_VALUE"""),"Yes")</f>
        <v>Yes</v>
      </c>
    </row>
    <row r="1165">
      <c r="A1165" s="2">
        <f>IFERROR(__xludf.DUMMYFUNCTION("""COMPUTED_VALUE"""),45830.719717314816)</f>
        <v>45830.71972</v>
      </c>
      <c r="B1165" s="1" t="str">
        <f>IFERROR(__xludf.DUMMYFUNCTION("""COMPUTED_VALUE"""),"Aditya ")</f>
        <v>Aditya </v>
      </c>
      <c r="C1165" s="1">
        <f>IFERROR(__xludf.DUMMYFUNCTION("""COMPUTED_VALUE"""),7.846882641E9)</f>
        <v>7846882641</v>
      </c>
      <c r="D1165" s="1">
        <f>IFERROR(__xludf.DUMMYFUNCTION("""COMPUTED_VALUE"""),2.0)</f>
        <v>2</v>
      </c>
      <c r="E1165" s="3">
        <f>IFERROR(__xludf.DUMMYFUNCTION("""COMPUTED_VALUE"""),0.6701388888905058)</f>
        <v>0.6701388889</v>
      </c>
      <c r="F1165" s="1" t="str">
        <f>IFERROR(__xludf.DUMMYFUNCTION("""COMPUTED_VALUE"""),"Plain Gold")</f>
        <v>Plain Gold</v>
      </c>
      <c r="G1165" s="1" t="str">
        <f>IFERROR(__xludf.DUMMYFUNCTION("""COMPUTED_VALUE"""),"Preeti")</f>
        <v>Preeti</v>
      </c>
      <c r="H1165" s="1" t="str">
        <f>IFERROR(__xludf.DUMMYFUNCTION("""COMPUTED_VALUE"""),"Kadha")</f>
        <v>Kadha</v>
      </c>
      <c r="I1165" s="1"/>
      <c r="J1165" s="1"/>
      <c r="K1165" s="3">
        <f>IFERROR(__xludf.DUMMYFUNCTION("""COMPUTED_VALUE"""),0.6875)</f>
        <v>0.6875</v>
      </c>
      <c r="L1165" s="1" t="str">
        <f>IFERROR(__xludf.DUMMYFUNCTION("""COMPUTED_VALUE"""),"No")</f>
        <v>No</v>
      </c>
      <c r="M1165" s="1" t="str">
        <f>IFERROR(__xludf.DUMMYFUNCTION("""COMPUTED_VALUE"""),"No")</f>
        <v>No</v>
      </c>
      <c r="N1165" s="1" t="str">
        <f>IFERROR(__xludf.DUMMYFUNCTION("""COMPUTED_VALUE"""),"Yes")</f>
        <v>Yes</v>
      </c>
      <c r="O1165" s="1" t="str">
        <f>IFERROR(__xludf.DUMMYFUNCTION("""COMPUTED_VALUE"""),"WA ONLY")</f>
        <v>WA ONLY</v>
      </c>
      <c r="P1165" s="1" t="str">
        <f>IFERROR(__xludf.DUMMYFUNCTION("""COMPUTED_VALUE"""),"Sir")</f>
        <v>Sir</v>
      </c>
      <c r="Q1165" s="1" t="str">
        <f>IFERROR(__xludf.DUMMYFUNCTION("""COMPUTED_VALUE"""),"No")</f>
        <v>No</v>
      </c>
      <c r="R1165" s="1" t="str">
        <f>IFERROR(__xludf.DUMMYFUNCTION("""COMPUTED_VALUE"""),"NEW WALK IN")</f>
        <v>NEW WALK IN</v>
      </c>
      <c r="S1165" s="1" t="str">
        <f>IFERROR(__xludf.DUMMYFUNCTION("""COMPUTED_VALUE"""),"Yes")</f>
        <v>Yes</v>
      </c>
    </row>
    <row r="1166">
      <c r="A1166" s="2">
        <f>IFERROR(__xludf.DUMMYFUNCTION("""COMPUTED_VALUE"""),45830.721060717595)</f>
        <v>45830.72106</v>
      </c>
      <c r="B1166" s="1" t="str">
        <f>IFERROR(__xludf.DUMMYFUNCTION("""COMPUTED_VALUE"""),"Gaurav")</f>
        <v>Gaurav</v>
      </c>
      <c r="C1166" s="1">
        <f>IFERROR(__xludf.DUMMYFUNCTION("""COMPUTED_VALUE"""),7.806897981E9)</f>
        <v>7806897981</v>
      </c>
      <c r="D1166" s="1">
        <f>IFERROR(__xludf.DUMMYFUNCTION("""COMPUTED_VALUE"""),2.0)</f>
        <v>2</v>
      </c>
      <c r="E1166" s="3">
        <f>IFERROR(__xludf.DUMMYFUNCTION("""COMPUTED_VALUE"""),0.6770833333357587)</f>
        <v>0.6770833333</v>
      </c>
      <c r="F1166" s="1" t="str">
        <f>IFERROR(__xludf.DUMMYFUNCTION("""COMPUTED_VALUE"""),"Antique Gold")</f>
        <v>Antique Gold</v>
      </c>
      <c r="G1166" s="1" t="str">
        <f>IFERROR(__xludf.DUMMYFUNCTION("""COMPUTED_VALUE"""),"Preeti")</f>
        <v>Preeti</v>
      </c>
      <c r="H1166" s="1" t="str">
        <f>IFERROR(__xludf.DUMMYFUNCTION("""COMPUTED_VALUE"""),"Necklace")</f>
        <v>Necklace</v>
      </c>
      <c r="I1166" s="1"/>
      <c r="J1166" s="1"/>
      <c r="K1166" s="3">
        <f>IFERROR(__xludf.DUMMYFUNCTION("""COMPUTED_VALUE"""),0.7013888888905058)</f>
        <v>0.7013888889</v>
      </c>
      <c r="L1166" s="1" t="str">
        <f>IFERROR(__xludf.DUMMYFUNCTION("""COMPUTED_VALUE"""),"No")</f>
        <v>No</v>
      </c>
      <c r="M1166" s="1" t="str">
        <f>IFERROR(__xludf.DUMMYFUNCTION("""COMPUTED_VALUE"""),"Already done")</f>
        <v>Already done</v>
      </c>
      <c r="N1166" s="1" t="str">
        <f>IFERROR(__xludf.DUMMYFUNCTION("""COMPUTED_VALUE"""),"Already done")</f>
        <v>Already done</v>
      </c>
      <c r="O1166" s="1" t="str">
        <f>IFERROR(__xludf.DUMMYFUNCTION("""COMPUTED_VALUE"""),"WA ONLY")</f>
        <v>WA ONLY</v>
      </c>
      <c r="P1166" s="1" t="str">
        <f>IFERROR(__xludf.DUMMYFUNCTION("""COMPUTED_VALUE"""),"Sir")</f>
        <v>Sir</v>
      </c>
      <c r="Q1166" s="1" t="str">
        <f>IFERROR(__xludf.DUMMYFUNCTION("""COMPUTED_VALUE"""),"No")</f>
        <v>No</v>
      </c>
      <c r="R1166" s="1" t="str">
        <f>IFERROR(__xludf.DUMMYFUNCTION("""COMPUTED_VALUE"""),"OLD")</f>
        <v>OLD</v>
      </c>
      <c r="S1166" s="1" t="str">
        <f>IFERROR(__xludf.DUMMYFUNCTION("""COMPUTED_VALUE"""),"No")</f>
        <v>No</v>
      </c>
    </row>
    <row r="1167">
      <c r="A1167" s="2">
        <f>IFERROR(__xludf.DUMMYFUNCTION("""COMPUTED_VALUE"""),45830.72679655092)</f>
        <v>45830.7268</v>
      </c>
      <c r="B1167" s="1" t="str">
        <f>IFERROR(__xludf.DUMMYFUNCTION("""COMPUTED_VALUE"""),"Mohammed kesair khan")</f>
        <v>Mohammed kesair khan</v>
      </c>
      <c r="C1167" s="1">
        <f>IFERROR(__xludf.DUMMYFUNCTION("""COMPUTED_VALUE"""),9.99972828E8)</f>
        <v>999972828</v>
      </c>
      <c r="D1167" s="1">
        <f>IFERROR(__xludf.DUMMYFUNCTION("""COMPUTED_VALUE"""),2.0)</f>
        <v>2</v>
      </c>
      <c r="E1167" s="3">
        <f>IFERROR(__xludf.DUMMYFUNCTION("""COMPUTED_VALUE"""),0.6770833333357587)</f>
        <v>0.6770833333</v>
      </c>
      <c r="F1167" s="1" t="str">
        <f>IFERROR(__xludf.DUMMYFUNCTION("""COMPUTED_VALUE"""),"Antique Gold")</f>
        <v>Antique Gold</v>
      </c>
      <c r="G1167" s="1"/>
      <c r="H1167" s="1" t="str">
        <f>IFERROR(__xludf.DUMMYFUNCTION("""COMPUTED_VALUE"""),"Choker necklaces ")</f>
        <v>Choker necklaces </v>
      </c>
      <c r="I1167" s="1" t="str">
        <f>IFERROR(__xludf.DUMMYFUNCTION("""COMPUTED_VALUE"""),"Making High or Wants Discount")</f>
        <v>Making High or Wants Discount</v>
      </c>
      <c r="J1167" s="1"/>
      <c r="K1167" s="3">
        <f>IFERROR(__xludf.DUMMYFUNCTION("""COMPUTED_VALUE"""),0.7243055555591127)</f>
        <v>0.7243055556</v>
      </c>
      <c r="L1167" s="1" t="str">
        <f>IFERROR(__xludf.DUMMYFUNCTION("""COMPUTED_VALUE"""),"No")</f>
        <v>No</v>
      </c>
      <c r="M1167" s="1" t="str">
        <f>IFERROR(__xludf.DUMMYFUNCTION("""COMPUTED_VALUE"""),"No")</f>
        <v>No</v>
      </c>
      <c r="N1167" s="1" t="str">
        <f>IFERROR(__xludf.DUMMYFUNCTION("""COMPUTED_VALUE"""),"No")</f>
        <v>No</v>
      </c>
      <c r="O1167" s="1" t="str">
        <f>IFERROR(__xludf.DUMMYFUNCTION("""COMPUTED_VALUE"""),"WA ONLY")</f>
        <v>WA ONLY</v>
      </c>
      <c r="P1167" s="1" t="str">
        <f>IFERROR(__xludf.DUMMYFUNCTION("""COMPUTED_VALUE"""),"Sir")</f>
        <v>Sir</v>
      </c>
      <c r="Q1167" s="1" t="str">
        <f>IFERROR(__xludf.DUMMYFUNCTION("""COMPUTED_VALUE"""),"No")</f>
        <v>No</v>
      </c>
      <c r="R1167" s="1" t="str">
        <f>IFERROR(__xludf.DUMMYFUNCTION("""COMPUTED_VALUE"""),"OLD")</f>
        <v>OLD</v>
      </c>
      <c r="S1167" s="1" t="str">
        <f>IFERROR(__xludf.DUMMYFUNCTION("""COMPUTED_VALUE"""),"No")</f>
        <v>No</v>
      </c>
    </row>
    <row r="1168">
      <c r="A1168" s="2">
        <f>IFERROR(__xludf.DUMMYFUNCTION("""COMPUTED_VALUE"""),45833.7028408912)</f>
        <v>45833.70284</v>
      </c>
      <c r="B1168" s="1" t="str">
        <f>IFERROR(__xludf.DUMMYFUNCTION("""COMPUTED_VALUE"""),"Surender kumar")</f>
        <v>Surender kumar</v>
      </c>
      <c r="C1168" s="1">
        <f>IFERROR(__xludf.DUMMYFUNCTION("""COMPUTED_VALUE"""),8.8603534E9)</f>
        <v>8860353400</v>
      </c>
      <c r="D1168" s="1">
        <f>IFERROR(__xludf.DUMMYFUNCTION("""COMPUTED_VALUE"""),3.0)</f>
        <v>3</v>
      </c>
      <c r="E1168" s="3">
        <f>IFERROR(__xludf.DUMMYFUNCTION("""COMPUTED_VALUE"""),0.6979166666642413)</f>
        <v>0.6979166667</v>
      </c>
      <c r="F1168" s="1" t="str">
        <f>IFERROR(__xludf.DUMMYFUNCTION("""COMPUTED_VALUE"""),"Plain Gold")</f>
        <v>Plain Gold</v>
      </c>
      <c r="G1168" s="1" t="str">
        <f>IFERROR(__xludf.DUMMYFUNCTION("""COMPUTED_VALUE"""),"Sapna")</f>
        <v>Sapna</v>
      </c>
      <c r="H1168" s="1" t="str">
        <f>IFERROR(__xludf.DUMMYFUNCTION("""COMPUTED_VALUE"""),"Anklets, Maang teeka, jutti")</f>
        <v>Anklets, Maang teeka, jutti</v>
      </c>
      <c r="I1168" s="1"/>
      <c r="J1168" s="1"/>
      <c r="K1168" s="3">
        <f>IFERROR(__xludf.DUMMYFUNCTION("""COMPUTED_VALUE"""),0.7916666666642413)</f>
        <v>0.7916666667</v>
      </c>
      <c r="L1168" s="1" t="str">
        <f>IFERROR(__xludf.DUMMYFUNCTION("""COMPUTED_VALUE"""),"No")</f>
        <v>No</v>
      </c>
      <c r="M1168" s="1" t="str">
        <f>IFERROR(__xludf.DUMMYFUNCTION("""COMPUTED_VALUE"""),"Yes")</f>
        <v>Yes</v>
      </c>
      <c r="N1168" s="1" t="str">
        <f>IFERROR(__xludf.DUMMYFUNCTION("""COMPUTED_VALUE"""),"Yes")</f>
        <v>Yes</v>
      </c>
      <c r="O1168" s="1" t="str">
        <f>IFERROR(__xludf.DUMMYFUNCTION("""COMPUTED_VALUE"""),"WA ONLY")</f>
        <v>WA ONLY</v>
      </c>
      <c r="P1168" s="1" t="str">
        <f>IFERROR(__xludf.DUMMYFUNCTION("""COMPUTED_VALUE"""),"Sir")</f>
        <v>Sir</v>
      </c>
      <c r="Q1168" s="1" t="str">
        <f>IFERROR(__xludf.DUMMYFUNCTION("""COMPUTED_VALUE"""),"No")</f>
        <v>No</v>
      </c>
      <c r="R1168" s="1" t="str">
        <f>IFERROR(__xludf.DUMMYFUNCTION("""COMPUTED_VALUE"""),"NEW WALK IN")</f>
        <v>NEW WALK IN</v>
      </c>
      <c r="S1168" s="1" t="str">
        <f>IFERROR(__xludf.DUMMYFUNCTION("""COMPUTED_VALUE"""),"Yes")</f>
        <v>Yes</v>
      </c>
    </row>
    <row r="1169">
      <c r="A1169" s="2">
        <f>IFERROR(__xludf.DUMMYFUNCTION("""COMPUTED_VALUE"""),45836.785637650464)</f>
        <v>45836.78564</v>
      </c>
      <c r="B1169" s="1" t="str">
        <f>IFERROR(__xludf.DUMMYFUNCTION("""COMPUTED_VALUE"""),"Narender Mehta")</f>
        <v>Narender Mehta</v>
      </c>
      <c r="C1169" s="1">
        <f>IFERROR(__xludf.DUMMYFUNCTION("""COMPUTED_VALUE"""),9.211910401E9)</f>
        <v>9211910401</v>
      </c>
      <c r="D1169" s="1">
        <f>IFERROR(__xludf.DUMMYFUNCTION("""COMPUTED_VALUE"""),2.0)</f>
        <v>2</v>
      </c>
      <c r="E1169" s="3">
        <f>IFERROR(__xludf.DUMMYFUNCTION("""COMPUTED_VALUE"""),0.7534722222189885)</f>
        <v>0.7534722222</v>
      </c>
      <c r="F1169" s="1" t="str">
        <f>IFERROR(__xludf.DUMMYFUNCTION("""COMPUTED_VALUE"""),"Plain Gold")</f>
        <v>Plain Gold</v>
      </c>
      <c r="G1169" s="1" t="str">
        <f>IFERROR(__xludf.DUMMYFUNCTION("""COMPUTED_VALUE"""),"Sapna")</f>
        <v>Sapna</v>
      </c>
      <c r="H1169" s="1" t="str">
        <f>IFERROR(__xludf.DUMMYFUNCTION("""COMPUTED_VALUE"""),"Rings")</f>
        <v>Rings</v>
      </c>
      <c r="I1169" s="1"/>
      <c r="J1169" s="1"/>
      <c r="K1169" s="3">
        <f>IFERROR(__xludf.DUMMYFUNCTION("""COMPUTED_VALUE"""),0.7624999999970896)</f>
        <v>0.7625</v>
      </c>
      <c r="L1169" s="1" t="str">
        <f>IFERROR(__xludf.DUMMYFUNCTION("""COMPUTED_VALUE"""),"No")</f>
        <v>No</v>
      </c>
      <c r="M1169" s="1" t="str">
        <f>IFERROR(__xludf.DUMMYFUNCTION("""COMPUTED_VALUE"""),"Yes")</f>
        <v>Yes</v>
      </c>
      <c r="N1169" s="1" t="str">
        <f>IFERROR(__xludf.DUMMYFUNCTION("""COMPUTED_VALUE"""),"Already done ")</f>
        <v>Already done </v>
      </c>
      <c r="O1169" s="1" t="str">
        <f>IFERROR(__xludf.DUMMYFUNCTION("""COMPUTED_VALUE"""),"WA ONLY")</f>
        <v>WA ONLY</v>
      </c>
      <c r="P1169" s="1" t="str">
        <f>IFERROR(__xludf.DUMMYFUNCTION("""COMPUTED_VALUE"""),"Sir")</f>
        <v>Sir</v>
      </c>
      <c r="Q1169" s="1" t="str">
        <f>IFERROR(__xludf.DUMMYFUNCTION("""COMPUTED_VALUE"""),"Yes")</f>
        <v>Yes</v>
      </c>
      <c r="R1169" s="1" t="str">
        <f>IFERROR(__xludf.DUMMYFUNCTION("""COMPUTED_VALUE"""),"OLD")</f>
        <v>OLD</v>
      </c>
      <c r="S1169" s="1" t="str">
        <f>IFERROR(__xludf.DUMMYFUNCTION("""COMPUTED_VALUE"""),"Yes")</f>
        <v>Yes</v>
      </c>
    </row>
    <row r="1170">
      <c r="A1170" s="2">
        <f>IFERROR(__xludf.DUMMYFUNCTION("""COMPUTED_VALUE"""),45837.742452569444)</f>
        <v>45837.74245</v>
      </c>
      <c r="B1170" s="1" t="str">
        <f>IFERROR(__xludf.DUMMYFUNCTION("""COMPUTED_VALUE"""),"Poonam")</f>
        <v>Poonam</v>
      </c>
      <c r="C1170" s="1">
        <f>IFERROR(__xludf.DUMMYFUNCTION("""COMPUTED_VALUE"""),9.999488996E9)</f>
        <v>9999488996</v>
      </c>
      <c r="D1170" s="1">
        <f>IFERROR(__xludf.DUMMYFUNCTION("""COMPUTED_VALUE"""),1.0)</f>
        <v>1</v>
      </c>
      <c r="E1170" s="3">
        <f>IFERROR(__xludf.DUMMYFUNCTION("""COMPUTED_VALUE"""),0.5833333333357587)</f>
        <v>0.5833333333</v>
      </c>
      <c r="F1170" s="1" t="str">
        <f>IFERROR(__xludf.DUMMYFUNCTION("""COMPUTED_VALUE"""),"Diamond")</f>
        <v>Diamond</v>
      </c>
      <c r="G1170" s="1" t="str">
        <f>IFERROR(__xludf.DUMMYFUNCTION("""COMPUTED_VALUE"""),"Preeti")</f>
        <v>Preeti</v>
      </c>
      <c r="H1170" s="1" t="str">
        <f>IFERROR(__xludf.DUMMYFUNCTION("""COMPUTED_VALUE"""),"Ring")</f>
        <v>Ring</v>
      </c>
      <c r="I1170" s="1"/>
      <c r="J1170" s="1"/>
      <c r="K1170" s="3">
        <f>IFERROR(__xludf.DUMMYFUNCTION("""COMPUTED_VALUE"""),0.625)</f>
        <v>0.625</v>
      </c>
      <c r="L1170" s="1" t="str">
        <f>IFERROR(__xludf.DUMMYFUNCTION("""COMPUTED_VALUE"""),"No")</f>
        <v>No</v>
      </c>
      <c r="M1170" s="1" t="str">
        <f>IFERROR(__xludf.DUMMYFUNCTION("""COMPUTED_VALUE"""),"Already done")</f>
        <v>Already done</v>
      </c>
      <c r="N1170" s="1" t="str">
        <f>IFERROR(__xludf.DUMMYFUNCTION("""COMPUTED_VALUE"""),"Already done")</f>
        <v>Already done</v>
      </c>
      <c r="O1170" s="1" t="str">
        <f>IFERROR(__xludf.DUMMYFUNCTION("""COMPUTED_VALUE"""),"WA ONLY")</f>
        <v>WA ONLY</v>
      </c>
      <c r="P1170" s="1" t="str">
        <f>IFERROR(__xludf.DUMMYFUNCTION("""COMPUTED_VALUE"""),"Madam")</f>
        <v>Madam</v>
      </c>
      <c r="Q1170" s="1" t="str">
        <f>IFERROR(__xludf.DUMMYFUNCTION("""COMPUTED_VALUE"""),"Yes")</f>
        <v>Yes</v>
      </c>
      <c r="R1170" s="1" t="str">
        <f>IFERROR(__xludf.DUMMYFUNCTION("""COMPUTED_VALUE"""),"OLD")</f>
        <v>OLD</v>
      </c>
      <c r="S1170" s="1" t="str">
        <f>IFERROR(__xludf.DUMMYFUNCTION("""COMPUTED_VALUE"""),"No")</f>
        <v>No</v>
      </c>
    </row>
    <row r="1171">
      <c r="A1171" s="2">
        <f>IFERROR(__xludf.DUMMYFUNCTION("""COMPUTED_VALUE"""),45837.74402506945)</f>
        <v>45837.74403</v>
      </c>
      <c r="B1171" s="1" t="str">
        <f>IFERROR(__xludf.DUMMYFUNCTION("""COMPUTED_VALUE"""),"Nimish")</f>
        <v>Nimish</v>
      </c>
      <c r="C1171" s="1">
        <f>IFERROR(__xludf.DUMMYFUNCTION("""COMPUTED_VALUE"""),9.818260067E9)</f>
        <v>9818260067</v>
      </c>
      <c r="D1171" s="1">
        <f>IFERROR(__xludf.DUMMYFUNCTION("""COMPUTED_VALUE"""),4.0)</f>
        <v>4</v>
      </c>
      <c r="E1171" s="3">
        <f>IFERROR(__xludf.DUMMYFUNCTION("""COMPUTED_VALUE"""),0.6666666666642413)</f>
        <v>0.6666666667</v>
      </c>
      <c r="F1171" s="1" t="str">
        <f>IFERROR(__xludf.DUMMYFUNCTION("""COMPUTED_VALUE"""),"Diamond")</f>
        <v>Diamond</v>
      </c>
      <c r="G1171" s="1" t="str">
        <f>IFERROR(__xludf.DUMMYFUNCTION("""COMPUTED_VALUE"""),"Preeti")</f>
        <v>Preeti</v>
      </c>
      <c r="H1171" s="1" t="str">
        <f>IFERROR(__xludf.DUMMYFUNCTION("""COMPUTED_VALUE"""),"Rings")</f>
        <v>Rings</v>
      </c>
      <c r="I1171" s="1"/>
      <c r="J1171" s="1"/>
      <c r="K1171" s="3">
        <f>IFERROR(__xludf.DUMMYFUNCTION("""COMPUTED_VALUE"""),0.7291666666642413)</f>
        <v>0.7291666667</v>
      </c>
      <c r="L1171" s="1" t="str">
        <f>IFERROR(__xludf.DUMMYFUNCTION("""COMPUTED_VALUE"""),"No")</f>
        <v>No</v>
      </c>
      <c r="M1171" s="1" t="str">
        <f>IFERROR(__xludf.DUMMYFUNCTION("""COMPUTED_VALUE"""),"Yes")</f>
        <v>Yes</v>
      </c>
      <c r="N1171" s="1" t="str">
        <f>IFERROR(__xludf.DUMMYFUNCTION("""COMPUTED_VALUE"""),"Yes")</f>
        <v>Yes</v>
      </c>
      <c r="O1171" s="1" t="str">
        <f>IFERROR(__xludf.DUMMYFUNCTION("""COMPUTED_VALUE"""),"WA ONLY")</f>
        <v>WA ONLY</v>
      </c>
      <c r="P1171" s="1"/>
      <c r="Q1171" s="1" t="str">
        <f>IFERROR(__xludf.DUMMYFUNCTION("""COMPUTED_VALUE"""),"No")</f>
        <v>No</v>
      </c>
      <c r="R1171" s="1" t="str">
        <f>IFERROR(__xludf.DUMMYFUNCTION("""COMPUTED_VALUE"""),"OLD")</f>
        <v>OLD</v>
      </c>
      <c r="S1171" s="1" t="str">
        <f>IFERROR(__xludf.DUMMYFUNCTION("""COMPUTED_VALUE"""),"No")</f>
        <v>No</v>
      </c>
    </row>
    <row r="1172">
      <c r="A1172" s="2">
        <f>IFERROR(__xludf.DUMMYFUNCTION("""COMPUTED_VALUE"""),45839.597894398146)</f>
        <v>45839.59789</v>
      </c>
      <c r="B1172" s="1" t="str">
        <f>IFERROR(__xludf.DUMMYFUNCTION("""COMPUTED_VALUE"""),"Manoj kumar")</f>
        <v>Manoj kumar</v>
      </c>
      <c r="C1172" s="1">
        <f>IFERROR(__xludf.DUMMYFUNCTION("""COMPUTED_VALUE"""),9.212157824E9)</f>
        <v>9212157824</v>
      </c>
      <c r="D1172" s="1">
        <f>IFERROR(__xludf.DUMMYFUNCTION("""COMPUTED_VALUE"""),3.0)</f>
        <v>3</v>
      </c>
      <c r="E1172" s="3">
        <f>IFERROR(__xludf.DUMMYFUNCTION("""COMPUTED_VALUE"""),0.7083333333357587)</f>
        <v>0.7083333333</v>
      </c>
      <c r="F1172" s="1" t="str">
        <f>IFERROR(__xludf.DUMMYFUNCTION("""COMPUTED_VALUE"""),"Diamond")</f>
        <v>Diamond</v>
      </c>
      <c r="G1172" s="1" t="str">
        <f>IFERROR(__xludf.DUMMYFUNCTION("""COMPUTED_VALUE"""),"Sapna")</f>
        <v>Sapna</v>
      </c>
      <c r="H1172" s="1" t="str">
        <f>IFERROR(__xludf.DUMMYFUNCTION("""COMPUTED_VALUE"""),"Rings")</f>
        <v>Rings</v>
      </c>
      <c r="I1172" s="1"/>
      <c r="J1172" s="1"/>
      <c r="K1172" s="3">
        <f>IFERROR(__xludf.DUMMYFUNCTION("""COMPUTED_VALUE"""),0.78125)</f>
        <v>0.78125</v>
      </c>
      <c r="L1172" s="1" t="str">
        <f>IFERROR(__xludf.DUMMYFUNCTION("""COMPUTED_VALUE"""),"No")</f>
        <v>No</v>
      </c>
      <c r="M1172" s="1" t="str">
        <f>IFERROR(__xludf.DUMMYFUNCTION("""COMPUTED_VALUE"""),"Yes")</f>
        <v>Yes</v>
      </c>
      <c r="N1172" s="1" t="str">
        <f>IFERROR(__xludf.DUMMYFUNCTION("""COMPUTED_VALUE"""),"Yes")</f>
        <v>Yes</v>
      </c>
      <c r="O1172" s="1" t="str">
        <f>IFERROR(__xludf.DUMMYFUNCTION("""COMPUTED_VALUE"""),"WA ONLY")</f>
        <v>WA ONLY</v>
      </c>
      <c r="P1172" s="1" t="str">
        <f>IFERROR(__xludf.DUMMYFUNCTION("""COMPUTED_VALUE"""),"Sir")</f>
        <v>Sir</v>
      </c>
      <c r="Q1172" s="1" t="str">
        <f>IFERROR(__xludf.DUMMYFUNCTION("""COMPUTED_VALUE"""),"Yes")</f>
        <v>Yes</v>
      </c>
      <c r="R1172" s="1" t="str">
        <f>IFERROR(__xludf.DUMMYFUNCTION("""COMPUTED_VALUE"""),"OLD")</f>
        <v>OLD</v>
      </c>
      <c r="S1172" s="1" t="str">
        <f>IFERROR(__xludf.DUMMYFUNCTION("""COMPUTED_VALUE"""),"Yes")</f>
        <v>Yes</v>
      </c>
    </row>
    <row r="1173">
      <c r="A1173" s="2">
        <f>IFERROR(__xludf.DUMMYFUNCTION("""COMPUTED_VALUE"""),45839.59901627315)</f>
        <v>45839.59902</v>
      </c>
      <c r="B1173" s="1" t="str">
        <f>IFERROR(__xludf.DUMMYFUNCTION("""COMPUTED_VALUE"""),"Abhishek ")</f>
        <v>Abhishek </v>
      </c>
      <c r="C1173" s="1">
        <f>IFERROR(__xludf.DUMMYFUNCTION("""COMPUTED_VALUE"""),8.744042452E9)</f>
        <v>8744042452</v>
      </c>
      <c r="D1173" s="1">
        <f>IFERROR(__xludf.DUMMYFUNCTION("""COMPUTED_VALUE"""),2.0)</f>
        <v>2</v>
      </c>
      <c r="E1173" s="3">
        <f>IFERROR(__xludf.DUMMYFUNCTION("""COMPUTED_VALUE"""),0.5694444444452529)</f>
        <v>0.5694444444</v>
      </c>
      <c r="F1173" s="1" t="str">
        <f>IFERROR(__xludf.DUMMYFUNCTION("""COMPUTED_VALUE"""),"Plain Gold")</f>
        <v>Plain Gold</v>
      </c>
      <c r="G1173" s="1" t="str">
        <f>IFERROR(__xludf.DUMMYFUNCTION("""COMPUTED_VALUE"""),"Sapna")</f>
        <v>Sapna</v>
      </c>
      <c r="H1173" s="1" t="str">
        <f>IFERROR(__xludf.DUMMYFUNCTION("""COMPUTED_VALUE"""),"Studs")</f>
        <v>Studs</v>
      </c>
      <c r="I1173" s="1"/>
      <c r="J1173" s="1"/>
      <c r="K1173" s="3">
        <f>IFERROR(__xludf.DUMMYFUNCTION("""COMPUTED_VALUE"""),0.59375)</f>
        <v>0.59375</v>
      </c>
      <c r="L1173" s="1" t="str">
        <f>IFERROR(__xludf.DUMMYFUNCTION("""COMPUTED_VALUE"""),"No")</f>
        <v>No</v>
      </c>
      <c r="M1173" s="1" t="str">
        <f>IFERROR(__xludf.DUMMYFUNCTION("""COMPUTED_VALUE"""),"No")</f>
        <v>No</v>
      </c>
      <c r="N1173" s="1" t="str">
        <f>IFERROR(__xludf.DUMMYFUNCTION("""COMPUTED_VALUE"""),"No")</f>
        <v>No</v>
      </c>
      <c r="O1173" s="1" t="str">
        <f>IFERROR(__xludf.DUMMYFUNCTION("""COMPUTED_VALUE"""),"WA ONLY")</f>
        <v>WA ONLY</v>
      </c>
      <c r="P1173" s="1" t="str">
        <f>IFERROR(__xludf.DUMMYFUNCTION("""COMPUTED_VALUE"""),"Sir")</f>
        <v>Sir</v>
      </c>
      <c r="Q1173" s="1" t="str">
        <f>IFERROR(__xludf.DUMMYFUNCTION("""COMPUTED_VALUE"""),"No")</f>
        <v>No</v>
      </c>
      <c r="R1173" s="1" t="str">
        <f>IFERROR(__xludf.DUMMYFUNCTION("""COMPUTED_VALUE"""),"NEW WALK IN")</f>
        <v>NEW WALK IN</v>
      </c>
      <c r="S1173" s="1" t="str">
        <f>IFERROR(__xludf.DUMMYFUNCTION("""COMPUTED_VALUE"""),"Yes")</f>
        <v>Yes</v>
      </c>
    </row>
    <row r="1174">
      <c r="A1174" s="2">
        <f>IFERROR(__xludf.DUMMYFUNCTION("""COMPUTED_VALUE"""),45839.742346377316)</f>
        <v>45839.74235</v>
      </c>
      <c r="B1174" s="1" t="str">
        <f>IFERROR(__xludf.DUMMYFUNCTION("""COMPUTED_VALUE"""),"Ritu")</f>
        <v>Ritu</v>
      </c>
      <c r="C1174" s="1" t="str">
        <f>IFERROR(__xludf.DUMMYFUNCTION("""COMPUTED_VALUE"""),"+61425356605")</f>
        <v>+61425356605</v>
      </c>
      <c r="D1174" s="1">
        <f>IFERROR(__xludf.DUMMYFUNCTION("""COMPUTED_VALUE"""),3.0)</f>
        <v>3</v>
      </c>
      <c r="E1174" s="3">
        <f>IFERROR(__xludf.DUMMYFUNCTION("""COMPUTED_VALUE"""),0.5833333333357587)</f>
        <v>0.5833333333</v>
      </c>
      <c r="F1174" s="1" t="str">
        <f>IFERROR(__xludf.DUMMYFUNCTION("""COMPUTED_VALUE"""),"Diamond")</f>
        <v>Diamond</v>
      </c>
      <c r="G1174" s="1" t="str">
        <f>IFERROR(__xludf.DUMMYFUNCTION("""COMPUTED_VALUE"""),"Preeti")</f>
        <v>Preeti</v>
      </c>
      <c r="H1174" s="1" t="str">
        <f>IFERROR(__xludf.DUMMYFUNCTION("""COMPUTED_VALUE"""),"Diamond set")</f>
        <v>Diamond set</v>
      </c>
      <c r="I1174" s="1"/>
      <c r="J1174" s="1"/>
      <c r="K1174" s="3">
        <f>IFERROR(__xludf.DUMMYFUNCTION("""COMPUTED_VALUE"""),0.6875)</f>
        <v>0.6875</v>
      </c>
      <c r="L1174" s="1" t="str">
        <f>IFERROR(__xludf.DUMMYFUNCTION("""COMPUTED_VALUE"""),"No")</f>
        <v>No</v>
      </c>
      <c r="M1174" s="1" t="str">
        <f>IFERROR(__xludf.DUMMYFUNCTION("""COMPUTED_VALUE"""),"Yes")</f>
        <v>Yes</v>
      </c>
      <c r="N1174" s="1" t="str">
        <f>IFERROR(__xludf.DUMMYFUNCTION("""COMPUTED_VALUE"""),"Yes")</f>
        <v>Yes</v>
      </c>
      <c r="O1174" s="1" t="str">
        <f>IFERROR(__xludf.DUMMYFUNCTION("""COMPUTED_VALUE"""),"WA ONLY")</f>
        <v>WA ONLY</v>
      </c>
      <c r="P1174" s="1" t="str">
        <f>IFERROR(__xludf.DUMMYFUNCTION("""COMPUTED_VALUE"""),"Madam")</f>
        <v>Madam</v>
      </c>
      <c r="Q1174" s="1" t="str">
        <f>IFERROR(__xludf.DUMMYFUNCTION("""COMPUTED_VALUE"""),"No")</f>
        <v>No</v>
      </c>
      <c r="R1174" s="1" t="str">
        <f>IFERROR(__xludf.DUMMYFUNCTION("""COMPUTED_VALUE"""),"OLD")</f>
        <v>OLD</v>
      </c>
      <c r="S1174" s="1" t="str">
        <f>IFERROR(__xludf.DUMMYFUNCTION("""COMPUTED_VALUE"""),"Yes")</f>
        <v>Yes</v>
      </c>
    </row>
    <row r="1175">
      <c r="A1175" s="2">
        <f>IFERROR(__xludf.DUMMYFUNCTION("""COMPUTED_VALUE"""),45840.61716268519)</f>
        <v>45840.61716</v>
      </c>
      <c r="B1175" s="1" t="str">
        <f>IFERROR(__xludf.DUMMYFUNCTION("""COMPUTED_VALUE"""),"Renu manchanda ")</f>
        <v>Renu manchanda </v>
      </c>
      <c r="C1175" s="1">
        <f>IFERROR(__xludf.DUMMYFUNCTION("""COMPUTED_VALUE"""),8.920731234E9)</f>
        <v>8920731234</v>
      </c>
      <c r="D1175" s="1">
        <f>IFERROR(__xludf.DUMMYFUNCTION("""COMPUTED_VALUE"""),2.0)</f>
        <v>2</v>
      </c>
      <c r="E1175" s="3">
        <f>IFERROR(__xludf.DUMMYFUNCTION("""COMPUTED_VALUE"""),0.5694444444452529)</f>
        <v>0.5694444444</v>
      </c>
      <c r="F1175" s="1" t="str">
        <f>IFERROR(__xludf.DUMMYFUNCTION("""COMPUTED_VALUE"""),"Antique Gold")</f>
        <v>Antique Gold</v>
      </c>
      <c r="G1175" s="1" t="str">
        <f>IFERROR(__xludf.DUMMYFUNCTION("""COMPUTED_VALUE"""),"Sapna")</f>
        <v>Sapna</v>
      </c>
      <c r="H1175" s="1" t="str">
        <f>IFERROR(__xludf.DUMMYFUNCTION("""COMPUTED_VALUE"""),"Diamond rings")</f>
        <v>Diamond rings</v>
      </c>
      <c r="I1175" s="1"/>
      <c r="J1175" s="1"/>
      <c r="K1175" s="3">
        <f>IFERROR(__xludf.DUMMYFUNCTION("""COMPUTED_VALUE"""),0.6041666666642413)</f>
        <v>0.6041666667</v>
      </c>
      <c r="L1175" s="1" t="str">
        <f>IFERROR(__xludf.DUMMYFUNCTION("""COMPUTED_VALUE"""),"No")</f>
        <v>No</v>
      </c>
      <c r="M1175" s="1" t="str">
        <f>IFERROR(__xludf.DUMMYFUNCTION("""COMPUTED_VALUE"""),"Already done ")</f>
        <v>Already done </v>
      </c>
      <c r="N1175" s="1" t="str">
        <f>IFERROR(__xludf.DUMMYFUNCTION("""COMPUTED_VALUE"""),"Yes")</f>
        <v>Yes</v>
      </c>
      <c r="O1175" s="1" t="str">
        <f>IFERROR(__xludf.DUMMYFUNCTION("""COMPUTED_VALUE"""),"WA ONLY")</f>
        <v>WA ONLY</v>
      </c>
      <c r="P1175" s="1" t="str">
        <f>IFERROR(__xludf.DUMMYFUNCTION("""COMPUTED_VALUE"""),"Madam")</f>
        <v>Madam</v>
      </c>
      <c r="Q1175" s="1" t="str">
        <f>IFERROR(__xludf.DUMMYFUNCTION("""COMPUTED_VALUE"""),"Yes")</f>
        <v>Yes</v>
      </c>
      <c r="R1175" s="1" t="str">
        <f>IFERROR(__xludf.DUMMYFUNCTION("""COMPUTED_VALUE"""),"OLD")</f>
        <v>OLD</v>
      </c>
      <c r="S1175" s="1" t="str">
        <f>IFERROR(__xludf.DUMMYFUNCTION("""COMPUTED_VALUE"""),"Yes")</f>
        <v>Yes</v>
      </c>
    </row>
    <row r="1176">
      <c r="A1176" s="2">
        <f>IFERROR(__xludf.DUMMYFUNCTION("""COMPUTED_VALUE"""),45840.697277141204)</f>
        <v>45840.69728</v>
      </c>
      <c r="B1176" s="1" t="str">
        <f>IFERROR(__xludf.DUMMYFUNCTION("""COMPUTED_VALUE"""),"Aarti")</f>
        <v>Aarti</v>
      </c>
      <c r="C1176" s="1">
        <f>IFERROR(__xludf.DUMMYFUNCTION("""COMPUTED_VALUE"""),9.868203875E9)</f>
        <v>9868203875</v>
      </c>
      <c r="D1176" s="1">
        <f>IFERROR(__xludf.DUMMYFUNCTION("""COMPUTED_VALUE"""),2.0)</f>
        <v>2</v>
      </c>
      <c r="E1176" s="3">
        <f>IFERROR(__xludf.DUMMYFUNCTION("""COMPUTED_VALUE"""),0.65625)</f>
        <v>0.65625</v>
      </c>
      <c r="F1176" s="1" t="str">
        <f>IFERROR(__xludf.DUMMYFUNCTION("""COMPUTED_VALUE"""),"Antique Gold")</f>
        <v>Antique Gold</v>
      </c>
      <c r="G1176" s="1"/>
      <c r="H1176" s="1" t="str">
        <f>IFERROR(__xludf.DUMMYFUNCTION("""COMPUTED_VALUE"""),"Sets")</f>
        <v>Sets</v>
      </c>
      <c r="I1176" s="1"/>
      <c r="J1176" s="1"/>
      <c r="K1176" s="3">
        <f>IFERROR(__xludf.DUMMYFUNCTION("""COMPUTED_VALUE"""),0.6909722222189885)</f>
        <v>0.6909722222</v>
      </c>
      <c r="L1176" s="1" t="str">
        <f>IFERROR(__xludf.DUMMYFUNCTION("""COMPUTED_VALUE"""),"No")</f>
        <v>No</v>
      </c>
      <c r="M1176" s="1" t="str">
        <f>IFERROR(__xludf.DUMMYFUNCTION("""COMPUTED_VALUE"""),"Yes")</f>
        <v>Yes</v>
      </c>
      <c r="N1176" s="1" t="str">
        <f>IFERROR(__xludf.DUMMYFUNCTION("""COMPUTED_VALUE"""),"Yes")</f>
        <v>Yes</v>
      </c>
      <c r="O1176" s="1" t="str">
        <f>IFERROR(__xludf.DUMMYFUNCTION("""COMPUTED_VALUE"""),"WA ONLY, OWNER CONTACT ONLY")</f>
        <v>WA ONLY, OWNER CONTACT ONLY</v>
      </c>
      <c r="P1176" s="1" t="str">
        <f>IFERROR(__xludf.DUMMYFUNCTION("""COMPUTED_VALUE"""),"Bhabhi")</f>
        <v>Bhabhi</v>
      </c>
      <c r="Q1176" s="1" t="str">
        <f>IFERROR(__xludf.DUMMYFUNCTION("""COMPUTED_VALUE"""),"No")</f>
        <v>No</v>
      </c>
      <c r="R1176" s="1" t="str">
        <f>IFERROR(__xludf.DUMMYFUNCTION("""COMPUTED_VALUE"""),"OLD")</f>
        <v>OLD</v>
      </c>
      <c r="S1176" s="1" t="str">
        <f>IFERROR(__xludf.DUMMYFUNCTION("""COMPUTED_VALUE"""),"Yes")</f>
        <v>Yes</v>
      </c>
    </row>
    <row r="1177">
      <c r="A1177" s="2">
        <f>IFERROR(__xludf.DUMMYFUNCTION("""COMPUTED_VALUE"""),45841.781969062504)</f>
        <v>45841.78197</v>
      </c>
      <c r="B1177" s="1" t="str">
        <f>IFERROR(__xludf.DUMMYFUNCTION("""COMPUTED_VALUE"""),"Sunita goyal")</f>
        <v>Sunita goyal</v>
      </c>
      <c r="C1177" s="1">
        <f>IFERROR(__xludf.DUMMYFUNCTION("""COMPUTED_VALUE"""),9.013927456E9)</f>
        <v>9013927456</v>
      </c>
      <c r="D1177" s="1">
        <f>IFERROR(__xludf.DUMMYFUNCTION("""COMPUTED_VALUE"""),2.0)</f>
        <v>2</v>
      </c>
      <c r="E1177" s="3">
        <f>IFERROR(__xludf.DUMMYFUNCTION("""COMPUTED_VALUE"""),0.6944444444452529)</f>
        <v>0.6944444444</v>
      </c>
      <c r="F1177" s="1" t="str">
        <f>IFERROR(__xludf.DUMMYFUNCTION("""COMPUTED_VALUE"""),"Plain Gold")</f>
        <v>Plain Gold</v>
      </c>
      <c r="G1177" s="1" t="str">
        <f>IFERROR(__xludf.DUMMYFUNCTION("""COMPUTED_VALUE"""),"Sapna")</f>
        <v>Sapna</v>
      </c>
      <c r="H1177" s="1" t="str">
        <f>IFERROR(__xludf.DUMMYFUNCTION("""COMPUTED_VALUE"""),"Neckchains and silver coins")</f>
        <v>Neckchains and silver coins</v>
      </c>
      <c r="I1177" s="1"/>
      <c r="J1177" s="1"/>
      <c r="K1177" s="3">
        <f>IFERROR(__xludf.DUMMYFUNCTION("""COMPUTED_VALUE"""),0.7472222222204437)</f>
        <v>0.7472222222</v>
      </c>
      <c r="L1177" s="1" t="str">
        <f>IFERROR(__xludf.DUMMYFUNCTION("""COMPUTED_VALUE"""),"No")</f>
        <v>No</v>
      </c>
      <c r="M1177" s="1" t="str">
        <f>IFERROR(__xludf.DUMMYFUNCTION("""COMPUTED_VALUE"""),"Yes")</f>
        <v>Yes</v>
      </c>
      <c r="N1177" s="1" t="str">
        <f>IFERROR(__xludf.DUMMYFUNCTION("""COMPUTED_VALUE"""),"Yes")</f>
        <v>Yes</v>
      </c>
      <c r="O1177" s="1" t="str">
        <f>IFERROR(__xludf.DUMMYFUNCTION("""COMPUTED_VALUE"""),"WA ONLY")</f>
        <v>WA ONLY</v>
      </c>
      <c r="P1177" s="1" t="str">
        <f>IFERROR(__xludf.DUMMYFUNCTION("""COMPUTED_VALUE"""),"Madam")</f>
        <v>Madam</v>
      </c>
      <c r="Q1177" s="1" t="str">
        <f>IFERROR(__xludf.DUMMYFUNCTION("""COMPUTED_VALUE"""),"No")</f>
        <v>No</v>
      </c>
      <c r="R1177" s="1" t="str">
        <f>IFERROR(__xludf.DUMMYFUNCTION("""COMPUTED_VALUE"""),"OLD")</f>
        <v>OLD</v>
      </c>
      <c r="S1177" s="1" t="str">
        <f>IFERROR(__xludf.DUMMYFUNCTION("""COMPUTED_VALUE"""),"Yes")</f>
        <v>Yes</v>
      </c>
    </row>
    <row r="1178">
      <c r="A1178" s="2">
        <f>IFERROR(__xludf.DUMMYFUNCTION("""COMPUTED_VALUE"""),45842.53334127315)</f>
        <v>45842.53334</v>
      </c>
      <c r="B1178" s="1" t="str">
        <f>IFERROR(__xludf.DUMMYFUNCTION("""COMPUTED_VALUE"""),"Aarti gaur")</f>
        <v>Aarti gaur</v>
      </c>
      <c r="C1178" s="1">
        <f>IFERROR(__xludf.DUMMYFUNCTION("""COMPUTED_VALUE"""),9.868203875E9)</f>
        <v>9868203875</v>
      </c>
      <c r="D1178" s="1">
        <f>IFERROR(__xludf.DUMMYFUNCTION("""COMPUTED_VALUE"""),2.0)</f>
        <v>2</v>
      </c>
      <c r="E1178" s="3">
        <f>IFERROR(__xludf.DUMMYFUNCTION("""COMPUTED_VALUE"""),0.734722222223354)</f>
        <v>0.7347222222</v>
      </c>
      <c r="F1178" s="1" t="str">
        <f>IFERROR(__xludf.DUMMYFUNCTION("""COMPUTED_VALUE"""),"Antique Gold")</f>
        <v>Antique Gold</v>
      </c>
      <c r="G1178" s="1" t="str">
        <f>IFERROR(__xludf.DUMMYFUNCTION("""COMPUTED_VALUE"""),"Preeti")</f>
        <v>Preeti</v>
      </c>
      <c r="H1178" s="1" t="str">
        <f>IFERROR(__xludf.DUMMYFUNCTION("""COMPUTED_VALUE"""),"Antique sets")</f>
        <v>Antique sets</v>
      </c>
      <c r="I1178" s="1"/>
      <c r="J1178" s="1"/>
      <c r="K1178" s="3">
        <f>IFERROR(__xludf.DUMMYFUNCTION("""COMPUTED_VALUE"""),0.7916666666642413)</f>
        <v>0.7916666667</v>
      </c>
      <c r="L1178" s="1" t="str">
        <f>IFERROR(__xludf.DUMMYFUNCTION("""COMPUTED_VALUE"""),"No")</f>
        <v>No</v>
      </c>
      <c r="M1178" s="1" t="str">
        <f>IFERROR(__xludf.DUMMYFUNCTION("""COMPUTED_VALUE"""),"Already done")</f>
        <v>Already done</v>
      </c>
      <c r="N1178" s="1" t="str">
        <f>IFERROR(__xludf.DUMMYFUNCTION("""COMPUTED_VALUE"""),"Already done")</f>
        <v>Already done</v>
      </c>
      <c r="O1178" s="1" t="str">
        <f>IFERROR(__xludf.DUMMYFUNCTION("""COMPUTED_VALUE"""),"WA ONLY, OWNER CONTACT ONLY")</f>
        <v>WA ONLY, OWNER CONTACT ONLY</v>
      </c>
      <c r="P1178" s="1" t="str">
        <f>IFERROR(__xludf.DUMMYFUNCTION("""COMPUTED_VALUE"""),"Bhabhi")</f>
        <v>Bhabhi</v>
      </c>
      <c r="Q1178" s="1" t="str">
        <f>IFERROR(__xludf.DUMMYFUNCTION("""COMPUTED_VALUE"""),"No")</f>
        <v>No</v>
      </c>
      <c r="R1178" s="1" t="str">
        <f>IFERROR(__xludf.DUMMYFUNCTION("""COMPUTED_VALUE"""),"OLD")</f>
        <v>OLD</v>
      </c>
      <c r="S1178" s="1" t="str">
        <f>IFERROR(__xludf.DUMMYFUNCTION("""COMPUTED_VALUE"""),"Yes")</f>
        <v>Yes</v>
      </c>
    </row>
    <row r="1179">
      <c r="A1179" s="2">
        <f>IFERROR(__xludf.DUMMYFUNCTION("""COMPUTED_VALUE"""),45842.77763024306)</f>
        <v>45842.77763</v>
      </c>
      <c r="B1179" s="1" t="str">
        <f>IFERROR(__xludf.DUMMYFUNCTION("""COMPUTED_VALUE"""),"Mahima")</f>
        <v>Mahima</v>
      </c>
      <c r="C1179" s="1">
        <f>IFERROR(__xludf.DUMMYFUNCTION("""COMPUTED_VALUE"""),8.802798023E9)</f>
        <v>8802798023</v>
      </c>
      <c r="D1179" s="1">
        <f>IFERROR(__xludf.DUMMYFUNCTION("""COMPUTED_VALUE"""),4.0)</f>
        <v>4</v>
      </c>
      <c r="E1179" s="3">
        <f>IFERROR(__xludf.DUMMYFUNCTION("""COMPUTED_VALUE"""),0.5833333333357587)</f>
        <v>0.5833333333</v>
      </c>
      <c r="F1179" s="1" t="str">
        <f>IFERROR(__xludf.DUMMYFUNCTION("""COMPUTED_VALUE"""),"Antique Gold")</f>
        <v>Antique Gold</v>
      </c>
      <c r="G1179" s="1" t="str">
        <f>IFERROR(__xludf.DUMMYFUNCTION("""COMPUTED_VALUE"""),"Preeti")</f>
        <v>Preeti</v>
      </c>
      <c r="H1179" s="1" t="str">
        <f>IFERROR(__xludf.DUMMYFUNCTION("""COMPUTED_VALUE"""),"Rings and bracelet ")</f>
        <v>Rings and bracelet </v>
      </c>
      <c r="I1179" s="1"/>
      <c r="J1179" s="1"/>
      <c r="K1179" s="3">
        <f>IFERROR(__xludf.DUMMYFUNCTION("""COMPUTED_VALUE"""),0.7083333333357587)</f>
        <v>0.7083333333</v>
      </c>
      <c r="L1179" s="1" t="str">
        <f>IFERROR(__xludf.DUMMYFUNCTION("""COMPUTED_VALUE"""),"No")</f>
        <v>No</v>
      </c>
      <c r="M1179" s="1" t="str">
        <f>IFERROR(__xludf.DUMMYFUNCTION("""COMPUTED_VALUE"""),"Yes")</f>
        <v>Yes</v>
      </c>
      <c r="N1179" s="1" t="str">
        <f>IFERROR(__xludf.DUMMYFUNCTION("""COMPUTED_VALUE"""),"Yes")</f>
        <v>Yes</v>
      </c>
      <c r="O1179" s="1" t="str">
        <f>IFERROR(__xludf.DUMMYFUNCTION("""COMPUTED_VALUE"""),"WA ONLY, OWNER CONTACT ONLY")</f>
        <v>WA ONLY, OWNER CONTACT ONLY</v>
      </c>
      <c r="P1179" s="1" t="str">
        <f>IFERROR(__xludf.DUMMYFUNCTION("""COMPUTED_VALUE"""),"Madam")</f>
        <v>Madam</v>
      </c>
      <c r="Q1179" s="1" t="str">
        <f>IFERROR(__xludf.DUMMYFUNCTION("""COMPUTED_VALUE"""),"Yes")</f>
        <v>Yes</v>
      </c>
      <c r="R1179" s="1" t="str">
        <f>IFERROR(__xludf.DUMMYFUNCTION("""COMPUTED_VALUE"""),"OLD")</f>
        <v>OLD</v>
      </c>
      <c r="S1179" s="1" t="str">
        <f>IFERROR(__xludf.DUMMYFUNCTION("""COMPUTED_VALUE"""),"Yes")</f>
        <v>Yes</v>
      </c>
    </row>
    <row r="1180">
      <c r="A1180" s="2">
        <f>IFERROR(__xludf.DUMMYFUNCTION("""COMPUTED_VALUE"""),45846.788228414356)</f>
        <v>45846.78823</v>
      </c>
      <c r="B1180" s="1" t="str">
        <f>IFERROR(__xludf.DUMMYFUNCTION("""COMPUTED_VALUE"""),"Nikhil ")</f>
        <v>Nikhil </v>
      </c>
      <c r="C1180" s="1">
        <f>IFERROR(__xludf.DUMMYFUNCTION("""COMPUTED_VALUE"""),9.654195544E9)</f>
        <v>9654195544</v>
      </c>
      <c r="D1180" s="1">
        <f>IFERROR(__xludf.DUMMYFUNCTION("""COMPUTED_VALUE"""),1.0)</f>
        <v>1</v>
      </c>
      <c r="E1180" s="3">
        <f>IFERROR(__xludf.DUMMYFUNCTION("""COMPUTED_VALUE"""),0.7083333333357587)</f>
        <v>0.7083333333</v>
      </c>
      <c r="F1180" s="1" t="str">
        <f>IFERROR(__xludf.DUMMYFUNCTION("""COMPUTED_VALUE"""),"Plain Gold")</f>
        <v>Plain Gold</v>
      </c>
      <c r="G1180" s="1" t="str">
        <f>IFERROR(__xludf.DUMMYFUNCTION("""COMPUTED_VALUE"""),"Sapna")</f>
        <v>Sapna</v>
      </c>
      <c r="H1180" s="1" t="str">
        <f>IFERROR(__xludf.DUMMYFUNCTION("""COMPUTED_VALUE"""),"Chain and pendent")</f>
        <v>Chain and pendent</v>
      </c>
      <c r="I1180" s="1"/>
      <c r="J1180" s="1"/>
      <c r="K1180" s="3">
        <f>IFERROR(__xludf.DUMMYFUNCTION("""COMPUTED_VALUE"""),0.8020833333357587)</f>
        <v>0.8020833333</v>
      </c>
      <c r="L1180" s="1" t="str">
        <f>IFERROR(__xludf.DUMMYFUNCTION("""COMPUTED_VALUE"""),"No")</f>
        <v>No</v>
      </c>
      <c r="M1180" s="1" t="str">
        <f>IFERROR(__xludf.DUMMYFUNCTION("""COMPUTED_VALUE"""),"Yes")</f>
        <v>Yes</v>
      </c>
      <c r="N1180" s="1" t="str">
        <f>IFERROR(__xludf.DUMMYFUNCTION("""COMPUTED_VALUE"""),"No")</f>
        <v>No</v>
      </c>
      <c r="O1180" s="1" t="str">
        <f>IFERROR(__xludf.DUMMYFUNCTION("""COMPUTED_VALUE"""),"WA ONLY, OWNER CONTACT ONLY")</f>
        <v>WA ONLY, OWNER CONTACT ONLY</v>
      </c>
      <c r="P1180" s="1" t="str">
        <f>IFERROR(__xludf.DUMMYFUNCTION("""COMPUTED_VALUE"""),"Sir")</f>
        <v>Sir</v>
      </c>
      <c r="Q1180" s="1" t="str">
        <f>IFERROR(__xludf.DUMMYFUNCTION("""COMPUTED_VALUE"""),"Yes")</f>
        <v>Yes</v>
      </c>
      <c r="R1180" s="1" t="str">
        <f>IFERROR(__xludf.DUMMYFUNCTION("""COMPUTED_VALUE"""),"OLD")</f>
        <v>OLD</v>
      </c>
      <c r="S1180" s="1" t="str">
        <f>IFERROR(__xludf.DUMMYFUNCTION("""COMPUTED_VALUE"""),"Yes")</f>
        <v>Yes</v>
      </c>
    </row>
    <row r="1181">
      <c r="A1181" s="2">
        <f>IFERROR(__xludf.DUMMYFUNCTION("""COMPUTED_VALUE"""),45847.574730625)</f>
        <v>45847.57473</v>
      </c>
      <c r="B1181" s="1" t="str">
        <f>IFERROR(__xludf.DUMMYFUNCTION("""COMPUTED_VALUE"""),"Usha kalra")</f>
        <v>Usha kalra</v>
      </c>
      <c r="C1181" s="1">
        <f>IFERROR(__xludf.DUMMYFUNCTION("""COMPUTED_VALUE"""),9.21273974E9)</f>
        <v>9212739740</v>
      </c>
      <c r="D1181" s="1">
        <f>IFERROR(__xludf.DUMMYFUNCTION("""COMPUTED_VALUE"""),2.0)</f>
        <v>2</v>
      </c>
      <c r="E1181" s="3">
        <f>IFERROR(__xludf.DUMMYFUNCTION("""COMPUTED_VALUE"""),0.5416666666642413)</f>
        <v>0.5416666667</v>
      </c>
      <c r="F1181" s="1" t="str">
        <f>IFERROR(__xludf.DUMMYFUNCTION("""COMPUTED_VALUE"""),"Plain Gold")</f>
        <v>Plain Gold</v>
      </c>
      <c r="G1181" s="1"/>
      <c r="H1181" s="1" t="str">
        <f>IFERROR(__xludf.DUMMYFUNCTION("""COMPUTED_VALUE"""),"Rings")</f>
        <v>Rings</v>
      </c>
      <c r="I1181" s="1"/>
      <c r="J1181" s="1"/>
      <c r="K1181" s="3">
        <f>IFERROR(__xludf.DUMMYFUNCTION("""COMPUTED_VALUE"""),0.5625)</f>
        <v>0.5625</v>
      </c>
      <c r="L1181" s="1" t="str">
        <f>IFERROR(__xludf.DUMMYFUNCTION("""COMPUTED_VALUE"""),"No")</f>
        <v>No</v>
      </c>
      <c r="M1181" s="1" t="str">
        <f>IFERROR(__xludf.DUMMYFUNCTION("""COMPUTED_VALUE"""),"Already done")</f>
        <v>Already done</v>
      </c>
      <c r="N1181" s="1" t="str">
        <f>IFERROR(__xludf.DUMMYFUNCTION("""COMPUTED_VALUE"""),"Already done")</f>
        <v>Already done</v>
      </c>
      <c r="O1181" s="1" t="str">
        <f>IFERROR(__xludf.DUMMYFUNCTION("""COMPUTED_VALUE"""),"WA ONLY, OWNER CONTACT ONLY")</f>
        <v>WA ONLY, OWNER CONTACT ONLY</v>
      </c>
      <c r="P1181" s="1" t="str">
        <f>IFERROR(__xludf.DUMMYFUNCTION("""COMPUTED_VALUE"""),"Madam")</f>
        <v>Madam</v>
      </c>
      <c r="Q1181" s="1" t="str">
        <f>IFERROR(__xludf.DUMMYFUNCTION("""COMPUTED_VALUE"""),"No")</f>
        <v>No</v>
      </c>
      <c r="R1181" s="1" t="str">
        <f>IFERROR(__xludf.DUMMYFUNCTION("""COMPUTED_VALUE"""),"OLD")</f>
        <v>OLD</v>
      </c>
      <c r="S1181" s="1" t="str">
        <f>IFERROR(__xludf.DUMMYFUNCTION("""COMPUTED_VALUE"""),"Yes")</f>
        <v>Yes</v>
      </c>
    </row>
    <row r="1182">
      <c r="A1182" s="2">
        <f>IFERROR(__xludf.DUMMYFUNCTION("""COMPUTED_VALUE"""),45847.727505069444)</f>
        <v>45847.72751</v>
      </c>
      <c r="B1182" s="1" t="str">
        <f>IFERROR(__xludf.DUMMYFUNCTION("""COMPUTED_VALUE"""),"Sakshi singh")</f>
        <v>Sakshi singh</v>
      </c>
      <c r="C1182" s="1">
        <f>IFERROR(__xludf.DUMMYFUNCTION("""COMPUTED_VALUE"""),8.076175003E9)</f>
        <v>8076175003</v>
      </c>
      <c r="D1182" s="1">
        <f>IFERROR(__xludf.DUMMYFUNCTION("""COMPUTED_VALUE"""),2.0)</f>
        <v>2</v>
      </c>
      <c r="E1182" s="3">
        <f>IFERROR(__xludf.DUMMYFUNCTION("""COMPUTED_VALUE"""),0.5729166666642413)</f>
        <v>0.5729166667</v>
      </c>
      <c r="F1182" s="1" t="str">
        <f>IFERROR(__xludf.DUMMYFUNCTION("""COMPUTED_VALUE"""),"Plain Gold")</f>
        <v>Plain Gold</v>
      </c>
      <c r="G1182" s="1" t="str">
        <f>IFERROR(__xludf.DUMMYFUNCTION("""COMPUTED_VALUE"""),"Sapna")</f>
        <v>Sapna</v>
      </c>
      <c r="H1182" s="1" t="str">
        <f>IFERROR(__xludf.DUMMYFUNCTION("""COMPUTED_VALUE"""),"Rings")</f>
        <v>Rings</v>
      </c>
      <c r="I1182" s="1" t="str">
        <f>IFERROR(__xludf.DUMMYFUNCTION("""COMPUTED_VALUE"""),"Visit Again in 1 Month")</f>
        <v>Visit Again in 1 Month</v>
      </c>
      <c r="J1182" s="1"/>
      <c r="K1182" s="3">
        <f>IFERROR(__xludf.DUMMYFUNCTION("""COMPUTED_VALUE"""),0.625)</f>
        <v>0.625</v>
      </c>
      <c r="L1182" s="1" t="str">
        <f>IFERROR(__xludf.DUMMYFUNCTION("""COMPUTED_VALUE"""),"No")</f>
        <v>No</v>
      </c>
      <c r="M1182" s="1" t="str">
        <f>IFERROR(__xludf.DUMMYFUNCTION("""COMPUTED_VALUE"""),"Yes")</f>
        <v>Yes</v>
      </c>
      <c r="N1182" s="1" t="str">
        <f>IFERROR(__xludf.DUMMYFUNCTION("""COMPUTED_VALUE"""),"Yes")</f>
        <v>Yes</v>
      </c>
      <c r="O1182" s="1" t="str">
        <f>IFERROR(__xludf.DUMMYFUNCTION("""COMPUTED_VALUE"""),"WA ONLY, OWNER CONTACT ONLY")</f>
        <v>WA ONLY, OWNER CONTACT ONLY</v>
      </c>
      <c r="P1182" s="1" t="str">
        <f>IFERROR(__xludf.DUMMYFUNCTION("""COMPUTED_VALUE"""),"Madam")</f>
        <v>Madam</v>
      </c>
      <c r="Q1182" s="1" t="str">
        <f>IFERROR(__xludf.DUMMYFUNCTION("""COMPUTED_VALUE"""),"No")</f>
        <v>No</v>
      </c>
      <c r="R1182" s="1" t="str">
        <f>IFERROR(__xludf.DUMMYFUNCTION("""COMPUTED_VALUE"""),"OLD")</f>
        <v>OLD</v>
      </c>
      <c r="S1182" s="1" t="str">
        <f>IFERROR(__xludf.DUMMYFUNCTION("""COMPUTED_VALUE"""),"No")</f>
        <v>No</v>
      </c>
    </row>
    <row r="1183">
      <c r="A1183" s="2">
        <f>IFERROR(__xludf.DUMMYFUNCTION("""COMPUTED_VALUE"""),45850.73150550926)</f>
        <v>45850.73151</v>
      </c>
      <c r="B1183" s="1" t="str">
        <f>IFERROR(__xludf.DUMMYFUNCTION("""COMPUTED_VALUE"""),"Rita ji")</f>
        <v>Rita ji</v>
      </c>
      <c r="C1183" s="1">
        <f>IFERROR(__xludf.DUMMYFUNCTION("""COMPUTED_VALUE"""),9.899993041E9)</f>
        <v>9899993041</v>
      </c>
      <c r="D1183" s="1">
        <f>IFERROR(__xludf.DUMMYFUNCTION("""COMPUTED_VALUE"""),2.0)</f>
        <v>2</v>
      </c>
      <c r="E1183" s="3">
        <f>IFERROR(__xludf.DUMMYFUNCTION("""COMPUTED_VALUE"""),0.6875)</f>
        <v>0.6875</v>
      </c>
      <c r="F1183" s="1" t="str">
        <f>IFERROR(__xludf.DUMMYFUNCTION("""COMPUTED_VALUE"""),"Diamond")</f>
        <v>Diamond</v>
      </c>
      <c r="G1183" s="1" t="str">
        <f>IFERROR(__xludf.DUMMYFUNCTION("""COMPUTED_VALUE"""),"Preeti")</f>
        <v>Preeti</v>
      </c>
      <c r="H1183" s="1" t="str">
        <f>IFERROR(__xludf.DUMMYFUNCTION("""COMPUTED_VALUE"""),"Bracelets and hanging")</f>
        <v>Bracelets and hanging</v>
      </c>
      <c r="I1183" s="1"/>
      <c r="J1183" s="1"/>
      <c r="K1183" s="3">
        <f>IFERROR(__xludf.DUMMYFUNCTION("""COMPUTED_VALUE"""),0.7291666666642413)</f>
        <v>0.7291666667</v>
      </c>
      <c r="L1183" s="1" t="str">
        <f>IFERROR(__xludf.DUMMYFUNCTION("""COMPUTED_VALUE"""),"No")</f>
        <v>No</v>
      </c>
      <c r="M1183" s="1" t="str">
        <f>IFERROR(__xludf.DUMMYFUNCTION("""COMPUTED_VALUE"""),"Already done ")</f>
        <v>Already done </v>
      </c>
      <c r="N1183" s="1" t="str">
        <f>IFERROR(__xludf.DUMMYFUNCTION("""COMPUTED_VALUE"""),"Already done")</f>
        <v>Already done</v>
      </c>
      <c r="O1183" s="1" t="str">
        <f>IFERROR(__xludf.DUMMYFUNCTION("""COMPUTED_VALUE"""),"WA ONLY, OWNER CONTACT ONLY")</f>
        <v>WA ONLY, OWNER CONTACT ONLY</v>
      </c>
      <c r="P1183" s="1" t="str">
        <f>IFERROR(__xludf.DUMMYFUNCTION("""COMPUTED_VALUE"""),"Madam")</f>
        <v>Madam</v>
      </c>
      <c r="Q1183" s="1" t="str">
        <f>IFERROR(__xludf.DUMMYFUNCTION("""COMPUTED_VALUE"""),"No")</f>
        <v>No</v>
      </c>
      <c r="R1183" s="1" t="str">
        <f>IFERROR(__xludf.DUMMYFUNCTION("""COMPUTED_VALUE"""),"OLD")</f>
        <v>OLD</v>
      </c>
      <c r="S1183" s="1" t="str">
        <f>IFERROR(__xludf.DUMMYFUNCTION("""COMPUTED_VALUE"""),"No")</f>
        <v>No</v>
      </c>
    </row>
    <row r="1184">
      <c r="A1184" s="2">
        <f>IFERROR(__xludf.DUMMYFUNCTION("""COMPUTED_VALUE"""),45851.66028390046)</f>
        <v>45851.66028</v>
      </c>
      <c r="B1184" s="1" t="str">
        <f>IFERROR(__xludf.DUMMYFUNCTION("""COMPUTED_VALUE"""),"Afsana")</f>
        <v>Afsana</v>
      </c>
      <c r="C1184" s="1">
        <f>IFERROR(__xludf.DUMMYFUNCTION("""COMPUTED_VALUE"""),9.999728283E9)</f>
        <v>9999728283</v>
      </c>
      <c r="D1184" s="1">
        <f>IFERROR(__xludf.DUMMYFUNCTION("""COMPUTED_VALUE"""),1.0)</f>
        <v>1</v>
      </c>
      <c r="E1184" s="3">
        <f>IFERROR(__xludf.DUMMYFUNCTION("""COMPUTED_VALUE"""),0.5659722222189885)</f>
        <v>0.5659722222</v>
      </c>
      <c r="F1184" s="1" t="str">
        <f>IFERROR(__xludf.DUMMYFUNCTION("""COMPUTED_VALUE"""),"Antique Gold")</f>
        <v>Antique Gold</v>
      </c>
      <c r="G1184" s="1"/>
      <c r="H1184" s="1" t="str">
        <f>IFERROR(__xludf.DUMMYFUNCTION("""COMPUTED_VALUE"""),"Chains")</f>
        <v>Chains</v>
      </c>
      <c r="I1184" s="1" t="str">
        <f>IFERROR(__xludf.DUMMYFUNCTION("""COMPUTED_VALUE"""),"Visit Again in 1 Month")</f>
        <v>Visit Again in 1 Month</v>
      </c>
      <c r="J1184" s="1"/>
      <c r="K1184" s="3">
        <f>IFERROR(__xludf.DUMMYFUNCTION("""COMPUTED_VALUE"""),0.6076388888905058)</f>
        <v>0.6076388889</v>
      </c>
      <c r="L1184" s="1" t="str">
        <f>IFERROR(__xludf.DUMMYFUNCTION("""COMPUTED_VALUE"""),"No")</f>
        <v>No</v>
      </c>
      <c r="M1184" s="1" t="str">
        <f>IFERROR(__xludf.DUMMYFUNCTION("""COMPUTED_VALUE"""),"Already done ")</f>
        <v>Already done </v>
      </c>
      <c r="N1184" s="1" t="str">
        <f>IFERROR(__xludf.DUMMYFUNCTION("""COMPUTED_VALUE"""),"Already done ")</f>
        <v>Already done </v>
      </c>
      <c r="O1184" s="1" t="str">
        <f>IFERROR(__xludf.DUMMYFUNCTION("""COMPUTED_VALUE"""),"WA ONLY")</f>
        <v>WA ONLY</v>
      </c>
      <c r="P1184" s="1" t="str">
        <f>IFERROR(__xludf.DUMMYFUNCTION("""COMPUTED_VALUE"""),"Madam")</f>
        <v>Madam</v>
      </c>
      <c r="Q1184" s="1" t="str">
        <f>IFERROR(__xludf.DUMMYFUNCTION("""COMPUTED_VALUE"""),"Yes")</f>
        <v>Yes</v>
      </c>
      <c r="R1184" s="1" t="str">
        <f>IFERROR(__xludf.DUMMYFUNCTION("""COMPUTED_VALUE"""),"OLD")</f>
        <v>OLD</v>
      </c>
      <c r="S1184" s="1" t="str">
        <f>IFERROR(__xludf.DUMMYFUNCTION("""COMPUTED_VALUE"""),"No")</f>
        <v>No</v>
      </c>
    </row>
    <row r="1185">
      <c r="A1185" s="2">
        <f>IFERROR(__xludf.DUMMYFUNCTION("""COMPUTED_VALUE"""),45851.66149184028)</f>
        <v>45851.66149</v>
      </c>
      <c r="B1185" s="1" t="str">
        <f>IFERROR(__xludf.DUMMYFUNCTION("""COMPUTED_VALUE"""),"Charanjeet singh")</f>
        <v>Charanjeet singh</v>
      </c>
      <c r="C1185" s="1">
        <f>IFERROR(__xludf.DUMMYFUNCTION("""COMPUTED_VALUE"""),9.920524024E9)</f>
        <v>9920524024</v>
      </c>
      <c r="D1185" s="1">
        <f>IFERROR(__xludf.DUMMYFUNCTION("""COMPUTED_VALUE"""),1.0)</f>
        <v>1</v>
      </c>
      <c r="E1185" s="3">
        <f>IFERROR(__xludf.DUMMYFUNCTION("""COMPUTED_VALUE"""),0.5694444444452529)</f>
        <v>0.5694444444</v>
      </c>
      <c r="F1185" s="1" t="str">
        <f>IFERROR(__xludf.DUMMYFUNCTION("""COMPUTED_VALUE"""),"Plain Gold")</f>
        <v>Plain Gold</v>
      </c>
      <c r="G1185" s="1"/>
      <c r="H1185" s="1" t="str">
        <f>IFERROR(__xludf.DUMMYFUNCTION("""COMPUTED_VALUE"""),"Mmtc coin")</f>
        <v>Mmtc coin</v>
      </c>
      <c r="I1185" s="1"/>
      <c r="J1185" s="1"/>
      <c r="K1185" s="3">
        <f>IFERROR(__xludf.DUMMYFUNCTION("""COMPUTED_VALUE"""),0.5902777777810115)</f>
        <v>0.5902777778</v>
      </c>
      <c r="L1185" s="1" t="str">
        <f>IFERROR(__xludf.DUMMYFUNCTION("""COMPUTED_VALUE"""),"No")</f>
        <v>No</v>
      </c>
      <c r="M1185" s="1" t="str">
        <f>IFERROR(__xludf.DUMMYFUNCTION("""COMPUTED_VALUE"""),"No")</f>
        <v>No</v>
      </c>
      <c r="N1185" s="1" t="str">
        <f>IFERROR(__xludf.DUMMYFUNCTION("""COMPUTED_VALUE"""),"No")</f>
        <v>No</v>
      </c>
      <c r="O1185" s="1" t="str">
        <f>IFERROR(__xludf.DUMMYFUNCTION("""COMPUTED_VALUE"""),"WA ONLY")</f>
        <v>WA ONLY</v>
      </c>
      <c r="P1185" s="1" t="str">
        <f>IFERROR(__xludf.DUMMYFUNCTION("""COMPUTED_VALUE"""),"Sir")</f>
        <v>Sir</v>
      </c>
      <c r="Q1185" s="1" t="str">
        <f>IFERROR(__xludf.DUMMYFUNCTION("""COMPUTED_VALUE"""),"No")</f>
        <v>No</v>
      </c>
      <c r="R1185" s="1" t="str">
        <f>IFERROR(__xludf.DUMMYFUNCTION("""COMPUTED_VALUE"""),"NEW WALK IN")</f>
        <v>NEW WALK IN</v>
      </c>
      <c r="S1185" s="1" t="str">
        <f>IFERROR(__xludf.DUMMYFUNCTION("""COMPUTED_VALUE"""),"Yes")</f>
        <v>Yes</v>
      </c>
    </row>
    <row r="1186">
      <c r="A1186" s="2">
        <f>IFERROR(__xludf.DUMMYFUNCTION("""COMPUTED_VALUE"""),45851.663246620374)</f>
        <v>45851.66325</v>
      </c>
      <c r="B1186" s="1" t="str">
        <f>IFERROR(__xludf.DUMMYFUNCTION("""COMPUTED_VALUE"""),"Atoshi")</f>
        <v>Atoshi</v>
      </c>
      <c r="C1186" s="1">
        <f>IFERROR(__xludf.DUMMYFUNCTION("""COMPUTED_VALUE"""),8.700173741E9)</f>
        <v>8700173741</v>
      </c>
      <c r="D1186" s="1">
        <f>IFERROR(__xludf.DUMMYFUNCTION("""COMPUTED_VALUE"""),3.0)</f>
        <v>3</v>
      </c>
      <c r="E1186" s="3">
        <f>IFERROR(__xludf.DUMMYFUNCTION("""COMPUTED_VALUE"""),0.5902777777810115)</f>
        <v>0.5902777778</v>
      </c>
      <c r="F1186" s="1" t="str">
        <f>IFERROR(__xludf.DUMMYFUNCTION("""COMPUTED_VALUE"""),"Antique Gold")</f>
        <v>Antique Gold</v>
      </c>
      <c r="G1186" s="1"/>
      <c r="H1186" s="1" t="str">
        <f>IFERROR(__xludf.DUMMYFUNCTION("""COMPUTED_VALUE"""),"Baby kadha")</f>
        <v>Baby kadha</v>
      </c>
      <c r="I1186" s="1"/>
      <c r="J1186" s="1"/>
      <c r="K1186" s="3">
        <f>IFERROR(__xludf.DUMMYFUNCTION("""COMPUTED_VALUE"""),0.6111111111094942)</f>
        <v>0.6111111111</v>
      </c>
      <c r="L1186" s="1" t="str">
        <f>IFERROR(__xludf.DUMMYFUNCTION("""COMPUTED_VALUE"""),"No")</f>
        <v>No</v>
      </c>
      <c r="M1186" s="1" t="str">
        <f>IFERROR(__xludf.DUMMYFUNCTION("""COMPUTED_VALUE"""),"Already done ")</f>
        <v>Already done </v>
      </c>
      <c r="N1186" s="1" t="str">
        <f>IFERROR(__xludf.DUMMYFUNCTION("""COMPUTED_VALUE"""),"Already done ")</f>
        <v>Already done </v>
      </c>
      <c r="O1186" s="1" t="str">
        <f>IFERROR(__xludf.DUMMYFUNCTION("""COMPUTED_VALUE"""),"WA ONLY")</f>
        <v>WA ONLY</v>
      </c>
      <c r="P1186" s="1" t="str">
        <f>IFERROR(__xludf.DUMMYFUNCTION("""COMPUTED_VALUE"""),"Madam")</f>
        <v>Madam</v>
      </c>
      <c r="Q1186" s="1" t="str">
        <f>IFERROR(__xludf.DUMMYFUNCTION("""COMPUTED_VALUE"""),"Yes")</f>
        <v>Yes</v>
      </c>
      <c r="R1186" s="1" t="str">
        <f>IFERROR(__xludf.DUMMYFUNCTION("""COMPUTED_VALUE"""),"OLD")</f>
        <v>OLD</v>
      </c>
      <c r="S1186" s="1" t="str">
        <f>IFERROR(__xludf.DUMMYFUNCTION("""COMPUTED_VALUE"""),"No")</f>
        <v>No</v>
      </c>
    </row>
    <row r="1187">
      <c r="A1187" s="2">
        <f>IFERROR(__xludf.DUMMYFUNCTION("""COMPUTED_VALUE"""),45851.70245141204)</f>
        <v>45851.70245</v>
      </c>
      <c r="B1187" s="1" t="str">
        <f>IFERROR(__xludf.DUMMYFUNCTION("""COMPUTED_VALUE"""),"Ankur ")</f>
        <v>Ankur </v>
      </c>
      <c r="C1187" s="1">
        <f>IFERROR(__xludf.DUMMYFUNCTION("""COMPUTED_VALUE"""),9.717998888E9)</f>
        <v>9717998888</v>
      </c>
      <c r="D1187" s="1">
        <f>IFERROR(__xludf.DUMMYFUNCTION("""COMPUTED_VALUE"""),3.0)</f>
        <v>3</v>
      </c>
      <c r="E1187" s="3">
        <f>IFERROR(__xludf.DUMMYFUNCTION("""COMPUTED_VALUE"""),0.6354166666642413)</f>
        <v>0.6354166667</v>
      </c>
      <c r="F1187" s="1" t="str">
        <f>IFERROR(__xludf.DUMMYFUNCTION("""COMPUTED_VALUE"""),"Diamond")</f>
        <v>Diamond</v>
      </c>
      <c r="G1187" s="1" t="str">
        <f>IFERROR(__xludf.DUMMYFUNCTION("""COMPUTED_VALUE"""),"Preeti")</f>
        <v>Preeti</v>
      </c>
      <c r="H1187" s="1" t="str">
        <f>IFERROR(__xludf.DUMMYFUNCTION("""COMPUTED_VALUE"""),"Necklace gold")</f>
        <v>Necklace gold</v>
      </c>
      <c r="I1187" s="1" t="str">
        <f>IFERROR(__xludf.DUMMYFUNCTION("""COMPUTED_VALUE"""),"Visit Again in 1 Month")</f>
        <v>Visit Again in 1 Month</v>
      </c>
      <c r="J1187" s="1"/>
      <c r="K1187" s="3">
        <f>IFERROR(__xludf.DUMMYFUNCTION("""COMPUTED_VALUE"""),0.6979166666642413)</f>
        <v>0.6979166667</v>
      </c>
      <c r="L1187" s="1" t="str">
        <f>IFERROR(__xludf.DUMMYFUNCTION("""COMPUTED_VALUE"""),"No")</f>
        <v>No</v>
      </c>
      <c r="M1187" s="1" t="str">
        <f>IFERROR(__xludf.DUMMYFUNCTION("""COMPUTED_VALUE"""),"Yes")</f>
        <v>Yes</v>
      </c>
      <c r="N1187" s="1" t="str">
        <f>IFERROR(__xludf.DUMMYFUNCTION("""COMPUTED_VALUE"""),"Already done")</f>
        <v>Already done</v>
      </c>
      <c r="O1187" s="1" t="str">
        <f>IFERROR(__xludf.DUMMYFUNCTION("""COMPUTED_VALUE"""),"WA ONLY")</f>
        <v>WA ONLY</v>
      </c>
      <c r="P1187" s="1" t="str">
        <f>IFERROR(__xludf.DUMMYFUNCTION("""COMPUTED_VALUE"""),"Sir")</f>
        <v>Sir</v>
      </c>
      <c r="Q1187" s="1" t="str">
        <f>IFERROR(__xludf.DUMMYFUNCTION("""COMPUTED_VALUE"""),"Yes")</f>
        <v>Yes</v>
      </c>
      <c r="R1187" s="1" t="str">
        <f>IFERROR(__xludf.DUMMYFUNCTION("""COMPUTED_VALUE"""),"OLD")</f>
        <v>OLD</v>
      </c>
      <c r="S1187" s="1" t="str">
        <f>IFERROR(__xludf.DUMMYFUNCTION("""COMPUTED_VALUE"""),"No")</f>
        <v>No</v>
      </c>
    </row>
    <row r="1188">
      <c r="A1188" s="2">
        <f>IFERROR(__xludf.DUMMYFUNCTION("""COMPUTED_VALUE"""),45855.48520947917)</f>
        <v>45855.48521</v>
      </c>
      <c r="B1188" s="1" t="str">
        <f>IFERROR(__xludf.DUMMYFUNCTION("""COMPUTED_VALUE"""),"Rekha awasthi")</f>
        <v>Rekha awasthi</v>
      </c>
      <c r="C1188" s="1">
        <f>IFERROR(__xludf.DUMMYFUNCTION("""COMPUTED_VALUE"""),9.311163494E9)</f>
        <v>9311163494</v>
      </c>
      <c r="D1188" s="1">
        <f>IFERROR(__xludf.DUMMYFUNCTION("""COMPUTED_VALUE"""),4.0)</f>
        <v>4</v>
      </c>
      <c r="E1188" s="3">
        <f>IFERROR(__xludf.DUMMYFUNCTION("""COMPUTED_VALUE"""),0.7395833333357587)</f>
        <v>0.7395833333</v>
      </c>
      <c r="F1188" s="1" t="str">
        <f>IFERROR(__xludf.DUMMYFUNCTION("""COMPUTED_VALUE"""),"Antique Gold")</f>
        <v>Antique Gold</v>
      </c>
      <c r="G1188" s="1"/>
      <c r="H1188" s="1" t="str">
        <f>IFERROR(__xludf.DUMMYFUNCTION("""COMPUTED_VALUE"""),"Sets")</f>
        <v>Sets</v>
      </c>
      <c r="I1188" s="1"/>
      <c r="J1188" s="1"/>
      <c r="K1188" s="3">
        <f>IFERROR(__xludf.DUMMYFUNCTION("""COMPUTED_VALUE"""),0.7916666666642413)</f>
        <v>0.7916666667</v>
      </c>
      <c r="L1188" s="1" t="str">
        <f>IFERROR(__xludf.DUMMYFUNCTION("""COMPUTED_VALUE"""),"No")</f>
        <v>No</v>
      </c>
      <c r="M1188" s="1" t="str">
        <f>IFERROR(__xludf.DUMMYFUNCTION("""COMPUTED_VALUE"""),"Already done")</f>
        <v>Already done</v>
      </c>
      <c r="N1188" s="1" t="str">
        <f>IFERROR(__xludf.DUMMYFUNCTION("""COMPUTED_VALUE"""),"Yes")</f>
        <v>Yes</v>
      </c>
      <c r="O1188" s="1" t="str">
        <f>IFERROR(__xludf.DUMMYFUNCTION("""COMPUTED_VALUE"""),"WA ONLY")</f>
        <v>WA ONLY</v>
      </c>
      <c r="P1188" s="1" t="str">
        <f>IFERROR(__xludf.DUMMYFUNCTION("""COMPUTED_VALUE"""),"Madam")</f>
        <v>Madam</v>
      </c>
      <c r="Q1188" s="1" t="str">
        <f>IFERROR(__xludf.DUMMYFUNCTION("""COMPUTED_VALUE"""),"Yes")</f>
        <v>Yes</v>
      </c>
      <c r="R1188" s="1" t="str">
        <f>IFERROR(__xludf.DUMMYFUNCTION("""COMPUTED_VALUE"""),"OLD")</f>
        <v>OLD</v>
      </c>
      <c r="S1188" s="1" t="str">
        <f>IFERROR(__xludf.DUMMYFUNCTION("""COMPUTED_VALUE"""),"No")</f>
        <v>No</v>
      </c>
    </row>
    <row r="1189">
      <c r="A1189" s="2">
        <f>IFERROR(__xludf.DUMMYFUNCTION("""COMPUTED_VALUE"""),45856.73461755787)</f>
        <v>45856.73462</v>
      </c>
      <c r="B1189" s="1" t="str">
        <f>IFERROR(__xludf.DUMMYFUNCTION("""COMPUTED_VALUE"""),"Sunita goyal")</f>
        <v>Sunita goyal</v>
      </c>
      <c r="C1189" s="1">
        <f>IFERROR(__xludf.DUMMYFUNCTION("""COMPUTED_VALUE"""),9.013967456E9)</f>
        <v>9013967456</v>
      </c>
      <c r="D1189" s="1">
        <f>IFERROR(__xludf.DUMMYFUNCTION("""COMPUTED_VALUE"""),1.0)</f>
        <v>1</v>
      </c>
      <c r="E1189" s="3">
        <f>IFERROR(__xludf.DUMMYFUNCTION("""COMPUTED_VALUE"""),0.6979166666642413)</f>
        <v>0.6979166667</v>
      </c>
      <c r="F1189" s="1" t="str">
        <f>IFERROR(__xludf.DUMMYFUNCTION("""COMPUTED_VALUE"""),"Silver Items")</f>
        <v>Silver Items</v>
      </c>
      <c r="G1189" s="1" t="str">
        <f>IFERROR(__xludf.DUMMYFUNCTION("""COMPUTED_VALUE"""),"Preeti")</f>
        <v>Preeti</v>
      </c>
      <c r="H1189" s="1" t="str">
        <f>IFERROR(__xludf.DUMMYFUNCTION("""COMPUTED_VALUE"""),"Chain")</f>
        <v>Chain</v>
      </c>
      <c r="I1189" s="1"/>
      <c r="J1189" s="1"/>
      <c r="K1189" s="3">
        <f>IFERROR(__xludf.DUMMYFUNCTION("""COMPUTED_VALUE"""),0.7291666666642413)</f>
        <v>0.7291666667</v>
      </c>
      <c r="L1189" s="1" t="str">
        <f>IFERROR(__xludf.DUMMYFUNCTION("""COMPUTED_VALUE"""),"No")</f>
        <v>No</v>
      </c>
      <c r="M1189" s="1" t="str">
        <f>IFERROR(__xludf.DUMMYFUNCTION("""COMPUTED_VALUE"""),"Already done")</f>
        <v>Already done</v>
      </c>
      <c r="N1189" s="1" t="str">
        <f>IFERROR(__xludf.DUMMYFUNCTION("""COMPUTED_VALUE"""),"Already done")</f>
        <v>Already done</v>
      </c>
      <c r="O1189" s="1" t="str">
        <f>IFERROR(__xludf.DUMMYFUNCTION("""COMPUTED_VALUE"""),"WA ONLY, OWNER CONTACT ONLY")</f>
        <v>WA ONLY, OWNER CONTACT ONLY</v>
      </c>
      <c r="P1189" s="1" t="str">
        <f>IFERROR(__xludf.DUMMYFUNCTION("""COMPUTED_VALUE"""),"Madam")</f>
        <v>Madam</v>
      </c>
      <c r="Q1189" s="1" t="str">
        <f>IFERROR(__xludf.DUMMYFUNCTION("""COMPUTED_VALUE"""),"No")</f>
        <v>No</v>
      </c>
      <c r="R1189" s="1" t="str">
        <f>IFERROR(__xludf.DUMMYFUNCTION("""COMPUTED_VALUE"""),"OLD")</f>
        <v>OLD</v>
      </c>
      <c r="S1189" s="1" t="str">
        <f>IFERROR(__xludf.DUMMYFUNCTION("""COMPUTED_VALUE"""),"Yes")</f>
        <v>Yes</v>
      </c>
    </row>
    <row r="1190">
      <c r="A1190" s="2">
        <f>IFERROR(__xludf.DUMMYFUNCTION("""COMPUTED_VALUE"""),45856.73587149306)</f>
        <v>45856.73587</v>
      </c>
      <c r="B1190" s="1" t="str">
        <f>IFERROR(__xludf.DUMMYFUNCTION("""COMPUTED_VALUE"""),"Raj veer sharma")</f>
        <v>Raj veer sharma</v>
      </c>
      <c r="C1190" s="1">
        <f>IFERROR(__xludf.DUMMYFUNCTION("""COMPUTED_VALUE"""),9.86890813E8)</f>
        <v>986890813</v>
      </c>
      <c r="D1190" s="1">
        <f>IFERROR(__xludf.DUMMYFUNCTION("""COMPUTED_VALUE"""),3.0)</f>
        <v>3</v>
      </c>
      <c r="E1190" s="3">
        <f>IFERROR(__xludf.DUMMYFUNCTION("""COMPUTED_VALUE"""),0.7083333333357587)</f>
        <v>0.7083333333</v>
      </c>
      <c r="F1190" s="1" t="str">
        <f>IFERROR(__xludf.DUMMYFUNCTION("""COMPUTED_VALUE"""),"Silver Items")</f>
        <v>Silver Items</v>
      </c>
      <c r="G1190" s="1" t="str">
        <f>IFERROR(__xludf.DUMMYFUNCTION("""COMPUTED_VALUE"""),"Sapna")</f>
        <v>Sapna</v>
      </c>
      <c r="H1190" s="1" t="str">
        <f>IFERROR(__xludf.DUMMYFUNCTION("""COMPUTED_VALUE"""),"Anklets ")</f>
        <v>Anklets </v>
      </c>
      <c r="I1190" s="1"/>
      <c r="J1190" s="1"/>
      <c r="K1190" s="3">
        <f>IFERROR(__xludf.DUMMYFUNCTION("""COMPUTED_VALUE"""),0.7319444444437977)</f>
        <v>0.7319444444</v>
      </c>
      <c r="L1190" s="1" t="str">
        <f>IFERROR(__xludf.DUMMYFUNCTION("""COMPUTED_VALUE"""),"No")</f>
        <v>No</v>
      </c>
      <c r="M1190" s="1" t="str">
        <f>IFERROR(__xludf.DUMMYFUNCTION("""COMPUTED_VALUE"""),"Yes")</f>
        <v>Yes</v>
      </c>
      <c r="N1190" s="1" t="str">
        <f>IFERROR(__xludf.DUMMYFUNCTION("""COMPUTED_VALUE"""),"No")</f>
        <v>No</v>
      </c>
      <c r="O1190" s="1" t="str">
        <f>IFERROR(__xludf.DUMMYFUNCTION("""COMPUTED_VALUE"""),"WA ONLY")</f>
        <v>WA ONLY</v>
      </c>
      <c r="P1190" s="1" t="str">
        <f>IFERROR(__xludf.DUMMYFUNCTION("""COMPUTED_VALUE"""),"Sir")</f>
        <v>Sir</v>
      </c>
      <c r="Q1190" s="1" t="str">
        <f>IFERROR(__xludf.DUMMYFUNCTION("""COMPUTED_VALUE"""),"No")</f>
        <v>No</v>
      </c>
      <c r="R1190" s="1" t="str">
        <f>IFERROR(__xludf.DUMMYFUNCTION("""COMPUTED_VALUE"""),"NEW WALK IN")</f>
        <v>NEW WALK IN</v>
      </c>
      <c r="S1190" s="1" t="str">
        <f>IFERROR(__xludf.DUMMYFUNCTION("""COMPUTED_VALUE"""),"Yes")</f>
        <v>Yes</v>
      </c>
    </row>
    <row r="1191">
      <c r="A1191" s="2">
        <f>IFERROR(__xludf.DUMMYFUNCTION("""COMPUTED_VALUE"""),45858.77324200231)</f>
        <v>45858.77324</v>
      </c>
      <c r="B1191" s="1" t="str">
        <f>IFERROR(__xludf.DUMMYFUNCTION("""COMPUTED_VALUE"""),"Daman Gandhi ")</f>
        <v>Daman Gandhi </v>
      </c>
      <c r="C1191" s="1">
        <f>IFERROR(__xludf.DUMMYFUNCTION("""COMPUTED_VALUE"""),9.899655488E9)</f>
        <v>9899655488</v>
      </c>
      <c r="D1191" s="1">
        <f>IFERROR(__xludf.DUMMYFUNCTION("""COMPUTED_VALUE"""),2.0)</f>
        <v>2</v>
      </c>
      <c r="E1191" s="3">
        <f>IFERROR(__xludf.DUMMYFUNCTION("""COMPUTED_VALUE"""),0.7291666666642413)</f>
        <v>0.7291666667</v>
      </c>
      <c r="F1191" s="1" t="str">
        <f>IFERROR(__xludf.DUMMYFUNCTION("""COMPUTED_VALUE"""),"Plain Gold")</f>
        <v>Plain Gold</v>
      </c>
      <c r="G1191" s="1" t="str">
        <f>IFERROR(__xludf.DUMMYFUNCTION("""COMPUTED_VALUE"""),"Sapna")</f>
        <v>Sapna</v>
      </c>
      <c r="H1191" s="1" t="str">
        <f>IFERROR(__xludf.DUMMYFUNCTION("""COMPUTED_VALUE"""),"Chains ")</f>
        <v>Chains </v>
      </c>
      <c r="I1191" s="1"/>
      <c r="J1191" s="1"/>
      <c r="K1191" s="3">
        <f>IFERROR(__xludf.DUMMYFUNCTION("""COMPUTED_VALUE"""),0.7604166666642413)</f>
        <v>0.7604166667</v>
      </c>
      <c r="L1191" s="1" t="str">
        <f>IFERROR(__xludf.DUMMYFUNCTION("""COMPUTED_VALUE"""),"No")</f>
        <v>No</v>
      </c>
      <c r="M1191" s="1" t="str">
        <f>IFERROR(__xludf.DUMMYFUNCTION("""COMPUTED_VALUE"""),"Yes")</f>
        <v>Yes</v>
      </c>
      <c r="N1191" s="1" t="str">
        <f>IFERROR(__xludf.DUMMYFUNCTION("""COMPUTED_VALUE"""),"Yes")</f>
        <v>Yes</v>
      </c>
      <c r="O1191" s="1" t="str">
        <f>IFERROR(__xludf.DUMMYFUNCTION("""COMPUTED_VALUE"""),"WA ONLY")</f>
        <v>WA ONLY</v>
      </c>
      <c r="P1191" s="1" t="str">
        <f>IFERROR(__xludf.DUMMYFUNCTION("""COMPUTED_VALUE"""),"Sir")</f>
        <v>Sir</v>
      </c>
      <c r="Q1191" s="1" t="str">
        <f>IFERROR(__xludf.DUMMYFUNCTION("""COMPUTED_VALUE"""),"Yes")</f>
        <v>Yes</v>
      </c>
      <c r="R1191" s="1" t="str">
        <f>IFERROR(__xludf.DUMMYFUNCTION("""COMPUTED_VALUE"""),"OLD")</f>
        <v>OLD</v>
      </c>
      <c r="S1191" s="1" t="str">
        <f>IFERROR(__xludf.DUMMYFUNCTION("""COMPUTED_VALUE"""),"Yes")</f>
        <v>Yes</v>
      </c>
    </row>
    <row r="1192">
      <c r="A1192" s="2">
        <f>IFERROR(__xludf.DUMMYFUNCTION("""COMPUTED_VALUE"""),45860.56303535879)</f>
        <v>45860.56304</v>
      </c>
      <c r="B1192" s="1" t="str">
        <f>IFERROR(__xludf.DUMMYFUNCTION("""COMPUTED_VALUE"""),"Anuj jain ji")</f>
        <v>Anuj jain ji</v>
      </c>
      <c r="C1192" s="1">
        <f>IFERROR(__xludf.DUMMYFUNCTION("""COMPUTED_VALUE"""),9.555930963E9)</f>
        <v>9555930963</v>
      </c>
      <c r="D1192" s="1">
        <f>IFERROR(__xludf.DUMMYFUNCTION("""COMPUTED_VALUE"""),2.0)</f>
        <v>2</v>
      </c>
      <c r="E1192" s="3">
        <f>IFERROR(__xludf.DUMMYFUNCTION("""COMPUTED_VALUE"""),0.7604166666642413)</f>
        <v>0.7604166667</v>
      </c>
      <c r="F1192" s="1" t="str">
        <f>IFERROR(__xludf.DUMMYFUNCTION("""COMPUTED_VALUE"""),"Silver Items")</f>
        <v>Silver Items</v>
      </c>
      <c r="G1192" s="1"/>
      <c r="H1192" s="1" t="str">
        <f>IFERROR(__xludf.DUMMYFUNCTION("""COMPUTED_VALUE"""),"Chain and kadha")</f>
        <v>Chain and kadha</v>
      </c>
      <c r="I1192" s="1"/>
      <c r="J1192" s="1"/>
      <c r="K1192" s="3">
        <f>IFERROR(__xludf.DUMMYFUNCTION("""COMPUTED_VALUE"""),0.8243055555576575)</f>
        <v>0.8243055556</v>
      </c>
      <c r="L1192" s="1" t="str">
        <f>IFERROR(__xludf.DUMMYFUNCTION("""COMPUTED_VALUE"""),"No")</f>
        <v>No</v>
      </c>
      <c r="M1192" s="1" t="str">
        <f>IFERROR(__xludf.DUMMYFUNCTION("""COMPUTED_VALUE"""),"Yes")</f>
        <v>Yes</v>
      </c>
      <c r="N1192" s="1" t="str">
        <f>IFERROR(__xludf.DUMMYFUNCTION("""COMPUTED_VALUE"""),"Yes")</f>
        <v>Yes</v>
      </c>
      <c r="O1192" s="1" t="str">
        <f>IFERROR(__xludf.DUMMYFUNCTION("""COMPUTED_VALUE"""),"WA ONLY")</f>
        <v>WA ONLY</v>
      </c>
      <c r="P1192" s="1" t="str">
        <f>IFERROR(__xludf.DUMMYFUNCTION("""COMPUTED_VALUE"""),"Sir")</f>
        <v>Sir</v>
      </c>
      <c r="Q1192" s="1" t="str">
        <f>IFERROR(__xludf.DUMMYFUNCTION("""COMPUTED_VALUE"""),"No")</f>
        <v>No</v>
      </c>
      <c r="R1192" s="1" t="str">
        <f>IFERROR(__xludf.DUMMYFUNCTION("""COMPUTED_VALUE"""),"OLD")</f>
        <v>OLD</v>
      </c>
      <c r="S1192" s="1" t="str">
        <f>IFERROR(__xludf.DUMMYFUNCTION("""COMPUTED_VALUE"""),"Yes")</f>
        <v>Yes</v>
      </c>
    </row>
    <row r="1193">
      <c r="A1193" s="2">
        <f>IFERROR(__xludf.DUMMYFUNCTION("""COMPUTED_VALUE"""),45860.565457442135)</f>
        <v>45860.56546</v>
      </c>
      <c r="B1193" s="1" t="str">
        <f>IFERROR(__xludf.DUMMYFUNCTION("""COMPUTED_VALUE"""),"Sanjay arora ji")</f>
        <v>Sanjay arora ji</v>
      </c>
      <c r="C1193" s="1">
        <f>IFERROR(__xludf.DUMMYFUNCTION("""COMPUTED_VALUE"""),9.81807272E9)</f>
        <v>9818072720</v>
      </c>
      <c r="D1193" s="1">
        <f>IFERROR(__xludf.DUMMYFUNCTION("""COMPUTED_VALUE"""),4.0)</f>
        <v>4</v>
      </c>
      <c r="E1193" s="3">
        <f>IFERROR(__xludf.DUMMYFUNCTION("""COMPUTED_VALUE"""),0.7916666666642413)</f>
        <v>0.7916666667</v>
      </c>
      <c r="F1193" s="1" t="str">
        <f>IFERROR(__xludf.DUMMYFUNCTION("""COMPUTED_VALUE"""),"Plain Gold")</f>
        <v>Plain Gold</v>
      </c>
      <c r="G1193" s="1"/>
      <c r="H1193" s="1" t="str">
        <f>IFERROR(__xludf.DUMMYFUNCTION("""COMPUTED_VALUE"""),"Bangles")</f>
        <v>Bangles</v>
      </c>
      <c r="I1193" s="1" t="str">
        <f>IFERROR(__xludf.DUMMYFUNCTION("""COMPUTED_VALUE"""),"Visit Again in 1 Month")</f>
        <v>Visit Again in 1 Month</v>
      </c>
      <c r="J1193" s="1"/>
      <c r="K1193" s="3">
        <f>IFERROR(__xludf.DUMMYFUNCTION("""COMPUTED_VALUE"""),0.8229166666642413)</f>
        <v>0.8229166667</v>
      </c>
      <c r="L1193" s="1" t="str">
        <f>IFERROR(__xludf.DUMMYFUNCTION("""COMPUTED_VALUE"""),"No")</f>
        <v>No</v>
      </c>
      <c r="M1193" s="1" t="str">
        <f>IFERROR(__xludf.DUMMYFUNCTION("""COMPUTED_VALUE"""),"Yes")</f>
        <v>Yes</v>
      </c>
      <c r="N1193" s="1" t="str">
        <f>IFERROR(__xludf.DUMMYFUNCTION("""COMPUTED_VALUE"""),"Yes")</f>
        <v>Yes</v>
      </c>
      <c r="O1193" s="1" t="str">
        <f>IFERROR(__xludf.DUMMYFUNCTION("""COMPUTED_VALUE"""),"WA ONLY")</f>
        <v>WA ONLY</v>
      </c>
      <c r="P1193" s="1" t="str">
        <f>IFERROR(__xludf.DUMMYFUNCTION("""COMPUTED_VALUE"""),"Sir")</f>
        <v>Sir</v>
      </c>
      <c r="Q1193" s="1" t="str">
        <f>IFERROR(__xludf.DUMMYFUNCTION("""COMPUTED_VALUE"""),"No")</f>
        <v>No</v>
      </c>
      <c r="R1193" s="1" t="str">
        <f>IFERROR(__xludf.DUMMYFUNCTION("""COMPUTED_VALUE"""),"OLD")</f>
        <v>OLD</v>
      </c>
      <c r="S1193" s="1" t="str">
        <f>IFERROR(__xludf.DUMMYFUNCTION("""COMPUTED_VALUE"""),"No")</f>
        <v>No</v>
      </c>
    </row>
    <row r="1194">
      <c r="A1194" s="2">
        <f>IFERROR(__xludf.DUMMYFUNCTION("""COMPUTED_VALUE"""),45860.5749277662)</f>
        <v>45860.57493</v>
      </c>
      <c r="B1194" s="1" t="str">
        <f>IFERROR(__xludf.DUMMYFUNCTION("""COMPUTED_VALUE"""),"Vishwas ji")</f>
        <v>Vishwas ji</v>
      </c>
      <c r="C1194" s="1">
        <f>IFERROR(__xludf.DUMMYFUNCTION("""COMPUTED_VALUE"""),9.818611586E9)</f>
        <v>9818611586</v>
      </c>
      <c r="D1194" s="1">
        <f>IFERROR(__xludf.DUMMYFUNCTION("""COMPUTED_VALUE"""),2.0)</f>
        <v>2</v>
      </c>
      <c r="E1194" s="3">
        <f>IFERROR(__xludf.DUMMYFUNCTION("""COMPUTED_VALUE"""),0.5444444444437977)</f>
        <v>0.5444444444</v>
      </c>
      <c r="F1194" s="1" t="str">
        <f>IFERROR(__xludf.DUMMYFUNCTION("""COMPUTED_VALUE"""),"Plain Gold")</f>
        <v>Plain Gold</v>
      </c>
      <c r="G1194" s="1" t="str">
        <f>IFERROR(__xludf.DUMMYFUNCTION("""COMPUTED_VALUE"""),"Sapna")</f>
        <v>Sapna</v>
      </c>
      <c r="H1194" s="1" t="str">
        <f>IFERROR(__xludf.DUMMYFUNCTION("""COMPUTED_VALUE"""),"Rings")</f>
        <v>Rings</v>
      </c>
      <c r="I1194" s="1"/>
      <c r="J1194" s="1"/>
      <c r="K1194" s="3">
        <f>IFERROR(__xludf.DUMMYFUNCTION("""COMPUTED_VALUE"""),0.5729166666642413)</f>
        <v>0.5729166667</v>
      </c>
      <c r="L1194" s="1" t="str">
        <f>IFERROR(__xludf.DUMMYFUNCTION("""COMPUTED_VALUE"""),"No")</f>
        <v>No</v>
      </c>
      <c r="M1194" s="1" t="str">
        <f>IFERROR(__xludf.DUMMYFUNCTION("""COMPUTED_VALUE"""),"No")</f>
        <v>No</v>
      </c>
      <c r="N1194" s="1" t="str">
        <f>IFERROR(__xludf.DUMMYFUNCTION("""COMPUTED_VALUE"""),"No")</f>
        <v>No</v>
      </c>
      <c r="O1194" s="1" t="str">
        <f>IFERROR(__xludf.DUMMYFUNCTION("""COMPUTED_VALUE"""),"WA ONLY")</f>
        <v>WA ONLY</v>
      </c>
      <c r="P1194" s="1" t="str">
        <f>IFERROR(__xludf.DUMMYFUNCTION("""COMPUTED_VALUE"""),"Sir")</f>
        <v>Sir</v>
      </c>
      <c r="Q1194" s="1" t="str">
        <f>IFERROR(__xludf.DUMMYFUNCTION("""COMPUTED_VALUE"""),"No")</f>
        <v>No</v>
      </c>
      <c r="R1194" s="1" t="str">
        <f>IFERROR(__xludf.DUMMYFUNCTION("""COMPUTED_VALUE"""),"NEW WALK IN")</f>
        <v>NEW WALK IN</v>
      </c>
      <c r="S1194" s="1" t="str">
        <f>IFERROR(__xludf.DUMMYFUNCTION("""COMPUTED_VALUE"""),"Yes")</f>
        <v>Yes</v>
      </c>
    </row>
    <row r="1195">
      <c r="A1195" s="2">
        <f>IFERROR(__xludf.DUMMYFUNCTION("""COMPUTED_VALUE"""),45860.78497842593)</f>
        <v>45860.78498</v>
      </c>
      <c r="B1195" s="1" t="str">
        <f>IFERROR(__xludf.DUMMYFUNCTION("""COMPUTED_VALUE"""),"Vishwas ji")</f>
        <v>Vishwas ji</v>
      </c>
      <c r="C1195" s="1">
        <f>IFERROR(__xludf.DUMMYFUNCTION("""COMPUTED_VALUE"""),9.818611586E9)</f>
        <v>9818611586</v>
      </c>
      <c r="D1195" s="1">
        <f>IFERROR(__xludf.DUMMYFUNCTION("""COMPUTED_VALUE"""),2.0)</f>
        <v>2</v>
      </c>
      <c r="E1195" s="3">
        <f>IFERROR(__xludf.DUMMYFUNCTION("""COMPUTED_VALUE"""),0.5444444444437977)</f>
        <v>0.5444444444</v>
      </c>
      <c r="F1195" s="1" t="str">
        <f>IFERROR(__xludf.DUMMYFUNCTION("""COMPUTED_VALUE"""),"Plain Gold")</f>
        <v>Plain Gold</v>
      </c>
      <c r="G1195" s="1" t="str">
        <f>IFERROR(__xludf.DUMMYFUNCTION("""COMPUTED_VALUE"""),"Sapna")</f>
        <v>Sapna</v>
      </c>
      <c r="H1195" s="1" t="str">
        <f>IFERROR(__xludf.DUMMYFUNCTION("""COMPUTED_VALUE"""),"Rings")</f>
        <v>Rings</v>
      </c>
      <c r="I1195" s="1"/>
      <c r="J1195" s="1"/>
      <c r="K1195" s="3">
        <f>IFERROR(__xludf.DUMMYFUNCTION("""COMPUTED_VALUE"""),0.5715277777781012)</f>
        <v>0.5715277778</v>
      </c>
      <c r="L1195" s="1" t="str">
        <f>IFERROR(__xludf.DUMMYFUNCTION("""COMPUTED_VALUE"""),"No")</f>
        <v>No</v>
      </c>
      <c r="M1195" s="1" t="str">
        <f>IFERROR(__xludf.DUMMYFUNCTION("""COMPUTED_VALUE"""),"No")</f>
        <v>No</v>
      </c>
      <c r="N1195" s="1" t="str">
        <f>IFERROR(__xludf.DUMMYFUNCTION("""COMPUTED_VALUE"""),"No")</f>
        <v>No</v>
      </c>
      <c r="O1195" s="1" t="str">
        <f>IFERROR(__xludf.DUMMYFUNCTION("""COMPUTED_VALUE"""),"WA ONLY")</f>
        <v>WA ONLY</v>
      </c>
      <c r="P1195" s="1" t="str">
        <f>IFERROR(__xludf.DUMMYFUNCTION("""COMPUTED_VALUE"""),"Sir")</f>
        <v>Sir</v>
      </c>
      <c r="Q1195" s="1" t="str">
        <f>IFERROR(__xludf.DUMMYFUNCTION("""COMPUTED_VALUE"""),"No")</f>
        <v>No</v>
      </c>
      <c r="R1195" s="1" t="str">
        <f>IFERROR(__xludf.DUMMYFUNCTION("""COMPUTED_VALUE"""),"NEW WALK IN")</f>
        <v>NEW WALK IN</v>
      </c>
      <c r="S1195" s="1" t="str">
        <f>IFERROR(__xludf.DUMMYFUNCTION("""COMPUTED_VALUE"""),"Yes")</f>
        <v>Yes</v>
      </c>
    </row>
    <row r="1196">
      <c r="A1196" s="2">
        <f>IFERROR(__xludf.DUMMYFUNCTION("""COMPUTED_VALUE"""),45861.52676532407)</f>
        <v>45861.52677</v>
      </c>
      <c r="B1196" s="1" t="str">
        <f>IFERROR(__xludf.DUMMYFUNCTION("""COMPUTED_VALUE"""),"Sheel Arora ji")</f>
        <v>Sheel Arora ji</v>
      </c>
      <c r="C1196" s="1">
        <f>IFERROR(__xludf.DUMMYFUNCTION("""COMPUTED_VALUE"""),8.68606686E9)</f>
        <v>8686066860</v>
      </c>
      <c r="D1196" s="1">
        <f>IFERROR(__xludf.DUMMYFUNCTION("""COMPUTED_VALUE"""),2.0)</f>
        <v>2</v>
      </c>
      <c r="E1196" s="3">
        <f>IFERROR(__xludf.DUMMYFUNCTION("""COMPUTED_VALUE"""),0.7708333333357587)</f>
        <v>0.7708333333</v>
      </c>
      <c r="F1196" s="1" t="str">
        <f>IFERROR(__xludf.DUMMYFUNCTION("""COMPUTED_VALUE"""),"Diamond")</f>
        <v>Diamond</v>
      </c>
      <c r="G1196" s="1" t="str">
        <f>IFERROR(__xludf.DUMMYFUNCTION("""COMPUTED_VALUE"""),"Preeti")</f>
        <v>Preeti</v>
      </c>
      <c r="H1196" s="1" t="str">
        <f>IFERROR(__xludf.DUMMYFUNCTION("""COMPUTED_VALUE"""),"Tops and earrings ")</f>
        <v>Tops and earrings </v>
      </c>
      <c r="I1196" s="1"/>
      <c r="J1196" s="1"/>
      <c r="K1196" s="3">
        <f>IFERROR(__xludf.DUMMYFUNCTION("""COMPUTED_VALUE"""),0.8229166666642413)</f>
        <v>0.8229166667</v>
      </c>
      <c r="L1196" s="1" t="str">
        <f>IFERROR(__xludf.DUMMYFUNCTION("""COMPUTED_VALUE"""),"No")</f>
        <v>No</v>
      </c>
      <c r="M1196" s="1" t="str">
        <f>IFERROR(__xludf.DUMMYFUNCTION("""COMPUTED_VALUE"""),"Yes")</f>
        <v>Yes</v>
      </c>
      <c r="N1196" s="1" t="str">
        <f>IFERROR(__xludf.DUMMYFUNCTION("""COMPUTED_VALUE"""),"Already done ")</f>
        <v>Already done </v>
      </c>
      <c r="O1196" s="1" t="str">
        <f>IFERROR(__xludf.DUMMYFUNCTION("""COMPUTED_VALUE"""),"WA ONLY, OWNER CONTACT ONLY")</f>
        <v>WA ONLY, OWNER CONTACT ONLY</v>
      </c>
      <c r="P1196" s="1" t="str">
        <f>IFERROR(__xludf.DUMMYFUNCTION("""COMPUTED_VALUE"""),"Madam")</f>
        <v>Madam</v>
      </c>
      <c r="Q1196" s="1" t="str">
        <f>IFERROR(__xludf.DUMMYFUNCTION("""COMPUTED_VALUE"""),"Yes")</f>
        <v>Yes</v>
      </c>
      <c r="R1196" s="1" t="str">
        <f>IFERROR(__xludf.DUMMYFUNCTION("""COMPUTED_VALUE"""),"OLD")</f>
        <v>OLD</v>
      </c>
      <c r="S1196" s="1" t="str">
        <f>IFERROR(__xludf.DUMMYFUNCTION("""COMPUTED_VALUE"""),"Yes")</f>
        <v>Yes</v>
      </c>
    </row>
    <row r="1197">
      <c r="A1197" s="2">
        <f>IFERROR(__xludf.DUMMYFUNCTION("""COMPUTED_VALUE"""),45861.690591562496)</f>
        <v>45861.69059</v>
      </c>
      <c r="B1197" s="1" t="str">
        <f>IFERROR(__xludf.DUMMYFUNCTION("""COMPUTED_VALUE"""),"Shahista khan ji")</f>
        <v>Shahista khan ji</v>
      </c>
      <c r="C1197" s="1">
        <f>IFERROR(__xludf.DUMMYFUNCTION("""COMPUTED_VALUE"""),8.860741616E9)</f>
        <v>8860741616</v>
      </c>
      <c r="D1197" s="1">
        <f>IFERROR(__xludf.DUMMYFUNCTION("""COMPUTED_VALUE"""),1.0)</f>
        <v>1</v>
      </c>
      <c r="E1197" s="3">
        <f>IFERROR(__xludf.DUMMYFUNCTION("""COMPUTED_VALUE"""),0.5416666666642413)</f>
        <v>0.5416666667</v>
      </c>
      <c r="F1197" s="1" t="str">
        <f>IFERROR(__xludf.DUMMYFUNCTION("""COMPUTED_VALUE"""),"Plain Gold")</f>
        <v>Plain Gold</v>
      </c>
      <c r="G1197" s="1" t="str">
        <f>IFERROR(__xludf.DUMMYFUNCTION("""COMPUTED_VALUE"""),"Sapna")</f>
        <v>Sapna</v>
      </c>
      <c r="H1197" s="1" t="str">
        <f>IFERROR(__xludf.DUMMYFUNCTION("""COMPUTED_VALUE"""),"Chains")</f>
        <v>Chains</v>
      </c>
      <c r="I1197" s="1" t="str">
        <f>IFERROR(__xludf.DUMMYFUNCTION("""COMPUTED_VALUE"""),"Visit Again in 1 Month")</f>
        <v>Visit Again in 1 Month</v>
      </c>
      <c r="J1197" s="1"/>
      <c r="K1197" s="3">
        <f>IFERROR(__xludf.DUMMYFUNCTION("""COMPUTED_VALUE"""),0.625)</f>
        <v>0.625</v>
      </c>
      <c r="L1197" s="1" t="str">
        <f>IFERROR(__xludf.DUMMYFUNCTION("""COMPUTED_VALUE"""),"No")</f>
        <v>No</v>
      </c>
      <c r="M1197" s="1" t="str">
        <f>IFERROR(__xludf.DUMMYFUNCTION("""COMPUTED_VALUE"""),"Already done")</f>
        <v>Already done</v>
      </c>
      <c r="N1197" s="1" t="str">
        <f>IFERROR(__xludf.DUMMYFUNCTION("""COMPUTED_VALUE"""),"Already done")</f>
        <v>Already done</v>
      </c>
      <c r="O1197" s="1" t="str">
        <f>IFERROR(__xludf.DUMMYFUNCTION("""COMPUTED_VALUE"""),"WA ONLY, OWNER CONTACT ONLY")</f>
        <v>WA ONLY, OWNER CONTACT ONLY</v>
      </c>
      <c r="P1197" s="1" t="str">
        <f>IFERROR(__xludf.DUMMYFUNCTION("""COMPUTED_VALUE"""),"Madam")</f>
        <v>Madam</v>
      </c>
      <c r="Q1197" s="1" t="str">
        <f>IFERROR(__xludf.DUMMYFUNCTION("""COMPUTED_VALUE"""),"No")</f>
        <v>No</v>
      </c>
      <c r="R1197" s="1" t="str">
        <f>IFERROR(__xludf.DUMMYFUNCTION("""COMPUTED_VALUE"""),"OLD")</f>
        <v>OLD</v>
      </c>
      <c r="S1197" s="1" t="str">
        <f>IFERROR(__xludf.DUMMYFUNCTION("""COMPUTED_VALUE"""),"No")</f>
        <v>No</v>
      </c>
    </row>
    <row r="1198">
      <c r="A1198" s="2">
        <f>IFERROR(__xludf.DUMMYFUNCTION("""COMPUTED_VALUE"""),45862.55195180555)</f>
        <v>45862.55195</v>
      </c>
      <c r="B1198" s="1" t="str">
        <f>IFERROR(__xludf.DUMMYFUNCTION("""COMPUTED_VALUE"""),"Mohit punjni ji")</f>
        <v>Mohit punjni ji</v>
      </c>
      <c r="C1198" s="1">
        <f>IFERROR(__xludf.DUMMYFUNCTION("""COMPUTED_VALUE"""),9.811466448E9)</f>
        <v>9811466448</v>
      </c>
      <c r="D1198" s="1">
        <f>IFERROR(__xludf.DUMMYFUNCTION("""COMPUTED_VALUE"""),2.0)</f>
        <v>2</v>
      </c>
      <c r="E1198" s="3">
        <f>IFERROR(__xludf.DUMMYFUNCTION("""COMPUTED_VALUE"""),0.5208333333357587)</f>
        <v>0.5208333333</v>
      </c>
      <c r="F1198" s="1" t="str">
        <f>IFERROR(__xludf.DUMMYFUNCTION("""COMPUTED_VALUE"""),"Diamond")</f>
        <v>Diamond</v>
      </c>
      <c r="G1198" s="1" t="str">
        <f>IFERROR(__xludf.DUMMYFUNCTION("""COMPUTED_VALUE"""),"Preeti")</f>
        <v>Preeti</v>
      </c>
      <c r="H1198" s="1" t="str">
        <f>IFERROR(__xludf.DUMMYFUNCTION("""COMPUTED_VALUE"""),"Necklace ")</f>
        <v>Necklace </v>
      </c>
      <c r="I1198" s="1" t="str">
        <f>IFERROR(__xludf.DUMMYFUNCTION("""COMPUTED_VALUE"""),"Visit Again in 1 Month")</f>
        <v>Visit Again in 1 Month</v>
      </c>
      <c r="J1198" s="1"/>
      <c r="K1198" s="3">
        <f>IFERROR(__xludf.DUMMYFUNCTION("""COMPUTED_VALUE"""),0.5486111111094942)</f>
        <v>0.5486111111</v>
      </c>
      <c r="L1198" s="1" t="str">
        <f>IFERROR(__xludf.DUMMYFUNCTION("""COMPUTED_VALUE"""),"No")</f>
        <v>No</v>
      </c>
      <c r="M1198" s="1" t="str">
        <f>IFERROR(__xludf.DUMMYFUNCTION("""COMPUTED_VALUE"""),"No")</f>
        <v>No</v>
      </c>
      <c r="N1198" s="1" t="str">
        <f>IFERROR(__xludf.DUMMYFUNCTION("""COMPUTED_VALUE"""),"No")</f>
        <v>No</v>
      </c>
      <c r="O1198" s="1" t="str">
        <f>IFERROR(__xludf.DUMMYFUNCTION("""COMPUTED_VALUE"""),"WA ONLY, OWNER CONTACT ONLY")</f>
        <v>WA ONLY, OWNER CONTACT ONLY</v>
      </c>
      <c r="P1198" s="1" t="str">
        <f>IFERROR(__xludf.DUMMYFUNCTION("""COMPUTED_VALUE"""),"Sir")</f>
        <v>Sir</v>
      </c>
      <c r="Q1198" s="1" t="str">
        <f>IFERROR(__xludf.DUMMYFUNCTION("""COMPUTED_VALUE"""),"No")</f>
        <v>No</v>
      </c>
      <c r="R1198" s="1" t="str">
        <f>IFERROR(__xludf.DUMMYFUNCTION("""COMPUTED_VALUE"""),"OLD")</f>
        <v>OLD</v>
      </c>
      <c r="S1198" s="1" t="str">
        <f>IFERROR(__xludf.DUMMYFUNCTION("""COMPUTED_VALUE"""),"No")</f>
        <v>No</v>
      </c>
    </row>
    <row r="1199">
      <c r="A1199" s="2">
        <f>IFERROR(__xludf.DUMMYFUNCTION("""COMPUTED_VALUE"""),45863.70020677084)</f>
        <v>45863.70021</v>
      </c>
      <c r="B1199" s="1" t="str">
        <f>IFERROR(__xludf.DUMMYFUNCTION("""COMPUTED_VALUE"""),"Rajat Khandelwal ")</f>
        <v>Rajat Khandelwal </v>
      </c>
      <c r="C1199" s="1">
        <f>IFERROR(__xludf.DUMMYFUNCTION("""COMPUTED_VALUE"""),9.650947399E9)</f>
        <v>9650947399</v>
      </c>
      <c r="D1199" s="1">
        <f>IFERROR(__xludf.DUMMYFUNCTION("""COMPUTED_VALUE"""),2.0)</f>
        <v>2</v>
      </c>
      <c r="E1199" s="3">
        <f>IFERROR(__xludf.DUMMYFUNCTION("""COMPUTED_VALUE"""),0.6666666666642413)</f>
        <v>0.6666666667</v>
      </c>
      <c r="F1199" s="1" t="str">
        <f>IFERROR(__xludf.DUMMYFUNCTION("""COMPUTED_VALUE"""),"Plain Gold")</f>
        <v>Plain Gold</v>
      </c>
      <c r="G1199" s="1" t="str">
        <f>IFERROR(__xludf.DUMMYFUNCTION("""COMPUTED_VALUE"""),"Sapna")</f>
        <v>Sapna</v>
      </c>
      <c r="H1199" s="1" t="str">
        <f>IFERROR(__xludf.DUMMYFUNCTION("""COMPUTED_VALUE"""),"Bracelets ")</f>
        <v>Bracelets </v>
      </c>
      <c r="I1199" s="1"/>
      <c r="J1199" s="1"/>
      <c r="K1199" s="3">
        <f>IFERROR(__xludf.DUMMYFUNCTION("""COMPUTED_VALUE"""),0.6979166666642413)</f>
        <v>0.6979166667</v>
      </c>
      <c r="L1199" s="1" t="str">
        <f>IFERROR(__xludf.DUMMYFUNCTION("""COMPUTED_VALUE"""),"No")</f>
        <v>No</v>
      </c>
      <c r="M1199" s="1" t="str">
        <f>IFERROR(__xludf.DUMMYFUNCTION("""COMPUTED_VALUE"""),"Yes")</f>
        <v>Yes</v>
      </c>
      <c r="N1199" s="1" t="str">
        <f>IFERROR(__xludf.DUMMYFUNCTION("""COMPUTED_VALUE"""),"Already done")</f>
        <v>Already done</v>
      </c>
      <c r="O1199" s="1" t="str">
        <f>IFERROR(__xludf.DUMMYFUNCTION("""COMPUTED_VALUE"""),"WA ONLY")</f>
        <v>WA ONLY</v>
      </c>
      <c r="P1199" s="1" t="str">
        <f>IFERROR(__xludf.DUMMYFUNCTION("""COMPUTED_VALUE"""),"Sir")</f>
        <v>Sir</v>
      </c>
      <c r="Q1199" s="1" t="str">
        <f>IFERROR(__xludf.DUMMYFUNCTION("""COMPUTED_VALUE"""),"No")</f>
        <v>No</v>
      </c>
      <c r="R1199" s="1" t="str">
        <f>IFERROR(__xludf.DUMMYFUNCTION("""COMPUTED_VALUE"""),"OLD")</f>
        <v>OLD</v>
      </c>
      <c r="S1199" s="1" t="str">
        <f>IFERROR(__xludf.DUMMYFUNCTION("""COMPUTED_VALUE"""),"Yes")</f>
        <v>Yes</v>
      </c>
    </row>
    <row r="1200">
      <c r="A1200" s="2">
        <f>IFERROR(__xludf.DUMMYFUNCTION("""COMPUTED_VALUE"""),45863.80519157407)</f>
        <v>45863.80519</v>
      </c>
      <c r="B1200" s="1" t="str">
        <f>IFERROR(__xludf.DUMMYFUNCTION("""COMPUTED_VALUE"""),"Sanjay Arora ji")</f>
        <v>Sanjay Arora ji</v>
      </c>
      <c r="C1200" s="1">
        <f>IFERROR(__xludf.DUMMYFUNCTION("""COMPUTED_VALUE"""),9.81807272E9)</f>
        <v>9818072720</v>
      </c>
      <c r="D1200" s="1">
        <f>IFERROR(__xludf.DUMMYFUNCTION("""COMPUTED_VALUE"""),2.0)</f>
        <v>2</v>
      </c>
      <c r="E1200" s="3">
        <f>IFERROR(__xludf.DUMMYFUNCTION("""COMPUTED_VALUE"""),0.7604166666642413)</f>
        <v>0.7604166667</v>
      </c>
      <c r="F1200" s="1" t="str">
        <f>IFERROR(__xludf.DUMMYFUNCTION("""COMPUTED_VALUE"""),"Diamond")</f>
        <v>Diamond</v>
      </c>
      <c r="G1200" s="1" t="str">
        <f>IFERROR(__xludf.DUMMYFUNCTION("""COMPUTED_VALUE"""),"Preeti")</f>
        <v>Preeti</v>
      </c>
      <c r="H1200" s="1" t="str">
        <f>IFERROR(__xludf.DUMMYFUNCTION("""COMPUTED_VALUE"""),"Gold neckchains")</f>
        <v>Gold neckchains</v>
      </c>
      <c r="I1200" s="1"/>
      <c r="J1200" s="1"/>
      <c r="K1200" s="3">
        <f>IFERROR(__xludf.DUMMYFUNCTION("""COMPUTED_VALUE"""),0.7916666666642413)</f>
        <v>0.7916666667</v>
      </c>
      <c r="L1200" s="1" t="str">
        <f>IFERROR(__xludf.DUMMYFUNCTION("""COMPUTED_VALUE"""),"No")</f>
        <v>No</v>
      </c>
      <c r="M1200" s="1" t="str">
        <f>IFERROR(__xludf.DUMMYFUNCTION("""COMPUTED_VALUE"""),"Already done ")</f>
        <v>Already done </v>
      </c>
      <c r="N1200" s="1" t="str">
        <f>IFERROR(__xludf.DUMMYFUNCTION("""COMPUTED_VALUE"""),"Already done ")</f>
        <v>Already done </v>
      </c>
      <c r="O1200" s="1" t="str">
        <f>IFERROR(__xludf.DUMMYFUNCTION("""COMPUTED_VALUE"""),"WA ONLY, OWNER CONTACT ONLY")</f>
        <v>WA ONLY, OWNER CONTACT ONLY</v>
      </c>
      <c r="P1200" s="1" t="str">
        <f>IFERROR(__xludf.DUMMYFUNCTION("""COMPUTED_VALUE"""),"Sir")</f>
        <v>Sir</v>
      </c>
      <c r="Q1200" s="1" t="str">
        <f>IFERROR(__xludf.DUMMYFUNCTION("""COMPUTED_VALUE"""),"No")</f>
        <v>No</v>
      </c>
      <c r="R1200" s="1" t="str">
        <f>IFERROR(__xludf.DUMMYFUNCTION("""COMPUTED_VALUE"""),"OLD")</f>
        <v>OLD</v>
      </c>
      <c r="S1200" s="1" t="str">
        <f>IFERROR(__xludf.DUMMYFUNCTION("""COMPUTED_VALUE"""),"Yes")</f>
        <v>Yes</v>
      </c>
    </row>
    <row r="1201">
      <c r="A1201" s="2">
        <f>IFERROR(__xludf.DUMMYFUNCTION("""COMPUTED_VALUE"""),45864.72408598379)</f>
        <v>45864.72409</v>
      </c>
      <c r="B1201" s="1" t="str">
        <f>IFERROR(__xludf.DUMMYFUNCTION("""COMPUTED_VALUE"""),"Nitish Anand ji")</f>
        <v>Nitish Anand ji</v>
      </c>
      <c r="C1201" s="1">
        <f>IFERROR(__xludf.DUMMYFUNCTION("""COMPUTED_VALUE"""),9.62533502E9)</f>
        <v>9625335020</v>
      </c>
      <c r="D1201" s="1">
        <f>IFERROR(__xludf.DUMMYFUNCTION("""COMPUTED_VALUE"""),2.0)</f>
        <v>2</v>
      </c>
      <c r="E1201" s="3">
        <f>IFERROR(__xludf.DUMMYFUNCTION("""COMPUTED_VALUE"""),0.625)</f>
        <v>0.625</v>
      </c>
      <c r="F1201" s="1" t="str">
        <f>IFERROR(__xludf.DUMMYFUNCTION("""COMPUTED_VALUE"""),"Plain Gold")</f>
        <v>Plain Gold</v>
      </c>
      <c r="G1201" s="1" t="str">
        <f>IFERROR(__xludf.DUMMYFUNCTION("""COMPUTED_VALUE"""),"Sapna")</f>
        <v>Sapna</v>
      </c>
      <c r="H1201" s="1" t="str">
        <f>IFERROR(__xludf.DUMMYFUNCTION("""COMPUTED_VALUE"""),"Earrings ")</f>
        <v>Earrings </v>
      </c>
      <c r="I1201" s="1"/>
      <c r="J1201" s="1"/>
      <c r="K1201" s="3">
        <f>IFERROR(__xludf.DUMMYFUNCTION("""COMPUTED_VALUE"""),0.6979166666642413)</f>
        <v>0.6979166667</v>
      </c>
      <c r="L1201" s="1" t="str">
        <f>IFERROR(__xludf.DUMMYFUNCTION("""COMPUTED_VALUE"""),"No")</f>
        <v>No</v>
      </c>
      <c r="M1201" s="1" t="str">
        <f>IFERROR(__xludf.DUMMYFUNCTION("""COMPUTED_VALUE"""),"No")</f>
        <v>No</v>
      </c>
      <c r="N1201" s="1" t="str">
        <f>IFERROR(__xludf.DUMMYFUNCTION("""COMPUTED_VALUE"""),"Yes")</f>
        <v>Yes</v>
      </c>
      <c r="O1201" s="1" t="str">
        <f>IFERROR(__xludf.DUMMYFUNCTION("""COMPUTED_VALUE"""),"WA ONLY, OWNER CONTACT ONLY")</f>
        <v>WA ONLY, OWNER CONTACT ONLY</v>
      </c>
      <c r="P1201" s="1" t="str">
        <f>IFERROR(__xludf.DUMMYFUNCTION("""COMPUTED_VALUE"""),"Sir")</f>
        <v>Sir</v>
      </c>
      <c r="Q1201" s="1" t="str">
        <f>IFERROR(__xludf.DUMMYFUNCTION("""COMPUTED_VALUE"""),"No")</f>
        <v>No</v>
      </c>
      <c r="R1201" s="1" t="str">
        <f>IFERROR(__xludf.DUMMYFUNCTION("""COMPUTED_VALUE"""),"OLD")</f>
        <v>OLD</v>
      </c>
      <c r="S1201" s="1" t="str">
        <f>IFERROR(__xludf.DUMMYFUNCTION("""COMPUTED_VALUE"""),"Yes")</f>
        <v>Yes</v>
      </c>
    </row>
    <row r="1202">
      <c r="A1202" s="2">
        <f>IFERROR(__xludf.DUMMYFUNCTION("""COMPUTED_VALUE"""),45864.72512664352)</f>
        <v>45864.72513</v>
      </c>
      <c r="B1202" s="1" t="str">
        <f>IFERROR(__xludf.DUMMYFUNCTION("""COMPUTED_VALUE"""),"Shiv Mittal ji")</f>
        <v>Shiv Mittal ji</v>
      </c>
      <c r="C1202" s="1">
        <f>IFERROR(__xludf.DUMMYFUNCTION("""COMPUTED_VALUE"""),9.953950419E9)</f>
        <v>9953950419</v>
      </c>
      <c r="D1202" s="1">
        <f>IFERROR(__xludf.DUMMYFUNCTION("""COMPUTED_VALUE"""),1.0)</f>
        <v>1</v>
      </c>
      <c r="E1202" s="3">
        <f>IFERROR(__xludf.DUMMYFUNCTION("""COMPUTED_VALUE"""),0.65625)</f>
        <v>0.65625</v>
      </c>
      <c r="F1202" s="1" t="str">
        <f>IFERROR(__xludf.DUMMYFUNCTION("""COMPUTED_VALUE"""),"Silver Items")</f>
        <v>Silver Items</v>
      </c>
      <c r="G1202" s="1" t="str">
        <f>IFERROR(__xludf.DUMMYFUNCTION("""COMPUTED_VALUE"""),"Sapna")</f>
        <v>Sapna</v>
      </c>
      <c r="H1202" s="1" t="str">
        <f>IFERROR(__xludf.DUMMYFUNCTION("""COMPUTED_VALUE"""),"Chain")</f>
        <v>Chain</v>
      </c>
      <c r="I1202" s="1"/>
      <c r="J1202" s="1"/>
      <c r="K1202" s="3">
        <f>IFERROR(__xludf.DUMMYFUNCTION("""COMPUTED_VALUE"""),0.6826388888875954)</f>
        <v>0.6826388889</v>
      </c>
      <c r="L1202" s="1" t="str">
        <f>IFERROR(__xludf.DUMMYFUNCTION("""COMPUTED_VALUE"""),"No")</f>
        <v>No</v>
      </c>
      <c r="M1202" s="1" t="str">
        <f>IFERROR(__xludf.DUMMYFUNCTION("""COMPUTED_VALUE"""),"Yes")</f>
        <v>Yes</v>
      </c>
      <c r="N1202" s="1" t="str">
        <f>IFERROR(__xludf.DUMMYFUNCTION("""COMPUTED_VALUE"""),"Already done")</f>
        <v>Already done</v>
      </c>
      <c r="O1202" s="1" t="str">
        <f>IFERROR(__xludf.DUMMYFUNCTION("""COMPUTED_VALUE"""),"WA ONLY")</f>
        <v>WA ONLY</v>
      </c>
      <c r="P1202" s="1" t="str">
        <f>IFERROR(__xludf.DUMMYFUNCTION("""COMPUTED_VALUE"""),"Sir")</f>
        <v>Sir</v>
      </c>
      <c r="Q1202" s="1" t="str">
        <f>IFERROR(__xludf.DUMMYFUNCTION("""COMPUTED_VALUE"""),"No")</f>
        <v>No</v>
      </c>
      <c r="R1202" s="1" t="str">
        <f>IFERROR(__xludf.DUMMYFUNCTION("""COMPUTED_VALUE"""),"NEW WALK IN")</f>
        <v>NEW WALK IN</v>
      </c>
      <c r="S1202" s="1" t="str">
        <f>IFERROR(__xludf.DUMMYFUNCTION("""COMPUTED_VALUE"""),"Yes")</f>
        <v>Yes</v>
      </c>
    </row>
    <row r="1203">
      <c r="A1203" s="2">
        <f>IFERROR(__xludf.DUMMYFUNCTION("""COMPUTED_VALUE"""),45865.78732837963)</f>
        <v>45865.78733</v>
      </c>
      <c r="B1203" s="1" t="str">
        <f>IFERROR(__xludf.DUMMYFUNCTION("""COMPUTED_VALUE"""),"Shikha Aggarwal ji")</f>
        <v>Shikha Aggarwal ji</v>
      </c>
      <c r="C1203" s="1">
        <f>IFERROR(__xludf.DUMMYFUNCTION("""COMPUTED_VALUE"""),9.4784954E9)</f>
        <v>9478495400</v>
      </c>
      <c r="D1203" s="1">
        <f>IFERROR(__xludf.DUMMYFUNCTION("""COMPUTED_VALUE"""),2.0)</f>
        <v>2</v>
      </c>
      <c r="E1203" s="3">
        <f>IFERROR(__xludf.DUMMYFUNCTION("""COMPUTED_VALUE"""),0.5833333333357587)</f>
        <v>0.5833333333</v>
      </c>
      <c r="F1203" s="1" t="str">
        <f>IFERROR(__xludf.DUMMYFUNCTION("""COMPUTED_VALUE"""),"Antique Gold")</f>
        <v>Antique Gold</v>
      </c>
      <c r="G1203" s="1" t="str">
        <f>IFERROR(__xludf.DUMMYFUNCTION("""COMPUTED_VALUE"""),"Sapna")</f>
        <v>Sapna</v>
      </c>
      <c r="H1203" s="1" t="str">
        <f>IFERROR(__xludf.DUMMYFUNCTION("""COMPUTED_VALUE"""),"Necklaces ")</f>
        <v>Necklaces </v>
      </c>
      <c r="I1203" s="1"/>
      <c r="J1203" s="1"/>
      <c r="K1203" s="3">
        <f>IFERROR(__xludf.DUMMYFUNCTION("""COMPUTED_VALUE"""),0.6875)</f>
        <v>0.6875</v>
      </c>
      <c r="L1203" s="1" t="str">
        <f>IFERROR(__xludf.DUMMYFUNCTION("""COMPUTED_VALUE"""),"No")</f>
        <v>No</v>
      </c>
      <c r="M1203" s="1" t="str">
        <f>IFERROR(__xludf.DUMMYFUNCTION("""COMPUTED_VALUE"""),"Already done")</f>
        <v>Already done</v>
      </c>
      <c r="N1203" s="1" t="str">
        <f>IFERROR(__xludf.DUMMYFUNCTION("""COMPUTED_VALUE"""),"Already done")</f>
        <v>Already done</v>
      </c>
      <c r="O1203" s="1" t="str">
        <f>IFERROR(__xludf.DUMMYFUNCTION("""COMPUTED_VALUE"""),"WA ONLY, OWNER CONTACT ONLY")</f>
        <v>WA ONLY, OWNER CONTACT ONLY</v>
      </c>
      <c r="P1203" s="1"/>
      <c r="Q1203" s="1" t="str">
        <f>IFERROR(__xludf.DUMMYFUNCTION("""COMPUTED_VALUE"""),"No")</f>
        <v>No</v>
      </c>
      <c r="R1203" s="1" t="str">
        <f>IFERROR(__xludf.DUMMYFUNCTION("""COMPUTED_VALUE"""),"OLD")</f>
        <v>OLD</v>
      </c>
      <c r="S1203" s="1" t="str">
        <f>IFERROR(__xludf.DUMMYFUNCTION("""COMPUTED_VALUE"""),"Yes")</f>
        <v>Yes</v>
      </c>
    </row>
    <row r="1204">
      <c r="A1204" s="2">
        <f>IFERROR(__xludf.DUMMYFUNCTION("""COMPUTED_VALUE"""),45868.51798209491)</f>
        <v>45868.51798</v>
      </c>
      <c r="B1204" s="1" t="str">
        <f>IFERROR(__xludf.DUMMYFUNCTION("""COMPUTED_VALUE"""),"Ritu gupta ji")</f>
        <v>Ritu gupta ji</v>
      </c>
      <c r="C1204" s="1">
        <f>IFERROR(__xludf.DUMMYFUNCTION("""COMPUTED_VALUE"""),9.891000073E9)</f>
        <v>9891000073</v>
      </c>
      <c r="D1204" s="1">
        <f>IFERROR(__xludf.DUMMYFUNCTION("""COMPUTED_VALUE"""),2.0)</f>
        <v>2</v>
      </c>
      <c r="E1204" s="3">
        <f>IFERROR(__xludf.DUMMYFUNCTION("""COMPUTED_VALUE"""),0.7291666666642413)</f>
        <v>0.7291666667</v>
      </c>
      <c r="F1204" s="1" t="str">
        <f>IFERROR(__xludf.DUMMYFUNCTION("""COMPUTED_VALUE"""),"Diamond")</f>
        <v>Diamond</v>
      </c>
      <c r="G1204" s="1" t="str">
        <f>IFERROR(__xludf.DUMMYFUNCTION("""COMPUTED_VALUE"""),"Preeti")</f>
        <v>Preeti</v>
      </c>
      <c r="H1204" s="1" t="str">
        <f>IFERROR(__xludf.DUMMYFUNCTION("""COMPUTED_VALUE"""),"Bangles")</f>
        <v>Bangles</v>
      </c>
      <c r="I1204" s="1" t="str">
        <f>IFERROR(__xludf.DUMMYFUNCTION("""COMPUTED_VALUE"""),"Repair")</f>
        <v>Repair</v>
      </c>
      <c r="J1204" s="1"/>
      <c r="K1204" s="3">
        <f>IFERROR(__xludf.DUMMYFUNCTION("""COMPUTED_VALUE"""),0.75)</f>
        <v>0.75</v>
      </c>
      <c r="L1204" s="1" t="str">
        <f>IFERROR(__xludf.DUMMYFUNCTION("""COMPUTED_VALUE"""),"No")</f>
        <v>No</v>
      </c>
      <c r="M1204" s="1" t="str">
        <f>IFERROR(__xludf.DUMMYFUNCTION("""COMPUTED_VALUE"""),"Already done")</f>
        <v>Already done</v>
      </c>
      <c r="N1204" s="1" t="str">
        <f>IFERROR(__xludf.DUMMYFUNCTION("""COMPUTED_VALUE"""),"Already done")</f>
        <v>Already done</v>
      </c>
      <c r="O1204" s="1" t="str">
        <f>IFERROR(__xludf.DUMMYFUNCTION("""COMPUTED_VALUE"""),"WA ONLY, OWNER CONTACT ONLY")</f>
        <v>WA ONLY, OWNER CONTACT ONLY</v>
      </c>
      <c r="P1204" s="1" t="str">
        <f>IFERROR(__xludf.DUMMYFUNCTION("""COMPUTED_VALUE"""),"Madam")</f>
        <v>Madam</v>
      </c>
      <c r="Q1204" s="1" t="str">
        <f>IFERROR(__xludf.DUMMYFUNCTION("""COMPUTED_VALUE"""),"No")</f>
        <v>No</v>
      </c>
      <c r="R1204" s="1" t="str">
        <f>IFERROR(__xludf.DUMMYFUNCTION("""COMPUTED_VALUE"""),"OLD")</f>
        <v>OLD</v>
      </c>
      <c r="S1204" s="1" t="str">
        <f>IFERROR(__xludf.DUMMYFUNCTION("""COMPUTED_VALUE"""),"No")</f>
        <v>No</v>
      </c>
    </row>
    <row r="1205">
      <c r="A1205" s="2">
        <f>IFERROR(__xludf.DUMMYFUNCTION("""COMPUTED_VALUE"""),45868.519460474534)</f>
        <v>45868.51946</v>
      </c>
      <c r="B1205" s="1" t="str">
        <f>IFERROR(__xludf.DUMMYFUNCTION("""COMPUTED_VALUE"""),"Pranav Jalan")</f>
        <v>Pranav Jalan</v>
      </c>
      <c r="C1205" s="1">
        <f>IFERROR(__xludf.DUMMYFUNCTION("""COMPUTED_VALUE"""),8.860855515E9)</f>
        <v>8860855515</v>
      </c>
      <c r="D1205" s="1">
        <f>IFERROR(__xludf.DUMMYFUNCTION("""COMPUTED_VALUE"""),5.0)</f>
        <v>5</v>
      </c>
      <c r="E1205" s="3">
        <f>IFERROR(__xludf.DUMMYFUNCTION("""COMPUTED_VALUE"""),0.7256944444452529)</f>
        <v>0.7256944444</v>
      </c>
      <c r="F1205" s="1" t="str">
        <f>IFERROR(__xludf.DUMMYFUNCTION("""COMPUTED_VALUE"""),"Diamond")</f>
        <v>Diamond</v>
      </c>
      <c r="G1205" s="1" t="str">
        <f>IFERROR(__xludf.DUMMYFUNCTION("""COMPUTED_VALUE"""),"Preeti")</f>
        <v>Preeti</v>
      </c>
      <c r="H1205" s="1" t="str">
        <f>IFERROR(__xludf.DUMMYFUNCTION("""COMPUTED_VALUE"""),"Neckchains ")</f>
        <v>Neckchains </v>
      </c>
      <c r="I1205" s="1"/>
      <c r="J1205" s="1"/>
      <c r="K1205" s="3">
        <f>IFERROR(__xludf.DUMMYFUNCTION("""COMPUTED_VALUE"""),0.8125)</f>
        <v>0.8125</v>
      </c>
      <c r="L1205" s="1" t="str">
        <f>IFERROR(__xludf.DUMMYFUNCTION("""COMPUTED_VALUE"""),"No")</f>
        <v>No</v>
      </c>
      <c r="M1205" s="1" t="str">
        <f>IFERROR(__xludf.DUMMYFUNCTION("""COMPUTED_VALUE"""),"Yes ")</f>
        <v>Yes </v>
      </c>
      <c r="N1205" s="1" t="str">
        <f>IFERROR(__xludf.DUMMYFUNCTION("""COMPUTED_VALUE"""),"Yes")</f>
        <v>Yes</v>
      </c>
      <c r="O1205" s="1" t="str">
        <f>IFERROR(__xludf.DUMMYFUNCTION("""COMPUTED_VALUE"""),"WA ONLY, OWNER CONTACT ONLY")</f>
        <v>WA ONLY, OWNER CONTACT ONLY</v>
      </c>
      <c r="P1205" s="1" t="str">
        <f>IFERROR(__xludf.DUMMYFUNCTION("""COMPUTED_VALUE"""),"Sir")</f>
        <v>Sir</v>
      </c>
      <c r="Q1205" s="1" t="str">
        <f>IFERROR(__xludf.DUMMYFUNCTION("""COMPUTED_VALUE"""),"No")</f>
        <v>No</v>
      </c>
      <c r="R1205" s="1" t="str">
        <f>IFERROR(__xludf.DUMMYFUNCTION("""COMPUTED_VALUE"""),"OLD")</f>
        <v>OLD</v>
      </c>
      <c r="S1205" s="1" t="str">
        <f>IFERROR(__xludf.DUMMYFUNCTION("""COMPUTED_VALUE"""),"Yes")</f>
        <v>Yes</v>
      </c>
    </row>
    <row r="1206">
      <c r="A1206" s="2">
        <f>IFERROR(__xludf.DUMMYFUNCTION("""COMPUTED_VALUE"""),45868.645426296294)</f>
        <v>45868.64543</v>
      </c>
      <c r="B1206" s="1" t="str">
        <f>IFERROR(__xludf.DUMMYFUNCTION("""COMPUTED_VALUE"""),"Vandana ji")</f>
        <v>Vandana ji</v>
      </c>
      <c r="C1206" s="1">
        <f>IFERROR(__xludf.DUMMYFUNCTION("""COMPUTED_VALUE"""),9.8996911E9)</f>
        <v>9899691100</v>
      </c>
      <c r="D1206" s="1">
        <f>IFERROR(__xludf.DUMMYFUNCTION("""COMPUTED_VALUE"""),2.0)</f>
        <v>2</v>
      </c>
      <c r="E1206" s="3">
        <f>IFERROR(__xludf.DUMMYFUNCTION("""COMPUTED_VALUE"""),0.5208333333357587)</f>
        <v>0.5208333333</v>
      </c>
      <c r="F1206" s="1" t="str">
        <f>IFERROR(__xludf.DUMMYFUNCTION("""COMPUTED_VALUE"""),"Diamond")</f>
        <v>Diamond</v>
      </c>
      <c r="G1206" s="1" t="str">
        <f>IFERROR(__xludf.DUMMYFUNCTION("""COMPUTED_VALUE"""),"Preeti")</f>
        <v>Preeti</v>
      </c>
      <c r="H1206" s="1" t="str">
        <f>IFERROR(__xludf.DUMMYFUNCTION("""COMPUTED_VALUE"""),"Necklaces set")</f>
        <v>Necklaces set</v>
      </c>
      <c r="I1206" s="1"/>
      <c r="J1206" s="1"/>
      <c r="K1206" s="3">
        <f>IFERROR(__xludf.DUMMYFUNCTION("""COMPUTED_VALUE"""),0.6041666666642413)</f>
        <v>0.6041666667</v>
      </c>
      <c r="L1206" s="1" t="str">
        <f>IFERROR(__xludf.DUMMYFUNCTION("""COMPUTED_VALUE"""),"No")</f>
        <v>No</v>
      </c>
      <c r="M1206" s="1" t="str">
        <f>IFERROR(__xludf.DUMMYFUNCTION("""COMPUTED_VALUE"""),"Already done")</f>
        <v>Already done</v>
      </c>
      <c r="N1206" s="1" t="str">
        <f>IFERROR(__xludf.DUMMYFUNCTION("""COMPUTED_VALUE"""),"Already done")</f>
        <v>Already done</v>
      </c>
      <c r="O1206" s="1" t="str">
        <f>IFERROR(__xludf.DUMMYFUNCTION("""COMPUTED_VALUE"""),"WA ONLY, OWNER CONTACT ONLY")</f>
        <v>WA ONLY, OWNER CONTACT ONLY</v>
      </c>
      <c r="P1206" s="1" t="str">
        <f>IFERROR(__xludf.DUMMYFUNCTION("""COMPUTED_VALUE"""),"Madam")</f>
        <v>Madam</v>
      </c>
      <c r="Q1206" s="1" t="str">
        <f>IFERROR(__xludf.DUMMYFUNCTION("""COMPUTED_VALUE"""),"No")</f>
        <v>No</v>
      </c>
      <c r="R1206" s="1" t="str">
        <f>IFERROR(__xludf.DUMMYFUNCTION("""COMPUTED_VALUE"""),"OLD")</f>
        <v>OLD</v>
      </c>
      <c r="S1206" s="1" t="str">
        <f>IFERROR(__xludf.DUMMYFUNCTION("""COMPUTED_VALUE"""),"Yes")</f>
        <v>Yes</v>
      </c>
    </row>
    <row r="1207">
      <c r="A1207" s="2">
        <f>IFERROR(__xludf.DUMMYFUNCTION("""COMPUTED_VALUE"""),45869.65866028935)</f>
        <v>45869.65866</v>
      </c>
      <c r="B1207" s="1" t="str">
        <f>IFERROR(__xludf.DUMMYFUNCTION("""COMPUTED_VALUE"""),"Shahista khan ji")</f>
        <v>Shahista khan ji</v>
      </c>
      <c r="C1207" s="1">
        <f>IFERROR(__xludf.DUMMYFUNCTION("""COMPUTED_VALUE"""),8.860741616E9)</f>
        <v>8860741616</v>
      </c>
      <c r="D1207" s="1">
        <f>IFERROR(__xludf.DUMMYFUNCTION("""COMPUTED_VALUE"""),1.0)</f>
        <v>1</v>
      </c>
      <c r="E1207" s="3">
        <f>IFERROR(__xludf.DUMMYFUNCTION("""COMPUTED_VALUE"""),0.5729166666642413)</f>
        <v>0.5729166667</v>
      </c>
      <c r="F1207" s="1" t="str">
        <f>IFERROR(__xludf.DUMMYFUNCTION("""COMPUTED_VALUE"""),"Plain Gold")</f>
        <v>Plain Gold</v>
      </c>
      <c r="G1207" s="1" t="str">
        <f>IFERROR(__xludf.DUMMYFUNCTION("""COMPUTED_VALUE"""),"Sapna")</f>
        <v>Sapna</v>
      </c>
      <c r="H1207" s="1" t="str">
        <f>IFERROR(__xludf.DUMMYFUNCTION("""COMPUTED_VALUE"""),"Chain")</f>
        <v>Chain</v>
      </c>
      <c r="I1207" s="1"/>
      <c r="J1207" s="1"/>
      <c r="K1207" s="3">
        <f>IFERROR(__xludf.DUMMYFUNCTION("""COMPUTED_VALUE"""),0.6541666666671517)</f>
        <v>0.6541666667</v>
      </c>
      <c r="L1207" s="1" t="str">
        <f>IFERROR(__xludf.DUMMYFUNCTION("""COMPUTED_VALUE"""),"No")</f>
        <v>No</v>
      </c>
      <c r="M1207" s="1" t="str">
        <f>IFERROR(__xludf.DUMMYFUNCTION("""COMPUTED_VALUE"""),"Already done")</f>
        <v>Already done</v>
      </c>
      <c r="N1207" s="1" t="str">
        <f>IFERROR(__xludf.DUMMYFUNCTION("""COMPUTED_VALUE"""),"Already done")</f>
        <v>Already done</v>
      </c>
      <c r="O1207" s="1" t="str">
        <f>IFERROR(__xludf.DUMMYFUNCTION("""COMPUTED_VALUE"""),"WA ONLY, OWNER CONTACT ONLY")</f>
        <v>WA ONLY, OWNER CONTACT ONLY</v>
      </c>
      <c r="P1207" s="1" t="str">
        <f>IFERROR(__xludf.DUMMYFUNCTION("""COMPUTED_VALUE"""),"Madam")</f>
        <v>Madam</v>
      </c>
      <c r="Q1207" s="1" t="str">
        <f>IFERROR(__xludf.DUMMYFUNCTION("""COMPUTED_VALUE"""),"No")</f>
        <v>No</v>
      </c>
      <c r="R1207" s="1" t="str">
        <f>IFERROR(__xludf.DUMMYFUNCTION("""COMPUTED_VALUE"""),"OLD")</f>
        <v>OLD</v>
      </c>
      <c r="S1207" s="1" t="str">
        <f>IFERROR(__xludf.DUMMYFUNCTION("""COMPUTED_VALUE"""),"Yes")</f>
        <v>Yes</v>
      </c>
    </row>
    <row r="1208">
      <c r="A1208" s="2">
        <f>IFERROR(__xludf.DUMMYFUNCTION("""COMPUTED_VALUE"""),45870.656302731484)</f>
        <v>45870.6563</v>
      </c>
      <c r="B1208" s="1" t="str">
        <f>IFERROR(__xludf.DUMMYFUNCTION("""COMPUTED_VALUE"""),"Mansi ji")</f>
        <v>Mansi ji</v>
      </c>
      <c r="C1208" s="1">
        <f>IFERROR(__xludf.DUMMYFUNCTION("""COMPUTED_VALUE"""),9.818881865E9)</f>
        <v>9818881865</v>
      </c>
      <c r="D1208" s="1">
        <f>IFERROR(__xludf.DUMMYFUNCTION("""COMPUTED_VALUE"""),2.0)</f>
        <v>2</v>
      </c>
      <c r="E1208" s="3">
        <f>IFERROR(__xludf.DUMMYFUNCTION("""COMPUTED_VALUE"""),0.75)</f>
        <v>0.75</v>
      </c>
      <c r="F1208" s="1" t="str">
        <f>IFERROR(__xludf.DUMMYFUNCTION("""COMPUTED_VALUE"""),"Plain Gold")</f>
        <v>Plain Gold</v>
      </c>
      <c r="G1208" s="1" t="str">
        <f>IFERROR(__xludf.DUMMYFUNCTION("""COMPUTED_VALUE"""),"Preeti")</f>
        <v>Preeti</v>
      </c>
      <c r="H1208" s="1" t="str">
        <f>IFERROR(__xludf.DUMMYFUNCTION("""COMPUTED_VALUE"""),"Bangles")</f>
        <v>Bangles</v>
      </c>
      <c r="I1208" s="1"/>
      <c r="J1208" s="1"/>
      <c r="K1208" s="3">
        <f>IFERROR(__xludf.DUMMYFUNCTION("""COMPUTED_VALUE"""),0.8125)</f>
        <v>0.8125</v>
      </c>
      <c r="L1208" s="1" t="str">
        <f>IFERROR(__xludf.DUMMYFUNCTION("""COMPUTED_VALUE"""),"No")</f>
        <v>No</v>
      </c>
      <c r="M1208" s="1" t="str">
        <f>IFERROR(__xludf.DUMMYFUNCTION("""COMPUTED_VALUE"""),"Yes")</f>
        <v>Yes</v>
      </c>
      <c r="N1208" s="1" t="str">
        <f>IFERROR(__xludf.DUMMYFUNCTION("""COMPUTED_VALUE"""),"Already done")</f>
        <v>Already done</v>
      </c>
      <c r="O1208" s="1" t="str">
        <f>IFERROR(__xludf.DUMMYFUNCTION("""COMPUTED_VALUE"""),"WA ONLY, OWNER CONTACT ONLY")</f>
        <v>WA ONLY, OWNER CONTACT ONLY</v>
      </c>
      <c r="P1208" s="1" t="str">
        <f>IFERROR(__xludf.DUMMYFUNCTION("""COMPUTED_VALUE"""),"Madam")</f>
        <v>Madam</v>
      </c>
      <c r="Q1208" s="1" t="str">
        <f>IFERROR(__xludf.DUMMYFUNCTION("""COMPUTED_VALUE"""),"No")</f>
        <v>No</v>
      </c>
      <c r="R1208" s="1" t="str">
        <f>IFERROR(__xludf.DUMMYFUNCTION("""COMPUTED_VALUE"""),"OLD")</f>
        <v>OLD</v>
      </c>
      <c r="S1208" s="1" t="str">
        <f>IFERROR(__xludf.DUMMYFUNCTION("""COMPUTED_VALUE"""),"No")</f>
        <v>No</v>
      </c>
    </row>
    <row r="1209">
      <c r="A1209" s="2">
        <f>IFERROR(__xludf.DUMMYFUNCTION("""COMPUTED_VALUE"""),45870.73805748843)</f>
        <v>45870.73806</v>
      </c>
      <c r="B1209" s="1" t="str">
        <f>IFERROR(__xludf.DUMMYFUNCTION("""COMPUTED_VALUE"""),"Mahima ji")</f>
        <v>Mahima ji</v>
      </c>
      <c r="C1209" s="1">
        <f>IFERROR(__xludf.DUMMYFUNCTION("""COMPUTED_VALUE"""),9.312263494E9)</f>
        <v>9312263494</v>
      </c>
      <c r="D1209" s="1">
        <f>IFERROR(__xludf.DUMMYFUNCTION("""COMPUTED_VALUE"""),2.0)</f>
        <v>2</v>
      </c>
      <c r="E1209" s="3">
        <f>IFERROR(__xludf.DUMMYFUNCTION("""COMPUTED_VALUE"""),0.6354166666642413)</f>
        <v>0.6354166667</v>
      </c>
      <c r="F1209" s="1" t="str">
        <f>IFERROR(__xludf.DUMMYFUNCTION("""COMPUTED_VALUE"""),"Plain Gold")</f>
        <v>Plain Gold</v>
      </c>
      <c r="G1209" s="1" t="str">
        <f>IFERROR(__xludf.DUMMYFUNCTION("""COMPUTED_VALUE"""),"Sapna")</f>
        <v>Sapna</v>
      </c>
      <c r="H1209" s="1" t="str">
        <f>IFERROR(__xludf.DUMMYFUNCTION("""COMPUTED_VALUE"""),"Choker set and Diamond ring")</f>
        <v>Choker set and Diamond ring</v>
      </c>
      <c r="I1209" s="1"/>
      <c r="J1209" s="1"/>
      <c r="K1209" s="3">
        <f>IFERROR(__xludf.DUMMYFUNCTION("""COMPUTED_VALUE"""),0.6875)</f>
        <v>0.6875</v>
      </c>
      <c r="L1209" s="1" t="str">
        <f>IFERROR(__xludf.DUMMYFUNCTION("""COMPUTED_VALUE"""),"No")</f>
        <v>No</v>
      </c>
      <c r="M1209" s="1" t="str">
        <f>IFERROR(__xludf.DUMMYFUNCTION("""COMPUTED_VALUE"""),"Yes")</f>
        <v>Yes</v>
      </c>
      <c r="N1209" s="1" t="str">
        <f>IFERROR(__xludf.DUMMYFUNCTION("""COMPUTED_VALUE"""),"Yes")</f>
        <v>Yes</v>
      </c>
      <c r="O1209" s="1" t="str">
        <f>IFERROR(__xludf.DUMMYFUNCTION("""COMPUTED_VALUE"""),"WA ONLY, OWNER CONTACT ONLY")</f>
        <v>WA ONLY, OWNER CONTACT ONLY</v>
      </c>
      <c r="P1209" s="1" t="str">
        <f>IFERROR(__xludf.DUMMYFUNCTION("""COMPUTED_VALUE"""),"Madam")</f>
        <v>Madam</v>
      </c>
      <c r="Q1209" s="1" t="str">
        <f>IFERROR(__xludf.DUMMYFUNCTION("""COMPUTED_VALUE"""),"Yes")</f>
        <v>Yes</v>
      </c>
      <c r="R1209" s="1" t="str">
        <f>IFERROR(__xludf.DUMMYFUNCTION("""COMPUTED_VALUE"""),"OLD")</f>
        <v>OLD</v>
      </c>
      <c r="S1209" s="1" t="str">
        <f>IFERROR(__xludf.DUMMYFUNCTION("""COMPUTED_VALUE"""),"Yes")</f>
        <v>Yes</v>
      </c>
    </row>
    <row r="1210">
      <c r="A1210" s="2">
        <f>IFERROR(__xludf.DUMMYFUNCTION("""COMPUTED_VALUE"""),45871.66996517361)</f>
        <v>45871.66997</v>
      </c>
      <c r="B1210" s="1" t="str">
        <f>IFERROR(__xludf.DUMMYFUNCTION("""COMPUTED_VALUE"""),"Simran ji")</f>
        <v>Simran ji</v>
      </c>
      <c r="C1210" s="1">
        <f>IFERROR(__xludf.DUMMYFUNCTION("""COMPUTED_VALUE"""),9.350001947E9)</f>
        <v>9350001947</v>
      </c>
      <c r="D1210" s="1">
        <f>IFERROR(__xludf.DUMMYFUNCTION("""COMPUTED_VALUE"""),4.0)</f>
        <v>4</v>
      </c>
      <c r="E1210" s="3">
        <f>IFERROR(__xludf.DUMMYFUNCTION("""COMPUTED_VALUE"""),0.6111111111094942)</f>
        <v>0.6111111111</v>
      </c>
      <c r="F1210" s="1" t="str">
        <f>IFERROR(__xludf.DUMMYFUNCTION("""COMPUTED_VALUE"""),"Plain Gold")</f>
        <v>Plain Gold</v>
      </c>
      <c r="G1210" s="1" t="str">
        <f>IFERROR(__xludf.DUMMYFUNCTION("""COMPUTED_VALUE"""),"Sapna")</f>
        <v>Sapna</v>
      </c>
      <c r="H1210" s="1" t="str">
        <f>IFERROR(__xludf.DUMMYFUNCTION("""COMPUTED_VALUE"""),"Mangalsutra and bangles")</f>
        <v>Mangalsutra and bangles</v>
      </c>
      <c r="I1210" s="1"/>
      <c r="J1210" s="1"/>
      <c r="K1210" s="3">
        <f>IFERROR(__xludf.DUMMYFUNCTION("""COMPUTED_VALUE"""),0.6416666666627862)</f>
        <v>0.6416666667</v>
      </c>
      <c r="L1210" s="1" t="str">
        <f>IFERROR(__xludf.DUMMYFUNCTION("""COMPUTED_VALUE"""),"No")</f>
        <v>No</v>
      </c>
      <c r="M1210" s="1" t="str">
        <f>IFERROR(__xludf.DUMMYFUNCTION("""COMPUTED_VALUE"""),"Yes")</f>
        <v>Yes</v>
      </c>
      <c r="N1210" s="1" t="str">
        <f>IFERROR(__xludf.DUMMYFUNCTION("""COMPUTED_VALUE"""),"Yes")</f>
        <v>Yes</v>
      </c>
      <c r="O1210" s="1" t="str">
        <f>IFERROR(__xludf.DUMMYFUNCTION("""COMPUTED_VALUE"""),"WA ONLY")</f>
        <v>WA ONLY</v>
      </c>
      <c r="P1210" s="1" t="str">
        <f>IFERROR(__xludf.DUMMYFUNCTION("""COMPUTED_VALUE"""),"Madam")</f>
        <v>Madam</v>
      </c>
      <c r="Q1210" s="1" t="str">
        <f>IFERROR(__xludf.DUMMYFUNCTION("""COMPUTED_VALUE"""),"No")</f>
        <v>No</v>
      </c>
      <c r="R1210" s="1" t="str">
        <f>IFERROR(__xludf.DUMMYFUNCTION("""COMPUTED_VALUE"""),"OLD")</f>
        <v>OLD</v>
      </c>
      <c r="S1210" s="1" t="str">
        <f>IFERROR(__xludf.DUMMYFUNCTION("""COMPUTED_VALUE"""),"No")</f>
        <v>No</v>
      </c>
    </row>
    <row r="1211">
      <c r="A1211" s="2">
        <f>IFERROR(__xludf.DUMMYFUNCTION("""COMPUTED_VALUE"""),45871.67283924768)</f>
        <v>45871.67284</v>
      </c>
      <c r="B1211" s="1" t="str">
        <f>IFERROR(__xludf.DUMMYFUNCTION("""COMPUTED_VALUE"""),"Hitesh ji")</f>
        <v>Hitesh ji</v>
      </c>
      <c r="C1211" s="1">
        <f>IFERROR(__xludf.DUMMYFUNCTION("""COMPUTED_VALUE"""),9.650461574E9)</f>
        <v>9650461574</v>
      </c>
      <c r="D1211" s="1">
        <f>IFERROR(__xludf.DUMMYFUNCTION("""COMPUTED_VALUE"""),3.0)</f>
        <v>3</v>
      </c>
      <c r="E1211" s="3">
        <f>IFERROR(__xludf.DUMMYFUNCTION("""COMPUTED_VALUE"""),0.6145833333357587)</f>
        <v>0.6145833333</v>
      </c>
      <c r="F1211" s="1" t="str">
        <f>IFERROR(__xludf.DUMMYFUNCTION("""COMPUTED_VALUE"""),"Diamond")</f>
        <v>Diamond</v>
      </c>
      <c r="G1211" s="1" t="str">
        <f>IFERROR(__xludf.DUMMYFUNCTION("""COMPUTED_VALUE"""),"Sapna")</f>
        <v>Sapna</v>
      </c>
      <c r="H1211" s="1" t="str">
        <f>IFERROR(__xludf.DUMMYFUNCTION("""COMPUTED_VALUE"""),"Bangles and maang teeka")</f>
        <v>Bangles and maang teeka</v>
      </c>
      <c r="I1211" s="1"/>
      <c r="J1211" s="1"/>
      <c r="K1211" s="3">
        <f>IFERROR(__xludf.DUMMYFUNCTION("""COMPUTED_VALUE"""),0.6666666666642413)</f>
        <v>0.6666666667</v>
      </c>
      <c r="L1211" s="1" t="str">
        <f>IFERROR(__xludf.DUMMYFUNCTION("""COMPUTED_VALUE"""),"Yes")</f>
        <v>Yes</v>
      </c>
      <c r="M1211" s="1" t="str">
        <f>IFERROR(__xludf.DUMMYFUNCTION("""COMPUTED_VALUE"""),"Yes")</f>
        <v>Yes</v>
      </c>
      <c r="N1211" s="1" t="str">
        <f>IFERROR(__xludf.DUMMYFUNCTION("""COMPUTED_VALUE"""),"Yes")</f>
        <v>Yes</v>
      </c>
      <c r="O1211" s="1" t="str">
        <f>IFERROR(__xludf.DUMMYFUNCTION("""COMPUTED_VALUE"""),"WA ONLY, OWNER CONTACT ONLY")</f>
        <v>WA ONLY, OWNER CONTACT ONLY</v>
      </c>
      <c r="P1211" s="1" t="str">
        <f>IFERROR(__xludf.DUMMYFUNCTION("""COMPUTED_VALUE"""),"Sir")</f>
        <v>Sir</v>
      </c>
      <c r="Q1211" s="1" t="str">
        <f>IFERROR(__xludf.DUMMYFUNCTION("""COMPUTED_VALUE"""),"No")</f>
        <v>No</v>
      </c>
      <c r="R1211" s="1" t="str">
        <f>IFERROR(__xludf.DUMMYFUNCTION("""COMPUTED_VALUE"""),"NEW WALK IN")</f>
        <v>NEW WALK IN</v>
      </c>
      <c r="S1211" s="1" t="str">
        <f>IFERROR(__xludf.DUMMYFUNCTION("""COMPUTED_VALUE"""),"Yes")</f>
        <v>Yes</v>
      </c>
    </row>
    <row r="1212">
      <c r="A1212" s="2">
        <f>IFERROR(__xludf.DUMMYFUNCTION("""COMPUTED_VALUE"""),45874.705243495366)</f>
        <v>45874.70524</v>
      </c>
      <c r="B1212" s="1" t="str">
        <f>IFERROR(__xludf.DUMMYFUNCTION("""COMPUTED_VALUE"""),"Sunita goyal ji")</f>
        <v>Sunita goyal ji</v>
      </c>
      <c r="C1212" s="1">
        <f>IFERROR(__xludf.DUMMYFUNCTION("""COMPUTED_VALUE"""),9.013927456E9)</f>
        <v>9013927456</v>
      </c>
      <c r="D1212" s="1">
        <f>IFERROR(__xludf.DUMMYFUNCTION("""COMPUTED_VALUE"""),1.0)</f>
        <v>1</v>
      </c>
      <c r="E1212" s="3">
        <f>IFERROR(__xludf.DUMMYFUNCTION("""COMPUTED_VALUE"""),0.5833333333357587)</f>
        <v>0.5833333333</v>
      </c>
      <c r="F1212" s="1" t="str">
        <f>IFERROR(__xludf.DUMMYFUNCTION("""COMPUTED_VALUE"""),"Silver Items")</f>
        <v>Silver Items</v>
      </c>
      <c r="G1212" s="1"/>
      <c r="H1212" s="1" t="str">
        <f>IFERROR(__xludf.DUMMYFUNCTION("""COMPUTED_VALUE"""),"Rings and earrings ")</f>
        <v>Rings and earrings </v>
      </c>
      <c r="I1212" s="1"/>
      <c r="J1212" s="1"/>
      <c r="K1212" s="3">
        <f>IFERROR(__xludf.DUMMYFUNCTION("""COMPUTED_VALUE"""),0.6263888888934162)</f>
        <v>0.6263888889</v>
      </c>
      <c r="L1212" s="1" t="str">
        <f>IFERROR(__xludf.DUMMYFUNCTION("""COMPUTED_VALUE"""),"No")</f>
        <v>No</v>
      </c>
      <c r="M1212" s="1" t="str">
        <f>IFERROR(__xludf.DUMMYFUNCTION("""COMPUTED_VALUE"""),"Already done")</f>
        <v>Already done</v>
      </c>
      <c r="N1212" s="1" t="str">
        <f>IFERROR(__xludf.DUMMYFUNCTION("""COMPUTED_VALUE"""),"Already done ")</f>
        <v>Already done </v>
      </c>
      <c r="O1212" s="1" t="str">
        <f>IFERROR(__xludf.DUMMYFUNCTION("""COMPUTED_VALUE"""),"WA ONLY, OWNER CONTACT ONLY")</f>
        <v>WA ONLY, OWNER CONTACT ONLY</v>
      </c>
      <c r="P1212" s="1" t="str">
        <f>IFERROR(__xludf.DUMMYFUNCTION("""COMPUTED_VALUE"""),"Madam")</f>
        <v>Madam</v>
      </c>
      <c r="Q1212" s="1" t="str">
        <f>IFERROR(__xludf.DUMMYFUNCTION("""COMPUTED_VALUE"""),"No")</f>
        <v>No</v>
      </c>
      <c r="R1212" s="1" t="str">
        <f>IFERROR(__xludf.DUMMYFUNCTION("""COMPUTED_VALUE"""),"OLD")</f>
        <v>OLD</v>
      </c>
      <c r="S1212" s="1" t="str">
        <f>IFERROR(__xludf.DUMMYFUNCTION("""COMPUTED_VALUE"""),"Yes")</f>
        <v>Yes</v>
      </c>
    </row>
    <row r="1213">
      <c r="A1213" s="2">
        <f>IFERROR(__xludf.DUMMYFUNCTION("""COMPUTED_VALUE"""),45874.70626445602)</f>
        <v>45874.70626</v>
      </c>
      <c r="B1213" s="1" t="str">
        <f>IFERROR(__xludf.DUMMYFUNCTION("""COMPUTED_VALUE"""),"Deepak")</f>
        <v>Deepak</v>
      </c>
      <c r="C1213" s="1">
        <f>IFERROR(__xludf.DUMMYFUNCTION("""COMPUTED_VALUE"""),9.999918304E9)</f>
        <v>9999918304</v>
      </c>
      <c r="D1213" s="1">
        <f>IFERROR(__xludf.DUMMYFUNCTION("""COMPUTED_VALUE"""),2.0)</f>
        <v>2</v>
      </c>
      <c r="E1213" s="3">
        <f>IFERROR(__xludf.DUMMYFUNCTION("""COMPUTED_VALUE"""),0.6041666666642413)</f>
        <v>0.6041666667</v>
      </c>
      <c r="F1213" s="1" t="str">
        <f>IFERROR(__xludf.DUMMYFUNCTION("""COMPUTED_VALUE"""),"Diamond")</f>
        <v>Diamond</v>
      </c>
      <c r="G1213" s="1" t="str">
        <f>IFERROR(__xludf.DUMMYFUNCTION("""COMPUTED_VALUE"""),"Preeti")</f>
        <v>Preeti</v>
      </c>
      <c r="H1213" s="1" t="str">
        <f>IFERROR(__xludf.DUMMYFUNCTION("""COMPUTED_VALUE"""),"Bracelets ")</f>
        <v>Bracelets </v>
      </c>
      <c r="I1213" s="1"/>
      <c r="J1213" s="1"/>
      <c r="K1213" s="3">
        <f>IFERROR(__xludf.DUMMYFUNCTION("""COMPUTED_VALUE"""),0.6416666666627862)</f>
        <v>0.6416666667</v>
      </c>
      <c r="L1213" s="1" t="str">
        <f>IFERROR(__xludf.DUMMYFUNCTION("""COMPUTED_VALUE"""),"No")</f>
        <v>No</v>
      </c>
      <c r="M1213" s="1" t="str">
        <f>IFERROR(__xludf.DUMMYFUNCTION("""COMPUTED_VALUE"""),"No")</f>
        <v>No</v>
      </c>
      <c r="N1213" s="1" t="str">
        <f>IFERROR(__xludf.DUMMYFUNCTION("""COMPUTED_VALUE"""),"No")</f>
        <v>No</v>
      </c>
      <c r="O1213" s="1" t="str">
        <f>IFERROR(__xludf.DUMMYFUNCTION("""COMPUTED_VALUE"""),"WA ONLY")</f>
        <v>WA ONLY</v>
      </c>
      <c r="P1213" s="1" t="str">
        <f>IFERROR(__xludf.DUMMYFUNCTION("""COMPUTED_VALUE"""),"Sir")</f>
        <v>Sir</v>
      </c>
      <c r="Q1213" s="1" t="str">
        <f>IFERROR(__xludf.DUMMYFUNCTION("""COMPUTED_VALUE"""),"No")</f>
        <v>No</v>
      </c>
      <c r="R1213" s="1" t="str">
        <f>IFERROR(__xludf.DUMMYFUNCTION("""COMPUTED_VALUE"""),"NEW WALK IN")</f>
        <v>NEW WALK IN</v>
      </c>
      <c r="S1213" s="1" t="str">
        <f>IFERROR(__xludf.DUMMYFUNCTION("""COMPUTED_VALUE"""),"No")</f>
        <v>No</v>
      </c>
    </row>
    <row r="1214">
      <c r="A1214" s="2">
        <f>IFERROR(__xludf.DUMMYFUNCTION("""COMPUTED_VALUE"""),45874.708178182875)</f>
        <v>45874.70818</v>
      </c>
      <c r="B1214" s="1" t="str">
        <f>IFERROR(__xludf.DUMMYFUNCTION("""COMPUTED_VALUE"""),"Neeru ji")</f>
        <v>Neeru ji</v>
      </c>
      <c r="C1214" s="1">
        <f>IFERROR(__xludf.DUMMYFUNCTION("""COMPUTED_VALUE"""),9.21242235E9)</f>
        <v>9212422350</v>
      </c>
      <c r="D1214" s="1">
        <f>IFERROR(__xludf.DUMMYFUNCTION("""COMPUTED_VALUE"""),4.0)</f>
        <v>4</v>
      </c>
      <c r="E1214" s="3">
        <f>IFERROR(__xludf.DUMMYFUNCTION("""COMPUTED_VALUE"""),0.625)</f>
        <v>0.625</v>
      </c>
      <c r="F1214" s="1" t="str">
        <f>IFERROR(__xludf.DUMMYFUNCTION("""COMPUTED_VALUE"""),"Diamond")</f>
        <v>Diamond</v>
      </c>
      <c r="G1214" s="1"/>
      <c r="H1214" s="1" t="str">
        <f>IFERROR(__xludf.DUMMYFUNCTION("""COMPUTED_VALUE"""),"Bangles and bracelets ")</f>
        <v>Bangles and bracelets </v>
      </c>
      <c r="I1214" s="1"/>
      <c r="J1214" s="1"/>
      <c r="K1214" s="3">
        <f>IFERROR(__xludf.DUMMYFUNCTION("""COMPUTED_VALUE"""),0.6979166666642413)</f>
        <v>0.6979166667</v>
      </c>
      <c r="L1214" s="1" t="str">
        <f>IFERROR(__xludf.DUMMYFUNCTION("""COMPUTED_VALUE"""),"Yes")</f>
        <v>Yes</v>
      </c>
      <c r="M1214" s="1" t="str">
        <f>IFERROR(__xludf.DUMMYFUNCTION("""COMPUTED_VALUE"""),"Yes")</f>
        <v>Yes</v>
      </c>
      <c r="N1214" s="1" t="str">
        <f>IFERROR(__xludf.DUMMYFUNCTION("""COMPUTED_VALUE"""),"No")</f>
        <v>No</v>
      </c>
      <c r="O1214" s="1" t="str">
        <f>IFERROR(__xludf.DUMMYFUNCTION("""COMPUTED_VALUE"""),"WA ONLY, OWNER CONTACT ONLY")</f>
        <v>WA ONLY, OWNER CONTACT ONLY</v>
      </c>
      <c r="P1214" s="1" t="str">
        <f>IFERROR(__xludf.DUMMYFUNCTION("""COMPUTED_VALUE"""),"Madam")</f>
        <v>Madam</v>
      </c>
      <c r="Q1214" s="1" t="str">
        <f>IFERROR(__xludf.DUMMYFUNCTION("""COMPUTED_VALUE"""),"No")</f>
        <v>No</v>
      </c>
      <c r="R1214" s="1" t="str">
        <f>IFERROR(__xludf.DUMMYFUNCTION("""COMPUTED_VALUE"""),"OLD")</f>
        <v>OLD</v>
      </c>
      <c r="S1214" s="1" t="str">
        <f>IFERROR(__xludf.DUMMYFUNCTION("""COMPUTED_VALUE"""),"Yes")</f>
        <v>Yes</v>
      </c>
    </row>
    <row r="1215">
      <c r="A1215" s="2">
        <f>IFERROR(__xludf.DUMMYFUNCTION("""COMPUTED_VALUE"""),45874.70967885417)</f>
        <v>45874.70968</v>
      </c>
      <c r="B1215" s="1" t="str">
        <f>IFERROR(__xludf.DUMMYFUNCTION("""COMPUTED_VALUE"""),"S.K Mehta ji")</f>
        <v>S.K Mehta ji</v>
      </c>
      <c r="C1215" s="1">
        <f>IFERROR(__xludf.DUMMYFUNCTION("""COMPUTED_VALUE"""),8.105988005E9)</f>
        <v>8105988005</v>
      </c>
      <c r="D1215" s="1">
        <f>IFERROR(__xludf.DUMMYFUNCTION("""COMPUTED_VALUE"""),3.0)</f>
        <v>3</v>
      </c>
      <c r="E1215" s="3">
        <f>IFERROR(__xludf.DUMMYFUNCTION("""COMPUTED_VALUE"""),0.6666666666642413)</f>
        <v>0.6666666667</v>
      </c>
      <c r="F1215" s="1" t="str">
        <f>IFERROR(__xludf.DUMMYFUNCTION("""COMPUTED_VALUE"""),"Plain Gold")</f>
        <v>Plain Gold</v>
      </c>
      <c r="G1215" s="1" t="str">
        <f>IFERROR(__xludf.DUMMYFUNCTION("""COMPUTED_VALUE"""),"Sapna")</f>
        <v>Sapna</v>
      </c>
      <c r="H1215" s="1" t="str">
        <f>IFERROR(__xludf.DUMMYFUNCTION("""COMPUTED_VALUE"""),"Diamond and gold earrings ")</f>
        <v>Diamond and gold earrings </v>
      </c>
      <c r="I1215" s="1"/>
      <c r="J1215" s="1"/>
      <c r="K1215" s="3">
        <f>IFERROR(__xludf.DUMMYFUNCTION("""COMPUTED_VALUE"""),0.7708333333357587)</f>
        <v>0.7708333333</v>
      </c>
      <c r="L1215" s="1" t="str">
        <f>IFERROR(__xludf.DUMMYFUNCTION("""COMPUTED_VALUE"""),"Yes")</f>
        <v>Yes</v>
      </c>
      <c r="M1215" s="1" t="str">
        <f>IFERROR(__xludf.DUMMYFUNCTION("""COMPUTED_VALUE"""),"Yes")</f>
        <v>Yes</v>
      </c>
      <c r="N1215" s="1" t="str">
        <f>IFERROR(__xludf.DUMMYFUNCTION("""COMPUTED_VALUE"""),"Yes")</f>
        <v>Yes</v>
      </c>
      <c r="O1215" s="1" t="str">
        <f>IFERROR(__xludf.DUMMYFUNCTION("""COMPUTED_VALUE"""),"WA ONLY")</f>
        <v>WA ONLY</v>
      </c>
      <c r="P1215" s="1" t="str">
        <f>IFERROR(__xludf.DUMMYFUNCTION("""COMPUTED_VALUE"""),"Sir")</f>
        <v>Sir</v>
      </c>
      <c r="Q1215" s="1" t="str">
        <f>IFERROR(__xludf.DUMMYFUNCTION("""COMPUTED_VALUE"""),"No")</f>
        <v>No</v>
      </c>
      <c r="R1215" s="1" t="str">
        <f>IFERROR(__xludf.DUMMYFUNCTION("""COMPUTED_VALUE"""),"OLD")</f>
        <v>OLD</v>
      </c>
      <c r="S1215" s="1" t="str">
        <f>IFERROR(__xludf.DUMMYFUNCTION("""COMPUTED_VALUE"""),"Yes")</f>
        <v>Yes</v>
      </c>
    </row>
    <row r="1216">
      <c r="A1216" s="2">
        <f>IFERROR(__xludf.DUMMYFUNCTION("""COMPUTED_VALUE"""),45874.71105334491)</f>
        <v>45874.71105</v>
      </c>
      <c r="B1216" s="1" t="str">
        <f>IFERROR(__xludf.DUMMYFUNCTION("""COMPUTED_VALUE"""),"Md kesar khan")</f>
        <v>Md kesar khan</v>
      </c>
      <c r="C1216" s="1">
        <f>IFERROR(__xludf.DUMMYFUNCTION("""COMPUTED_VALUE"""),9.999728283E9)</f>
        <v>9999728283</v>
      </c>
      <c r="D1216" s="1">
        <f>IFERROR(__xludf.DUMMYFUNCTION("""COMPUTED_VALUE"""),2.0)</f>
        <v>2</v>
      </c>
      <c r="E1216" s="3">
        <f>IFERROR(__xludf.DUMMYFUNCTION("""COMPUTED_VALUE"""),0.6875)</f>
        <v>0.6875</v>
      </c>
      <c r="F1216" s="1" t="str">
        <f>IFERROR(__xludf.DUMMYFUNCTION("""COMPUTED_VALUE"""),"Diamond")</f>
        <v>Diamond</v>
      </c>
      <c r="G1216" s="1"/>
      <c r="H1216" s="1" t="str">
        <f>IFERROR(__xludf.DUMMYFUNCTION("""COMPUTED_VALUE"""),"Bangles")</f>
        <v>Bangles</v>
      </c>
      <c r="I1216" s="1"/>
      <c r="J1216" s="1"/>
      <c r="K1216" s="3">
        <f>IFERROR(__xludf.DUMMYFUNCTION("""COMPUTED_VALUE"""),0.7604166666642413)</f>
        <v>0.7604166667</v>
      </c>
      <c r="L1216" s="1" t="str">
        <f>IFERROR(__xludf.DUMMYFUNCTION("""COMPUTED_VALUE"""),"No")</f>
        <v>No</v>
      </c>
      <c r="M1216" s="1" t="str">
        <f>IFERROR(__xludf.DUMMYFUNCTION("""COMPUTED_VALUE"""),"No")</f>
        <v>No</v>
      </c>
      <c r="N1216" s="1" t="str">
        <f>IFERROR(__xludf.DUMMYFUNCTION("""COMPUTED_VALUE"""),"No")</f>
        <v>No</v>
      </c>
      <c r="O1216" s="1" t="str">
        <f>IFERROR(__xludf.DUMMYFUNCTION("""COMPUTED_VALUE"""),"WA ONLY")</f>
        <v>WA ONLY</v>
      </c>
      <c r="P1216" s="1" t="str">
        <f>IFERROR(__xludf.DUMMYFUNCTION("""COMPUTED_VALUE"""),"Sir")</f>
        <v>Sir</v>
      </c>
      <c r="Q1216" s="1" t="str">
        <f>IFERROR(__xludf.DUMMYFUNCTION("""COMPUTED_VALUE"""),"No")</f>
        <v>No</v>
      </c>
      <c r="R1216" s="1" t="str">
        <f>IFERROR(__xludf.DUMMYFUNCTION("""COMPUTED_VALUE"""),"OLD")</f>
        <v>OLD</v>
      </c>
      <c r="S1216" s="1" t="str">
        <f>IFERROR(__xludf.DUMMYFUNCTION("""COMPUTED_VALUE"""),"Yes")</f>
        <v>Yes</v>
      </c>
    </row>
    <row r="1217">
      <c r="A1217" s="2">
        <f>IFERROR(__xludf.DUMMYFUNCTION("""COMPUTED_VALUE"""),45874.71442386574)</f>
        <v>45874.71442</v>
      </c>
      <c r="B1217" s="1" t="str">
        <f>IFERROR(__xludf.DUMMYFUNCTION("""COMPUTED_VALUE"""),"Sunita Jain")</f>
        <v>Sunita Jain</v>
      </c>
      <c r="C1217" s="1">
        <f>IFERROR(__xludf.DUMMYFUNCTION("""COMPUTED_VALUE"""),9.873245333E9)</f>
        <v>9873245333</v>
      </c>
      <c r="D1217" s="1">
        <f>IFERROR(__xludf.DUMMYFUNCTION("""COMPUTED_VALUE"""),2.0)</f>
        <v>2</v>
      </c>
      <c r="E1217" s="3">
        <f>IFERROR(__xludf.DUMMYFUNCTION("""COMPUTED_VALUE"""),0.6979166666642413)</f>
        <v>0.6979166667</v>
      </c>
      <c r="F1217" s="1" t="str">
        <f>IFERROR(__xludf.DUMMYFUNCTION("""COMPUTED_VALUE"""),"Diamond")</f>
        <v>Diamond</v>
      </c>
      <c r="G1217" s="1"/>
      <c r="H1217" s="1" t="str">
        <f>IFERROR(__xludf.DUMMYFUNCTION("""COMPUTED_VALUE"""),"Chains")</f>
        <v>Chains</v>
      </c>
      <c r="I1217" s="1"/>
      <c r="J1217" s="1"/>
      <c r="K1217" s="3">
        <f>IFERROR(__xludf.DUMMYFUNCTION("""COMPUTED_VALUE"""),0.7569444444452529)</f>
        <v>0.7569444444</v>
      </c>
      <c r="L1217" s="1" t="str">
        <f>IFERROR(__xludf.DUMMYFUNCTION("""COMPUTED_VALUE"""),"Yes")</f>
        <v>Yes</v>
      </c>
      <c r="M1217" s="1" t="str">
        <f>IFERROR(__xludf.DUMMYFUNCTION("""COMPUTED_VALUE"""),"Yes")</f>
        <v>Yes</v>
      </c>
      <c r="N1217" s="1" t="str">
        <f>IFERROR(__xludf.DUMMYFUNCTION("""COMPUTED_VALUE"""),"Yes")</f>
        <v>Yes</v>
      </c>
      <c r="O1217" s="1" t="str">
        <f>IFERROR(__xludf.DUMMYFUNCTION("""COMPUTED_VALUE"""),"WA ONLY")</f>
        <v>WA ONLY</v>
      </c>
      <c r="P1217" s="1" t="str">
        <f>IFERROR(__xludf.DUMMYFUNCTION("""COMPUTED_VALUE"""),"Madam")</f>
        <v>Madam</v>
      </c>
      <c r="Q1217" s="1" t="str">
        <f>IFERROR(__xludf.DUMMYFUNCTION("""COMPUTED_VALUE"""),"No")</f>
        <v>No</v>
      </c>
      <c r="R1217" s="1" t="str">
        <f>IFERROR(__xludf.DUMMYFUNCTION("""COMPUTED_VALUE"""),"OLD")</f>
        <v>OLD</v>
      </c>
      <c r="S1217" s="1" t="str">
        <f>IFERROR(__xludf.DUMMYFUNCTION("""COMPUTED_VALUE"""),"Yes")</f>
        <v>Yes</v>
      </c>
    </row>
    <row r="1218">
      <c r="A1218" s="2">
        <f>IFERROR(__xludf.DUMMYFUNCTION("""COMPUTED_VALUE"""),45874.7173541088)</f>
        <v>45874.71735</v>
      </c>
      <c r="B1218" s="1" t="str">
        <f>IFERROR(__xludf.DUMMYFUNCTION("""COMPUTED_VALUE"""),"Sanjeev Arora ji")</f>
        <v>Sanjeev Arora ji</v>
      </c>
      <c r="C1218" s="1">
        <f>IFERROR(__xludf.DUMMYFUNCTION("""COMPUTED_VALUE"""),9.811224638E9)</f>
        <v>9811224638</v>
      </c>
      <c r="D1218" s="1">
        <f>IFERROR(__xludf.DUMMYFUNCTION("""COMPUTED_VALUE"""),2.0)</f>
        <v>2</v>
      </c>
      <c r="E1218" s="3">
        <f>IFERROR(__xludf.DUMMYFUNCTION("""COMPUTED_VALUE"""),0.7291666666642413)</f>
        <v>0.7291666667</v>
      </c>
      <c r="F1218" s="1" t="str">
        <f>IFERROR(__xludf.DUMMYFUNCTION("""COMPUTED_VALUE"""),"Antique Gold")</f>
        <v>Antique Gold</v>
      </c>
      <c r="G1218" s="1" t="str">
        <f>IFERROR(__xludf.DUMMYFUNCTION("""COMPUTED_VALUE"""),"Preeti")</f>
        <v>Preeti</v>
      </c>
      <c r="H1218" s="1" t="str">
        <f>IFERROR(__xludf.DUMMYFUNCTION("""COMPUTED_VALUE"""),"Necklace ")</f>
        <v>Necklace </v>
      </c>
      <c r="I1218" s="1"/>
      <c r="J1218" s="1"/>
      <c r="K1218" s="3">
        <f>IFERROR(__xludf.DUMMYFUNCTION("""COMPUTED_VALUE"""),0.7993055555562023)</f>
        <v>0.7993055556</v>
      </c>
      <c r="L1218" s="1" t="str">
        <f>IFERROR(__xludf.DUMMYFUNCTION("""COMPUTED_VALUE"""),"Yes")</f>
        <v>Yes</v>
      </c>
      <c r="M1218" s="1" t="str">
        <f>IFERROR(__xludf.DUMMYFUNCTION("""COMPUTED_VALUE"""),"Already done")</f>
        <v>Already done</v>
      </c>
      <c r="N1218" s="1" t="str">
        <f>IFERROR(__xludf.DUMMYFUNCTION("""COMPUTED_VALUE"""),"Already done")</f>
        <v>Already done</v>
      </c>
      <c r="O1218" s="1" t="str">
        <f>IFERROR(__xludf.DUMMYFUNCTION("""COMPUTED_VALUE"""),"WA ONLY")</f>
        <v>WA ONLY</v>
      </c>
      <c r="P1218" s="1" t="str">
        <f>IFERROR(__xludf.DUMMYFUNCTION("""COMPUTED_VALUE"""),"Sir")</f>
        <v>Sir</v>
      </c>
      <c r="Q1218" s="1" t="str">
        <f>IFERROR(__xludf.DUMMYFUNCTION("""COMPUTED_VALUE"""),"No")</f>
        <v>No</v>
      </c>
      <c r="R1218" s="1" t="str">
        <f>IFERROR(__xludf.DUMMYFUNCTION("""COMPUTED_VALUE"""),"OLD")</f>
        <v>OLD</v>
      </c>
      <c r="S1218" s="1" t="str">
        <f>IFERROR(__xludf.DUMMYFUNCTION("""COMPUTED_VALUE"""),"Yes")</f>
        <v>Yes</v>
      </c>
    </row>
    <row r="1219">
      <c r="A1219" s="2">
        <f>IFERROR(__xludf.DUMMYFUNCTION("""COMPUTED_VALUE"""),45874.71850321759)</f>
        <v>45874.7185</v>
      </c>
      <c r="B1219" s="1" t="str">
        <f>IFERROR(__xludf.DUMMYFUNCTION("""COMPUTED_VALUE"""),"Aditya Arya ji ")</f>
        <v>Aditya Arya ji </v>
      </c>
      <c r="C1219" s="1">
        <f>IFERROR(__xludf.DUMMYFUNCTION("""COMPUTED_VALUE"""),9.818011805E9)</f>
        <v>9818011805</v>
      </c>
      <c r="D1219" s="1">
        <f>IFERROR(__xludf.DUMMYFUNCTION("""COMPUTED_VALUE"""),3.0)</f>
        <v>3</v>
      </c>
      <c r="E1219" s="3">
        <f>IFERROR(__xludf.DUMMYFUNCTION("""COMPUTED_VALUE"""),0.7083333333357587)</f>
        <v>0.7083333333</v>
      </c>
      <c r="F1219" s="1" t="str">
        <f>IFERROR(__xludf.DUMMYFUNCTION("""COMPUTED_VALUE"""),"Silver Items")</f>
        <v>Silver Items</v>
      </c>
      <c r="G1219" s="1"/>
      <c r="H1219" s="1" t="str">
        <f>IFERROR(__xludf.DUMMYFUNCTION("""COMPUTED_VALUE"""),"Rings and earrings ")</f>
        <v>Rings and earrings </v>
      </c>
      <c r="I1219" s="1"/>
      <c r="J1219" s="1"/>
      <c r="K1219" s="3">
        <f>IFERROR(__xludf.DUMMYFUNCTION("""COMPUTED_VALUE"""),0.7895833333313931)</f>
        <v>0.7895833333</v>
      </c>
      <c r="L1219" s="1" t="str">
        <f>IFERROR(__xludf.DUMMYFUNCTION("""COMPUTED_VALUE"""),"Yes")</f>
        <v>Yes</v>
      </c>
      <c r="M1219" s="1" t="str">
        <f>IFERROR(__xludf.DUMMYFUNCTION("""COMPUTED_VALUE"""),"Yes")</f>
        <v>Yes</v>
      </c>
      <c r="N1219" s="1" t="str">
        <f>IFERROR(__xludf.DUMMYFUNCTION("""COMPUTED_VALUE"""),"Yes")</f>
        <v>Yes</v>
      </c>
      <c r="O1219" s="1" t="str">
        <f>IFERROR(__xludf.DUMMYFUNCTION("""COMPUTED_VALUE"""),"WA ONLY, OWNER CONTACT ONLY")</f>
        <v>WA ONLY, OWNER CONTACT ONLY</v>
      </c>
      <c r="P1219" s="1" t="str">
        <f>IFERROR(__xludf.DUMMYFUNCTION("""COMPUTED_VALUE"""),"Sir")</f>
        <v>Sir</v>
      </c>
      <c r="Q1219" s="1" t="str">
        <f>IFERROR(__xludf.DUMMYFUNCTION("""COMPUTED_VALUE"""),"No")</f>
        <v>No</v>
      </c>
      <c r="R1219" s="1" t="str">
        <f>IFERROR(__xludf.DUMMYFUNCTION("""COMPUTED_VALUE"""),"OLD")</f>
        <v>OLD</v>
      </c>
      <c r="S1219" s="1" t="str">
        <f>IFERROR(__xludf.DUMMYFUNCTION("""COMPUTED_VALUE"""),"No")</f>
        <v>No</v>
      </c>
    </row>
    <row r="1220">
      <c r="A1220" s="2">
        <f>IFERROR(__xludf.DUMMYFUNCTION("""COMPUTED_VALUE"""),45875.53082986111)</f>
        <v>45875.53083</v>
      </c>
      <c r="B1220" s="1" t="str">
        <f>IFERROR(__xludf.DUMMYFUNCTION("""COMPUTED_VALUE"""),"Nimishtha")</f>
        <v>Nimishtha</v>
      </c>
      <c r="C1220" s="1">
        <f>IFERROR(__xludf.DUMMYFUNCTION("""COMPUTED_VALUE"""),9.81062888E9)</f>
        <v>9810628880</v>
      </c>
      <c r="D1220" s="1">
        <f>IFERROR(__xludf.DUMMYFUNCTION("""COMPUTED_VALUE"""),2.0)</f>
        <v>2</v>
      </c>
      <c r="E1220" s="3">
        <f>IFERROR(__xludf.DUMMYFUNCTION("""COMPUTED_VALUE"""),0.7916666666642413)</f>
        <v>0.7916666667</v>
      </c>
      <c r="F1220" s="1" t="str">
        <f>IFERROR(__xludf.DUMMYFUNCTION("""COMPUTED_VALUE"""),"Diamond")</f>
        <v>Diamond</v>
      </c>
      <c r="G1220" s="1" t="str">
        <f>IFERROR(__xludf.DUMMYFUNCTION("""COMPUTED_VALUE"""),"Preeti")</f>
        <v>Preeti</v>
      </c>
      <c r="H1220" s="1" t="str">
        <f>IFERROR(__xludf.DUMMYFUNCTION("""COMPUTED_VALUE"""),"Diamond bracelet and polki earrings ")</f>
        <v>Diamond bracelet and polki earrings </v>
      </c>
      <c r="I1220" s="1"/>
      <c r="J1220" s="1"/>
      <c r="K1220" s="3">
        <f>IFERROR(__xludf.DUMMYFUNCTION("""COMPUTED_VALUE"""),0.8125)</f>
        <v>0.8125</v>
      </c>
      <c r="L1220" s="1" t="str">
        <f>IFERROR(__xludf.DUMMYFUNCTION("""COMPUTED_VALUE"""),"No")</f>
        <v>No</v>
      </c>
      <c r="M1220" s="1" t="str">
        <f>IFERROR(__xludf.DUMMYFUNCTION("""COMPUTED_VALUE"""),"Yes")</f>
        <v>Yes</v>
      </c>
      <c r="N1220" s="1" t="str">
        <f>IFERROR(__xludf.DUMMYFUNCTION("""COMPUTED_VALUE"""),"No")</f>
        <v>No</v>
      </c>
      <c r="O1220" s="1" t="str">
        <f>IFERROR(__xludf.DUMMYFUNCTION("""COMPUTED_VALUE"""),"WA ONLY")</f>
        <v>WA ONLY</v>
      </c>
      <c r="P1220" s="1" t="str">
        <f>IFERROR(__xludf.DUMMYFUNCTION("""COMPUTED_VALUE"""),"Madam")</f>
        <v>Madam</v>
      </c>
      <c r="Q1220" s="1" t="str">
        <f>IFERROR(__xludf.DUMMYFUNCTION("""COMPUTED_VALUE"""),"No")</f>
        <v>No</v>
      </c>
      <c r="R1220" s="1" t="str">
        <f>IFERROR(__xludf.DUMMYFUNCTION("""COMPUTED_VALUE"""),"OLD")</f>
        <v>OLD</v>
      </c>
      <c r="S1220" s="1" t="str">
        <f>IFERROR(__xludf.DUMMYFUNCTION("""COMPUTED_VALUE"""),"Yes")</f>
        <v>Yes</v>
      </c>
    </row>
    <row r="1221">
      <c r="A1221" s="2">
        <f>IFERROR(__xludf.DUMMYFUNCTION("""COMPUTED_VALUE"""),45875.75671771991)</f>
        <v>45875.75672</v>
      </c>
      <c r="B1221" s="1" t="str">
        <f>IFERROR(__xludf.DUMMYFUNCTION("""COMPUTED_VALUE"""),"Arti gaur")</f>
        <v>Arti gaur</v>
      </c>
      <c r="C1221" s="1">
        <f>IFERROR(__xludf.DUMMYFUNCTION("""COMPUTED_VALUE"""),2.0)</f>
        <v>2</v>
      </c>
      <c r="D1221" s="1">
        <f>IFERROR(__xludf.DUMMYFUNCTION("""COMPUTED_VALUE"""),9.868203875E9)</f>
        <v>9868203875</v>
      </c>
      <c r="E1221" s="3">
        <f>IFERROR(__xludf.DUMMYFUNCTION("""COMPUTED_VALUE"""),0.6840277777810115)</f>
        <v>0.6840277778</v>
      </c>
      <c r="F1221" s="1" t="str">
        <f>IFERROR(__xludf.DUMMYFUNCTION("""COMPUTED_VALUE"""),"Antique Gold")</f>
        <v>Antique Gold</v>
      </c>
      <c r="G1221" s="1" t="str">
        <f>IFERROR(__xludf.DUMMYFUNCTION("""COMPUTED_VALUE"""),"Sapna")</f>
        <v>Sapna</v>
      </c>
      <c r="H1221" s="1" t="str">
        <f>IFERROR(__xludf.DUMMYFUNCTION("""COMPUTED_VALUE"""),"Earrings ")</f>
        <v>Earrings </v>
      </c>
      <c r="I1221" s="1"/>
      <c r="J1221" s="1"/>
      <c r="K1221" s="3">
        <f>IFERROR(__xludf.DUMMYFUNCTION("""COMPUTED_VALUE"""),0.734722222223354)</f>
        <v>0.7347222222</v>
      </c>
      <c r="L1221" s="1" t="str">
        <f>IFERROR(__xludf.DUMMYFUNCTION("""COMPUTED_VALUE"""),"No")</f>
        <v>No</v>
      </c>
      <c r="M1221" s="1" t="str">
        <f>IFERROR(__xludf.DUMMYFUNCTION("""COMPUTED_VALUE"""),"Yes")</f>
        <v>Yes</v>
      </c>
      <c r="N1221" s="1" t="str">
        <f>IFERROR(__xludf.DUMMYFUNCTION("""COMPUTED_VALUE"""),"Yes")</f>
        <v>Yes</v>
      </c>
      <c r="O1221" s="1" t="str">
        <f>IFERROR(__xludf.DUMMYFUNCTION("""COMPUTED_VALUE"""),"WA ONLY, OWNER CONTACT ONLY")</f>
        <v>WA ONLY, OWNER CONTACT ONLY</v>
      </c>
      <c r="P1221" s="1" t="str">
        <f>IFERROR(__xludf.DUMMYFUNCTION("""COMPUTED_VALUE"""),"Bhabhi")</f>
        <v>Bhabhi</v>
      </c>
      <c r="Q1221" s="1" t="str">
        <f>IFERROR(__xludf.DUMMYFUNCTION("""COMPUTED_VALUE"""),"No")</f>
        <v>No</v>
      </c>
      <c r="R1221" s="1" t="str">
        <f>IFERROR(__xludf.DUMMYFUNCTION("""COMPUTED_VALUE"""),"OLD")</f>
        <v>OLD</v>
      </c>
      <c r="S1221" s="1" t="str">
        <f>IFERROR(__xludf.DUMMYFUNCTION("""COMPUTED_VALUE"""),"Yes")</f>
        <v>Yes</v>
      </c>
    </row>
    <row r="1222">
      <c r="A1222" s="2">
        <f>IFERROR(__xludf.DUMMYFUNCTION("""COMPUTED_VALUE"""),45876.58301149306)</f>
        <v>45876.58301</v>
      </c>
      <c r="B1222" s="1" t="str">
        <f>IFERROR(__xludf.DUMMYFUNCTION("""COMPUTED_VALUE"""),"Akshay Bhatnagar ji")</f>
        <v>Akshay Bhatnagar ji</v>
      </c>
      <c r="C1222" s="1">
        <f>IFERROR(__xludf.DUMMYFUNCTION("""COMPUTED_VALUE"""),9.899199723E9)</f>
        <v>9899199723</v>
      </c>
      <c r="D1222" s="1">
        <f>IFERROR(__xludf.DUMMYFUNCTION("""COMPUTED_VALUE"""),1.0)</f>
        <v>1</v>
      </c>
      <c r="E1222" s="3">
        <f>IFERROR(__xludf.DUMMYFUNCTION("""COMPUTED_VALUE"""),0.5250000000014552)</f>
        <v>0.525</v>
      </c>
      <c r="F1222" s="1" t="str">
        <f>IFERROR(__xludf.DUMMYFUNCTION("""COMPUTED_VALUE"""),"Plain Gold")</f>
        <v>Plain Gold</v>
      </c>
      <c r="G1222" s="1" t="str">
        <f>IFERROR(__xludf.DUMMYFUNCTION("""COMPUTED_VALUE"""),"Sapna")</f>
        <v>Sapna</v>
      </c>
      <c r="H1222" s="1" t="str">
        <f>IFERROR(__xludf.DUMMYFUNCTION("""COMPUTED_VALUE"""),"Chain ")</f>
        <v>Chain </v>
      </c>
      <c r="I1222" s="1"/>
      <c r="J1222" s="1"/>
      <c r="K1222" s="3">
        <f>IFERROR(__xludf.DUMMYFUNCTION("""COMPUTED_VALUE"""),0.5604166666671517)</f>
        <v>0.5604166667</v>
      </c>
      <c r="L1222" s="1" t="str">
        <f>IFERROR(__xludf.DUMMYFUNCTION("""COMPUTED_VALUE"""),"No")</f>
        <v>No</v>
      </c>
      <c r="M1222" s="1" t="str">
        <f>IFERROR(__xludf.DUMMYFUNCTION("""COMPUTED_VALUE"""),"Yes")</f>
        <v>Yes</v>
      </c>
      <c r="N1222" s="1" t="str">
        <f>IFERROR(__xludf.DUMMYFUNCTION("""COMPUTED_VALUE"""),"No")</f>
        <v>No</v>
      </c>
      <c r="O1222" s="1" t="str">
        <f>IFERROR(__xludf.DUMMYFUNCTION("""COMPUTED_VALUE"""),"WA ONLY")</f>
        <v>WA ONLY</v>
      </c>
      <c r="P1222" s="1" t="str">
        <f>IFERROR(__xludf.DUMMYFUNCTION("""COMPUTED_VALUE"""),"Sir")</f>
        <v>Sir</v>
      </c>
      <c r="Q1222" s="1" t="str">
        <f>IFERROR(__xludf.DUMMYFUNCTION("""COMPUTED_VALUE"""),"No")</f>
        <v>No</v>
      </c>
      <c r="R1222" s="1" t="str">
        <f>IFERROR(__xludf.DUMMYFUNCTION("""COMPUTED_VALUE"""),"NEW WALK IN")</f>
        <v>NEW WALK IN</v>
      </c>
      <c r="S1222" s="1" t="str">
        <f>IFERROR(__xludf.DUMMYFUNCTION("""COMPUTED_VALUE"""),"Yes")</f>
        <v>Yes</v>
      </c>
    </row>
    <row r="1223">
      <c r="A1223" s="2">
        <f>IFERROR(__xludf.DUMMYFUNCTION("""COMPUTED_VALUE"""),45876.61642340278)</f>
        <v>45876.61642</v>
      </c>
      <c r="B1223" s="1" t="str">
        <f>IFERROR(__xludf.DUMMYFUNCTION("""COMPUTED_VALUE"""),"Pankhuri ji")</f>
        <v>Pankhuri ji</v>
      </c>
      <c r="C1223" s="1">
        <f>IFERROR(__xludf.DUMMYFUNCTION("""COMPUTED_VALUE"""),9.796222585E9)</f>
        <v>9796222585</v>
      </c>
      <c r="D1223" s="1">
        <f>IFERROR(__xludf.DUMMYFUNCTION("""COMPUTED_VALUE"""),4.0)</f>
        <v>4</v>
      </c>
      <c r="E1223" s="3">
        <f>IFERROR(__xludf.DUMMYFUNCTION("""COMPUTED_VALUE"""),0.5138888888905058)</f>
        <v>0.5138888889</v>
      </c>
      <c r="F1223" s="1" t="str">
        <f>IFERROR(__xludf.DUMMYFUNCTION("""COMPUTED_VALUE"""),"Diamond")</f>
        <v>Diamond</v>
      </c>
      <c r="G1223" s="1" t="str">
        <f>IFERROR(__xludf.DUMMYFUNCTION("""COMPUTED_VALUE"""),"Preeti")</f>
        <v>Preeti</v>
      </c>
      <c r="H1223" s="1" t="str">
        <f>IFERROR(__xludf.DUMMYFUNCTION("""COMPUTED_VALUE"""),"Necklaces ")</f>
        <v>Necklaces </v>
      </c>
      <c r="I1223" s="1"/>
      <c r="J1223" s="1"/>
      <c r="K1223" s="3">
        <f>IFERROR(__xludf.DUMMYFUNCTION("""COMPUTED_VALUE"""),0.5798611111094942)</f>
        <v>0.5798611111</v>
      </c>
      <c r="L1223" s="1" t="str">
        <f>IFERROR(__xludf.DUMMYFUNCTION("""COMPUTED_VALUE"""),"No")</f>
        <v>No</v>
      </c>
      <c r="M1223" s="1" t="str">
        <f>IFERROR(__xludf.DUMMYFUNCTION("""COMPUTED_VALUE"""),"No")</f>
        <v>No</v>
      </c>
      <c r="N1223" s="1" t="str">
        <f>IFERROR(__xludf.DUMMYFUNCTION("""COMPUTED_VALUE"""),"No")</f>
        <v>No</v>
      </c>
      <c r="O1223" s="1" t="str">
        <f>IFERROR(__xludf.DUMMYFUNCTION("""COMPUTED_VALUE"""),"WA ONLY, OWNER CONTACT ONLY")</f>
        <v>WA ONLY, OWNER CONTACT ONLY</v>
      </c>
      <c r="P1223" s="1" t="str">
        <f>IFERROR(__xludf.DUMMYFUNCTION("""COMPUTED_VALUE"""),"Madam")</f>
        <v>Madam</v>
      </c>
      <c r="Q1223" s="1" t="str">
        <f>IFERROR(__xludf.DUMMYFUNCTION("""COMPUTED_VALUE"""),"No")</f>
        <v>No</v>
      </c>
      <c r="R1223" s="1" t="str">
        <f>IFERROR(__xludf.DUMMYFUNCTION("""COMPUTED_VALUE"""),"OLD")</f>
        <v>OLD</v>
      </c>
      <c r="S1223" s="1" t="str">
        <f>IFERROR(__xludf.DUMMYFUNCTION("""COMPUTED_VALUE"""),"Yes")</f>
        <v>Yes</v>
      </c>
    </row>
    <row r="1224">
      <c r="A1224" s="2">
        <f>IFERROR(__xludf.DUMMYFUNCTION("""COMPUTED_VALUE"""),45876.742764560186)</f>
        <v>45876.74276</v>
      </c>
      <c r="B1224" s="1" t="str">
        <f>IFERROR(__xludf.DUMMYFUNCTION("""COMPUTED_VALUE"""),"Pushpa Kashyap ji")</f>
        <v>Pushpa Kashyap ji</v>
      </c>
      <c r="C1224" s="1">
        <f>IFERROR(__xludf.DUMMYFUNCTION("""COMPUTED_VALUE"""),7.065703296E9)</f>
        <v>7065703296</v>
      </c>
      <c r="D1224" s="1">
        <f>IFERROR(__xludf.DUMMYFUNCTION("""COMPUTED_VALUE"""),2.0)</f>
        <v>2</v>
      </c>
      <c r="E1224" s="3">
        <f>IFERROR(__xludf.DUMMYFUNCTION("""COMPUTED_VALUE"""),0.7083333333357587)</f>
        <v>0.7083333333</v>
      </c>
      <c r="F1224" s="1" t="str">
        <f>IFERROR(__xludf.DUMMYFUNCTION("""COMPUTED_VALUE"""),"Plain Gold")</f>
        <v>Plain Gold</v>
      </c>
      <c r="G1224" s="1" t="str">
        <f>IFERROR(__xludf.DUMMYFUNCTION("""COMPUTED_VALUE"""),"Sapna")</f>
        <v>Sapna</v>
      </c>
      <c r="H1224" s="1" t="str">
        <f>IFERROR(__xludf.DUMMYFUNCTION("""COMPUTED_VALUE"""),"Earrings ")</f>
        <v>Earrings </v>
      </c>
      <c r="I1224" s="1"/>
      <c r="J1224" s="1"/>
      <c r="K1224" s="3">
        <f>IFERROR(__xludf.DUMMYFUNCTION("""COMPUTED_VALUE"""),0.75)</f>
        <v>0.75</v>
      </c>
      <c r="L1224" s="1" t="str">
        <f>IFERROR(__xludf.DUMMYFUNCTION("""COMPUTED_VALUE"""),"No")</f>
        <v>No</v>
      </c>
      <c r="M1224" s="1" t="str">
        <f>IFERROR(__xludf.DUMMYFUNCTION("""COMPUTED_VALUE"""),"Yes")</f>
        <v>Yes</v>
      </c>
      <c r="N1224" s="1" t="str">
        <f>IFERROR(__xludf.DUMMYFUNCTION("""COMPUTED_VALUE"""),"No")</f>
        <v>No</v>
      </c>
      <c r="O1224" s="1" t="str">
        <f>IFERROR(__xludf.DUMMYFUNCTION("""COMPUTED_VALUE"""),"WA ONLY")</f>
        <v>WA ONLY</v>
      </c>
      <c r="P1224" s="1" t="str">
        <f>IFERROR(__xludf.DUMMYFUNCTION("""COMPUTED_VALUE"""),"Madam")</f>
        <v>Madam</v>
      </c>
      <c r="Q1224" s="1" t="str">
        <f>IFERROR(__xludf.DUMMYFUNCTION("""COMPUTED_VALUE"""),"No")</f>
        <v>No</v>
      </c>
      <c r="R1224" s="1" t="str">
        <f>IFERROR(__xludf.DUMMYFUNCTION("""COMPUTED_VALUE"""),"NEW WALK IN")</f>
        <v>NEW WALK IN</v>
      </c>
      <c r="S1224" s="1" t="str">
        <f>IFERROR(__xludf.DUMMYFUNCTION("""COMPUTED_VALUE"""),"Yes")</f>
        <v>Yes</v>
      </c>
    </row>
    <row r="1225">
      <c r="A1225" s="2">
        <f>IFERROR(__xludf.DUMMYFUNCTION("""COMPUTED_VALUE"""),45883.77998018518)</f>
        <v>45883.77998</v>
      </c>
      <c r="B1225" s="1" t="str">
        <f>IFERROR(__xludf.DUMMYFUNCTION("""COMPUTED_VALUE"""),"Md kesar khan")</f>
        <v>Md kesar khan</v>
      </c>
      <c r="C1225" s="1">
        <f>IFERROR(__xludf.DUMMYFUNCTION("""COMPUTED_VALUE"""),9.999728283E9)</f>
        <v>9999728283</v>
      </c>
      <c r="D1225" s="1">
        <f>IFERROR(__xludf.DUMMYFUNCTION("""COMPUTED_VALUE"""),2.0)</f>
        <v>2</v>
      </c>
      <c r="E1225" s="3">
        <f>IFERROR(__xludf.DUMMYFUNCTION("""COMPUTED_VALUE"""),0.5520833333357587)</f>
        <v>0.5520833333</v>
      </c>
      <c r="F1225" s="1" t="str">
        <f>IFERROR(__xludf.DUMMYFUNCTION("""COMPUTED_VALUE"""),"Silver Items")</f>
        <v>Silver Items</v>
      </c>
      <c r="G1225" s="1"/>
      <c r="H1225" s="1" t="str">
        <f>IFERROR(__xludf.DUMMYFUNCTION("""COMPUTED_VALUE"""),"Anklets ")</f>
        <v>Anklets </v>
      </c>
      <c r="I1225" s="1" t="str">
        <f>IFERROR(__xludf.DUMMYFUNCTION("""COMPUTED_VALUE"""),"Designs Not Liked")</f>
        <v>Designs Not Liked</v>
      </c>
      <c r="J1225" s="1"/>
      <c r="K1225" s="3">
        <f>IFERROR(__xludf.DUMMYFUNCTION("""COMPUTED_VALUE"""),0.625)</f>
        <v>0.625</v>
      </c>
      <c r="L1225" s="1" t="str">
        <f>IFERROR(__xludf.DUMMYFUNCTION("""COMPUTED_VALUE"""),"No")</f>
        <v>No</v>
      </c>
      <c r="M1225" s="1" t="str">
        <f>IFERROR(__xludf.DUMMYFUNCTION("""COMPUTED_VALUE"""),"No")</f>
        <v>No</v>
      </c>
      <c r="N1225" s="1" t="str">
        <f>IFERROR(__xludf.DUMMYFUNCTION("""COMPUTED_VALUE"""),"No")</f>
        <v>No</v>
      </c>
      <c r="O1225" s="1" t="str">
        <f>IFERROR(__xludf.DUMMYFUNCTION("""COMPUTED_VALUE"""),"WA ONLY, OWNER CONTACT ONLY")</f>
        <v>WA ONLY, OWNER CONTACT ONLY</v>
      </c>
      <c r="P1225" s="1" t="str">
        <f>IFERROR(__xludf.DUMMYFUNCTION("""COMPUTED_VALUE"""),"Sir")</f>
        <v>Sir</v>
      </c>
      <c r="Q1225" s="1" t="str">
        <f>IFERROR(__xludf.DUMMYFUNCTION("""COMPUTED_VALUE"""),"No")</f>
        <v>No</v>
      </c>
      <c r="R1225" s="1" t="str">
        <f>IFERROR(__xludf.DUMMYFUNCTION("""COMPUTED_VALUE"""),"OLD")</f>
        <v>OLD</v>
      </c>
      <c r="S1225" s="1" t="str">
        <f>IFERROR(__xludf.DUMMYFUNCTION("""COMPUTED_VALUE"""),"No")</f>
        <v>No</v>
      </c>
    </row>
    <row r="1226">
      <c r="A1226" s="2">
        <f>IFERROR(__xludf.DUMMYFUNCTION("""COMPUTED_VALUE"""),45883.781389386575)</f>
        <v>45883.78139</v>
      </c>
      <c r="B1226" s="1" t="str">
        <f>IFERROR(__xludf.DUMMYFUNCTION("""COMPUTED_VALUE"""),"Shahista khan mam")</f>
        <v>Shahista khan mam</v>
      </c>
      <c r="C1226" s="1">
        <f>IFERROR(__xludf.DUMMYFUNCTION("""COMPUTED_VALUE"""),8.860741616E9)</f>
        <v>8860741616</v>
      </c>
      <c r="D1226" s="1">
        <f>IFERROR(__xludf.DUMMYFUNCTION("""COMPUTED_VALUE"""),1.0)</f>
        <v>1</v>
      </c>
      <c r="E1226" s="3">
        <f>IFERROR(__xludf.DUMMYFUNCTION("""COMPUTED_VALUE"""),0.5)</f>
        <v>0.5</v>
      </c>
      <c r="F1226" s="1" t="str">
        <f>IFERROR(__xludf.DUMMYFUNCTION("""COMPUTED_VALUE"""),"Silver Items")</f>
        <v>Silver Items</v>
      </c>
      <c r="G1226" s="1"/>
      <c r="H1226" s="1" t="str">
        <f>IFERROR(__xludf.DUMMYFUNCTION("""COMPUTED_VALUE"""),"Earrings bands")</f>
        <v>Earrings bands</v>
      </c>
      <c r="I1226" s="1"/>
      <c r="J1226" s="1"/>
      <c r="K1226" s="3">
        <f>IFERROR(__xludf.DUMMYFUNCTION("""COMPUTED_VALUE"""),0.6354166666642413)</f>
        <v>0.6354166667</v>
      </c>
      <c r="L1226" s="1" t="str">
        <f>IFERROR(__xludf.DUMMYFUNCTION("""COMPUTED_VALUE"""),"No")</f>
        <v>No</v>
      </c>
      <c r="M1226" s="1" t="str">
        <f>IFERROR(__xludf.DUMMYFUNCTION("""COMPUTED_VALUE"""),"Already done")</f>
        <v>Already done</v>
      </c>
      <c r="N1226" s="1" t="str">
        <f>IFERROR(__xludf.DUMMYFUNCTION("""COMPUTED_VALUE"""),"Already done")</f>
        <v>Already done</v>
      </c>
      <c r="O1226" s="1" t="str">
        <f>IFERROR(__xludf.DUMMYFUNCTION("""COMPUTED_VALUE"""),"WA ONLY, OWNER CONTACT ONLY")</f>
        <v>WA ONLY, OWNER CONTACT ONLY</v>
      </c>
      <c r="P1226" s="1" t="str">
        <f>IFERROR(__xludf.DUMMYFUNCTION("""COMPUTED_VALUE"""),"Madam")</f>
        <v>Madam</v>
      </c>
      <c r="Q1226" s="1" t="str">
        <f>IFERROR(__xludf.DUMMYFUNCTION("""COMPUTED_VALUE"""),"No")</f>
        <v>No</v>
      </c>
      <c r="R1226" s="1" t="str">
        <f>IFERROR(__xludf.DUMMYFUNCTION("""COMPUTED_VALUE"""),"OLD")</f>
        <v>OLD</v>
      </c>
      <c r="S1226" s="1" t="str">
        <f>IFERROR(__xludf.DUMMYFUNCTION("""COMPUTED_VALUE"""),"Yes")</f>
        <v>Yes</v>
      </c>
    </row>
    <row r="1227">
      <c r="A1227" s="2">
        <f>IFERROR(__xludf.DUMMYFUNCTION("""COMPUTED_VALUE"""),45883.78479805555)</f>
        <v>45883.7848</v>
      </c>
      <c r="B1227" s="1" t="str">
        <f>IFERROR(__xludf.DUMMYFUNCTION("""COMPUTED_VALUE"""),"Ankit bansal ji")</f>
        <v>Ankit bansal ji</v>
      </c>
      <c r="C1227" s="1">
        <f>IFERROR(__xludf.DUMMYFUNCTION("""COMPUTED_VALUE"""),9.650119669E9)</f>
        <v>9650119669</v>
      </c>
      <c r="D1227" s="1">
        <f>IFERROR(__xludf.DUMMYFUNCTION("""COMPUTED_VALUE"""),1.0)</f>
        <v>1</v>
      </c>
      <c r="E1227" s="3">
        <f>IFERROR(__xludf.DUMMYFUNCTION("""COMPUTED_VALUE"""),0.5208333333357587)</f>
        <v>0.5208333333</v>
      </c>
      <c r="F1227" s="1" t="str">
        <f>IFERROR(__xludf.DUMMYFUNCTION("""COMPUTED_VALUE"""),"Diamond")</f>
        <v>Diamond</v>
      </c>
      <c r="G1227" s="1" t="str">
        <f>IFERROR(__xludf.DUMMYFUNCTION("""COMPUTED_VALUE"""),"Preeti")</f>
        <v>Preeti</v>
      </c>
      <c r="H1227" s="1"/>
      <c r="I1227" s="1" t="str">
        <f>IFERROR(__xludf.DUMMYFUNCTION("""COMPUTED_VALUE"""),"For repair")</f>
        <v>For repair</v>
      </c>
      <c r="J1227" s="1"/>
      <c r="K1227" s="3">
        <f>IFERROR(__xludf.DUMMYFUNCTION("""COMPUTED_VALUE"""),0.5625)</f>
        <v>0.5625</v>
      </c>
      <c r="L1227" s="1" t="str">
        <f>IFERROR(__xludf.DUMMYFUNCTION("""COMPUTED_VALUE"""),"No")</f>
        <v>No</v>
      </c>
      <c r="M1227" s="1" t="str">
        <f>IFERROR(__xludf.DUMMYFUNCTION("""COMPUTED_VALUE"""),"Already done")</f>
        <v>Already done</v>
      </c>
      <c r="N1227" s="1" t="str">
        <f>IFERROR(__xludf.DUMMYFUNCTION("""COMPUTED_VALUE"""),"Already done ")</f>
        <v>Already done </v>
      </c>
      <c r="O1227" s="1" t="str">
        <f>IFERROR(__xludf.DUMMYFUNCTION("""COMPUTED_VALUE"""),"WA ONLY, OWNER CONTACT ONLY")</f>
        <v>WA ONLY, OWNER CONTACT ONLY</v>
      </c>
      <c r="P1227" s="1" t="str">
        <f>IFERROR(__xludf.DUMMYFUNCTION("""COMPUTED_VALUE"""),"Sir")</f>
        <v>Sir</v>
      </c>
      <c r="Q1227" s="1" t="str">
        <f>IFERROR(__xludf.DUMMYFUNCTION("""COMPUTED_VALUE"""),"No")</f>
        <v>No</v>
      </c>
      <c r="R1227" s="1" t="str">
        <f>IFERROR(__xludf.DUMMYFUNCTION("""COMPUTED_VALUE"""),"OLD")</f>
        <v>OLD</v>
      </c>
      <c r="S1227" s="1" t="str">
        <f>IFERROR(__xludf.DUMMYFUNCTION("""COMPUTED_VALUE"""),"No")</f>
        <v>No</v>
      </c>
    </row>
    <row r="1228">
      <c r="A1228" s="2">
        <f>IFERROR(__xludf.DUMMYFUNCTION("""COMPUTED_VALUE"""),45883.78626631944)</f>
        <v>45883.78627</v>
      </c>
      <c r="B1228" s="1" t="str">
        <f>IFERROR(__xludf.DUMMYFUNCTION("""COMPUTED_VALUE"""),"Raj chopra ji")</f>
        <v>Raj chopra ji</v>
      </c>
      <c r="C1228" s="1">
        <f>IFERROR(__xludf.DUMMYFUNCTION("""COMPUTED_VALUE"""),8.076242906E9)</f>
        <v>8076242906</v>
      </c>
      <c r="D1228" s="1">
        <f>IFERROR(__xludf.DUMMYFUNCTION("""COMPUTED_VALUE"""),1.0)</f>
        <v>1</v>
      </c>
      <c r="E1228" s="3">
        <f>IFERROR(__xludf.DUMMYFUNCTION("""COMPUTED_VALUE"""),0.6041666666642413)</f>
        <v>0.6041666667</v>
      </c>
      <c r="F1228" s="1" t="str">
        <f>IFERROR(__xludf.DUMMYFUNCTION("""COMPUTED_VALUE"""),"Silver Items")</f>
        <v>Silver Items</v>
      </c>
      <c r="G1228" s="1"/>
      <c r="H1228" s="1"/>
      <c r="I1228" s="1" t="str">
        <f>IFERROR(__xludf.DUMMYFUNCTION("""COMPUTED_VALUE"""),"Want to see More Variety")</f>
        <v>Want to see More Variety</v>
      </c>
      <c r="J1228" s="1"/>
      <c r="K1228" s="3">
        <f>IFERROR(__xludf.DUMMYFUNCTION("""COMPUTED_VALUE"""),0.6666666666642413)</f>
        <v>0.6666666667</v>
      </c>
      <c r="L1228" s="1" t="str">
        <f>IFERROR(__xludf.DUMMYFUNCTION("""COMPUTED_VALUE"""),"No")</f>
        <v>No</v>
      </c>
      <c r="M1228" s="1" t="str">
        <f>IFERROR(__xludf.DUMMYFUNCTION("""COMPUTED_VALUE"""),"No")</f>
        <v>No</v>
      </c>
      <c r="N1228" s="1" t="str">
        <f>IFERROR(__xludf.DUMMYFUNCTION("""COMPUTED_VALUE"""),"No")</f>
        <v>No</v>
      </c>
      <c r="O1228" s="1" t="str">
        <f>IFERROR(__xludf.DUMMYFUNCTION("""COMPUTED_VALUE"""),"WA ONLY")</f>
        <v>WA ONLY</v>
      </c>
      <c r="P1228" s="1" t="str">
        <f>IFERROR(__xludf.DUMMYFUNCTION("""COMPUTED_VALUE"""),"Sir")</f>
        <v>Sir</v>
      </c>
      <c r="Q1228" s="1" t="str">
        <f>IFERROR(__xludf.DUMMYFUNCTION("""COMPUTED_VALUE"""),"No")</f>
        <v>No</v>
      </c>
      <c r="R1228" s="1" t="str">
        <f>IFERROR(__xludf.DUMMYFUNCTION("""COMPUTED_VALUE"""),"OLD")</f>
        <v>OLD</v>
      </c>
      <c r="S1228" s="1" t="str">
        <f>IFERROR(__xludf.DUMMYFUNCTION("""COMPUTED_VALUE"""),"No")</f>
        <v>No</v>
      </c>
    </row>
    <row r="1229">
      <c r="A1229" s="2">
        <f>IFERROR(__xludf.DUMMYFUNCTION("""COMPUTED_VALUE"""),45883.7896074537)</f>
        <v>45883.78961</v>
      </c>
      <c r="B1229" s="1" t="str">
        <f>IFERROR(__xludf.DUMMYFUNCTION("""COMPUTED_VALUE"""),"Deepak bansal ji")</f>
        <v>Deepak bansal ji</v>
      </c>
      <c r="C1229" s="1">
        <f>IFERROR(__xludf.DUMMYFUNCTION("""COMPUTED_VALUE"""),9.560540676E9)</f>
        <v>9560540676</v>
      </c>
      <c r="D1229" s="1">
        <f>IFERROR(__xludf.DUMMYFUNCTION("""COMPUTED_VALUE"""),6.0)</f>
        <v>6</v>
      </c>
      <c r="E1229" s="3">
        <f>IFERROR(__xludf.DUMMYFUNCTION("""COMPUTED_VALUE"""),0.48958333333575865)</f>
        <v>0.4895833333</v>
      </c>
      <c r="F1229" s="1" t="str">
        <f>IFERROR(__xludf.DUMMYFUNCTION("""COMPUTED_VALUE"""),"Plain Gold")</f>
        <v>Plain Gold</v>
      </c>
      <c r="G1229" s="1" t="str">
        <f>IFERROR(__xludf.DUMMYFUNCTION("""COMPUTED_VALUE"""),"Sapna")</f>
        <v>Sapna</v>
      </c>
      <c r="H1229" s="1" t="str">
        <f>IFERROR(__xludf.DUMMYFUNCTION("""COMPUTED_VALUE"""),"Gold sets, ring, tops, ginni")</f>
        <v>Gold sets, ring, tops, ginni</v>
      </c>
      <c r="I1229" s="1"/>
      <c r="J1229" s="1"/>
      <c r="K1229" s="3">
        <f>IFERROR(__xludf.DUMMYFUNCTION("""COMPUTED_VALUE"""),0.7083333333357587)</f>
        <v>0.7083333333</v>
      </c>
      <c r="L1229" s="1" t="str">
        <f>IFERROR(__xludf.DUMMYFUNCTION("""COMPUTED_VALUE"""),"No")</f>
        <v>No</v>
      </c>
      <c r="M1229" s="1" t="str">
        <f>IFERROR(__xludf.DUMMYFUNCTION("""COMPUTED_VALUE"""),"Already done ")</f>
        <v>Already done </v>
      </c>
      <c r="N1229" s="1" t="str">
        <f>IFERROR(__xludf.DUMMYFUNCTION("""COMPUTED_VALUE"""),"Already done ")</f>
        <v>Already done </v>
      </c>
      <c r="O1229" s="1" t="str">
        <f>IFERROR(__xludf.DUMMYFUNCTION("""COMPUTED_VALUE"""),"WA ONLY")</f>
        <v>WA ONLY</v>
      </c>
      <c r="P1229" s="1" t="str">
        <f>IFERROR(__xludf.DUMMYFUNCTION("""COMPUTED_VALUE"""),"Sir")</f>
        <v>Sir</v>
      </c>
      <c r="Q1229" s="1" t="str">
        <f>IFERROR(__xludf.DUMMYFUNCTION("""COMPUTED_VALUE"""),"No")</f>
        <v>No</v>
      </c>
      <c r="R1229" s="1" t="str">
        <f>IFERROR(__xludf.DUMMYFUNCTION("""COMPUTED_VALUE"""),"OLD")</f>
        <v>OLD</v>
      </c>
      <c r="S1229" s="1" t="str">
        <f>IFERROR(__xludf.DUMMYFUNCTION("""COMPUTED_VALUE"""),"Yes")</f>
        <v>Yes</v>
      </c>
    </row>
    <row r="1230">
      <c r="A1230" s="2">
        <f>IFERROR(__xludf.DUMMYFUNCTION("""COMPUTED_VALUE"""),45883.791210254625)</f>
        <v>45883.79121</v>
      </c>
      <c r="B1230" s="1" t="str">
        <f>IFERROR(__xludf.DUMMYFUNCTION("""COMPUTED_VALUE"""),"Neeru ji")</f>
        <v>Neeru ji</v>
      </c>
      <c r="C1230" s="1">
        <f>IFERROR(__xludf.DUMMYFUNCTION("""COMPUTED_VALUE"""),8.00503827E8)</f>
        <v>800503827</v>
      </c>
      <c r="D1230" s="1">
        <f>IFERROR(__xludf.DUMMYFUNCTION("""COMPUTED_VALUE"""),1.0)</f>
        <v>1</v>
      </c>
      <c r="E1230" s="3">
        <f>IFERROR(__xludf.DUMMYFUNCTION("""COMPUTED_VALUE"""),0.5833333333357587)</f>
        <v>0.5833333333</v>
      </c>
      <c r="F1230" s="1" t="str">
        <f>IFERROR(__xludf.DUMMYFUNCTION("""COMPUTED_VALUE"""),"Plain Gold")</f>
        <v>Plain Gold</v>
      </c>
      <c r="G1230" s="1" t="str">
        <f>IFERROR(__xludf.DUMMYFUNCTION("""COMPUTED_VALUE"""),"Sapna")</f>
        <v>Sapna</v>
      </c>
      <c r="H1230" s="1" t="str">
        <f>IFERROR(__xludf.DUMMYFUNCTION("""COMPUTED_VALUE"""),"Bangles")</f>
        <v>Bangles</v>
      </c>
      <c r="I1230" s="1" t="str">
        <f>IFERROR(__xludf.DUMMYFUNCTION("""COMPUTED_VALUE"""),"Ordered bangles")</f>
        <v>Ordered bangles</v>
      </c>
      <c r="J1230" s="1"/>
      <c r="K1230" s="3">
        <f>IFERROR(__xludf.DUMMYFUNCTION("""COMPUTED_VALUE"""),0.6118055555562023)</f>
        <v>0.6118055556</v>
      </c>
      <c r="L1230" s="1" t="str">
        <f>IFERROR(__xludf.DUMMYFUNCTION("""COMPUTED_VALUE"""),"No")</f>
        <v>No</v>
      </c>
      <c r="M1230" s="1" t="str">
        <f>IFERROR(__xludf.DUMMYFUNCTION("""COMPUTED_VALUE"""),"No")</f>
        <v>No</v>
      </c>
      <c r="N1230" s="1" t="str">
        <f>IFERROR(__xludf.DUMMYFUNCTION("""COMPUTED_VALUE"""),"No")</f>
        <v>No</v>
      </c>
      <c r="O1230" s="1" t="str">
        <f>IFERROR(__xludf.DUMMYFUNCTION("""COMPUTED_VALUE"""),"WA ONLY")</f>
        <v>WA ONLY</v>
      </c>
      <c r="P1230" s="1" t="str">
        <f>IFERROR(__xludf.DUMMYFUNCTION("""COMPUTED_VALUE"""),"Madam")</f>
        <v>Madam</v>
      </c>
      <c r="Q1230" s="1" t="str">
        <f>IFERROR(__xludf.DUMMYFUNCTION("""COMPUTED_VALUE"""),"No")</f>
        <v>No</v>
      </c>
      <c r="R1230" s="1" t="str">
        <f>IFERROR(__xludf.DUMMYFUNCTION("""COMPUTED_VALUE"""),"NEW WALK IN")</f>
        <v>NEW WALK IN</v>
      </c>
      <c r="S1230" s="1" t="str">
        <f>IFERROR(__xludf.DUMMYFUNCTION("""COMPUTED_VALUE"""),"No")</f>
        <v>No</v>
      </c>
    </row>
    <row r="1231">
      <c r="A1231" s="2">
        <f>IFERROR(__xludf.DUMMYFUNCTION("""COMPUTED_VALUE"""),45883.79246642361)</f>
        <v>45883.79247</v>
      </c>
      <c r="B1231" s="1" t="str">
        <f>IFERROR(__xludf.DUMMYFUNCTION("""COMPUTED_VALUE"""),"Neeraj ji")</f>
        <v>Neeraj ji</v>
      </c>
      <c r="C1231" s="1">
        <f>IFERROR(__xludf.DUMMYFUNCTION("""COMPUTED_VALUE"""),9.711816444E9)</f>
        <v>9711816444</v>
      </c>
      <c r="D1231" s="1">
        <f>IFERROR(__xludf.DUMMYFUNCTION("""COMPUTED_VALUE"""),4.0)</f>
        <v>4</v>
      </c>
      <c r="E1231" s="3">
        <f>IFERROR(__xludf.DUMMYFUNCTION("""COMPUTED_VALUE"""),0.59375)</f>
        <v>0.59375</v>
      </c>
      <c r="F1231" s="1" t="str">
        <f>IFERROR(__xludf.DUMMYFUNCTION("""COMPUTED_VALUE"""),"Silver Items")</f>
        <v>Silver Items</v>
      </c>
      <c r="G1231" s="1"/>
      <c r="H1231" s="1" t="str">
        <f>IFERROR(__xludf.DUMMYFUNCTION("""COMPUTED_VALUE"""),"Tops and gift items")</f>
        <v>Tops and gift items</v>
      </c>
      <c r="I1231" s="1"/>
      <c r="J1231" s="1"/>
      <c r="K1231" s="3">
        <f>IFERROR(__xludf.DUMMYFUNCTION("""COMPUTED_VALUE"""),0.6666666666642413)</f>
        <v>0.6666666667</v>
      </c>
      <c r="L1231" s="1" t="str">
        <f>IFERROR(__xludf.DUMMYFUNCTION("""COMPUTED_VALUE"""),"Yes")</f>
        <v>Yes</v>
      </c>
      <c r="M1231" s="1" t="str">
        <f>IFERROR(__xludf.DUMMYFUNCTION("""COMPUTED_VALUE"""),"Yes")</f>
        <v>Yes</v>
      </c>
      <c r="N1231" s="1" t="str">
        <f>IFERROR(__xludf.DUMMYFUNCTION("""COMPUTED_VALUE"""),"Yes")</f>
        <v>Yes</v>
      </c>
      <c r="O1231" s="1" t="str">
        <f>IFERROR(__xludf.DUMMYFUNCTION("""COMPUTED_VALUE"""),"WA ONLY, OWNER CONTACT ONLY")</f>
        <v>WA ONLY, OWNER CONTACT ONLY</v>
      </c>
      <c r="P1231" s="1" t="str">
        <f>IFERROR(__xludf.DUMMYFUNCTION("""COMPUTED_VALUE"""),"Sir")</f>
        <v>Sir</v>
      </c>
      <c r="Q1231" s="1" t="str">
        <f>IFERROR(__xludf.DUMMYFUNCTION("""COMPUTED_VALUE"""),"No")</f>
        <v>No</v>
      </c>
      <c r="R1231" s="1" t="str">
        <f>IFERROR(__xludf.DUMMYFUNCTION("""COMPUTED_VALUE"""),"OLD")</f>
        <v>OLD</v>
      </c>
      <c r="S1231" s="1" t="str">
        <f>IFERROR(__xludf.DUMMYFUNCTION("""COMPUTED_VALUE"""),"Yes")</f>
        <v>Yes</v>
      </c>
    </row>
    <row r="1232">
      <c r="A1232" s="2">
        <f>IFERROR(__xludf.DUMMYFUNCTION("""COMPUTED_VALUE"""),45883.79630396991)</f>
        <v>45883.7963</v>
      </c>
      <c r="B1232" s="1" t="str">
        <f>IFERROR(__xludf.DUMMYFUNCTION("""COMPUTED_VALUE"""),"Rachit Khandelwal ")</f>
        <v>Rachit Khandelwal </v>
      </c>
      <c r="C1232" s="1">
        <f>IFERROR(__xludf.DUMMYFUNCTION("""COMPUTED_VALUE"""),9.953063597E9)</f>
        <v>9953063597</v>
      </c>
      <c r="D1232" s="1">
        <f>IFERROR(__xludf.DUMMYFUNCTION("""COMPUTED_VALUE"""),4.0)</f>
        <v>4</v>
      </c>
      <c r="E1232" s="3">
        <f>IFERROR(__xludf.DUMMYFUNCTION("""COMPUTED_VALUE"""),0.6666666666642413)</f>
        <v>0.6666666667</v>
      </c>
      <c r="F1232" s="1" t="str">
        <f>IFERROR(__xludf.DUMMYFUNCTION("""COMPUTED_VALUE"""),"Plain Gold")</f>
        <v>Plain Gold</v>
      </c>
      <c r="G1232" s="1" t="str">
        <f>IFERROR(__xludf.DUMMYFUNCTION("""COMPUTED_VALUE"""),"Sapna")</f>
        <v>Sapna</v>
      </c>
      <c r="H1232" s="1" t="str">
        <f>IFERROR(__xludf.DUMMYFUNCTION("""COMPUTED_VALUE"""),"Gold sets")</f>
        <v>Gold sets</v>
      </c>
      <c r="I1232" s="1"/>
      <c r="J1232" s="1"/>
      <c r="K1232" s="3">
        <f>IFERROR(__xludf.DUMMYFUNCTION("""COMPUTED_VALUE"""),0.7777777777810115)</f>
        <v>0.7777777778</v>
      </c>
      <c r="L1232" s="1" t="str">
        <f>IFERROR(__xludf.DUMMYFUNCTION("""COMPUTED_VALUE"""),"No")</f>
        <v>No</v>
      </c>
      <c r="M1232" s="1" t="str">
        <f>IFERROR(__xludf.DUMMYFUNCTION("""COMPUTED_VALUE"""),"Yes")</f>
        <v>Yes</v>
      </c>
      <c r="N1232" s="1" t="str">
        <f>IFERROR(__xludf.DUMMYFUNCTION("""COMPUTED_VALUE"""),"Yes")</f>
        <v>Yes</v>
      </c>
      <c r="O1232" s="1" t="str">
        <f>IFERROR(__xludf.DUMMYFUNCTION("""COMPUTED_VALUE"""),"WA ONLY")</f>
        <v>WA ONLY</v>
      </c>
      <c r="P1232" s="1" t="str">
        <f>IFERROR(__xludf.DUMMYFUNCTION("""COMPUTED_VALUE"""),"Sir")</f>
        <v>Sir</v>
      </c>
      <c r="Q1232" s="1" t="str">
        <f>IFERROR(__xludf.DUMMYFUNCTION("""COMPUTED_VALUE"""),"No")</f>
        <v>No</v>
      </c>
      <c r="R1232" s="1" t="str">
        <f>IFERROR(__xludf.DUMMYFUNCTION("""COMPUTED_VALUE"""),"OLD")</f>
        <v>OLD</v>
      </c>
      <c r="S1232" s="1" t="str">
        <f>IFERROR(__xludf.DUMMYFUNCTION("""COMPUTED_VALUE"""),"Yes")</f>
        <v>Yes</v>
      </c>
    </row>
    <row r="1233">
      <c r="A1233" s="2">
        <f>IFERROR(__xludf.DUMMYFUNCTION("""COMPUTED_VALUE"""),45889.56728013889)</f>
        <v>45889.56728</v>
      </c>
      <c r="B1233" s="1" t="str">
        <f>IFERROR(__xludf.DUMMYFUNCTION("""COMPUTED_VALUE"""),"Krishna Rathi ji")</f>
        <v>Krishna Rathi ji</v>
      </c>
      <c r="C1233" s="1">
        <f>IFERROR(__xludf.DUMMYFUNCTION("""COMPUTED_VALUE"""),9.818293968E9)</f>
        <v>9818293968</v>
      </c>
      <c r="D1233" s="1">
        <f>IFERROR(__xludf.DUMMYFUNCTION("""COMPUTED_VALUE"""),2.0)</f>
        <v>2</v>
      </c>
      <c r="E1233" s="3">
        <f>IFERROR(__xludf.DUMMYFUNCTION("""COMPUTED_VALUE"""),0.46875)</f>
        <v>0.46875</v>
      </c>
      <c r="F1233" s="1" t="str">
        <f>IFERROR(__xludf.DUMMYFUNCTION("""COMPUTED_VALUE"""),"Silver Items")</f>
        <v>Silver Items</v>
      </c>
      <c r="G1233" s="1" t="str">
        <f>IFERROR(__xludf.DUMMYFUNCTION("""COMPUTED_VALUE"""),"Sapna")</f>
        <v>Sapna</v>
      </c>
      <c r="H1233" s="1" t="str">
        <f>IFERROR(__xludf.DUMMYFUNCTION("""COMPUTED_VALUE"""),"Anklets toe ring")</f>
        <v>Anklets toe ring</v>
      </c>
      <c r="I1233" s="1"/>
      <c r="J1233" s="1"/>
      <c r="K1233" s="3">
        <f>IFERROR(__xludf.DUMMYFUNCTION("""COMPUTED_VALUE"""),0.5208333333357587)</f>
        <v>0.5208333333</v>
      </c>
      <c r="L1233" s="1" t="str">
        <f>IFERROR(__xludf.DUMMYFUNCTION("""COMPUTED_VALUE"""),"No")</f>
        <v>No</v>
      </c>
      <c r="M1233" s="1" t="str">
        <f>IFERROR(__xludf.DUMMYFUNCTION("""COMPUTED_VALUE"""),"Yes")</f>
        <v>Yes</v>
      </c>
      <c r="N1233" s="1" t="str">
        <f>IFERROR(__xludf.DUMMYFUNCTION("""COMPUTED_VALUE"""),"Already done")</f>
        <v>Already done</v>
      </c>
      <c r="O1233" s="1" t="str">
        <f>IFERROR(__xludf.DUMMYFUNCTION("""COMPUTED_VALUE"""),"WA ONLY, OWNER CONTACT ONLY")</f>
        <v>WA ONLY, OWNER CONTACT ONLY</v>
      </c>
      <c r="P1233" s="1" t="str">
        <f>IFERROR(__xludf.DUMMYFUNCTION("""COMPUTED_VALUE"""),"Madam")</f>
        <v>Madam</v>
      </c>
      <c r="Q1233" s="1" t="str">
        <f>IFERROR(__xludf.DUMMYFUNCTION("""COMPUTED_VALUE"""),"No")</f>
        <v>No</v>
      </c>
      <c r="R1233" s="1"/>
      <c r="S1233" s="1" t="str">
        <f>IFERROR(__xludf.DUMMYFUNCTION("""COMPUTED_VALUE"""),"Yes")</f>
        <v>Yes</v>
      </c>
    </row>
    <row r="1234">
      <c r="A1234" s="2">
        <f>IFERROR(__xludf.DUMMYFUNCTION("""COMPUTED_VALUE"""),45889.56845993055)</f>
        <v>45889.56846</v>
      </c>
      <c r="B1234" s="1" t="str">
        <f>IFERROR(__xludf.DUMMYFUNCTION("""COMPUTED_VALUE"""),"Abdulla ji")</f>
        <v>Abdulla ji</v>
      </c>
      <c r="C1234" s="1">
        <f>IFERROR(__xludf.DUMMYFUNCTION("""COMPUTED_VALUE"""),9.555722786E9)</f>
        <v>9555722786</v>
      </c>
      <c r="D1234" s="1">
        <f>IFERROR(__xludf.DUMMYFUNCTION("""COMPUTED_VALUE"""),1.0)</f>
        <v>1</v>
      </c>
      <c r="E1234" s="3">
        <f>IFERROR(__xludf.DUMMYFUNCTION("""COMPUTED_VALUE"""),0.05208333333575865)</f>
        <v>0.05208333334</v>
      </c>
      <c r="F1234" s="1"/>
      <c r="G1234" s="1" t="str">
        <f>IFERROR(__xludf.DUMMYFUNCTION("""COMPUTED_VALUE"""),"Sapna")</f>
        <v>Sapna</v>
      </c>
      <c r="H1234" s="1" t="str">
        <f>IFERROR(__xludf.DUMMYFUNCTION("""COMPUTED_VALUE"""),"Gold rings")</f>
        <v>Gold rings</v>
      </c>
      <c r="I1234" s="1" t="str">
        <f>IFERROR(__xludf.DUMMYFUNCTION("""COMPUTED_VALUE"""),"Designs Not Liked")</f>
        <v>Designs Not Liked</v>
      </c>
      <c r="J1234" s="1"/>
      <c r="K1234" s="3">
        <f>IFERROR(__xludf.DUMMYFUNCTION("""COMPUTED_VALUE"""),0.5638888888934162)</f>
        <v>0.5638888889</v>
      </c>
      <c r="L1234" s="1" t="str">
        <f>IFERROR(__xludf.DUMMYFUNCTION("""COMPUTED_VALUE"""),"No")</f>
        <v>No</v>
      </c>
      <c r="M1234" s="1" t="str">
        <f>IFERROR(__xludf.DUMMYFUNCTION("""COMPUTED_VALUE"""),"No")</f>
        <v>No</v>
      </c>
      <c r="N1234" s="1" t="str">
        <f>IFERROR(__xludf.DUMMYFUNCTION("""COMPUTED_VALUE"""),"No")</f>
        <v>No</v>
      </c>
      <c r="O1234" s="1" t="str">
        <f>IFERROR(__xludf.DUMMYFUNCTION("""COMPUTED_VALUE"""),"WA ONLY")</f>
        <v>WA ONLY</v>
      </c>
      <c r="P1234" s="1" t="str">
        <f>IFERROR(__xludf.DUMMYFUNCTION("""COMPUTED_VALUE"""),"Sir")</f>
        <v>Sir</v>
      </c>
      <c r="Q1234" s="1" t="str">
        <f>IFERROR(__xludf.DUMMYFUNCTION("""COMPUTED_VALUE"""),"No")</f>
        <v>No</v>
      </c>
      <c r="R1234" s="1" t="str">
        <f>IFERROR(__xludf.DUMMYFUNCTION("""COMPUTED_VALUE"""),"NEW WALK IN")</f>
        <v>NEW WALK IN</v>
      </c>
      <c r="S1234" s="1" t="str">
        <f>IFERROR(__xludf.DUMMYFUNCTION("""COMPUTED_VALUE"""),"No")</f>
        <v>No</v>
      </c>
    </row>
    <row r="1235">
      <c r="A1235" s="2">
        <f>IFERROR(__xludf.DUMMYFUNCTION("""COMPUTED_VALUE"""),45889.801176574074)</f>
        <v>45889.80118</v>
      </c>
      <c r="B1235" s="1" t="str">
        <f>IFERROR(__xludf.DUMMYFUNCTION("""COMPUTED_VALUE"""),"Deepak ji")</f>
        <v>Deepak ji</v>
      </c>
      <c r="C1235" s="1">
        <f>IFERROR(__xludf.DUMMYFUNCTION("""COMPUTED_VALUE"""),9.891201813E9)</f>
        <v>9891201813</v>
      </c>
      <c r="D1235" s="1">
        <f>IFERROR(__xludf.DUMMYFUNCTION("""COMPUTED_VALUE"""),4.0)</f>
        <v>4</v>
      </c>
      <c r="E1235" s="3">
        <f>IFERROR(__xludf.DUMMYFUNCTION("""COMPUTED_VALUE"""),0.711111111115315)</f>
        <v>0.7111111111</v>
      </c>
      <c r="F1235" s="1" t="str">
        <f>IFERROR(__xludf.DUMMYFUNCTION("""COMPUTED_VALUE"""),"Plain Gold")</f>
        <v>Plain Gold</v>
      </c>
      <c r="G1235" s="1" t="str">
        <f>IFERROR(__xludf.DUMMYFUNCTION("""COMPUTED_VALUE"""),"Sapna")</f>
        <v>Sapna</v>
      </c>
      <c r="H1235" s="1" t="str">
        <f>IFERROR(__xludf.DUMMYFUNCTION("""COMPUTED_VALUE"""),"Gold tops toe rings silver anklets")</f>
        <v>Gold tops toe rings silver anklets</v>
      </c>
      <c r="I1235" s="1"/>
      <c r="J1235" s="1"/>
      <c r="K1235" s="3">
        <f>IFERROR(__xludf.DUMMYFUNCTION("""COMPUTED_VALUE"""),0.7319444444437977)</f>
        <v>0.7319444444</v>
      </c>
      <c r="L1235" s="1" t="str">
        <f>IFERROR(__xludf.DUMMYFUNCTION("""COMPUTED_VALUE"""),"No")</f>
        <v>No</v>
      </c>
      <c r="M1235" s="1" t="str">
        <f>IFERROR(__xludf.DUMMYFUNCTION("""COMPUTED_VALUE"""),"Yes")</f>
        <v>Yes</v>
      </c>
      <c r="N1235" s="1" t="str">
        <f>IFERROR(__xludf.DUMMYFUNCTION("""COMPUTED_VALUE"""),"Yes")</f>
        <v>Yes</v>
      </c>
      <c r="O1235" s="1" t="str">
        <f>IFERROR(__xludf.DUMMYFUNCTION("""COMPUTED_VALUE"""),"WA ONLY")</f>
        <v>WA ONLY</v>
      </c>
      <c r="P1235" s="1" t="str">
        <f>IFERROR(__xludf.DUMMYFUNCTION("""COMPUTED_VALUE"""),"Sir")</f>
        <v>Sir</v>
      </c>
      <c r="Q1235" s="1" t="str">
        <f>IFERROR(__xludf.DUMMYFUNCTION("""COMPUTED_VALUE"""),"No")</f>
        <v>No</v>
      </c>
      <c r="R1235" s="1" t="str">
        <f>IFERROR(__xludf.DUMMYFUNCTION("""COMPUTED_VALUE"""),"NEW WALK IN")</f>
        <v>NEW WALK IN</v>
      </c>
      <c r="S1235" s="1" t="str">
        <f>IFERROR(__xludf.DUMMYFUNCTION("""COMPUTED_VALUE"""),"Yes")</f>
        <v>Yes</v>
      </c>
    </row>
    <row r="1236">
      <c r="A1236" s="2">
        <f>IFERROR(__xludf.DUMMYFUNCTION("""COMPUTED_VALUE"""),45889.80243597222)</f>
        <v>45889.80244</v>
      </c>
      <c r="B1236" s="1" t="str">
        <f>IFERROR(__xludf.DUMMYFUNCTION("""COMPUTED_VALUE"""),"Nazia ji")</f>
        <v>Nazia ji</v>
      </c>
      <c r="C1236" s="1">
        <f>IFERROR(__xludf.DUMMYFUNCTION("""COMPUTED_VALUE"""),7.01106595E9)</f>
        <v>7011065950</v>
      </c>
      <c r="D1236" s="1">
        <f>IFERROR(__xludf.DUMMYFUNCTION("""COMPUTED_VALUE"""),2.0)</f>
        <v>2</v>
      </c>
      <c r="E1236" s="3">
        <f>IFERROR(__xludf.DUMMYFUNCTION("""COMPUTED_VALUE"""),0.7847222222189885)</f>
        <v>0.7847222222</v>
      </c>
      <c r="F1236" s="1" t="str">
        <f>IFERROR(__xludf.DUMMYFUNCTION("""COMPUTED_VALUE"""),"Silver Items")</f>
        <v>Silver Items</v>
      </c>
      <c r="G1236" s="1" t="str">
        <f>IFERROR(__xludf.DUMMYFUNCTION("""COMPUTED_VALUE"""),"Preeti")</f>
        <v>Preeti</v>
      </c>
      <c r="H1236" s="1" t="str">
        <f>IFERROR(__xludf.DUMMYFUNCTION("""COMPUTED_VALUE"""),"Bangles")</f>
        <v>Bangles</v>
      </c>
      <c r="I1236" s="1" t="str">
        <f>IFERROR(__xludf.DUMMYFUNCTION("""COMPUTED_VALUE"""),"Visit Again in 1 Month")</f>
        <v>Visit Again in 1 Month</v>
      </c>
      <c r="J1236" s="1"/>
      <c r="K1236" s="3">
        <f>IFERROR(__xludf.DUMMYFUNCTION("""COMPUTED_VALUE"""),0.7881944444452529)</f>
        <v>0.7881944444</v>
      </c>
      <c r="L1236" s="1" t="str">
        <f>IFERROR(__xludf.DUMMYFUNCTION("""COMPUTED_VALUE"""),"No")</f>
        <v>No</v>
      </c>
      <c r="M1236" s="1" t="str">
        <f>IFERROR(__xludf.DUMMYFUNCTION("""COMPUTED_VALUE"""),"No")</f>
        <v>No</v>
      </c>
      <c r="N1236" s="1" t="str">
        <f>IFERROR(__xludf.DUMMYFUNCTION("""COMPUTED_VALUE"""),"No")</f>
        <v>No</v>
      </c>
      <c r="O1236" s="1" t="str">
        <f>IFERROR(__xludf.DUMMYFUNCTION("""COMPUTED_VALUE"""),"WA ONLY")</f>
        <v>WA ONLY</v>
      </c>
      <c r="P1236" s="1" t="str">
        <f>IFERROR(__xludf.DUMMYFUNCTION("""COMPUTED_VALUE"""),"Madam")</f>
        <v>Madam</v>
      </c>
      <c r="Q1236" s="1" t="str">
        <f>IFERROR(__xludf.DUMMYFUNCTION("""COMPUTED_VALUE"""),"No")</f>
        <v>No</v>
      </c>
      <c r="R1236" s="1" t="str">
        <f>IFERROR(__xludf.DUMMYFUNCTION("""COMPUTED_VALUE"""),"NEW WALK IN")</f>
        <v>NEW WALK IN</v>
      </c>
      <c r="S1236" s="1" t="str">
        <f>IFERROR(__xludf.DUMMYFUNCTION("""COMPUTED_VALUE"""),"No")</f>
        <v>No</v>
      </c>
    </row>
    <row r="1237">
      <c r="A1237" s="2">
        <f>IFERROR(__xludf.DUMMYFUNCTION("""COMPUTED_VALUE"""),45889.8056134838)</f>
        <v>45889.80561</v>
      </c>
      <c r="B1237" s="1" t="str">
        <f>IFERROR(__xludf.DUMMYFUNCTION("""COMPUTED_VALUE"""),"Dimpi ji")</f>
        <v>Dimpi ji</v>
      </c>
      <c r="C1237" s="1">
        <f>IFERROR(__xludf.DUMMYFUNCTION("""COMPUTED_VALUE"""),9.811071707E9)</f>
        <v>9811071707</v>
      </c>
      <c r="D1237" s="1">
        <f>IFERROR(__xludf.DUMMYFUNCTION("""COMPUTED_VALUE"""),2.0)</f>
        <v>2</v>
      </c>
      <c r="E1237" s="3">
        <f>IFERROR(__xludf.DUMMYFUNCTION("""COMPUTED_VALUE"""),0.7916666666642413)</f>
        <v>0.7916666667</v>
      </c>
      <c r="F1237" s="1" t="str">
        <f>IFERROR(__xludf.DUMMYFUNCTION("""COMPUTED_VALUE"""),"Plain Gold")</f>
        <v>Plain Gold</v>
      </c>
      <c r="G1237" s="1" t="str">
        <f>IFERROR(__xludf.DUMMYFUNCTION("""COMPUTED_VALUE"""),"Sapna")</f>
        <v>Sapna</v>
      </c>
      <c r="H1237" s="1" t="str">
        <f>IFERROR(__xludf.DUMMYFUNCTION("""COMPUTED_VALUE"""),"Gold bracelet")</f>
        <v>Gold bracelet</v>
      </c>
      <c r="I1237" s="1" t="str">
        <f>IFERROR(__xludf.DUMMYFUNCTION("""COMPUTED_VALUE"""),"Looking for a cartier bracelet we don't have")</f>
        <v>Looking for a cartier bracelet we don't have</v>
      </c>
      <c r="J1237" s="1"/>
      <c r="K1237" s="3">
        <f>IFERROR(__xludf.DUMMYFUNCTION("""COMPUTED_VALUE"""),0.8034722222218988)</f>
        <v>0.8034722222</v>
      </c>
      <c r="L1237" s="1" t="str">
        <f>IFERROR(__xludf.DUMMYFUNCTION("""COMPUTED_VALUE"""),"No")</f>
        <v>No</v>
      </c>
      <c r="M1237" s="1" t="str">
        <f>IFERROR(__xludf.DUMMYFUNCTION("""COMPUTED_VALUE"""),"No")</f>
        <v>No</v>
      </c>
      <c r="N1237" s="1" t="str">
        <f>IFERROR(__xludf.DUMMYFUNCTION("""COMPUTED_VALUE"""),"No")</f>
        <v>No</v>
      </c>
      <c r="O1237" s="1" t="str">
        <f>IFERROR(__xludf.DUMMYFUNCTION("""COMPUTED_VALUE"""),"WA ONLY")</f>
        <v>WA ONLY</v>
      </c>
      <c r="P1237" s="1" t="str">
        <f>IFERROR(__xludf.DUMMYFUNCTION("""COMPUTED_VALUE"""),"Madam")</f>
        <v>Madam</v>
      </c>
      <c r="Q1237" s="1" t="str">
        <f>IFERROR(__xludf.DUMMYFUNCTION("""COMPUTED_VALUE"""),"No")</f>
        <v>No</v>
      </c>
      <c r="R1237" s="1" t="str">
        <f>IFERROR(__xludf.DUMMYFUNCTION("""COMPUTED_VALUE"""),"NEW WALK IN")</f>
        <v>NEW WALK IN</v>
      </c>
      <c r="S1237" s="1" t="str">
        <f>IFERROR(__xludf.DUMMYFUNCTION("""COMPUTED_VALUE"""),"No")</f>
        <v>No</v>
      </c>
    </row>
    <row r="1238">
      <c r="A1238" s="2">
        <f>IFERROR(__xludf.DUMMYFUNCTION("""COMPUTED_VALUE"""),45890.64684112268)</f>
        <v>45890.64684</v>
      </c>
      <c r="B1238" s="1" t="str">
        <f>IFERROR(__xludf.DUMMYFUNCTION("""COMPUTED_VALUE"""),"Nitin ji")</f>
        <v>Nitin ji</v>
      </c>
      <c r="C1238" s="1">
        <f>IFERROR(__xludf.DUMMYFUNCTION("""COMPUTED_VALUE"""),9.999165123E9)</f>
        <v>9999165123</v>
      </c>
      <c r="D1238" s="1">
        <f>IFERROR(__xludf.DUMMYFUNCTION("""COMPUTED_VALUE"""),2.0)</f>
        <v>2</v>
      </c>
      <c r="E1238" s="3">
        <f>IFERROR(__xludf.DUMMYFUNCTION("""COMPUTED_VALUE"""),0.5416666666642413)</f>
        <v>0.5416666667</v>
      </c>
      <c r="F1238" s="1" t="str">
        <f>IFERROR(__xludf.DUMMYFUNCTION("""COMPUTED_VALUE"""),"Plain Gold")</f>
        <v>Plain Gold</v>
      </c>
      <c r="G1238" s="1"/>
      <c r="H1238" s="1" t="str">
        <f>IFERROR(__xludf.DUMMYFUNCTION("""COMPUTED_VALUE"""),"Chains gold")</f>
        <v>Chains gold</v>
      </c>
      <c r="I1238" s="1" t="str">
        <f>IFERROR(__xludf.DUMMYFUNCTION("""COMPUTED_VALUE"""),"Visit Again in 1 Month")</f>
        <v>Visit Again in 1 Month</v>
      </c>
      <c r="J1238" s="1"/>
      <c r="K1238" s="3">
        <f>IFERROR(__xludf.DUMMYFUNCTION("""COMPUTED_VALUE"""),0.5951388888934162)</f>
        <v>0.5951388889</v>
      </c>
      <c r="L1238" s="1" t="str">
        <f>IFERROR(__xludf.DUMMYFUNCTION("""COMPUTED_VALUE"""),"No")</f>
        <v>No</v>
      </c>
      <c r="M1238" s="1" t="str">
        <f>IFERROR(__xludf.DUMMYFUNCTION("""COMPUTED_VALUE"""),"No")</f>
        <v>No</v>
      </c>
      <c r="N1238" s="1" t="str">
        <f>IFERROR(__xludf.DUMMYFUNCTION("""COMPUTED_VALUE"""),"No")</f>
        <v>No</v>
      </c>
      <c r="O1238" s="1" t="str">
        <f>IFERROR(__xludf.DUMMYFUNCTION("""COMPUTED_VALUE"""),"WA ONLY, OWNER CONTACT ONLY")</f>
        <v>WA ONLY, OWNER CONTACT ONLY</v>
      </c>
      <c r="P1238" s="1" t="str">
        <f>IFERROR(__xludf.DUMMYFUNCTION("""COMPUTED_VALUE"""),"Sir")</f>
        <v>Sir</v>
      </c>
      <c r="Q1238" s="1" t="str">
        <f>IFERROR(__xludf.DUMMYFUNCTION("""COMPUTED_VALUE"""),"No")</f>
        <v>No</v>
      </c>
      <c r="R1238" s="1" t="str">
        <f>IFERROR(__xludf.DUMMYFUNCTION("""COMPUTED_VALUE"""),"OLD")</f>
        <v>OLD</v>
      </c>
      <c r="S1238" s="1" t="str">
        <f>IFERROR(__xludf.DUMMYFUNCTION("""COMPUTED_VALUE"""),"No")</f>
        <v>No</v>
      </c>
    </row>
    <row r="1239">
      <c r="A1239" s="2">
        <f>IFERROR(__xludf.DUMMYFUNCTION("""COMPUTED_VALUE"""),45890.64818456018)</f>
        <v>45890.64818</v>
      </c>
      <c r="B1239" s="1" t="str">
        <f>IFERROR(__xludf.DUMMYFUNCTION("""COMPUTED_VALUE"""),"Pratibha mam")</f>
        <v>Pratibha mam</v>
      </c>
      <c r="C1239" s="1">
        <f>IFERROR(__xludf.DUMMYFUNCTION("""COMPUTED_VALUE"""),8.448661005E9)</f>
        <v>8448661005</v>
      </c>
      <c r="D1239" s="1">
        <f>IFERROR(__xludf.DUMMYFUNCTION("""COMPUTED_VALUE"""),2.0)</f>
        <v>2</v>
      </c>
      <c r="E1239" s="3">
        <f>IFERROR(__xludf.DUMMYFUNCTION("""COMPUTED_VALUE"""),0.570138888884685)</f>
        <v>0.5701388889</v>
      </c>
      <c r="F1239" s="1" t="str">
        <f>IFERROR(__xludf.DUMMYFUNCTION("""COMPUTED_VALUE"""),"Silver Items")</f>
        <v>Silver Items</v>
      </c>
      <c r="G1239" s="1"/>
      <c r="H1239" s="1" t="str">
        <f>IFERROR(__xludf.DUMMYFUNCTION("""COMPUTED_VALUE"""),"Chains")</f>
        <v>Chains</v>
      </c>
      <c r="I1239" s="1" t="str">
        <f>IFERROR(__xludf.DUMMYFUNCTION("""COMPUTED_VALUE"""),"Visit Again in 1 Month")</f>
        <v>Visit Again in 1 Month</v>
      </c>
      <c r="J1239" s="1"/>
      <c r="K1239" s="3">
        <f>IFERROR(__xludf.DUMMYFUNCTION("""COMPUTED_VALUE"""),0.59375)</f>
        <v>0.59375</v>
      </c>
      <c r="L1239" s="1" t="str">
        <f>IFERROR(__xludf.DUMMYFUNCTION("""COMPUTED_VALUE"""),"No")</f>
        <v>No</v>
      </c>
      <c r="M1239" s="1" t="str">
        <f>IFERROR(__xludf.DUMMYFUNCTION("""COMPUTED_VALUE"""),"No")</f>
        <v>No</v>
      </c>
      <c r="N1239" s="1" t="str">
        <f>IFERROR(__xludf.DUMMYFUNCTION("""COMPUTED_VALUE"""),"No")</f>
        <v>No</v>
      </c>
      <c r="O1239" s="1" t="str">
        <f>IFERROR(__xludf.DUMMYFUNCTION("""COMPUTED_VALUE"""),"WA ONLY")</f>
        <v>WA ONLY</v>
      </c>
      <c r="P1239" s="1" t="str">
        <f>IFERROR(__xludf.DUMMYFUNCTION("""COMPUTED_VALUE"""),"Madam")</f>
        <v>Madam</v>
      </c>
      <c r="Q1239" s="1" t="str">
        <f>IFERROR(__xludf.DUMMYFUNCTION("""COMPUTED_VALUE"""),"No")</f>
        <v>No</v>
      </c>
      <c r="R1239" s="1" t="str">
        <f>IFERROR(__xludf.DUMMYFUNCTION("""COMPUTED_VALUE"""),"NEW WALK IN")</f>
        <v>NEW WALK IN</v>
      </c>
      <c r="S1239" s="1" t="str">
        <f>IFERROR(__xludf.DUMMYFUNCTION("""COMPUTED_VALUE"""),"No")</f>
        <v>No</v>
      </c>
    </row>
    <row r="1240">
      <c r="A1240" s="2">
        <f>IFERROR(__xludf.DUMMYFUNCTION("""COMPUTED_VALUE"""),45890.677572546294)</f>
        <v>45890.67757</v>
      </c>
      <c r="B1240" s="1" t="str">
        <f>IFERROR(__xludf.DUMMYFUNCTION("""COMPUTED_VALUE"""),"Tamanna ji")</f>
        <v>Tamanna ji</v>
      </c>
      <c r="C1240" s="1">
        <f>IFERROR(__xludf.DUMMYFUNCTION("""COMPUTED_VALUE"""),8.826277795E9)</f>
        <v>8826277795</v>
      </c>
      <c r="D1240" s="1">
        <f>IFERROR(__xludf.DUMMYFUNCTION("""COMPUTED_VALUE"""),2.0)</f>
        <v>2</v>
      </c>
      <c r="E1240" s="3">
        <f>IFERROR(__xludf.DUMMYFUNCTION("""COMPUTED_VALUE"""),0.6423611111094942)</f>
        <v>0.6423611111</v>
      </c>
      <c r="F1240" s="1" t="str">
        <f>IFERROR(__xludf.DUMMYFUNCTION("""COMPUTED_VALUE"""),"Plain Gold")</f>
        <v>Plain Gold</v>
      </c>
      <c r="G1240" s="1" t="str">
        <f>IFERROR(__xludf.DUMMYFUNCTION("""COMPUTED_VALUE"""),"Sapna")</f>
        <v>Sapna</v>
      </c>
      <c r="H1240" s="1" t="str">
        <f>IFERROR(__xludf.DUMMYFUNCTION("""COMPUTED_VALUE"""),"Earrings ring kadha")</f>
        <v>Earrings ring kadha</v>
      </c>
      <c r="I1240" s="1"/>
      <c r="J1240" s="1"/>
      <c r="K1240" s="3">
        <f>IFERROR(__xludf.DUMMYFUNCTION("""COMPUTED_VALUE"""),0.6770833333357587)</f>
        <v>0.6770833333</v>
      </c>
      <c r="L1240" s="1" t="str">
        <f>IFERROR(__xludf.DUMMYFUNCTION("""COMPUTED_VALUE"""),"No")</f>
        <v>No</v>
      </c>
      <c r="M1240" s="1" t="str">
        <f>IFERROR(__xludf.DUMMYFUNCTION("""COMPUTED_VALUE"""),"Yes")</f>
        <v>Yes</v>
      </c>
      <c r="N1240" s="1" t="str">
        <f>IFERROR(__xludf.DUMMYFUNCTION("""COMPUTED_VALUE"""),"Yes")</f>
        <v>Yes</v>
      </c>
      <c r="O1240" s="1" t="str">
        <f>IFERROR(__xludf.DUMMYFUNCTION("""COMPUTED_VALUE"""),"WA ONLY")</f>
        <v>WA ONLY</v>
      </c>
      <c r="P1240" s="1" t="str">
        <f>IFERROR(__xludf.DUMMYFUNCTION("""COMPUTED_VALUE"""),"Madam")</f>
        <v>Madam</v>
      </c>
      <c r="Q1240" s="1" t="str">
        <f>IFERROR(__xludf.DUMMYFUNCTION("""COMPUTED_VALUE"""),"No")</f>
        <v>No</v>
      </c>
      <c r="R1240" s="1" t="str">
        <f>IFERROR(__xludf.DUMMYFUNCTION("""COMPUTED_VALUE"""),"NEW WALK IN")</f>
        <v>NEW WALK IN</v>
      </c>
      <c r="S1240" s="1" t="str">
        <f>IFERROR(__xludf.DUMMYFUNCTION("""COMPUTED_VALUE"""),"Yes")</f>
        <v>Yes</v>
      </c>
    </row>
    <row r="1241">
      <c r="A1241" s="2">
        <f>IFERROR(__xludf.DUMMYFUNCTION("""COMPUTED_VALUE"""),45890.746200740745)</f>
        <v>45890.7462</v>
      </c>
      <c r="B1241" s="1" t="str">
        <f>IFERROR(__xludf.DUMMYFUNCTION("""COMPUTED_VALUE"""),"Bhavana ji")</f>
        <v>Bhavana ji</v>
      </c>
      <c r="C1241" s="1">
        <f>IFERROR(__xludf.DUMMYFUNCTION("""COMPUTED_VALUE"""),9.871417753E9)</f>
        <v>9871417753</v>
      </c>
      <c r="D1241" s="1">
        <f>IFERROR(__xludf.DUMMYFUNCTION("""COMPUTED_VALUE"""),3.0)</f>
        <v>3</v>
      </c>
      <c r="E1241" s="3">
        <f>IFERROR(__xludf.DUMMYFUNCTION("""COMPUTED_VALUE"""),0.7083333333357587)</f>
        <v>0.7083333333</v>
      </c>
      <c r="F1241" s="1" t="str">
        <f>IFERROR(__xludf.DUMMYFUNCTION("""COMPUTED_VALUE"""),"Diamond")</f>
        <v>Diamond</v>
      </c>
      <c r="G1241" s="1" t="str">
        <f>IFERROR(__xludf.DUMMYFUNCTION("""COMPUTED_VALUE"""),"Preeti")</f>
        <v>Preeti</v>
      </c>
      <c r="H1241" s="1" t="str">
        <f>IFERROR(__xludf.DUMMYFUNCTION("""COMPUTED_VALUE"""),"Earrings ")</f>
        <v>Earrings </v>
      </c>
      <c r="I1241" s="1" t="str">
        <f>IFERROR(__xludf.DUMMYFUNCTION("""COMPUTED_VALUE"""),"Visit Again in 1 Month")</f>
        <v>Visit Again in 1 Month</v>
      </c>
      <c r="J1241" s="1"/>
      <c r="K1241" s="3">
        <f>IFERROR(__xludf.DUMMYFUNCTION("""COMPUTED_VALUE"""),0.71875)</f>
        <v>0.71875</v>
      </c>
      <c r="L1241" s="1" t="str">
        <f>IFERROR(__xludf.DUMMYFUNCTION("""COMPUTED_VALUE"""),"No")</f>
        <v>No</v>
      </c>
      <c r="M1241" s="1" t="str">
        <f>IFERROR(__xludf.DUMMYFUNCTION("""COMPUTED_VALUE"""),"No")</f>
        <v>No</v>
      </c>
      <c r="N1241" s="1" t="str">
        <f>IFERROR(__xludf.DUMMYFUNCTION("""COMPUTED_VALUE"""),"No")</f>
        <v>No</v>
      </c>
      <c r="O1241" s="1" t="str">
        <f>IFERROR(__xludf.DUMMYFUNCTION("""COMPUTED_VALUE"""),"WA ONLY")</f>
        <v>WA ONLY</v>
      </c>
      <c r="P1241" s="1" t="str">
        <f>IFERROR(__xludf.DUMMYFUNCTION("""COMPUTED_VALUE"""),"Madam")</f>
        <v>Madam</v>
      </c>
      <c r="Q1241" s="1" t="str">
        <f>IFERROR(__xludf.DUMMYFUNCTION("""COMPUTED_VALUE"""),"No")</f>
        <v>No</v>
      </c>
      <c r="R1241" s="1" t="str">
        <f>IFERROR(__xludf.DUMMYFUNCTION("""COMPUTED_VALUE"""),"OLD")</f>
        <v>OLD</v>
      </c>
      <c r="S1241" s="1" t="str">
        <f>IFERROR(__xludf.DUMMYFUNCTION("""COMPUTED_VALUE"""),"No")</f>
        <v>No</v>
      </c>
    </row>
    <row r="1242">
      <c r="A1242" s="2">
        <f>IFERROR(__xludf.DUMMYFUNCTION("""COMPUTED_VALUE"""),45890.74762625)</f>
        <v>45890.74763</v>
      </c>
      <c r="B1242" s="1" t="str">
        <f>IFERROR(__xludf.DUMMYFUNCTION("""COMPUTED_VALUE"""),"Sakshi Singh ")</f>
        <v>Sakshi Singh </v>
      </c>
      <c r="C1242" s="1">
        <f>IFERROR(__xludf.DUMMYFUNCTION("""COMPUTED_VALUE"""),8.076175003E9)</f>
        <v>8076175003</v>
      </c>
      <c r="D1242" s="1">
        <f>IFERROR(__xludf.DUMMYFUNCTION("""COMPUTED_VALUE"""),1.0)</f>
        <v>1</v>
      </c>
      <c r="E1242" s="3">
        <f>IFERROR(__xludf.DUMMYFUNCTION("""COMPUTED_VALUE"""),0.6979166666642413)</f>
        <v>0.6979166667</v>
      </c>
      <c r="F1242" s="1" t="str">
        <f>IFERROR(__xludf.DUMMYFUNCTION("""COMPUTED_VALUE"""),"Silver Items")</f>
        <v>Silver Items</v>
      </c>
      <c r="G1242" s="1"/>
      <c r="H1242" s="1" t="str">
        <f>IFERROR(__xludf.DUMMYFUNCTION("""COMPUTED_VALUE"""),"Silver brick")</f>
        <v>Silver brick</v>
      </c>
      <c r="I1242" s="1"/>
      <c r="J1242" s="1"/>
      <c r="K1242" s="3">
        <f>IFERROR(__xludf.DUMMYFUNCTION("""COMPUTED_VALUE"""),0.7395833333357587)</f>
        <v>0.7395833333</v>
      </c>
      <c r="L1242" s="1" t="str">
        <f>IFERROR(__xludf.DUMMYFUNCTION("""COMPUTED_VALUE"""),"No")</f>
        <v>No</v>
      </c>
      <c r="M1242" s="1" t="str">
        <f>IFERROR(__xludf.DUMMYFUNCTION("""COMPUTED_VALUE"""),"Already done ")</f>
        <v>Already done </v>
      </c>
      <c r="N1242" s="1" t="str">
        <f>IFERROR(__xludf.DUMMYFUNCTION("""COMPUTED_VALUE"""),"Already done")</f>
        <v>Already done</v>
      </c>
      <c r="O1242" s="1" t="str">
        <f>IFERROR(__xludf.DUMMYFUNCTION("""COMPUTED_VALUE"""),"OWNER CONTACT ONLY")</f>
        <v>OWNER CONTACT ONLY</v>
      </c>
      <c r="P1242" s="1" t="str">
        <f>IFERROR(__xludf.DUMMYFUNCTION("""COMPUTED_VALUE"""),"Madam")</f>
        <v>Madam</v>
      </c>
      <c r="Q1242" s="1" t="str">
        <f>IFERROR(__xludf.DUMMYFUNCTION("""COMPUTED_VALUE"""),"No")</f>
        <v>No</v>
      </c>
      <c r="R1242" s="1" t="str">
        <f>IFERROR(__xludf.DUMMYFUNCTION("""COMPUTED_VALUE"""),"OLD")</f>
        <v>OLD</v>
      </c>
      <c r="S1242" s="1" t="str">
        <f>IFERROR(__xludf.DUMMYFUNCTION("""COMPUTED_VALUE"""),"Yes")</f>
        <v>Yes</v>
      </c>
    </row>
    <row r="1243">
      <c r="A1243" s="2">
        <f>IFERROR(__xludf.DUMMYFUNCTION("""COMPUTED_VALUE"""),45891.57847445602)</f>
        <v>45891.57847</v>
      </c>
      <c r="B1243" s="1" t="str">
        <f>IFERROR(__xludf.DUMMYFUNCTION("""COMPUTED_VALUE"""),"Anjali ji")</f>
        <v>Anjali ji</v>
      </c>
      <c r="C1243" s="1">
        <f>IFERROR(__xludf.DUMMYFUNCTION("""COMPUTED_VALUE"""),8.07665406E9)</f>
        <v>8076654060</v>
      </c>
      <c r="D1243" s="1">
        <f>IFERROR(__xludf.DUMMYFUNCTION("""COMPUTED_VALUE"""),3.0)</f>
        <v>3</v>
      </c>
      <c r="E1243" s="3">
        <f>IFERROR(__xludf.DUMMYFUNCTION("""COMPUTED_VALUE"""),0.5416666666642413)</f>
        <v>0.5416666667</v>
      </c>
      <c r="F1243" s="1" t="str">
        <f>IFERROR(__xludf.DUMMYFUNCTION("""COMPUTED_VALUE"""),"Plain Gold")</f>
        <v>Plain Gold</v>
      </c>
      <c r="G1243" s="1" t="str">
        <f>IFERROR(__xludf.DUMMYFUNCTION("""COMPUTED_VALUE"""),"Sapna")</f>
        <v>Sapna</v>
      </c>
      <c r="H1243" s="1" t="str">
        <f>IFERROR(__xludf.DUMMYFUNCTION("""COMPUTED_VALUE"""),"Earrings ")</f>
        <v>Earrings </v>
      </c>
      <c r="I1243" s="1" t="str">
        <f>IFERROR(__xludf.DUMMYFUNCTION("""COMPUTED_VALUE"""),"Visit Again in 1 Month")</f>
        <v>Visit Again in 1 Month</v>
      </c>
      <c r="J1243" s="1"/>
      <c r="K1243" s="3">
        <f>IFERROR(__xludf.DUMMYFUNCTION("""COMPUTED_VALUE"""),0.5527777777751908)</f>
        <v>0.5527777778</v>
      </c>
      <c r="L1243" s="1" t="str">
        <f>IFERROR(__xludf.DUMMYFUNCTION("""COMPUTED_VALUE"""),"No")</f>
        <v>No</v>
      </c>
      <c r="M1243" s="1" t="str">
        <f>IFERROR(__xludf.DUMMYFUNCTION("""COMPUTED_VALUE"""),"No")</f>
        <v>No</v>
      </c>
      <c r="N1243" s="1" t="str">
        <f>IFERROR(__xludf.DUMMYFUNCTION("""COMPUTED_VALUE"""),"No")</f>
        <v>No</v>
      </c>
      <c r="O1243" s="1" t="str">
        <f>IFERROR(__xludf.DUMMYFUNCTION("""COMPUTED_VALUE"""),"WA ONLY")</f>
        <v>WA ONLY</v>
      </c>
      <c r="P1243" s="1" t="str">
        <f>IFERROR(__xludf.DUMMYFUNCTION("""COMPUTED_VALUE"""),"Madam")</f>
        <v>Madam</v>
      </c>
      <c r="Q1243" s="1" t="str">
        <f>IFERROR(__xludf.DUMMYFUNCTION("""COMPUTED_VALUE"""),"No")</f>
        <v>No</v>
      </c>
      <c r="R1243" s="1" t="str">
        <f>IFERROR(__xludf.DUMMYFUNCTION("""COMPUTED_VALUE"""),"NEW WALK IN")</f>
        <v>NEW WALK IN</v>
      </c>
      <c r="S1243" s="1" t="str">
        <f>IFERROR(__xludf.DUMMYFUNCTION("""COMPUTED_VALUE"""),"No")</f>
        <v>No</v>
      </c>
    </row>
    <row r="1244">
      <c r="A1244" s="2">
        <f>IFERROR(__xludf.DUMMYFUNCTION("""COMPUTED_VALUE"""),45893.745282627315)</f>
        <v>45893.74528</v>
      </c>
      <c r="B1244" s="1" t="str">
        <f>IFERROR(__xludf.DUMMYFUNCTION("""COMPUTED_VALUE"""),"Sonam Norbu ji")</f>
        <v>Sonam Norbu ji</v>
      </c>
      <c r="C1244" s="1">
        <f>IFERROR(__xludf.DUMMYFUNCTION("""COMPUTED_VALUE"""),9.619078136E9)</f>
        <v>9619078136</v>
      </c>
      <c r="D1244" s="1">
        <f>IFERROR(__xludf.DUMMYFUNCTION("""COMPUTED_VALUE"""),1.0)</f>
        <v>1</v>
      </c>
      <c r="E1244" s="3">
        <f>IFERROR(__xludf.DUMMYFUNCTION("""COMPUTED_VALUE"""),0.5243055555547471)</f>
        <v>0.5243055556</v>
      </c>
      <c r="F1244" s="1" t="str">
        <f>IFERROR(__xludf.DUMMYFUNCTION("""COMPUTED_VALUE"""),"Plain Gold")</f>
        <v>Plain Gold</v>
      </c>
      <c r="G1244" s="1" t="str">
        <f>IFERROR(__xludf.DUMMYFUNCTION("""COMPUTED_VALUE"""),"Sapna")</f>
        <v>Sapna</v>
      </c>
      <c r="H1244" s="1" t="str">
        <f>IFERROR(__xludf.DUMMYFUNCTION("""COMPUTED_VALUE"""),"Rings")</f>
        <v>Rings</v>
      </c>
      <c r="I1244" s="1" t="str">
        <f>IFERROR(__xludf.DUMMYFUNCTION("""COMPUTED_VALUE"""),"Visit Again in 1 Month")</f>
        <v>Visit Again in 1 Month</v>
      </c>
      <c r="J1244" s="1"/>
      <c r="K1244" s="3">
        <f>IFERROR(__xludf.DUMMYFUNCTION("""COMPUTED_VALUE"""),0.5347222222189885)</f>
        <v>0.5347222222</v>
      </c>
      <c r="L1244" s="1" t="str">
        <f>IFERROR(__xludf.DUMMYFUNCTION("""COMPUTED_VALUE"""),"No")</f>
        <v>No</v>
      </c>
      <c r="M1244" s="1" t="str">
        <f>IFERROR(__xludf.DUMMYFUNCTION("""COMPUTED_VALUE"""),"No")</f>
        <v>No</v>
      </c>
      <c r="N1244" s="1" t="str">
        <f>IFERROR(__xludf.DUMMYFUNCTION("""COMPUTED_VALUE"""),"No")</f>
        <v>No</v>
      </c>
      <c r="O1244" s="1" t="str">
        <f>IFERROR(__xludf.DUMMYFUNCTION("""COMPUTED_VALUE"""),"WA ONLY")</f>
        <v>WA ONLY</v>
      </c>
      <c r="P1244" s="1" t="str">
        <f>IFERROR(__xludf.DUMMYFUNCTION("""COMPUTED_VALUE"""),"Sir")</f>
        <v>Sir</v>
      </c>
      <c r="Q1244" s="1" t="str">
        <f>IFERROR(__xludf.DUMMYFUNCTION("""COMPUTED_VALUE"""),"No")</f>
        <v>No</v>
      </c>
      <c r="R1244" s="1" t="str">
        <f>IFERROR(__xludf.DUMMYFUNCTION("""COMPUTED_VALUE"""),"NEW WALK IN")</f>
        <v>NEW WALK IN</v>
      </c>
      <c r="S1244" s="1" t="str">
        <f>IFERROR(__xludf.DUMMYFUNCTION("""COMPUTED_VALUE"""),"No")</f>
        <v>No</v>
      </c>
    </row>
    <row r="1245">
      <c r="A1245" s="2">
        <f>IFERROR(__xludf.DUMMYFUNCTION("""COMPUTED_VALUE"""),45893.75545465278)</f>
        <v>45893.75545</v>
      </c>
      <c r="B1245" s="1" t="str">
        <f>IFERROR(__xludf.DUMMYFUNCTION("""COMPUTED_VALUE"""),"Ashutosh pandey ji")</f>
        <v>Ashutosh pandey ji</v>
      </c>
      <c r="C1245" s="1">
        <f>IFERROR(__xludf.DUMMYFUNCTION("""COMPUTED_VALUE"""),9.870340842E9)</f>
        <v>9870340842</v>
      </c>
      <c r="D1245" s="1">
        <f>IFERROR(__xludf.DUMMYFUNCTION("""COMPUTED_VALUE"""),2.0)</f>
        <v>2</v>
      </c>
      <c r="E1245" s="3">
        <f>IFERROR(__xludf.DUMMYFUNCTION("""COMPUTED_VALUE"""),0.6999999999970896)</f>
        <v>0.7</v>
      </c>
      <c r="F1245" s="1" t="str">
        <f>IFERROR(__xludf.DUMMYFUNCTION("""COMPUTED_VALUE"""),"Plain Gold")</f>
        <v>Plain Gold</v>
      </c>
      <c r="G1245" s="1" t="str">
        <f>IFERROR(__xludf.DUMMYFUNCTION("""COMPUTED_VALUE"""),"Sapna")</f>
        <v>Sapna</v>
      </c>
      <c r="H1245" s="1" t="str">
        <f>IFERROR(__xludf.DUMMYFUNCTION("""COMPUTED_VALUE"""),"Jhumkis")</f>
        <v>Jhumkis</v>
      </c>
      <c r="I1245" s="1"/>
      <c r="J1245" s="1"/>
      <c r="K1245" s="3">
        <f>IFERROR(__xludf.DUMMYFUNCTION("""COMPUTED_VALUE"""),0.75)</f>
        <v>0.75</v>
      </c>
      <c r="L1245" s="1" t="str">
        <f>IFERROR(__xludf.DUMMYFUNCTION("""COMPUTED_VALUE"""),"No")</f>
        <v>No</v>
      </c>
      <c r="M1245" s="1" t="str">
        <f>IFERROR(__xludf.DUMMYFUNCTION("""COMPUTED_VALUE"""),"Yes")</f>
        <v>Yes</v>
      </c>
      <c r="N1245" s="1" t="str">
        <f>IFERROR(__xludf.DUMMYFUNCTION("""COMPUTED_VALUE"""),"No")</f>
        <v>No</v>
      </c>
      <c r="O1245" s="1" t="str">
        <f>IFERROR(__xludf.DUMMYFUNCTION("""COMPUTED_VALUE"""),"WA ONLY")</f>
        <v>WA ONLY</v>
      </c>
      <c r="P1245" s="1" t="str">
        <f>IFERROR(__xludf.DUMMYFUNCTION("""COMPUTED_VALUE"""),"Sir")</f>
        <v>Sir</v>
      </c>
      <c r="Q1245" s="1" t="str">
        <f>IFERROR(__xludf.DUMMYFUNCTION("""COMPUTED_VALUE"""),"No")</f>
        <v>No</v>
      </c>
      <c r="R1245" s="1" t="str">
        <f>IFERROR(__xludf.DUMMYFUNCTION("""COMPUTED_VALUE"""),"OLD")</f>
        <v>OLD</v>
      </c>
      <c r="S1245" s="1" t="str">
        <f>IFERROR(__xludf.DUMMYFUNCTION("""COMPUTED_VALUE"""),"Yes")</f>
        <v>Yes</v>
      </c>
    </row>
    <row r="1246">
      <c r="A1246" s="2">
        <f>IFERROR(__xludf.DUMMYFUNCTION("""COMPUTED_VALUE"""),45893.756706817134)</f>
        <v>45893.75671</v>
      </c>
      <c r="B1246" s="1" t="str">
        <f>IFERROR(__xludf.DUMMYFUNCTION("""COMPUTED_VALUE"""),"Om raghuvanshi")</f>
        <v>Om raghuvanshi</v>
      </c>
      <c r="C1246" s="1">
        <f>IFERROR(__xludf.DUMMYFUNCTION("""COMPUTED_VALUE"""),8.447309345E9)</f>
        <v>8447309345</v>
      </c>
      <c r="D1246" s="1">
        <f>IFERROR(__xludf.DUMMYFUNCTION("""COMPUTED_VALUE"""),3.0)</f>
        <v>3</v>
      </c>
      <c r="E1246" s="3">
        <f>IFERROR(__xludf.DUMMYFUNCTION("""COMPUTED_VALUE"""),0.7159722222204437)</f>
        <v>0.7159722222</v>
      </c>
      <c r="F1246" s="1" t="str">
        <f>IFERROR(__xludf.DUMMYFUNCTION("""COMPUTED_VALUE"""),"Diamond")</f>
        <v>Diamond</v>
      </c>
      <c r="G1246" s="1" t="str">
        <f>IFERROR(__xludf.DUMMYFUNCTION("""COMPUTED_VALUE"""),"Radhu Mam")</f>
        <v>Radhu Mam</v>
      </c>
      <c r="H1246" s="1" t="str">
        <f>IFERROR(__xludf.DUMMYFUNCTION("""COMPUTED_VALUE"""),"Headband")</f>
        <v>Headband</v>
      </c>
      <c r="I1246" s="1"/>
      <c r="J1246" s="1"/>
      <c r="K1246" s="3">
        <f>IFERROR(__xludf.DUMMYFUNCTION("""COMPUTED_VALUE"""),0.7506944444467081)</f>
        <v>0.7506944444</v>
      </c>
      <c r="L1246" s="1" t="str">
        <f>IFERROR(__xludf.DUMMYFUNCTION("""COMPUTED_VALUE"""),"No")</f>
        <v>No</v>
      </c>
      <c r="M1246" s="1" t="str">
        <f>IFERROR(__xludf.DUMMYFUNCTION("""COMPUTED_VALUE"""),"No")</f>
        <v>No</v>
      </c>
      <c r="N1246" s="1" t="str">
        <f>IFERROR(__xludf.DUMMYFUNCTION("""COMPUTED_VALUE"""),"No")</f>
        <v>No</v>
      </c>
      <c r="O1246" s="1" t="str">
        <f>IFERROR(__xludf.DUMMYFUNCTION("""COMPUTED_VALUE"""),"OWNER CONTACT ONLY")</f>
        <v>OWNER CONTACT ONLY</v>
      </c>
      <c r="P1246" s="1" t="str">
        <f>IFERROR(__xludf.DUMMYFUNCTION("""COMPUTED_VALUE"""),"Madam")</f>
        <v>Madam</v>
      </c>
      <c r="Q1246" s="1" t="str">
        <f>IFERROR(__xludf.DUMMYFUNCTION("""COMPUTED_VALUE"""),"No")</f>
        <v>No</v>
      </c>
      <c r="R1246" s="1" t="str">
        <f>IFERROR(__xludf.DUMMYFUNCTION("""COMPUTED_VALUE"""),"NEW WALK IN")</f>
        <v>NEW WALK IN</v>
      </c>
      <c r="S1246" s="1" t="str">
        <f>IFERROR(__xludf.DUMMYFUNCTION("""COMPUTED_VALUE"""),"Yes")</f>
        <v>Yes</v>
      </c>
    </row>
    <row r="1247">
      <c r="A1247" s="2">
        <f>IFERROR(__xludf.DUMMYFUNCTION("""COMPUTED_VALUE"""),45893.75854616898)</f>
        <v>45893.75855</v>
      </c>
      <c r="B1247" s="1" t="str">
        <f>IFERROR(__xludf.DUMMYFUNCTION("""COMPUTED_VALUE"""),"Dolly")</f>
        <v>Dolly</v>
      </c>
      <c r="C1247" s="1">
        <f>IFERROR(__xludf.DUMMYFUNCTION("""COMPUTED_VALUE"""),8.595559063E9)</f>
        <v>8595559063</v>
      </c>
      <c r="D1247" s="1">
        <f>IFERROR(__xludf.DUMMYFUNCTION("""COMPUTED_VALUE"""),3.0)</f>
        <v>3</v>
      </c>
      <c r="E1247" s="3">
        <f>IFERROR(__xludf.DUMMYFUNCTION("""COMPUTED_VALUE"""),0.734027777776646)</f>
        <v>0.7340277778</v>
      </c>
      <c r="F1247" s="1" t="str">
        <f>IFERROR(__xludf.DUMMYFUNCTION("""COMPUTED_VALUE"""),"Plain Gold")</f>
        <v>Plain Gold</v>
      </c>
      <c r="G1247" s="1"/>
      <c r="H1247" s="1" t="str">
        <f>IFERROR(__xludf.DUMMYFUNCTION("""COMPUTED_VALUE"""),"Tops")</f>
        <v>Tops</v>
      </c>
      <c r="I1247" s="1" t="str">
        <f>IFERROR(__xludf.DUMMYFUNCTION("""COMPUTED_VALUE"""),"Looking for a design they couldn't found")</f>
        <v>Looking for a design they couldn't found</v>
      </c>
      <c r="J1247" s="1"/>
      <c r="K1247" s="3">
        <f>IFERROR(__xludf.DUMMYFUNCTION("""COMPUTED_VALUE"""),0.7381944444423425)</f>
        <v>0.7381944444</v>
      </c>
      <c r="L1247" s="1" t="str">
        <f>IFERROR(__xludf.DUMMYFUNCTION("""COMPUTED_VALUE"""),"No")</f>
        <v>No</v>
      </c>
      <c r="M1247" s="1" t="str">
        <f>IFERROR(__xludf.DUMMYFUNCTION("""COMPUTED_VALUE"""),"No")</f>
        <v>No</v>
      </c>
      <c r="N1247" s="1" t="str">
        <f>IFERROR(__xludf.DUMMYFUNCTION("""COMPUTED_VALUE"""),"No")</f>
        <v>No</v>
      </c>
      <c r="O1247" s="1" t="str">
        <f>IFERROR(__xludf.DUMMYFUNCTION("""COMPUTED_VALUE"""),"WA ONLY")</f>
        <v>WA ONLY</v>
      </c>
      <c r="P1247" s="1" t="str">
        <f>IFERROR(__xludf.DUMMYFUNCTION("""COMPUTED_VALUE"""),"Madam")</f>
        <v>Madam</v>
      </c>
      <c r="Q1247" s="1" t="str">
        <f>IFERROR(__xludf.DUMMYFUNCTION("""COMPUTED_VALUE"""),"No")</f>
        <v>No</v>
      </c>
      <c r="R1247" s="1" t="str">
        <f>IFERROR(__xludf.DUMMYFUNCTION("""COMPUTED_VALUE"""),"NEW WALK IN")</f>
        <v>NEW WALK IN</v>
      </c>
      <c r="S1247" s="1" t="str">
        <f>IFERROR(__xludf.DUMMYFUNCTION("""COMPUTED_VALUE"""),"No")</f>
        <v>No</v>
      </c>
    </row>
    <row r="1248">
      <c r="A1248" s="2">
        <f>IFERROR(__xludf.DUMMYFUNCTION("""COMPUTED_VALUE"""),45893.77442508102)</f>
        <v>45893.77443</v>
      </c>
      <c r="B1248" s="1" t="str">
        <f>IFERROR(__xludf.DUMMYFUNCTION("""COMPUTED_VALUE"""),"Bhumika")</f>
        <v>Bhumika</v>
      </c>
      <c r="C1248" s="1">
        <f>IFERROR(__xludf.DUMMYFUNCTION("""COMPUTED_VALUE"""),8.076243029E9)</f>
        <v>8076243029</v>
      </c>
      <c r="D1248" s="1">
        <f>IFERROR(__xludf.DUMMYFUNCTION("""COMPUTED_VALUE"""),3.0)</f>
        <v>3</v>
      </c>
      <c r="E1248" s="3">
        <f>IFERROR(__xludf.DUMMYFUNCTION("""COMPUTED_VALUE"""),0.765277777776646)</f>
        <v>0.7652777778</v>
      </c>
      <c r="F1248" s="1" t="str">
        <f>IFERROR(__xludf.DUMMYFUNCTION("""COMPUTED_VALUE"""),"Plain Gold")</f>
        <v>Plain Gold</v>
      </c>
      <c r="G1248" s="1" t="str">
        <f>IFERROR(__xludf.DUMMYFUNCTION("""COMPUTED_VALUE"""),"Sapna")</f>
        <v>Sapna</v>
      </c>
      <c r="H1248" s="1" t="str">
        <f>IFERROR(__xludf.DUMMYFUNCTION("""COMPUTED_VALUE"""),"Pendent set")</f>
        <v>Pendent set</v>
      </c>
      <c r="I1248" s="1" t="str">
        <f>IFERROR(__xludf.DUMMYFUNCTION("""COMPUTED_VALUE"""),"Their budget was not sufficient ")</f>
        <v>Their budget was not sufficient </v>
      </c>
      <c r="J1248" s="1"/>
      <c r="K1248" s="3">
        <f>IFERROR(__xludf.DUMMYFUNCTION("""COMPUTED_VALUE"""),0.7694444444423425)</f>
        <v>0.7694444444</v>
      </c>
      <c r="L1248" s="1" t="str">
        <f>IFERROR(__xludf.DUMMYFUNCTION("""COMPUTED_VALUE"""),"No")</f>
        <v>No</v>
      </c>
      <c r="M1248" s="1" t="str">
        <f>IFERROR(__xludf.DUMMYFUNCTION("""COMPUTED_VALUE"""),"No")</f>
        <v>No</v>
      </c>
      <c r="N1248" s="1" t="str">
        <f>IFERROR(__xludf.DUMMYFUNCTION("""COMPUTED_VALUE"""),"No")</f>
        <v>No</v>
      </c>
      <c r="O1248" s="1" t="str">
        <f>IFERROR(__xludf.DUMMYFUNCTION("""COMPUTED_VALUE"""),"WA ONLY")</f>
        <v>WA ONLY</v>
      </c>
      <c r="P1248" s="1" t="str">
        <f>IFERROR(__xludf.DUMMYFUNCTION("""COMPUTED_VALUE"""),"Madam")</f>
        <v>Madam</v>
      </c>
      <c r="Q1248" s="1" t="str">
        <f>IFERROR(__xludf.DUMMYFUNCTION("""COMPUTED_VALUE"""),"No")</f>
        <v>No</v>
      </c>
      <c r="R1248" s="1" t="str">
        <f>IFERROR(__xludf.DUMMYFUNCTION("""COMPUTED_VALUE"""),"NEW WALK IN")</f>
        <v>NEW WALK IN</v>
      </c>
      <c r="S1248" s="1" t="str">
        <f>IFERROR(__xludf.DUMMYFUNCTION("""COMPUTED_VALUE"""),"No")</f>
        <v>No</v>
      </c>
    </row>
    <row r="1249">
      <c r="A1249" s="2">
        <f>IFERROR(__xludf.DUMMYFUNCTION("""COMPUTED_VALUE"""),45895.6406719213)</f>
        <v>45895.64067</v>
      </c>
      <c r="B1249" s="1" t="str">
        <f>IFERROR(__xludf.DUMMYFUNCTION("""COMPUTED_VALUE"""),"Ashutosh Pandey ji")</f>
        <v>Ashutosh Pandey ji</v>
      </c>
      <c r="C1249" s="1">
        <f>IFERROR(__xludf.DUMMYFUNCTION("""COMPUTED_VALUE"""),9.870340842E9)</f>
        <v>9870340842</v>
      </c>
      <c r="D1249" s="1">
        <f>IFERROR(__xludf.DUMMYFUNCTION("""COMPUTED_VALUE"""),2.0)</f>
        <v>2</v>
      </c>
      <c r="E1249" s="3">
        <f>IFERROR(__xludf.DUMMYFUNCTION("""COMPUTED_VALUE"""),0.6999999999970896)</f>
        <v>0.7</v>
      </c>
      <c r="F1249" s="1" t="str">
        <f>IFERROR(__xludf.DUMMYFUNCTION("""COMPUTED_VALUE"""),"Plain Gold")</f>
        <v>Plain Gold</v>
      </c>
      <c r="G1249" s="1"/>
      <c r="H1249" s="1" t="str">
        <f>IFERROR(__xludf.DUMMYFUNCTION("""COMPUTED_VALUE"""),"Jhumki")</f>
        <v>Jhumki</v>
      </c>
      <c r="I1249" s="1"/>
      <c r="J1249" s="1"/>
      <c r="K1249" s="3">
        <f>IFERROR(__xludf.DUMMYFUNCTION("""COMPUTED_VALUE"""),0.75)</f>
        <v>0.75</v>
      </c>
      <c r="L1249" s="1" t="str">
        <f>IFERROR(__xludf.DUMMYFUNCTION("""COMPUTED_VALUE"""),"No")</f>
        <v>No</v>
      </c>
      <c r="M1249" s="1" t="str">
        <f>IFERROR(__xludf.DUMMYFUNCTION("""COMPUTED_VALUE"""),"Yes")</f>
        <v>Yes</v>
      </c>
      <c r="N1249" s="1" t="str">
        <f>IFERROR(__xludf.DUMMYFUNCTION("""COMPUTED_VALUE"""),"No")</f>
        <v>No</v>
      </c>
      <c r="O1249" s="1" t="str">
        <f>IFERROR(__xludf.DUMMYFUNCTION("""COMPUTED_VALUE"""),"WA ONLY")</f>
        <v>WA ONLY</v>
      </c>
      <c r="P1249" s="1" t="str">
        <f>IFERROR(__xludf.DUMMYFUNCTION("""COMPUTED_VALUE"""),"Sir")</f>
        <v>Sir</v>
      </c>
      <c r="Q1249" s="1" t="str">
        <f>IFERROR(__xludf.DUMMYFUNCTION("""COMPUTED_VALUE"""),"No")</f>
        <v>No</v>
      </c>
      <c r="R1249" s="1" t="str">
        <f>IFERROR(__xludf.DUMMYFUNCTION("""COMPUTED_VALUE"""),"OLD")</f>
        <v>OLD</v>
      </c>
      <c r="S1249" s="1" t="str">
        <f>IFERROR(__xludf.DUMMYFUNCTION("""COMPUTED_VALUE"""),"Yes")</f>
        <v>Yes</v>
      </c>
    </row>
    <row r="1250">
      <c r="A1250" s="2">
        <f>IFERROR(__xludf.DUMMYFUNCTION("""COMPUTED_VALUE"""),45895.64207163194)</f>
        <v>45895.64207</v>
      </c>
      <c r="B1250" s="1" t="str">
        <f>IFERROR(__xludf.DUMMYFUNCTION("""COMPUTED_VALUE"""),"Om Raghuvanshi")</f>
        <v>Om Raghuvanshi</v>
      </c>
      <c r="C1250" s="1">
        <f>IFERROR(__xludf.DUMMYFUNCTION("""COMPUTED_VALUE"""),8.447309345E9)</f>
        <v>8447309345</v>
      </c>
      <c r="D1250" s="1">
        <f>IFERROR(__xludf.DUMMYFUNCTION("""COMPUTED_VALUE"""),3.0)</f>
        <v>3</v>
      </c>
      <c r="E1250" s="3">
        <f>IFERROR(__xludf.DUMMYFUNCTION("""COMPUTED_VALUE"""),0.7159722222204437)</f>
        <v>0.7159722222</v>
      </c>
      <c r="F1250" s="1" t="str">
        <f>IFERROR(__xludf.DUMMYFUNCTION("""COMPUTED_VALUE"""),"Diamond")</f>
        <v>Diamond</v>
      </c>
      <c r="G1250" s="1" t="str">
        <f>IFERROR(__xludf.DUMMYFUNCTION("""COMPUTED_VALUE"""),"Radhu Mam")</f>
        <v>Radhu Mam</v>
      </c>
      <c r="H1250" s="1" t="str">
        <f>IFERROR(__xludf.DUMMYFUNCTION("""COMPUTED_VALUE"""),"Headband")</f>
        <v>Headband</v>
      </c>
      <c r="I1250" s="1"/>
      <c r="J1250" s="1"/>
      <c r="K1250" s="3">
        <f>IFERROR(__xludf.DUMMYFUNCTION("""COMPUTED_VALUE"""),0.7506944444467081)</f>
        <v>0.7506944444</v>
      </c>
      <c r="L1250" s="1" t="str">
        <f>IFERROR(__xludf.DUMMYFUNCTION("""COMPUTED_VALUE"""),"No")</f>
        <v>No</v>
      </c>
      <c r="M1250" s="1" t="str">
        <f>IFERROR(__xludf.DUMMYFUNCTION("""COMPUTED_VALUE"""),"No")</f>
        <v>No</v>
      </c>
      <c r="N1250" s="1" t="str">
        <f>IFERROR(__xludf.DUMMYFUNCTION("""COMPUTED_VALUE"""),"No")</f>
        <v>No</v>
      </c>
      <c r="O1250" s="1" t="str">
        <f>IFERROR(__xludf.DUMMYFUNCTION("""COMPUTED_VALUE"""),"OWNER CONTACT ONLY")</f>
        <v>OWNER CONTACT ONLY</v>
      </c>
      <c r="P1250" s="1" t="str">
        <f>IFERROR(__xludf.DUMMYFUNCTION("""COMPUTED_VALUE"""),"Sir")</f>
        <v>Sir</v>
      </c>
      <c r="Q1250" s="1" t="str">
        <f>IFERROR(__xludf.DUMMYFUNCTION("""COMPUTED_VALUE"""),"No")</f>
        <v>No</v>
      </c>
      <c r="R1250" s="1" t="str">
        <f>IFERROR(__xludf.DUMMYFUNCTION("""COMPUTED_VALUE"""),"NEW WALK IN")</f>
        <v>NEW WALK IN</v>
      </c>
      <c r="S1250" s="1" t="str">
        <f>IFERROR(__xludf.DUMMYFUNCTION("""COMPUTED_VALUE"""),"Yes")</f>
        <v>Yes</v>
      </c>
    </row>
    <row r="1251">
      <c r="A1251" s="2">
        <f>IFERROR(__xludf.DUMMYFUNCTION("""COMPUTED_VALUE"""),45895.64326524305)</f>
        <v>45895.64327</v>
      </c>
      <c r="B1251" s="1" t="str">
        <f>IFERROR(__xludf.DUMMYFUNCTION("""COMPUTED_VALUE"""),"Dolly ")</f>
        <v>Dolly </v>
      </c>
      <c r="C1251" s="1">
        <f>IFERROR(__xludf.DUMMYFUNCTION("""COMPUTED_VALUE"""),8.595559063E9)</f>
        <v>8595559063</v>
      </c>
      <c r="D1251" s="1">
        <f>IFERROR(__xludf.DUMMYFUNCTION("""COMPUTED_VALUE"""),2.0)</f>
        <v>2</v>
      </c>
      <c r="E1251" s="3">
        <f>IFERROR(__xludf.DUMMYFUNCTION("""COMPUTED_VALUE"""),0.734027777776646)</f>
        <v>0.7340277778</v>
      </c>
      <c r="F1251" s="1" t="str">
        <f>IFERROR(__xludf.DUMMYFUNCTION("""COMPUTED_VALUE"""),"Plain Gold")</f>
        <v>Plain Gold</v>
      </c>
      <c r="G1251" s="1"/>
      <c r="H1251" s="1" t="str">
        <f>IFERROR(__xludf.DUMMYFUNCTION("""COMPUTED_VALUE"""),"Tops")</f>
        <v>Tops</v>
      </c>
      <c r="I1251" s="1" t="str">
        <f>IFERROR(__xludf.DUMMYFUNCTION("""COMPUTED_VALUE"""),"Designs Not Liked")</f>
        <v>Designs Not Liked</v>
      </c>
      <c r="J1251" s="1"/>
      <c r="K1251" s="3">
        <f>IFERROR(__xludf.DUMMYFUNCTION("""COMPUTED_VALUE"""),0.7381944444423425)</f>
        <v>0.7381944444</v>
      </c>
      <c r="L1251" s="1" t="str">
        <f>IFERROR(__xludf.DUMMYFUNCTION("""COMPUTED_VALUE"""),"No")</f>
        <v>No</v>
      </c>
      <c r="M1251" s="1" t="str">
        <f>IFERROR(__xludf.DUMMYFUNCTION("""COMPUTED_VALUE"""),"No")</f>
        <v>No</v>
      </c>
      <c r="N1251" s="1" t="str">
        <f>IFERROR(__xludf.DUMMYFUNCTION("""COMPUTED_VALUE"""),"No")</f>
        <v>No</v>
      </c>
      <c r="O1251" s="1" t="str">
        <f>IFERROR(__xludf.DUMMYFUNCTION("""COMPUTED_VALUE"""),"WA ONLY")</f>
        <v>WA ONLY</v>
      </c>
      <c r="P1251" s="1" t="str">
        <f>IFERROR(__xludf.DUMMYFUNCTION("""COMPUTED_VALUE"""),"Madam")</f>
        <v>Madam</v>
      </c>
      <c r="Q1251" s="1" t="str">
        <f>IFERROR(__xludf.DUMMYFUNCTION("""COMPUTED_VALUE"""),"No")</f>
        <v>No</v>
      </c>
      <c r="R1251" s="1" t="str">
        <f>IFERROR(__xludf.DUMMYFUNCTION("""COMPUTED_VALUE"""),"NEW WALK IN")</f>
        <v>NEW WALK IN</v>
      </c>
      <c r="S1251" s="1" t="str">
        <f>IFERROR(__xludf.DUMMYFUNCTION("""COMPUTED_VALUE"""),"No")</f>
        <v>No</v>
      </c>
    </row>
    <row r="1252">
      <c r="A1252" s="2">
        <f>IFERROR(__xludf.DUMMYFUNCTION("""COMPUTED_VALUE"""),45895.644633738426)</f>
        <v>45895.64463</v>
      </c>
      <c r="B1252" s="1" t="str">
        <f>IFERROR(__xludf.DUMMYFUNCTION("""COMPUTED_VALUE"""),"Bhumika ji")</f>
        <v>Bhumika ji</v>
      </c>
      <c r="C1252" s="1">
        <f>IFERROR(__xludf.DUMMYFUNCTION("""COMPUTED_VALUE"""),8.076243029E9)</f>
        <v>8076243029</v>
      </c>
      <c r="D1252" s="1">
        <f>IFERROR(__xludf.DUMMYFUNCTION("""COMPUTED_VALUE"""),3.0)</f>
        <v>3</v>
      </c>
      <c r="E1252" s="3">
        <f>IFERROR(__xludf.DUMMYFUNCTION("""COMPUTED_VALUE"""),0.765277777776646)</f>
        <v>0.7652777778</v>
      </c>
      <c r="F1252" s="1" t="str">
        <f>IFERROR(__xludf.DUMMYFUNCTION("""COMPUTED_VALUE"""),"Plain Gold")</f>
        <v>Plain Gold</v>
      </c>
      <c r="G1252" s="1" t="str">
        <f>IFERROR(__xludf.DUMMYFUNCTION("""COMPUTED_VALUE"""),"Sapna")</f>
        <v>Sapna</v>
      </c>
      <c r="H1252" s="1" t="str">
        <f>IFERROR(__xludf.DUMMYFUNCTION("""COMPUTED_VALUE"""),"Pendent set")</f>
        <v>Pendent set</v>
      </c>
      <c r="I1252" s="1" t="str">
        <f>IFERROR(__xludf.DUMMYFUNCTION("""COMPUTED_VALUE"""),"Their budget was less")</f>
        <v>Their budget was less</v>
      </c>
      <c r="J1252" s="1"/>
      <c r="K1252" s="3">
        <f>IFERROR(__xludf.DUMMYFUNCTION("""COMPUTED_VALUE"""),0.7694444444423425)</f>
        <v>0.7694444444</v>
      </c>
      <c r="L1252" s="1" t="str">
        <f>IFERROR(__xludf.DUMMYFUNCTION("""COMPUTED_VALUE"""),"No")</f>
        <v>No</v>
      </c>
      <c r="M1252" s="1" t="str">
        <f>IFERROR(__xludf.DUMMYFUNCTION("""COMPUTED_VALUE"""),"No")</f>
        <v>No</v>
      </c>
      <c r="N1252" s="1" t="str">
        <f>IFERROR(__xludf.DUMMYFUNCTION("""COMPUTED_VALUE"""),"No")</f>
        <v>No</v>
      </c>
      <c r="O1252" s="1" t="str">
        <f>IFERROR(__xludf.DUMMYFUNCTION("""COMPUTED_VALUE"""),"WA ONLY")</f>
        <v>WA ONLY</v>
      </c>
      <c r="P1252" s="1" t="str">
        <f>IFERROR(__xludf.DUMMYFUNCTION("""COMPUTED_VALUE"""),"Madam")</f>
        <v>Madam</v>
      </c>
      <c r="Q1252" s="1" t="str">
        <f>IFERROR(__xludf.DUMMYFUNCTION("""COMPUTED_VALUE"""),"No")</f>
        <v>No</v>
      </c>
      <c r="R1252" s="1" t="str">
        <f>IFERROR(__xludf.DUMMYFUNCTION("""COMPUTED_VALUE"""),"NEW WALK IN")</f>
        <v>NEW WALK IN</v>
      </c>
      <c r="S1252" s="1" t="str">
        <f>IFERROR(__xludf.DUMMYFUNCTION("""COMPUTED_VALUE"""),"No")</f>
        <v>No</v>
      </c>
    </row>
    <row r="1253">
      <c r="A1253" s="2">
        <f>IFERROR(__xludf.DUMMYFUNCTION("""COMPUTED_VALUE"""),45895.708503807866)</f>
        <v>45895.7085</v>
      </c>
      <c r="B1253" s="1" t="str">
        <f>IFERROR(__xludf.DUMMYFUNCTION("""COMPUTED_VALUE"""),"Reman Sharma ji")</f>
        <v>Reman Sharma ji</v>
      </c>
      <c r="C1253" s="1">
        <f>IFERROR(__xludf.DUMMYFUNCTION("""COMPUTED_VALUE"""),8.010108099E9)</f>
        <v>8010108099</v>
      </c>
      <c r="D1253" s="1">
        <f>IFERROR(__xludf.DUMMYFUNCTION("""COMPUTED_VALUE"""),1.0)</f>
        <v>1</v>
      </c>
      <c r="E1253" s="3">
        <f>IFERROR(__xludf.DUMMYFUNCTION("""COMPUTED_VALUE"""),0.6819444444408873)</f>
        <v>0.6819444444</v>
      </c>
      <c r="F1253" s="1" t="str">
        <f>IFERROR(__xludf.DUMMYFUNCTION("""COMPUTED_VALUE"""),"Silver Items")</f>
        <v>Silver Items</v>
      </c>
      <c r="G1253" s="1" t="str">
        <f>IFERROR(__xludf.DUMMYFUNCTION("""COMPUTED_VALUE"""),"Preeti")</f>
        <v>Preeti</v>
      </c>
      <c r="H1253" s="1" t="str">
        <f>IFERROR(__xludf.DUMMYFUNCTION("""COMPUTED_VALUE"""),"Rings")</f>
        <v>Rings</v>
      </c>
      <c r="I1253" s="1" t="str">
        <f>IFERROR(__xludf.DUMMYFUNCTION("""COMPUTED_VALUE"""),"They couldn't find the design they were looking for")</f>
        <v>They couldn't find the design they were looking for</v>
      </c>
      <c r="J1253" s="1"/>
      <c r="K1253" s="3">
        <f>IFERROR(__xludf.DUMMYFUNCTION("""COMPUTED_VALUE"""),0.6888888888934162)</f>
        <v>0.6888888889</v>
      </c>
      <c r="L1253" s="1" t="str">
        <f>IFERROR(__xludf.DUMMYFUNCTION("""COMPUTED_VALUE"""),"No")</f>
        <v>No</v>
      </c>
      <c r="M1253" s="1" t="str">
        <f>IFERROR(__xludf.DUMMYFUNCTION("""COMPUTED_VALUE"""),"No")</f>
        <v>No</v>
      </c>
      <c r="N1253" s="1" t="str">
        <f>IFERROR(__xludf.DUMMYFUNCTION("""COMPUTED_VALUE"""),"No")</f>
        <v>No</v>
      </c>
      <c r="O1253" s="1" t="str">
        <f>IFERROR(__xludf.DUMMYFUNCTION("""COMPUTED_VALUE"""),"WA ONLY")</f>
        <v>WA ONLY</v>
      </c>
      <c r="P1253" s="1" t="str">
        <f>IFERROR(__xludf.DUMMYFUNCTION("""COMPUTED_VALUE"""),"Sir")</f>
        <v>Sir</v>
      </c>
      <c r="Q1253" s="1" t="str">
        <f>IFERROR(__xludf.DUMMYFUNCTION("""COMPUTED_VALUE"""),"No")</f>
        <v>No</v>
      </c>
      <c r="R1253" s="1" t="str">
        <f>IFERROR(__xludf.DUMMYFUNCTION("""COMPUTED_VALUE"""),"NEW WALK IN")</f>
        <v>NEW WALK IN</v>
      </c>
      <c r="S1253" s="1" t="str">
        <f>IFERROR(__xludf.DUMMYFUNCTION("""COMPUTED_VALUE"""),"No")</f>
        <v>No</v>
      </c>
    </row>
    <row r="1254">
      <c r="A1254" s="2">
        <f>IFERROR(__xludf.DUMMYFUNCTION("""COMPUTED_VALUE"""),45895.709881504634)</f>
        <v>45895.70988</v>
      </c>
      <c r="B1254" s="1" t="str">
        <f>IFERROR(__xludf.DUMMYFUNCTION("""COMPUTED_VALUE"""),"Afroz malik ji")</f>
        <v>Afroz malik ji</v>
      </c>
      <c r="C1254" s="1">
        <f>IFERROR(__xludf.DUMMYFUNCTION("""COMPUTED_VALUE"""),7.01198407E9)</f>
        <v>7011984070</v>
      </c>
      <c r="D1254" s="1">
        <f>IFERROR(__xludf.DUMMYFUNCTION("""COMPUTED_VALUE"""),2.0)</f>
        <v>2</v>
      </c>
      <c r="E1254" s="3">
        <f>IFERROR(__xludf.DUMMYFUNCTION("""COMPUTED_VALUE"""),0.625)</f>
        <v>0.625</v>
      </c>
      <c r="F1254" s="1" t="str">
        <f>IFERROR(__xludf.DUMMYFUNCTION("""COMPUTED_VALUE"""),"Plain Gold")</f>
        <v>Plain Gold</v>
      </c>
      <c r="G1254" s="1" t="str">
        <f>IFERROR(__xludf.DUMMYFUNCTION("""COMPUTED_VALUE"""),"Sapna")</f>
        <v>Sapna</v>
      </c>
      <c r="H1254" s="1" t="str">
        <f>IFERROR(__xludf.DUMMYFUNCTION("""COMPUTED_VALUE"""),"Rings")</f>
        <v>Rings</v>
      </c>
      <c r="I1254" s="1"/>
      <c r="J1254" s="1"/>
      <c r="K1254" s="3">
        <f>IFERROR(__xludf.DUMMYFUNCTION("""COMPUTED_VALUE"""),0.6979166666642413)</f>
        <v>0.6979166667</v>
      </c>
      <c r="L1254" s="1" t="str">
        <f>IFERROR(__xludf.DUMMYFUNCTION("""COMPUTED_VALUE"""),"No")</f>
        <v>No</v>
      </c>
      <c r="M1254" s="1" t="str">
        <f>IFERROR(__xludf.DUMMYFUNCTION("""COMPUTED_VALUE"""),"Yes")</f>
        <v>Yes</v>
      </c>
      <c r="N1254" s="1" t="str">
        <f>IFERROR(__xludf.DUMMYFUNCTION("""COMPUTED_VALUE"""),"Yes")</f>
        <v>Yes</v>
      </c>
      <c r="O1254" s="1" t="str">
        <f>IFERROR(__xludf.DUMMYFUNCTION("""COMPUTED_VALUE"""),"WA ONLY")</f>
        <v>WA ONLY</v>
      </c>
      <c r="P1254" s="1" t="str">
        <f>IFERROR(__xludf.DUMMYFUNCTION("""COMPUTED_VALUE"""),"Sir")</f>
        <v>Sir</v>
      </c>
      <c r="Q1254" s="1" t="str">
        <f>IFERROR(__xludf.DUMMYFUNCTION("""COMPUTED_VALUE"""),"No")</f>
        <v>No</v>
      </c>
      <c r="R1254" s="1" t="str">
        <f>IFERROR(__xludf.DUMMYFUNCTION("""COMPUTED_VALUE"""),"NEW WALK IN")</f>
        <v>NEW WALK IN</v>
      </c>
      <c r="S1254" s="1" t="str">
        <f>IFERROR(__xludf.DUMMYFUNCTION("""COMPUTED_VALUE"""),"Yes")</f>
        <v>Yes</v>
      </c>
    </row>
    <row r="1255">
      <c r="A1255" s="2">
        <f>IFERROR(__xludf.DUMMYFUNCTION("""COMPUTED_VALUE"""),45897.5521394213)</f>
        <v>45897.55214</v>
      </c>
      <c r="B1255" s="1" t="str">
        <f>IFERROR(__xludf.DUMMYFUNCTION("""COMPUTED_VALUE"""),"Ajay ji")</f>
        <v>Ajay ji</v>
      </c>
      <c r="C1255" s="1">
        <f>IFERROR(__xludf.DUMMYFUNCTION("""COMPUTED_VALUE"""),9.971700776E9)</f>
        <v>9971700776</v>
      </c>
      <c r="D1255" s="1">
        <f>IFERROR(__xludf.DUMMYFUNCTION("""COMPUTED_VALUE"""),2.0)</f>
        <v>2</v>
      </c>
      <c r="E1255" s="3">
        <f>IFERROR(__xludf.DUMMYFUNCTION("""COMPUTED_VALUE"""),0.53125)</f>
        <v>0.53125</v>
      </c>
      <c r="F1255" s="1" t="str">
        <f>IFERROR(__xludf.DUMMYFUNCTION("""COMPUTED_VALUE"""),"Plain Gold")</f>
        <v>Plain Gold</v>
      </c>
      <c r="G1255" s="1" t="str">
        <f>IFERROR(__xludf.DUMMYFUNCTION("""COMPUTED_VALUE"""),"Sapna")</f>
        <v>Sapna</v>
      </c>
      <c r="H1255" s="1" t="str">
        <f>IFERROR(__xludf.DUMMYFUNCTION("""COMPUTED_VALUE"""),"Gold biscuit")</f>
        <v>Gold biscuit</v>
      </c>
      <c r="I1255" s="1"/>
      <c r="J1255" s="1"/>
      <c r="K1255" s="3">
        <f>IFERROR(__xludf.DUMMYFUNCTION("""COMPUTED_VALUE"""),0.5500000000029104)</f>
        <v>0.55</v>
      </c>
      <c r="L1255" s="1" t="str">
        <f>IFERROR(__xludf.DUMMYFUNCTION("""COMPUTED_VALUE"""),"No")</f>
        <v>No</v>
      </c>
      <c r="M1255" s="1" t="str">
        <f>IFERROR(__xludf.DUMMYFUNCTION("""COMPUTED_VALUE"""),"No")</f>
        <v>No</v>
      </c>
      <c r="N1255" s="1" t="str">
        <f>IFERROR(__xludf.DUMMYFUNCTION("""COMPUTED_VALUE"""),"No")</f>
        <v>No</v>
      </c>
      <c r="O1255" s="1" t="str">
        <f>IFERROR(__xludf.DUMMYFUNCTION("""COMPUTED_VALUE"""),"WA ONLY")</f>
        <v>WA ONLY</v>
      </c>
      <c r="P1255" s="1" t="str">
        <f>IFERROR(__xludf.DUMMYFUNCTION("""COMPUTED_VALUE"""),"Sir")</f>
        <v>Sir</v>
      </c>
      <c r="Q1255" s="1" t="str">
        <f>IFERROR(__xludf.DUMMYFUNCTION("""COMPUTED_VALUE"""),"No")</f>
        <v>No</v>
      </c>
      <c r="R1255" s="1" t="str">
        <f>IFERROR(__xludf.DUMMYFUNCTION("""COMPUTED_VALUE"""),"OLD")</f>
        <v>OLD</v>
      </c>
      <c r="S1255" s="1" t="str">
        <f>IFERROR(__xludf.DUMMYFUNCTION("""COMPUTED_VALUE"""),"No")</f>
        <v>No</v>
      </c>
    </row>
    <row r="1256">
      <c r="A1256" s="2">
        <f>IFERROR(__xludf.DUMMYFUNCTION("""COMPUTED_VALUE"""),45897.79466506944)</f>
        <v>45897.79467</v>
      </c>
      <c r="B1256" s="1" t="str">
        <f>IFERROR(__xludf.DUMMYFUNCTION("""COMPUTED_VALUE"""),"Neelu ji")</f>
        <v>Neelu ji</v>
      </c>
      <c r="C1256" s="1">
        <f>IFERROR(__xludf.DUMMYFUNCTION("""COMPUTED_VALUE"""),8.800503827E9)</f>
        <v>8800503827</v>
      </c>
      <c r="D1256" s="1">
        <f>IFERROR(__xludf.DUMMYFUNCTION("""COMPUTED_VALUE"""),2.0)</f>
        <v>2</v>
      </c>
      <c r="E1256" s="3">
        <f>IFERROR(__xludf.DUMMYFUNCTION("""COMPUTED_VALUE"""),0.6770833333357587)</f>
        <v>0.6770833333</v>
      </c>
      <c r="F1256" s="1" t="str">
        <f>IFERROR(__xludf.DUMMYFUNCTION("""COMPUTED_VALUE"""),"Plain Gold")</f>
        <v>Plain Gold</v>
      </c>
      <c r="G1256" s="1" t="str">
        <f>IFERROR(__xludf.DUMMYFUNCTION("""COMPUTED_VALUE"""),"Sapna")</f>
        <v>Sapna</v>
      </c>
      <c r="H1256" s="1" t="str">
        <f>IFERROR(__xludf.DUMMYFUNCTION("""COMPUTED_VALUE"""),"Bangles")</f>
        <v>Bangles</v>
      </c>
      <c r="I1256" s="1" t="str">
        <f>IFERROR(__xludf.DUMMYFUNCTION("""COMPUTED_VALUE"""),"Ordered a bangle")</f>
        <v>Ordered a bangle</v>
      </c>
      <c r="J1256" s="1"/>
      <c r="K1256" s="3">
        <f>IFERROR(__xludf.DUMMYFUNCTION("""COMPUTED_VALUE"""),0.7152777777810115)</f>
        <v>0.7152777778</v>
      </c>
      <c r="L1256" s="1" t="str">
        <f>IFERROR(__xludf.DUMMYFUNCTION("""COMPUTED_VALUE"""),"No")</f>
        <v>No</v>
      </c>
      <c r="M1256" s="1" t="str">
        <f>IFERROR(__xludf.DUMMYFUNCTION("""COMPUTED_VALUE"""),"No")</f>
        <v>No</v>
      </c>
      <c r="N1256" s="1" t="str">
        <f>IFERROR(__xludf.DUMMYFUNCTION("""COMPUTED_VALUE"""),"No")</f>
        <v>No</v>
      </c>
      <c r="O1256" s="1" t="str">
        <f>IFERROR(__xludf.DUMMYFUNCTION("""COMPUTED_VALUE"""),"WA ONLY, OWNER CONTACT ONLY")</f>
        <v>WA ONLY, OWNER CONTACT ONLY</v>
      </c>
      <c r="P1256" s="1" t="str">
        <f>IFERROR(__xludf.DUMMYFUNCTION("""COMPUTED_VALUE"""),"Madam")</f>
        <v>Madam</v>
      </c>
      <c r="Q1256" s="1" t="str">
        <f>IFERROR(__xludf.DUMMYFUNCTION("""COMPUTED_VALUE"""),"No")</f>
        <v>No</v>
      </c>
      <c r="R1256" s="1" t="str">
        <f>IFERROR(__xludf.DUMMYFUNCTION("""COMPUTED_VALUE"""),"OLD")</f>
        <v>OLD</v>
      </c>
      <c r="S1256" s="1" t="str">
        <f>IFERROR(__xludf.DUMMYFUNCTION("""COMPUTED_VALUE"""),"No")</f>
        <v>No</v>
      </c>
    </row>
    <row r="1257">
      <c r="A1257" s="2">
        <f>IFERROR(__xludf.DUMMYFUNCTION("""COMPUTED_VALUE"""),45897.806447256946)</f>
        <v>45897.80645</v>
      </c>
      <c r="B1257" s="1" t="str">
        <f>IFERROR(__xludf.DUMMYFUNCTION("""COMPUTED_VALUE"""),"Sunita goyal ji")</f>
        <v>Sunita goyal ji</v>
      </c>
      <c r="C1257" s="1">
        <f>IFERROR(__xludf.DUMMYFUNCTION("""COMPUTED_VALUE"""),9.013927456E9)</f>
        <v>9013927456</v>
      </c>
      <c r="D1257" s="1">
        <f>IFERROR(__xludf.DUMMYFUNCTION("""COMPUTED_VALUE"""),1.0)</f>
        <v>1</v>
      </c>
      <c r="E1257" s="3">
        <f>IFERROR(__xludf.DUMMYFUNCTION("""COMPUTED_VALUE"""),0.7708333333357587)</f>
        <v>0.7708333333</v>
      </c>
      <c r="F1257" s="1" t="str">
        <f>IFERROR(__xludf.DUMMYFUNCTION("""COMPUTED_VALUE"""),"Silver Items")</f>
        <v>Silver Items</v>
      </c>
      <c r="G1257" s="1" t="str">
        <f>IFERROR(__xludf.DUMMYFUNCTION("""COMPUTED_VALUE"""),"Preeti")</f>
        <v>Preeti</v>
      </c>
      <c r="H1257" s="1" t="str">
        <f>IFERROR(__xludf.DUMMYFUNCTION("""COMPUTED_VALUE"""),"Rings tiny elephants ")</f>
        <v>Rings tiny elephants </v>
      </c>
      <c r="I1257" s="1"/>
      <c r="J1257" s="1"/>
      <c r="K1257" s="3">
        <f>IFERROR(__xludf.DUMMYFUNCTION("""COMPUTED_VALUE"""),0.8041666666686069)</f>
        <v>0.8041666667</v>
      </c>
      <c r="L1257" s="1" t="str">
        <f>IFERROR(__xludf.DUMMYFUNCTION("""COMPUTED_VALUE"""),"Yes")</f>
        <v>Yes</v>
      </c>
      <c r="M1257" s="1" t="str">
        <f>IFERROR(__xludf.DUMMYFUNCTION("""COMPUTED_VALUE"""),"Already done")</f>
        <v>Already done</v>
      </c>
      <c r="N1257" s="1" t="str">
        <f>IFERROR(__xludf.DUMMYFUNCTION("""COMPUTED_VALUE"""),"Already done")</f>
        <v>Already done</v>
      </c>
      <c r="O1257" s="1" t="str">
        <f>IFERROR(__xludf.DUMMYFUNCTION("""COMPUTED_VALUE"""),"WA ONLY, OWNER CONTACT ONLY")</f>
        <v>WA ONLY, OWNER CONTACT ONLY</v>
      </c>
      <c r="P1257" s="1" t="str">
        <f>IFERROR(__xludf.DUMMYFUNCTION("""COMPUTED_VALUE"""),"Madam")</f>
        <v>Madam</v>
      </c>
      <c r="Q1257" s="1" t="str">
        <f>IFERROR(__xludf.DUMMYFUNCTION("""COMPUTED_VALUE"""),"No")</f>
        <v>No</v>
      </c>
      <c r="R1257" s="1" t="str">
        <f>IFERROR(__xludf.DUMMYFUNCTION("""COMPUTED_VALUE"""),"OLD")</f>
        <v>OLD</v>
      </c>
      <c r="S1257" s="1" t="str">
        <f>IFERROR(__xludf.DUMMYFUNCTION("""COMPUTED_VALUE"""),"Yes")</f>
        <v>Yes</v>
      </c>
    </row>
    <row r="1258">
      <c r="A1258" s="2">
        <f>IFERROR(__xludf.DUMMYFUNCTION("""COMPUTED_VALUE"""),45898.53877373843)</f>
        <v>45898.53877</v>
      </c>
      <c r="B1258" s="1" t="str">
        <f>IFERROR(__xludf.DUMMYFUNCTION("""COMPUTED_VALUE"""),"Suhani ji")</f>
        <v>Suhani ji</v>
      </c>
      <c r="C1258" s="1">
        <f>IFERROR(__xludf.DUMMYFUNCTION("""COMPUTED_VALUE"""),8.178330055E9)</f>
        <v>8178330055</v>
      </c>
      <c r="D1258" s="1">
        <f>IFERROR(__xludf.DUMMYFUNCTION("""COMPUTED_VALUE"""),3.0)</f>
        <v>3</v>
      </c>
      <c r="E1258" s="3">
        <f>IFERROR(__xludf.DUMMYFUNCTION("""COMPUTED_VALUE"""),0.48958333333575865)</f>
        <v>0.4895833333</v>
      </c>
      <c r="F1258" s="1" t="str">
        <f>IFERROR(__xludf.DUMMYFUNCTION("""COMPUTED_VALUE"""),"Plain Gold")</f>
        <v>Plain Gold</v>
      </c>
      <c r="G1258" s="1" t="str">
        <f>IFERROR(__xludf.DUMMYFUNCTION("""COMPUTED_VALUE"""),"Sapna")</f>
        <v>Sapna</v>
      </c>
      <c r="H1258" s="1" t="str">
        <f>IFERROR(__xludf.DUMMYFUNCTION("""COMPUTED_VALUE"""),"Gold kadha")</f>
        <v>Gold kadha</v>
      </c>
      <c r="I1258" s="1" t="str">
        <f>IFERROR(__xludf.DUMMYFUNCTION("""COMPUTED_VALUE"""),"Had a design in mind they couldn't found")</f>
        <v>Had a design in mind they couldn't found</v>
      </c>
      <c r="J1258" s="1"/>
      <c r="K1258" s="3">
        <f>IFERROR(__xludf.DUMMYFUNCTION("""COMPUTED_VALUE"""),0.49791666666715173)</f>
        <v>0.4979166667</v>
      </c>
      <c r="L1258" s="1" t="str">
        <f>IFERROR(__xludf.DUMMYFUNCTION("""COMPUTED_VALUE"""),"No")</f>
        <v>No</v>
      </c>
      <c r="M1258" s="1" t="str">
        <f>IFERROR(__xludf.DUMMYFUNCTION("""COMPUTED_VALUE"""),"No")</f>
        <v>No</v>
      </c>
      <c r="N1258" s="1" t="str">
        <f>IFERROR(__xludf.DUMMYFUNCTION("""COMPUTED_VALUE"""),"No")</f>
        <v>No</v>
      </c>
      <c r="O1258" s="1" t="str">
        <f>IFERROR(__xludf.DUMMYFUNCTION("""COMPUTED_VALUE"""),"WA ONLY")</f>
        <v>WA ONLY</v>
      </c>
      <c r="P1258" s="1" t="str">
        <f>IFERROR(__xludf.DUMMYFUNCTION("""COMPUTED_VALUE"""),"Madam")</f>
        <v>Madam</v>
      </c>
      <c r="Q1258" s="1" t="str">
        <f>IFERROR(__xludf.DUMMYFUNCTION("""COMPUTED_VALUE"""),"No")</f>
        <v>No</v>
      </c>
      <c r="R1258" s="1" t="str">
        <f>IFERROR(__xludf.DUMMYFUNCTION("""COMPUTED_VALUE"""),"NEW WALK IN")</f>
        <v>NEW WALK IN</v>
      </c>
      <c r="S1258" s="1" t="str">
        <f>IFERROR(__xludf.DUMMYFUNCTION("""COMPUTED_VALUE"""),"No")</f>
        <v>No</v>
      </c>
    </row>
    <row r="1259">
      <c r="A1259" s="2">
        <f>IFERROR(__xludf.DUMMYFUNCTION("""COMPUTED_VALUE"""),45898.68524943287)</f>
        <v>45898.68525</v>
      </c>
      <c r="B1259" s="1" t="str">
        <f>IFERROR(__xludf.DUMMYFUNCTION("""COMPUTED_VALUE"""),"Ansh ji")</f>
        <v>Ansh ji</v>
      </c>
      <c r="C1259" s="1">
        <f>IFERROR(__xludf.DUMMYFUNCTION("""COMPUTED_VALUE"""),8.800471293E9)</f>
        <v>8800471293</v>
      </c>
      <c r="D1259" s="1">
        <f>IFERROR(__xludf.DUMMYFUNCTION("""COMPUTED_VALUE"""),3.0)</f>
        <v>3</v>
      </c>
      <c r="E1259" s="3">
        <f>IFERROR(__xludf.DUMMYFUNCTION("""COMPUTED_VALUE"""),0.5416666666642413)</f>
        <v>0.5416666667</v>
      </c>
      <c r="F1259" s="1" t="str">
        <f>IFERROR(__xludf.DUMMYFUNCTION("""COMPUTED_VALUE"""),"Silver Items")</f>
        <v>Silver Items</v>
      </c>
      <c r="G1259" s="1"/>
      <c r="H1259" s="1" t="str">
        <f>IFERROR(__xludf.DUMMYFUNCTION("""COMPUTED_VALUE"""),"Silver modak")</f>
        <v>Silver modak</v>
      </c>
      <c r="I1259" s="1" t="str">
        <f>IFERROR(__xludf.DUMMYFUNCTION("""COMPUTED_VALUE"""),"They were here for stones")</f>
        <v>They were here for stones</v>
      </c>
      <c r="J1259" s="1"/>
      <c r="K1259" s="3">
        <f>IFERROR(__xludf.DUMMYFUNCTION("""COMPUTED_VALUE"""),0.5729166666642413)</f>
        <v>0.5729166667</v>
      </c>
      <c r="L1259" s="1" t="str">
        <f>IFERROR(__xludf.DUMMYFUNCTION("""COMPUTED_VALUE"""),"No")</f>
        <v>No</v>
      </c>
      <c r="M1259" s="1" t="str">
        <f>IFERROR(__xludf.DUMMYFUNCTION("""COMPUTED_VALUE"""),"No")</f>
        <v>No</v>
      </c>
      <c r="N1259" s="1" t="str">
        <f>IFERROR(__xludf.DUMMYFUNCTION("""COMPUTED_VALUE"""),"No")</f>
        <v>No</v>
      </c>
      <c r="O1259" s="1" t="str">
        <f>IFERROR(__xludf.DUMMYFUNCTION("""COMPUTED_VALUE"""),"WA ONLY")</f>
        <v>WA ONLY</v>
      </c>
      <c r="P1259" s="1"/>
      <c r="Q1259" s="1" t="str">
        <f>IFERROR(__xludf.DUMMYFUNCTION("""COMPUTED_VALUE"""),"No")</f>
        <v>No</v>
      </c>
      <c r="R1259" s="1" t="str">
        <f>IFERROR(__xludf.DUMMYFUNCTION("""COMPUTED_VALUE"""),"NEW WALK IN")</f>
        <v>NEW WALK IN</v>
      </c>
      <c r="S1259" s="1" t="str">
        <f>IFERROR(__xludf.DUMMYFUNCTION("""COMPUTED_VALUE"""),"No")</f>
        <v>No</v>
      </c>
    </row>
    <row r="1260">
      <c r="A1260" s="2">
        <f>IFERROR(__xludf.DUMMYFUNCTION("""COMPUTED_VALUE"""),45898.68666386574)</f>
        <v>45898.68666</v>
      </c>
      <c r="B1260" s="1" t="str">
        <f>IFERROR(__xludf.DUMMYFUNCTION("""COMPUTED_VALUE"""),"Shiv tiwari ji")</f>
        <v>Shiv tiwari ji</v>
      </c>
      <c r="C1260" s="1">
        <f>IFERROR(__xludf.DUMMYFUNCTION("""COMPUTED_VALUE"""),9.313701872E9)</f>
        <v>9313701872</v>
      </c>
      <c r="D1260" s="1">
        <f>IFERROR(__xludf.DUMMYFUNCTION("""COMPUTED_VALUE"""),1.0)</f>
        <v>1</v>
      </c>
      <c r="E1260" s="3">
        <f>IFERROR(__xludf.DUMMYFUNCTION("""COMPUTED_VALUE"""),0.59375)</f>
        <v>0.59375</v>
      </c>
      <c r="F1260" s="1" t="str">
        <f>IFERROR(__xludf.DUMMYFUNCTION("""COMPUTED_VALUE"""),"Plain Gold")</f>
        <v>Plain Gold</v>
      </c>
      <c r="G1260" s="1" t="str">
        <f>IFERROR(__xludf.DUMMYFUNCTION("""COMPUTED_VALUE"""),"Sapna")</f>
        <v>Sapna</v>
      </c>
      <c r="H1260" s="1" t="str">
        <f>IFERROR(__xludf.DUMMYFUNCTION("""COMPUTED_VALUE"""),"Mmtc gold coin")</f>
        <v>Mmtc gold coin</v>
      </c>
      <c r="I1260" s="1" t="str">
        <f>IFERROR(__xludf.DUMMYFUNCTION("""COMPUTED_VALUE"""),"Their budget was less")</f>
        <v>Their budget was less</v>
      </c>
      <c r="J1260" s="1"/>
      <c r="K1260" s="3">
        <f>IFERROR(__xludf.DUMMYFUNCTION("""COMPUTED_VALUE"""),0.5986111111124046)</f>
        <v>0.5986111111</v>
      </c>
      <c r="L1260" s="1" t="str">
        <f>IFERROR(__xludf.DUMMYFUNCTION("""COMPUTED_VALUE"""),"No")</f>
        <v>No</v>
      </c>
      <c r="M1260" s="1" t="str">
        <f>IFERROR(__xludf.DUMMYFUNCTION("""COMPUTED_VALUE"""),"No")</f>
        <v>No</v>
      </c>
      <c r="N1260" s="1" t="str">
        <f>IFERROR(__xludf.DUMMYFUNCTION("""COMPUTED_VALUE"""),"No")</f>
        <v>No</v>
      </c>
      <c r="O1260" s="1" t="str">
        <f>IFERROR(__xludf.DUMMYFUNCTION("""COMPUTED_VALUE"""),"WA ONLY")</f>
        <v>WA ONLY</v>
      </c>
      <c r="P1260" s="1" t="str">
        <f>IFERROR(__xludf.DUMMYFUNCTION("""COMPUTED_VALUE"""),"Sir")</f>
        <v>Sir</v>
      </c>
      <c r="Q1260" s="1" t="str">
        <f>IFERROR(__xludf.DUMMYFUNCTION("""COMPUTED_VALUE"""),"No")</f>
        <v>No</v>
      </c>
      <c r="R1260" s="1" t="str">
        <f>IFERROR(__xludf.DUMMYFUNCTION("""COMPUTED_VALUE"""),"NEW WALK IN")</f>
        <v>NEW WALK IN</v>
      </c>
      <c r="S1260" s="1" t="str">
        <f>IFERROR(__xludf.DUMMYFUNCTION("""COMPUTED_VALUE"""),"No")</f>
        <v>No</v>
      </c>
    </row>
    <row r="1261">
      <c r="A1261" s="2">
        <f>IFERROR(__xludf.DUMMYFUNCTION("""COMPUTED_VALUE"""),45898.75951322917)</f>
        <v>45898.75951</v>
      </c>
      <c r="B1261" s="1" t="str">
        <f>IFERROR(__xludf.DUMMYFUNCTION("""COMPUTED_VALUE"""),"Pooja gupta ji")</f>
        <v>Pooja gupta ji</v>
      </c>
      <c r="C1261" s="1">
        <f>IFERROR(__xludf.DUMMYFUNCTION("""COMPUTED_VALUE"""),9.810140599E9)</f>
        <v>9810140599</v>
      </c>
      <c r="D1261" s="1">
        <f>IFERROR(__xludf.DUMMYFUNCTION("""COMPUTED_VALUE"""),3.0)</f>
        <v>3</v>
      </c>
      <c r="E1261" s="3">
        <f>IFERROR(__xludf.DUMMYFUNCTION("""COMPUTED_VALUE"""),0.6770833333357587)</f>
        <v>0.6770833333</v>
      </c>
      <c r="F1261" s="1" t="str">
        <f>IFERROR(__xludf.DUMMYFUNCTION("""COMPUTED_VALUE"""),"Diamond")</f>
        <v>Diamond</v>
      </c>
      <c r="G1261" s="1" t="str">
        <f>IFERROR(__xludf.DUMMYFUNCTION("""COMPUTED_VALUE"""),"Preeti")</f>
        <v>Preeti</v>
      </c>
      <c r="H1261" s="1" t="str">
        <f>IFERROR(__xludf.DUMMYFUNCTION("""COMPUTED_VALUE"""),"Diamond polki set")</f>
        <v>Diamond polki set</v>
      </c>
      <c r="I1261" s="1" t="str">
        <f>IFERROR(__xludf.DUMMYFUNCTION("""COMPUTED_VALUE"""),"Visit Again in 1 Month")</f>
        <v>Visit Again in 1 Month</v>
      </c>
      <c r="J1261" s="1"/>
      <c r="K1261" s="3">
        <f>IFERROR(__xludf.DUMMYFUNCTION("""COMPUTED_VALUE"""),0.7527777777795563)</f>
        <v>0.7527777778</v>
      </c>
      <c r="L1261" s="1" t="str">
        <f>IFERROR(__xludf.DUMMYFUNCTION("""COMPUTED_VALUE"""),"No")</f>
        <v>No</v>
      </c>
      <c r="M1261" s="1" t="str">
        <f>IFERROR(__xludf.DUMMYFUNCTION("""COMPUTED_VALUE"""),"No")</f>
        <v>No</v>
      </c>
      <c r="N1261" s="1"/>
      <c r="O1261" s="1" t="str">
        <f>IFERROR(__xludf.DUMMYFUNCTION("""COMPUTED_VALUE"""),"WA ONLY")</f>
        <v>WA ONLY</v>
      </c>
      <c r="P1261" s="1" t="str">
        <f>IFERROR(__xludf.DUMMYFUNCTION("""COMPUTED_VALUE"""),"Madam")</f>
        <v>Madam</v>
      </c>
      <c r="Q1261" s="1" t="str">
        <f>IFERROR(__xludf.DUMMYFUNCTION("""COMPUTED_VALUE"""),"No")</f>
        <v>No</v>
      </c>
      <c r="R1261" s="1" t="str">
        <f>IFERROR(__xludf.DUMMYFUNCTION("""COMPUTED_VALUE"""),"NEW WALK IN")</f>
        <v>NEW WALK IN</v>
      </c>
      <c r="S1261" s="1" t="str">
        <f>IFERROR(__xludf.DUMMYFUNCTION("""COMPUTED_VALUE"""),"No")</f>
        <v>No</v>
      </c>
    </row>
    <row r="1262">
      <c r="A1262" s="2">
        <f>IFERROR(__xludf.DUMMYFUNCTION("""COMPUTED_VALUE"""),45899.569851215274)</f>
        <v>45899.56985</v>
      </c>
      <c r="B1262" s="1" t="str">
        <f>IFERROR(__xludf.DUMMYFUNCTION("""COMPUTED_VALUE"""),"Raj Lamba ji")</f>
        <v>Raj Lamba ji</v>
      </c>
      <c r="C1262" s="1">
        <f>IFERROR(__xludf.DUMMYFUNCTION("""COMPUTED_VALUE"""),8.384049838E9)</f>
        <v>8384049838</v>
      </c>
      <c r="D1262" s="1">
        <f>IFERROR(__xludf.DUMMYFUNCTION("""COMPUTED_VALUE"""),2.0)</f>
        <v>2</v>
      </c>
      <c r="E1262" s="3">
        <f>IFERROR(__xludf.DUMMYFUNCTION("""COMPUTED_VALUE"""),0.8000000000029104)</f>
        <v>0.8</v>
      </c>
      <c r="F1262" s="1" t="str">
        <f>IFERROR(__xludf.DUMMYFUNCTION("""COMPUTED_VALUE"""),"Diamond")</f>
        <v>Diamond</v>
      </c>
      <c r="G1262" s="1" t="str">
        <f>IFERROR(__xludf.DUMMYFUNCTION("""COMPUTED_VALUE"""),"Preeti")</f>
        <v>Preeti</v>
      </c>
      <c r="H1262" s="1" t="str">
        <f>IFERROR(__xludf.DUMMYFUNCTION("""COMPUTED_VALUE"""),"Diamond tops")</f>
        <v>Diamond tops</v>
      </c>
      <c r="I1262" s="1"/>
      <c r="J1262" s="1"/>
      <c r="K1262" s="3">
        <f>IFERROR(__xludf.DUMMYFUNCTION("""COMPUTED_VALUE"""),0.8229166666642413)</f>
        <v>0.8229166667</v>
      </c>
      <c r="L1262" s="1" t="str">
        <f>IFERROR(__xludf.DUMMYFUNCTION("""COMPUTED_VALUE"""),"No")</f>
        <v>No</v>
      </c>
      <c r="M1262" s="1" t="str">
        <f>IFERROR(__xludf.DUMMYFUNCTION("""COMPUTED_VALUE"""),"Yes")</f>
        <v>Yes</v>
      </c>
      <c r="N1262" s="1" t="str">
        <f>IFERROR(__xludf.DUMMYFUNCTION("""COMPUTED_VALUE"""),"Yes")</f>
        <v>Yes</v>
      </c>
      <c r="O1262" s="1" t="str">
        <f>IFERROR(__xludf.DUMMYFUNCTION("""COMPUTED_VALUE"""),"WA ONLY")</f>
        <v>WA ONLY</v>
      </c>
      <c r="P1262" s="1" t="str">
        <f>IFERROR(__xludf.DUMMYFUNCTION("""COMPUTED_VALUE"""),"Sir")</f>
        <v>Sir</v>
      </c>
      <c r="Q1262" s="1" t="str">
        <f>IFERROR(__xludf.DUMMYFUNCTION("""COMPUTED_VALUE"""),"No")</f>
        <v>No</v>
      </c>
      <c r="R1262" s="1" t="str">
        <f>IFERROR(__xludf.DUMMYFUNCTION("""COMPUTED_VALUE"""),"OLD")</f>
        <v>OLD</v>
      </c>
      <c r="S1262" s="1" t="str">
        <f>IFERROR(__xludf.DUMMYFUNCTION("""COMPUTED_VALUE"""),"Yes")</f>
        <v>Yes</v>
      </c>
    </row>
    <row r="1263">
      <c r="A1263" s="2">
        <f>IFERROR(__xludf.DUMMYFUNCTION("""COMPUTED_VALUE"""),45899.57106844908)</f>
        <v>45899.57107</v>
      </c>
      <c r="B1263" s="1" t="str">
        <f>IFERROR(__xludf.DUMMYFUNCTION("""COMPUTED_VALUE"""),"Sushma Yadav ji")</f>
        <v>Sushma Yadav ji</v>
      </c>
      <c r="C1263" s="1">
        <f>IFERROR(__xludf.DUMMYFUNCTION("""COMPUTED_VALUE"""),9.811904046E9)</f>
        <v>9811904046</v>
      </c>
      <c r="D1263" s="1">
        <f>IFERROR(__xludf.DUMMYFUNCTION("""COMPUTED_VALUE"""),2.0)</f>
        <v>2</v>
      </c>
      <c r="E1263" s="3">
        <f>IFERROR(__xludf.DUMMYFUNCTION("""COMPUTED_VALUE"""),0.8020833333357587)</f>
        <v>0.8020833333</v>
      </c>
      <c r="F1263" s="1" t="str">
        <f>IFERROR(__xludf.DUMMYFUNCTION("""COMPUTED_VALUE"""),"Plain Gold")</f>
        <v>Plain Gold</v>
      </c>
      <c r="G1263" s="1" t="str">
        <f>IFERROR(__xludf.DUMMYFUNCTION("""COMPUTED_VALUE"""),"Sapna")</f>
        <v>Sapna</v>
      </c>
      <c r="H1263" s="1" t="str">
        <f>IFERROR(__xludf.DUMMYFUNCTION("""COMPUTED_VALUE"""),"Silver items")</f>
        <v>Silver items</v>
      </c>
      <c r="I1263" s="1"/>
      <c r="J1263" s="1"/>
      <c r="K1263" s="3">
        <f>IFERROR(__xludf.DUMMYFUNCTION("""COMPUTED_VALUE"""),0.8298611111094942)</f>
        <v>0.8298611111</v>
      </c>
      <c r="L1263" s="1" t="str">
        <f>IFERROR(__xludf.DUMMYFUNCTION("""COMPUTED_VALUE"""),"No")</f>
        <v>No</v>
      </c>
      <c r="M1263" s="1" t="str">
        <f>IFERROR(__xludf.DUMMYFUNCTION("""COMPUTED_VALUE"""),"No")</f>
        <v>No</v>
      </c>
      <c r="N1263" s="1" t="str">
        <f>IFERROR(__xludf.DUMMYFUNCTION("""COMPUTED_VALUE"""),"No")</f>
        <v>No</v>
      </c>
      <c r="O1263" s="1" t="str">
        <f>IFERROR(__xludf.DUMMYFUNCTION("""COMPUTED_VALUE"""),"WA ONLY")</f>
        <v>WA ONLY</v>
      </c>
      <c r="P1263" s="1" t="str">
        <f>IFERROR(__xludf.DUMMYFUNCTION("""COMPUTED_VALUE"""),"Madam")</f>
        <v>Madam</v>
      </c>
      <c r="Q1263" s="1" t="str">
        <f>IFERROR(__xludf.DUMMYFUNCTION("""COMPUTED_VALUE"""),"Yes")</f>
        <v>Yes</v>
      </c>
      <c r="R1263" s="1" t="str">
        <f>IFERROR(__xludf.DUMMYFUNCTION("""COMPUTED_VALUE"""),"OLD")</f>
        <v>OLD</v>
      </c>
      <c r="S1263" s="1" t="str">
        <f>IFERROR(__xludf.DUMMYFUNCTION("""COMPUTED_VALUE"""),"No")</f>
        <v>No</v>
      </c>
    </row>
    <row r="1264">
      <c r="A1264" s="2">
        <f>IFERROR(__xludf.DUMMYFUNCTION("""COMPUTED_VALUE"""),45899.57283138889)</f>
        <v>45899.57283</v>
      </c>
      <c r="B1264" s="1" t="str">
        <f>IFERROR(__xludf.DUMMYFUNCTION("""COMPUTED_VALUE"""),"Umashri ji")</f>
        <v>Umashri ji</v>
      </c>
      <c r="C1264" s="1">
        <f>IFERROR(__xludf.DUMMYFUNCTION("""COMPUTED_VALUE"""),7.83829005E9)</f>
        <v>7838290050</v>
      </c>
      <c r="D1264" s="1">
        <f>IFERROR(__xludf.DUMMYFUNCTION("""COMPUTED_VALUE"""),1.0)</f>
        <v>1</v>
      </c>
      <c r="E1264" s="3">
        <f>IFERROR(__xludf.DUMMYFUNCTION("""COMPUTED_VALUE"""),0.5520833333357587)</f>
        <v>0.5520833333</v>
      </c>
      <c r="F1264" s="1" t="str">
        <f>IFERROR(__xludf.DUMMYFUNCTION("""COMPUTED_VALUE"""),"Plain Gold")</f>
        <v>Plain Gold</v>
      </c>
      <c r="G1264" s="1" t="str">
        <f>IFERROR(__xludf.DUMMYFUNCTION("""COMPUTED_VALUE"""),"Sapna")</f>
        <v>Sapna</v>
      </c>
      <c r="H1264" s="1" t="str">
        <f>IFERROR(__xludf.DUMMYFUNCTION("""COMPUTED_VALUE"""),"Raw gold")</f>
        <v>Raw gold</v>
      </c>
      <c r="I1264" s="1" t="str">
        <f>IFERROR(__xludf.DUMMYFUNCTION("""COMPUTED_VALUE"""),"Visit Again in 1 Month")</f>
        <v>Visit Again in 1 Month</v>
      </c>
      <c r="J1264" s="1"/>
      <c r="K1264" s="3">
        <f>IFERROR(__xludf.DUMMYFUNCTION("""COMPUTED_VALUE"""),0.5569444444408873)</f>
        <v>0.5569444444</v>
      </c>
      <c r="L1264" s="1" t="str">
        <f>IFERROR(__xludf.DUMMYFUNCTION("""COMPUTED_VALUE"""),"No")</f>
        <v>No</v>
      </c>
      <c r="M1264" s="1" t="str">
        <f>IFERROR(__xludf.DUMMYFUNCTION("""COMPUTED_VALUE"""),"No")</f>
        <v>No</v>
      </c>
      <c r="N1264" s="1" t="str">
        <f>IFERROR(__xludf.DUMMYFUNCTION("""COMPUTED_VALUE"""),"No")</f>
        <v>No</v>
      </c>
      <c r="O1264" s="1" t="str">
        <f>IFERROR(__xludf.DUMMYFUNCTION("""COMPUTED_VALUE"""),"WA ONLY")</f>
        <v>WA ONLY</v>
      </c>
      <c r="P1264" s="1" t="str">
        <f>IFERROR(__xludf.DUMMYFUNCTION("""COMPUTED_VALUE"""),"Madam")</f>
        <v>Madam</v>
      </c>
      <c r="Q1264" s="1" t="str">
        <f>IFERROR(__xludf.DUMMYFUNCTION("""COMPUTED_VALUE"""),"No")</f>
        <v>No</v>
      </c>
      <c r="R1264" s="1" t="str">
        <f>IFERROR(__xludf.DUMMYFUNCTION("""COMPUTED_VALUE"""),"NEW WALK IN")</f>
        <v>NEW WALK IN</v>
      </c>
      <c r="S1264" s="1" t="str">
        <f>IFERROR(__xludf.DUMMYFUNCTION("""COMPUTED_VALUE"""),"No")</f>
        <v>No</v>
      </c>
    </row>
    <row r="1265">
      <c r="A1265" s="2">
        <f>IFERROR(__xludf.DUMMYFUNCTION("""COMPUTED_VALUE"""),45900.711137060185)</f>
        <v>45900.71114</v>
      </c>
      <c r="B1265" s="1" t="str">
        <f>IFERROR(__xludf.DUMMYFUNCTION("""COMPUTED_VALUE"""),"Tushar ji")</f>
        <v>Tushar ji</v>
      </c>
      <c r="C1265" s="1">
        <f>IFERROR(__xludf.DUMMYFUNCTION("""COMPUTED_VALUE"""),8.105988005E9)</f>
        <v>8105988005</v>
      </c>
      <c r="D1265" s="1">
        <f>IFERROR(__xludf.DUMMYFUNCTION("""COMPUTED_VALUE"""),3.0)</f>
        <v>3</v>
      </c>
      <c r="E1265" s="3">
        <f>IFERROR(__xludf.DUMMYFUNCTION("""COMPUTED_VALUE"""),0.7951388888905058)</f>
        <v>0.7951388889</v>
      </c>
      <c r="F1265" s="1" t="str">
        <f>IFERROR(__xludf.DUMMYFUNCTION("""COMPUTED_VALUE"""),"Plain Gold")</f>
        <v>Plain Gold</v>
      </c>
      <c r="G1265" s="1" t="str">
        <f>IFERROR(__xludf.DUMMYFUNCTION("""COMPUTED_VALUE"""),"Preeti")</f>
        <v>Preeti</v>
      </c>
      <c r="H1265" s="1" t="str">
        <f>IFERROR(__xludf.DUMMYFUNCTION("""COMPUTED_VALUE"""),"Ring bracelet ")</f>
        <v>Ring bracelet </v>
      </c>
      <c r="I1265" s="1"/>
      <c r="J1265" s="1"/>
      <c r="K1265" s="3">
        <f>IFERROR(__xludf.DUMMYFUNCTION("""COMPUTED_VALUE"""),0.8229166666642413)</f>
        <v>0.8229166667</v>
      </c>
      <c r="L1265" s="1" t="str">
        <f>IFERROR(__xludf.DUMMYFUNCTION("""COMPUTED_VALUE"""),"No")</f>
        <v>No</v>
      </c>
      <c r="M1265" s="1" t="str">
        <f>IFERROR(__xludf.DUMMYFUNCTION("""COMPUTED_VALUE"""),"Already done")</f>
        <v>Already done</v>
      </c>
      <c r="N1265" s="1" t="str">
        <f>IFERROR(__xludf.DUMMYFUNCTION("""COMPUTED_VALUE"""),"Already done")</f>
        <v>Already done</v>
      </c>
      <c r="O1265" s="1" t="str">
        <f>IFERROR(__xludf.DUMMYFUNCTION("""COMPUTED_VALUE"""),"WA ONLY, OWNER CONTACT ONLY")</f>
        <v>WA ONLY, OWNER CONTACT ONLY</v>
      </c>
      <c r="P1265" s="1" t="str">
        <f>IFERROR(__xludf.DUMMYFUNCTION("""COMPUTED_VALUE"""),"Sir")</f>
        <v>Sir</v>
      </c>
      <c r="Q1265" s="1" t="str">
        <f>IFERROR(__xludf.DUMMYFUNCTION("""COMPUTED_VALUE"""),"No")</f>
        <v>No</v>
      </c>
      <c r="R1265" s="1" t="str">
        <f>IFERROR(__xludf.DUMMYFUNCTION("""COMPUTED_VALUE"""),"OLD")</f>
        <v>OLD</v>
      </c>
      <c r="S1265" s="1" t="str">
        <f>IFERROR(__xludf.DUMMYFUNCTION("""COMPUTED_VALUE"""),"Yes")</f>
        <v>Yes</v>
      </c>
    </row>
    <row r="1266">
      <c r="A1266" s="2">
        <f>IFERROR(__xludf.DUMMYFUNCTION("""COMPUTED_VALUE"""),45900.71230321759)</f>
        <v>45900.7123</v>
      </c>
      <c r="B1266" s="1" t="str">
        <f>IFERROR(__xludf.DUMMYFUNCTION("""COMPUTED_VALUE"""),"Shahista khan mam")</f>
        <v>Shahista khan mam</v>
      </c>
      <c r="C1266" s="1">
        <f>IFERROR(__xludf.DUMMYFUNCTION("""COMPUTED_VALUE"""),8.860741616E9)</f>
        <v>8860741616</v>
      </c>
      <c r="D1266" s="1">
        <f>IFERROR(__xludf.DUMMYFUNCTION("""COMPUTED_VALUE"""),1.0)</f>
        <v>1</v>
      </c>
      <c r="E1266" s="3">
        <f>IFERROR(__xludf.DUMMYFUNCTION("""COMPUTED_VALUE"""),0.5208333333357587)</f>
        <v>0.5208333333</v>
      </c>
      <c r="F1266" s="1" t="str">
        <f>IFERROR(__xludf.DUMMYFUNCTION("""COMPUTED_VALUE"""),"Silver Items")</f>
        <v>Silver Items</v>
      </c>
      <c r="G1266" s="1"/>
      <c r="H1266" s="1" t="str">
        <f>IFERROR(__xludf.DUMMYFUNCTION("""COMPUTED_VALUE"""),"Bracelet")</f>
        <v>Bracelet</v>
      </c>
      <c r="I1266" s="1"/>
      <c r="J1266" s="1"/>
      <c r="K1266" s="3">
        <f>IFERROR(__xludf.DUMMYFUNCTION("""COMPUTED_VALUE"""),0.6041666666642413)</f>
        <v>0.6041666667</v>
      </c>
      <c r="L1266" s="1" t="str">
        <f>IFERROR(__xludf.DUMMYFUNCTION("""COMPUTED_VALUE"""),"No")</f>
        <v>No</v>
      </c>
      <c r="M1266" s="1" t="str">
        <f>IFERROR(__xludf.DUMMYFUNCTION("""COMPUTED_VALUE"""),"No")</f>
        <v>No</v>
      </c>
      <c r="N1266" s="1" t="str">
        <f>IFERROR(__xludf.DUMMYFUNCTION("""COMPUTED_VALUE"""),"No")</f>
        <v>No</v>
      </c>
      <c r="O1266" s="1" t="str">
        <f>IFERROR(__xludf.DUMMYFUNCTION("""COMPUTED_VALUE"""),"WA ONLY, OWNER CONTACT ONLY")</f>
        <v>WA ONLY, OWNER CONTACT ONLY</v>
      </c>
      <c r="P1266" s="1" t="str">
        <f>IFERROR(__xludf.DUMMYFUNCTION("""COMPUTED_VALUE"""),"Madam")</f>
        <v>Madam</v>
      </c>
      <c r="Q1266" s="1" t="str">
        <f>IFERROR(__xludf.DUMMYFUNCTION("""COMPUTED_VALUE"""),"No")</f>
        <v>No</v>
      </c>
      <c r="R1266" s="1" t="str">
        <f>IFERROR(__xludf.DUMMYFUNCTION("""COMPUTED_VALUE"""),"OLD")</f>
        <v>OLD</v>
      </c>
      <c r="S1266" s="1" t="str">
        <f>IFERROR(__xludf.DUMMYFUNCTION("""COMPUTED_VALUE"""),"Yes")</f>
        <v>Yes</v>
      </c>
    </row>
    <row r="1267">
      <c r="A1267" s="2">
        <f>IFERROR(__xludf.DUMMYFUNCTION("""COMPUTED_VALUE"""),45900.724734351854)</f>
        <v>45900.72473</v>
      </c>
      <c r="B1267" s="1" t="str">
        <f>IFERROR(__xludf.DUMMYFUNCTION("""COMPUTED_VALUE"""),"Vishwajeet ji")</f>
        <v>Vishwajeet ji</v>
      </c>
      <c r="C1267" s="1">
        <f>IFERROR(__xludf.DUMMYFUNCTION("""COMPUTED_VALUE"""),8.076626167E9)</f>
        <v>8076626167</v>
      </c>
      <c r="D1267" s="1">
        <f>IFERROR(__xludf.DUMMYFUNCTION("""COMPUTED_VALUE"""),4.0)</f>
        <v>4</v>
      </c>
      <c r="E1267" s="3">
        <f>IFERROR(__xludf.DUMMYFUNCTION("""COMPUTED_VALUE"""),0.5833333333357587)</f>
        <v>0.5833333333</v>
      </c>
      <c r="F1267" s="1" t="str">
        <f>IFERROR(__xludf.DUMMYFUNCTION("""COMPUTED_VALUE"""),"Plain Gold")</f>
        <v>Plain Gold</v>
      </c>
      <c r="G1267" s="1" t="str">
        <f>IFERROR(__xludf.DUMMYFUNCTION("""COMPUTED_VALUE"""),"Sapna")</f>
        <v>Sapna</v>
      </c>
      <c r="H1267" s="1" t="str">
        <f>IFERROR(__xludf.DUMMYFUNCTION("""COMPUTED_VALUE"""),"Gold set")</f>
        <v>Gold set</v>
      </c>
      <c r="I1267" s="1"/>
      <c r="J1267" s="1"/>
      <c r="K1267" s="3">
        <f>IFERROR(__xludf.DUMMYFUNCTION("""COMPUTED_VALUE"""),0.7083333333357587)</f>
        <v>0.7083333333</v>
      </c>
      <c r="L1267" s="1" t="str">
        <f>IFERROR(__xludf.DUMMYFUNCTION("""COMPUTED_VALUE"""),"No")</f>
        <v>No</v>
      </c>
      <c r="M1267" s="1" t="str">
        <f>IFERROR(__xludf.DUMMYFUNCTION("""COMPUTED_VALUE"""),"Yes")</f>
        <v>Yes</v>
      </c>
      <c r="N1267" s="1" t="str">
        <f>IFERROR(__xludf.DUMMYFUNCTION("""COMPUTED_VALUE"""),"No")</f>
        <v>No</v>
      </c>
      <c r="O1267" s="1" t="str">
        <f>IFERROR(__xludf.DUMMYFUNCTION("""COMPUTED_VALUE"""),"WA ONLY")</f>
        <v>WA ONLY</v>
      </c>
      <c r="P1267" s="1" t="str">
        <f>IFERROR(__xludf.DUMMYFUNCTION("""COMPUTED_VALUE"""),"Sir")</f>
        <v>Sir</v>
      </c>
      <c r="Q1267" s="1" t="str">
        <f>IFERROR(__xludf.DUMMYFUNCTION("""COMPUTED_VALUE"""),"No")</f>
        <v>No</v>
      </c>
      <c r="R1267" s="1" t="str">
        <f>IFERROR(__xludf.DUMMYFUNCTION("""COMPUTED_VALUE"""),"NEW WALK IN")</f>
        <v>NEW WALK IN</v>
      </c>
      <c r="S1267" s="1" t="str">
        <f>IFERROR(__xludf.DUMMYFUNCTION("""COMPUTED_VALUE"""),"Yes")</f>
        <v>Yes</v>
      </c>
    </row>
    <row r="1268">
      <c r="A1268" s="2">
        <f>IFERROR(__xludf.DUMMYFUNCTION("""COMPUTED_VALUE"""),45900.726182708335)</f>
        <v>45900.72618</v>
      </c>
      <c r="B1268" s="1" t="str">
        <f>IFERROR(__xludf.DUMMYFUNCTION("""COMPUTED_VALUE"""),"Gaurav ji")</f>
        <v>Gaurav ji</v>
      </c>
      <c r="C1268" s="1">
        <f>IFERROR(__xludf.DUMMYFUNCTION("""COMPUTED_VALUE"""),9.821329234E9)</f>
        <v>9821329234</v>
      </c>
      <c r="D1268" s="1">
        <f>IFERROR(__xludf.DUMMYFUNCTION("""COMPUTED_VALUE"""),4.0)</f>
        <v>4</v>
      </c>
      <c r="E1268" s="3">
        <f>IFERROR(__xludf.DUMMYFUNCTION("""COMPUTED_VALUE"""),0.6805555555547471)</f>
        <v>0.6805555556</v>
      </c>
      <c r="F1268" s="1" t="str">
        <f>IFERROR(__xludf.DUMMYFUNCTION("""COMPUTED_VALUE"""),"Plain Gold")</f>
        <v>Plain Gold</v>
      </c>
      <c r="G1268" s="1"/>
      <c r="H1268" s="1" t="str">
        <f>IFERROR(__xludf.DUMMYFUNCTION("""COMPUTED_VALUE"""),"Raw gold 50 gm")</f>
        <v>Raw gold 50 gm</v>
      </c>
      <c r="I1268" s="1"/>
      <c r="J1268" s="1"/>
      <c r="K1268" s="3">
        <f>IFERROR(__xludf.DUMMYFUNCTION("""COMPUTED_VALUE"""),0.7083333333357587)</f>
        <v>0.7083333333</v>
      </c>
      <c r="L1268" s="1" t="str">
        <f>IFERROR(__xludf.DUMMYFUNCTION("""COMPUTED_VALUE"""),"No")</f>
        <v>No</v>
      </c>
      <c r="M1268" s="1" t="str">
        <f>IFERROR(__xludf.DUMMYFUNCTION("""COMPUTED_VALUE"""),"Already done")</f>
        <v>Already done</v>
      </c>
      <c r="N1268" s="1" t="str">
        <f>IFERROR(__xludf.DUMMYFUNCTION("""COMPUTED_VALUE"""),"Yes")</f>
        <v>Yes</v>
      </c>
      <c r="O1268" s="1" t="str">
        <f>IFERROR(__xludf.DUMMYFUNCTION("""COMPUTED_VALUE"""),"WA ONLY, OWNER CONTACT ONLY")</f>
        <v>WA ONLY, OWNER CONTACT ONLY</v>
      </c>
      <c r="P1268" s="1" t="str">
        <f>IFERROR(__xludf.DUMMYFUNCTION("""COMPUTED_VALUE"""),"Sir")</f>
        <v>Sir</v>
      </c>
      <c r="Q1268" s="1" t="str">
        <f>IFERROR(__xludf.DUMMYFUNCTION("""COMPUTED_VALUE"""),"No")</f>
        <v>No</v>
      </c>
      <c r="R1268" s="1" t="str">
        <f>IFERROR(__xludf.DUMMYFUNCTION("""COMPUTED_VALUE"""),"OLD")</f>
        <v>OLD</v>
      </c>
      <c r="S1268" s="1" t="str">
        <f>IFERROR(__xludf.DUMMYFUNCTION("""COMPUTED_VALUE"""),"Yes")</f>
        <v>Yes</v>
      </c>
    </row>
    <row r="1269">
      <c r="A1269" s="2">
        <f>IFERROR(__xludf.DUMMYFUNCTION("""COMPUTED_VALUE"""),45900.80374994213)</f>
        <v>45900.80375</v>
      </c>
      <c r="B1269" s="1" t="str">
        <f>IFERROR(__xludf.DUMMYFUNCTION("""COMPUTED_VALUE"""),"Aashima ji")</f>
        <v>Aashima ji</v>
      </c>
      <c r="C1269" s="1">
        <f>IFERROR(__xludf.DUMMYFUNCTION("""COMPUTED_VALUE"""),8.826736892E9)</f>
        <v>8826736892</v>
      </c>
      <c r="D1269" s="1">
        <f>IFERROR(__xludf.DUMMYFUNCTION("""COMPUTED_VALUE"""),2.0)</f>
        <v>2</v>
      </c>
      <c r="E1269" s="3">
        <f>IFERROR(__xludf.DUMMYFUNCTION("""COMPUTED_VALUE"""),0.75)</f>
        <v>0.75</v>
      </c>
      <c r="F1269" s="1" t="str">
        <f>IFERROR(__xludf.DUMMYFUNCTION("""COMPUTED_VALUE"""),"Plain Gold")</f>
        <v>Plain Gold</v>
      </c>
      <c r="G1269" s="1" t="str">
        <f>IFERROR(__xludf.DUMMYFUNCTION("""COMPUTED_VALUE"""),"Sapna")</f>
        <v>Sapna</v>
      </c>
      <c r="H1269" s="1" t="str">
        <f>IFERROR(__xludf.DUMMYFUNCTION("""COMPUTED_VALUE"""),"Baby kadha")</f>
        <v>Baby kadha</v>
      </c>
      <c r="I1269" s="1" t="str">
        <f>IFERROR(__xludf.DUMMYFUNCTION("""COMPUTED_VALUE"""),"They don't know the size")</f>
        <v>They don't know the size</v>
      </c>
      <c r="J1269" s="1"/>
      <c r="K1269" s="3">
        <f>IFERROR(__xludf.DUMMYFUNCTION("""COMPUTED_VALUE"""),0.7548611111124046)</f>
        <v>0.7548611111</v>
      </c>
      <c r="L1269" s="1" t="str">
        <f>IFERROR(__xludf.DUMMYFUNCTION("""COMPUTED_VALUE"""),"No")</f>
        <v>No</v>
      </c>
      <c r="M1269" s="1" t="str">
        <f>IFERROR(__xludf.DUMMYFUNCTION("""COMPUTED_VALUE"""),"No")</f>
        <v>No</v>
      </c>
      <c r="N1269" s="1" t="str">
        <f>IFERROR(__xludf.DUMMYFUNCTION("""COMPUTED_VALUE"""),"No")</f>
        <v>No</v>
      </c>
      <c r="O1269" s="1" t="str">
        <f>IFERROR(__xludf.DUMMYFUNCTION("""COMPUTED_VALUE"""),"WA ONLY")</f>
        <v>WA ONLY</v>
      </c>
      <c r="P1269" s="1" t="str">
        <f>IFERROR(__xludf.DUMMYFUNCTION("""COMPUTED_VALUE"""),"Madam")</f>
        <v>Madam</v>
      </c>
      <c r="Q1269" s="1" t="str">
        <f>IFERROR(__xludf.DUMMYFUNCTION("""COMPUTED_VALUE"""),"No")</f>
        <v>No</v>
      </c>
      <c r="R1269" s="1" t="str">
        <f>IFERROR(__xludf.DUMMYFUNCTION("""COMPUTED_VALUE"""),"NEW WALK IN")</f>
        <v>NEW WALK IN</v>
      </c>
      <c r="S1269" s="1" t="str">
        <f>IFERROR(__xludf.DUMMYFUNCTION("""COMPUTED_VALUE"""),"No")</f>
        <v>No</v>
      </c>
    </row>
    <row r="1270">
      <c r="A1270" s="2">
        <f>IFERROR(__xludf.DUMMYFUNCTION("""COMPUTED_VALUE"""),45902.497644965275)</f>
        <v>45902.49764</v>
      </c>
      <c r="B1270" s="1" t="str">
        <f>IFERROR(__xludf.DUMMYFUNCTION("""COMPUTED_VALUE"""),"Akshay ji")</f>
        <v>Akshay ji</v>
      </c>
      <c r="C1270" s="1">
        <f>IFERROR(__xludf.DUMMYFUNCTION("""COMPUTED_VALUE"""),7.01182446E9)</f>
        <v>7011824460</v>
      </c>
      <c r="D1270" s="1">
        <f>IFERROR(__xludf.DUMMYFUNCTION("""COMPUTED_VALUE"""),2.0)</f>
        <v>2</v>
      </c>
      <c r="E1270" s="3">
        <f>IFERROR(__xludf.DUMMYFUNCTION("""COMPUTED_VALUE"""),0.7673611111094942)</f>
        <v>0.7673611111</v>
      </c>
      <c r="F1270" s="1" t="str">
        <f>IFERROR(__xludf.DUMMYFUNCTION("""COMPUTED_VALUE"""),"Plain Gold")</f>
        <v>Plain Gold</v>
      </c>
      <c r="G1270" s="1"/>
      <c r="H1270" s="1" t="str">
        <f>IFERROR(__xludf.DUMMYFUNCTION("""COMPUTED_VALUE"""),"Ring")</f>
        <v>Ring</v>
      </c>
      <c r="I1270" s="1"/>
      <c r="J1270" s="1"/>
      <c r="K1270" s="3">
        <f>IFERROR(__xludf.DUMMYFUNCTION("""COMPUTED_VALUE"""),0.8020833333357587)</f>
        <v>0.8020833333</v>
      </c>
      <c r="L1270" s="1" t="str">
        <f>IFERROR(__xludf.DUMMYFUNCTION("""COMPUTED_VALUE"""),"No")</f>
        <v>No</v>
      </c>
      <c r="M1270" s="1" t="str">
        <f>IFERROR(__xludf.DUMMYFUNCTION("""COMPUTED_VALUE"""),"Yes")</f>
        <v>Yes</v>
      </c>
      <c r="N1270" s="1" t="str">
        <f>IFERROR(__xludf.DUMMYFUNCTION("""COMPUTED_VALUE"""),"Yes")</f>
        <v>Yes</v>
      </c>
      <c r="O1270" s="1" t="str">
        <f>IFERROR(__xludf.DUMMYFUNCTION("""COMPUTED_VALUE"""),"WA ONLY")</f>
        <v>WA ONLY</v>
      </c>
      <c r="P1270" s="1" t="str">
        <f>IFERROR(__xludf.DUMMYFUNCTION("""COMPUTED_VALUE"""),"Sir")</f>
        <v>Sir</v>
      </c>
      <c r="Q1270" s="1" t="str">
        <f>IFERROR(__xludf.DUMMYFUNCTION("""COMPUTED_VALUE"""),"No")</f>
        <v>No</v>
      </c>
      <c r="R1270" s="1" t="str">
        <f>IFERROR(__xludf.DUMMYFUNCTION("""COMPUTED_VALUE"""),"OLD")</f>
        <v>OLD</v>
      </c>
      <c r="S1270" s="1" t="str">
        <f>IFERROR(__xludf.DUMMYFUNCTION("""COMPUTED_VALUE"""),"Yes")</f>
        <v>Yes</v>
      </c>
    </row>
    <row r="1271">
      <c r="A1271" s="2">
        <f>IFERROR(__xludf.DUMMYFUNCTION("""COMPUTED_VALUE"""),45902.50004616898)</f>
        <v>45902.50005</v>
      </c>
      <c r="B1271" s="1" t="str">
        <f>IFERROR(__xludf.DUMMYFUNCTION("""COMPUTED_VALUE"""),"Gaurav Chabbra ji")</f>
        <v>Gaurav Chabbra ji</v>
      </c>
      <c r="C1271" s="1">
        <f>IFERROR(__xludf.DUMMYFUNCTION("""COMPUTED_VALUE"""),7.827954385E9)</f>
        <v>7827954385</v>
      </c>
      <c r="D1271" s="1">
        <f>IFERROR(__xludf.DUMMYFUNCTION("""COMPUTED_VALUE"""),2.0)</f>
        <v>2</v>
      </c>
      <c r="E1271" s="3">
        <f>IFERROR(__xludf.DUMMYFUNCTION("""COMPUTED_VALUE"""),0.7291666666642413)</f>
        <v>0.7291666667</v>
      </c>
      <c r="F1271" s="1" t="str">
        <f>IFERROR(__xludf.DUMMYFUNCTION("""COMPUTED_VALUE"""),"Plain Gold")</f>
        <v>Plain Gold</v>
      </c>
      <c r="G1271" s="1"/>
      <c r="H1271" s="1" t="str">
        <f>IFERROR(__xludf.DUMMYFUNCTION("""COMPUTED_VALUE"""),"Raw gold")</f>
        <v>Raw gold</v>
      </c>
      <c r="I1271" s="1"/>
      <c r="J1271" s="1"/>
      <c r="K1271" s="3">
        <f>IFERROR(__xludf.DUMMYFUNCTION("""COMPUTED_VALUE"""),0.7895833333313931)</f>
        <v>0.7895833333</v>
      </c>
      <c r="L1271" s="1" t="str">
        <f>IFERROR(__xludf.DUMMYFUNCTION("""COMPUTED_VALUE"""),"No")</f>
        <v>No</v>
      </c>
      <c r="M1271" s="1" t="str">
        <f>IFERROR(__xludf.DUMMYFUNCTION("""COMPUTED_VALUE"""),"Yes")</f>
        <v>Yes</v>
      </c>
      <c r="N1271" s="1" t="str">
        <f>IFERROR(__xludf.DUMMYFUNCTION("""COMPUTED_VALUE"""),"Yes")</f>
        <v>Yes</v>
      </c>
      <c r="O1271" s="1" t="str">
        <f>IFERROR(__xludf.DUMMYFUNCTION("""COMPUTED_VALUE"""),"WA ONLY, OWNER CONTACT ONLY")</f>
        <v>WA ONLY, OWNER CONTACT ONLY</v>
      </c>
      <c r="P1271" s="1" t="str">
        <f>IFERROR(__xludf.DUMMYFUNCTION("""COMPUTED_VALUE"""),"Sir")</f>
        <v>Sir</v>
      </c>
      <c r="Q1271" s="1" t="str">
        <f>IFERROR(__xludf.DUMMYFUNCTION("""COMPUTED_VALUE"""),"No")</f>
        <v>No</v>
      </c>
      <c r="R1271" s="1" t="str">
        <f>IFERROR(__xludf.DUMMYFUNCTION("""COMPUTED_VALUE"""),"OLD")</f>
        <v>OLD</v>
      </c>
      <c r="S1271" s="1" t="str">
        <f>IFERROR(__xludf.DUMMYFUNCTION("""COMPUTED_VALUE"""),"Yes")</f>
        <v>Yes</v>
      </c>
    </row>
    <row r="1272">
      <c r="A1272" s="2">
        <f>IFERROR(__xludf.DUMMYFUNCTION("""COMPUTED_VALUE"""),45902.69668554398)</f>
        <v>45902.69669</v>
      </c>
      <c r="B1272" s="1" t="str">
        <f>IFERROR(__xludf.DUMMYFUNCTION("""COMPUTED_VALUE"""),"Gopal Agarwal ji")</f>
        <v>Gopal Agarwal ji</v>
      </c>
      <c r="C1272" s="1">
        <f>IFERROR(__xludf.DUMMYFUNCTION("""COMPUTED_VALUE"""),7.001907532E9)</f>
        <v>7001907532</v>
      </c>
      <c r="D1272" s="1">
        <f>IFERROR(__xludf.DUMMYFUNCTION("""COMPUTED_VALUE"""),2.0)</f>
        <v>2</v>
      </c>
      <c r="E1272" s="3">
        <f>IFERROR(__xludf.DUMMYFUNCTION("""COMPUTED_VALUE"""),0.6666666666642413)</f>
        <v>0.6666666667</v>
      </c>
      <c r="F1272" s="1" t="str">
        <f>IFERROR(__xludf.DUMMYFUNCTION("""COMPUTED_VALUE"""),"Silver Items")</f>
        <v>Silver Items</v>
      </c>
      <c r="G1272" s="1" t="str">
        <f>IFERROR(__xludf.DUMMYFUNCTION("""COMPUTED_VALUE"""),"Sapna")</f>
        <v>Sapna</v>
      </c>
      <c r="H1272" s="1" t="str">
        <f>IFERROR(__xludf.DUMMYFUNCTION("""COMPUTED_VALUE"""),"Necklace ")</f>
        <v>Necklace </v>
      </c>
      <c r="I1272" s="1" t="str">
        <f>IFERROR(__xludf.DUMMYFUNCTION("""COMPUTED_VALUE"""),"Visit Again in 1 Month")</f>
        <v>Visit Again in 1 Month</v>
      </c>
      <c r="J1272" s="1"/>
      <c r="K1272" s="3">
        <f>IFERROR(__xludf.DUMMYFUNCTION("""COMPUTED_VALUE"""),0.6840277777810115)</f>
        <v>0.6840277778</v>
      </c>
      <c r="L1272" s="1" t="str">
        <f>IFERROR(__xludf.DUMMYFUNCTION("""COMPUTED_VALUE"""),"No")</f>
        <v>No</v>
      </c>
      <c r="M1272" s="1" t="str">
        <f>IFERROR(__xludf.DUMMYFUNCTION("""COMPUTED_VALUE"""),"No")</f>
        <v>No</v>
      </c>
      <c r="N1272" s="1" t="str">
        <f>IFERROR(__xludf.DUMMYFUNCTION("""COMPUTED_VALUE"""),"No")</f>
        <v>No</v>
      </c>
      <c r="O1272" s="1" t="str">
        <f>IFERROR(__xludf.DUMMYFUNCTION("""COMPUTED_VALUE"""),"WA ONLY")</f>
        <v>WA ONLY</v>
      </c>
      <c r="P1272" s="1" t="str">
        <f>IFERROR(__xludf.DUMMYFUNCTION("""COMPUTED_VALUE"""),"Sir")</f>
        <v>Sir</v>
      </c>
      <c r="Q1272" s="1" t="str">
        <f>IFERROR(__xludf.DUMMYFUNCTION("""COMPUTED_VALUE"""),"No")</f>
        <v>No</v>
      </c>
      <c r="R1272" s="1" t="str">
        <f>IFERROR(__xludf.DUMMYFUNCTION("""COMPUTED_VALUE"""),"NEW WALK IN")</f>
        <v>NEW WALK IN</v>
      </c>
      <c r="S1272" s="1" t="str">
        <f>IFERROR(__xludf.DUMMYFUNCTION("""COMPUTED_VALUE"""),"No")</f>
        <v>No</v>
      </c>
    </row>
    <row r="1273">
      <c r="A1273" s="2">
        <f>IFERROR(__xludf.DUMMYFUNCTION("""COMPUTED_VALUE"""),45902.704450543984)</f>
        <v>45902.70445</v>
      </c>
      <c r="B1273" s="1" t="str">
        <f>IFERROR(__xludf.DUMMYFUNCTION("""COMPUTED_VALUE"""),"Priyanka Bhatia ji")</f>
        <v>Priyanka Bhatia ji</v>
      </c>
      <c r="C1273" s="1">
        <f>IFERROR(__xludf.DUMMYFUNCTION("""COMPUTED_VALUE"""),9.871231215E9)</f>
        <v>9871231215</v>
      </c>
      <c r="D1273" s="1">
        <f>IFERROR(__xludf.DUMMYFUNCTION("""COMPUTED_VALUE"""),4.0)</f>
        <v>4</v>
      </c>
      <c r="E1273" s="3">
        <f>IFERROR(__xludf.DUMMYFUNCTION("""COMPUTED_VALUE"""),0.625)</f>
        <v>0.625</v>
      </c>
      <c r="F1273" s="1" t="str">
        <f>IFERROR(__xludf.DUMMYFUNCTION("""COMPUTED_VALUE"""),"Diamond")</f>
        <v>Diamond</v>
      </c>
      <c r="G1273" s="1" t="str">
        <f>IFERROR(__xludf.DUMMYFUNCTION("""COMPUTED_VALUE"""),"Preeti")</f>
        <v>Preeti</v>
      </c>
      <c r="H1273" s="1" t="str">
        <f>IFERROR(__xludf.DUMMYFUNCTION("""COMPUTED_VALUE"""),"Maang teeka nose ring")</f>
        <v>Maang teeka nose ring</v>
      </c>
      <c r="I1273" s="1"/>
      <c r="J1273" s="1"/>
      <c r="K1273" s="3">
        <f>IFERROR(__xludf.DUMMYFUNCTION("""COMPUTED_VALUE"""),0.6972222222248092)</f>
        <v>0.6972222222</v>
      </c>
      <c r="L1273" s="1" t="str">
        <f>IFERROR(__xludf.DUMMYFUNCTION("""COMPUTED_VALUE"""),"No")</f>
        <v>No</v>
      </c>
      <c r="M1273" s="1" t="str">
        <f>IFERROR(__xludf.DUMMYFUNCTION("""COMPUTED_VALUE"""),"Yes")</f>
        <v>Yes</v>
      </c>
      <c r="N1273" s="1" t="str">
        <f>IFERROR(__xludf.DUMMYFUNCTION("""COMPUTED_VALUE"""),"Yes")</f>
        <v>Yes</v>
      </c>
      <c r="O1273" s="1" t="str">
        <f>IFERROR(__xludf.DUMMYFUNCTION("""COMPUTED_VALUE"""),"WA ONLY, OWNER CONTACT ONLY")</f>
        <v>WA ONLY, OWNER CONTACT ONLY</v>
      </c>
      <c r="P1273" s="1" t="str">
        <f>IFERROR(__xludf.DUMMYFUNCTION("""COMPUTED_VALUE"""),"Madam")</f>
        <v>Madam</v>
      </c>
      <c r="Q1273" s="1" t="str">
        <f>IFERROR(__xludf.DUMMYFUNCTION("""COMPUTED_VALUE"""),"No")</f>
        <v>No</v>
      </c>
      <c r="R1273" s="1" t="str">
        <f>IFERROR(__xludf.DUMMYFUNCTION("""COMPUTED_VALUE"""),"OLD")</f>
        <v>OLD</v>
      </c>
      <c r="S1273" s="1" t="str">
        <f>IFERROR(__xludf.DUMMYFUNCTION("""COMPUTED_VALUE"""),"Yes")</f>
        <v>Yes</v>
      </c>
    </row>
    <row r="1274">
      <c r="A1274" s="2">
        <f>IFERROR(__xludf.DUMMYFUNCTION("""COMPUTED_VALUE"""),45904.5647784375)</f>
        <v>45904.56478</v>
      </c>
      <c r="B1274" s="1" t="str">
        <f>IFERROR(__xludf.DUMMYFUNCTION("""COMPUTED_VALUE"""),"Chaya jalan ji")</f>
        <v>Chaya jalan ji</v>
      </c>
      <c r="C1274" s="1">
        <f>IFERROR(__xludf.DUMMYFUNCTION("""COMPUTED_VALUE"""),9.811725515E9)</f>
        <v>9811725515</v>
      </c>
      <c r="D1274" s="1">
        <f>IFERROR(__xludf.DUMMYFUNCTION("""COMPUTED_VALUE"""),2.0)</f>
        <v>2</v>
      </c>
      <c r="E1274" s="3">
        <f>IFERROR(__xludf.DUMMYFUNCTION("""COMPUTED_VALUE"""),0.6527777777810115)</f>
        <v>0.6527777778</v>
      </c>
      <c r="F1274" s="1" t="str">
        <f>IFERROR(__xludf.DUMMYFUNCTION("""COMPUTED_VALUE"""),"Diamond")</f>
        <v>Diamond</v>
      </c>
      <c r="G1274" s="1"/>
      <c r="H1274" s="1" t="str">
        <f>IFERROR(__xludf.DUMMYFUNCTION("""COMPUTED_VALUE"""),"Diamond bangles")</f>
        <v>Diamond bangles</v>
      </c>
      <c r="I1274" s="1"/>
      <c r="J1274" s="1"/>
      <c r="K1274" s="3">
        <f>IFERROR(__xludf.DUMMYFUNCTION("""COMPUTED_VALUE"""),0.7368055555562023)</f>
        <v>0.7368055556</v>
      </c>
      <c r="L1274" s="1" t="str">
        <f>IFERROR(__xludf.DUMMYFUNCTION("""COMPUTED_VALUE"""),"No")</f>
        <v>No</v>
      </c>
      <c r="M1274" s="1" t="str">
        <f>IFERROR(__xludf.DUMMYFUNCTION("""COMPUTED_VALUE"""),"Yes")</f>
        <v>Yes</v>
      </c>
      <c r="N1274" s="1" t="str">
        <f>IFERROR(__xludf.DUMMYFUNCTION("""COMPUTED_VALUE"""),"No")</f>
        <v>No</v>
      </c>
      <c r="O1274" s="1" t="str">
        <f>IFERROR(__xludf.DUMMYFUNCTION("""COMPUTED_VALUE"""),"OWNER CONTACT ONLY")</f>
        <v>OWNER CONTACT ONLY</v>
      </c>
      <c r="P1274" s="1" t="str">
        <f>IFERROR(__xludf.DUMMYFUNCTION("""COMPUTED_VALUE"""),"Madam")</f>
        <v>Madam</v>
      </c>
      <c r="Q1274" s="1" t="str">
        <f>IFERROR(__xludf.DUMMYFUNCTION("""COMPUTED_VALUE"""),"No")</f>
        <v>No</v>
      </c>
      <c r="R1274" s="1" t="str">
        <f>IFERROR(__xludf.DUMMYFUNCTION("""COMPUTED_VALUE"""),"OLD")</f>
        <v>OLD</v>
      </c>
      <c r="S1274" s="1" t="str">
        <f>IFERROR(__xludf.DUMMYFUNCTION("""COMPUTED_VALUE"""),"Yes")</f>
        <v>Yes</v>
      </c>
    </row>
    <row r="1275">
      <c r="A1275" s="2">
        <f>IFERROR(__xludf.DUMMYFUNCTION("""COMPUTED_VALUE"""),45904.565949375)</f>
        <v>45904.56595</v>
      </c>
      <c r="B1275" s="1" t="str">
        <f>IFERROR(__xludf.DUMMYFUNCTION("""COMPUTED_VALUE"""),"Deepika Jain Mam")</f>
        <v>Deepika Jain Mam</v>
      </c>
      <c r="C1275" s="1">
        <f>IFERROR(__xludf.DUMMYFUNCTION("""COMPUTED_VALUE"""),9.873313132E9)</f>
        <v>9873313132</v>
      </c>
      <c r="D1275" s="1">
        <f>IFERROR(__xludf.DUMMYFUNCTION("""COMPUTED_VALUE"""),2.0)</f>
        <v>2</v>
      </c>
      <c r="E1275" s="3">
        <f>IFERROR(__xludf.DUMMYFUNCTION("""COMPUTED_VALUE"""),0.8125)</f>
        <v>0.8125</v>
      </c>
      <c r="F1275" s="1" t="str">
        <f>IFERROR(__xludf.DUMMYFUNCTION("""COMPUTED_VALUE"""),"Diamond")</f>
        <v>Diamond</v>
      </c>
      <c r="G1275" s="1" t="str">
        <f>IFERROR(__xludf.DUMMYFUNCTION("""COMPUTED_VALUE"""),"Sapna")</f>
        <v>Sapna</v>
      </c>
      <c r="H1275" s="1" t="str">
        <f>IFERROR(__xludf.DUMMYFUNCTION("""COMPUTED_VALUE"""),"Polki sets")</f>
        <v>Polki sets</v>
      </c>
      <c r="I1275" s="1"/>
      <c r="J1275" s="1"/>
      <c r="K1275" s="3">
        <f>IFERROR(__xludf.DUMMYFUNCTION("""COMPUTED_VALUE"""),0.8229166666642413)</f>
        <v>0.8229166667</v>
      </c>
      <c r="L1275" s="1" t="str">
        <f>IFERROR(__xludf.DUMMYFUNCTION("""COMPUTED_VALUE"""),"No")</f>
        <v>No</v>
      </c>
      <c r="M1275" s="1" t="str">
        <f>IFERROR(__xludf.DUMMYFUNCTION("""COMPUTED_VALUE"""),"No")</f>
        <v>No</v>
      </c>
      <c r="N1275" s="1" t="str">
        <f>IFERROR(__xludf.DUMMYFUNCTION("""COMPUTED_VALUE"""),"No")</f>
        <v>No</v>
      </c>
      <c r="O1275" s="1" t="str">
        <f>IFERROR(__xludf.DUMMYFUNCTION("""COMPUTED_VALUE"""),"WA ONLY, OWNER CONTACT ONLY")</f>
        <v>WA ONLY, OWNER CONTACT ONLY</v>
      </c>
      <c r="P1275" s="1" t="str">
        <f>IFERROR(__xludf.DUMMYFUNCTION("""COMPUTED_VALUE"""),"Madam")</f>
        <v>Madam</v>
      </c>
      <c r="Q1275" s="1" t="str">
        <f>IFERROR(__xludf.DUMMYFUNCTION("""COMPUTED_VALUE"""),"No")</f>
        <v>No</v>
      </c>
      <c r="R1275" s="1" t="str">
        <f>IFERROR(__xludf.DUMMYFUNCTION("""COMPUTED_VALUE"""),"NEW WALK IN")</f>
        <v>NEW WALK IN</v>
      </c>
      <c r="S1275" s="1" t="str">
        <f>IFERROR(__xludf.DUMMYFUNCTION("""COMPUTED_VALUE"""),"No")</f>
        <v>No</v>
      </c>
    </row>
    <row r="1276">
      <c r="A1276" s="2">
        <f>IFERROR(__xludf.DUMMYFUNCTION("""COMPUTED_VALUE"""),45905.70180284722)</f>
        <v>45905.7018</v>
      </c>
      <c r="B1276" s="1" t="str">
        <f>IFERROR(__xludf.DUMMYFUNCTION("""COMPUTED_VALUE"""),"Kavita Goyal ji")</f>
        <v>Kavita Goyal ji</v>
      </c>
      <c r="C1276" s="1">
        <f>IFERROR(__xludf.DUMMYFUNCTION("""COMPUTED_VALUE"""),9.71838553E9)</f>
        <v>9718385530</v>
      </c>
      <c r="D1276" s="1">
        <f>IFERROR(__xludf.DUMMYFUNCTION("""COMPUTED_VALUE"""),2.0)</f>
        <v>2</v>
      </c>
      <c r="E1276" s="3">
        <f>IFERROR(__xludf.DUMMYFUNCTION("""COMPUTED_VALUE"""),0.6861111111065838)</f>
        <v>0.6861111111</v>
      </c>
      <c r="F1276" s="1" t="str">
        <f>IFERROR(__xludf.DUMMYFUNCTION("""COMPUTED_VALUE"""),"Silver Items")</f>
        <v>Silver Items</v>
      </c>
      <c r="G1276" s="1"/>
      <c r="H1276" s="1" t="str">
        <f>IFERROR(__xludf.DUMMYFUNCTION("""COMPUTED_VALUE"""),"Antique pieces")</f>
        <v>Antique pieces</v>
      </c>
      <c r="I1276" s="1" t="str">
        <f>IFERROR(__xludf.DUMMYFUNCTION("""COMPUTED_VALUE"""),"Will come again with silver and exchange ")</f>
        <v>Will come again with silver and exchange </v>
      </c>
      <c r="J1276" s="1"/>
      <c r="K1276" s="3">
        <f>IFERROR(__xludf.DUMMYFUNCTION("""COMPUTED_VALUE"""),0.6979166666642413)</f>
        <v>0.6979166667</v>
      </c>
      <c r="L1276" s="1" t="str">
        <f>IFERROR(__xludf.DUMMYFUNCTION("""COMPUTED_VALUE"""),"No")</f>
        <v>No</v>
      </c>
      <c r="M1276" s="1" t="str">
        <f>IFERROR(__xludf.DUMMYFUNCTION("""COMPUTED_VALUE"""),"No")</f>
        <v>No</v>
      </c>
      <c r="N1276" s="1" t="str">
        <f>IFERROR(__xludf.DUMMYFUNCTION("""COMPUTED_VALUE"""),"No")</f>
        <v>No</v>
      </c>
      <c r="O1276" s="1" t="str">
        <f>IFERROR(__xludf.DUMMYFUNCTION("""COMPUTED_VALUE"""),"WA ONLY, OWNER CONTACT ONLY")</f>
        <v>WA ONLY, OWNER CONTACT ONLY</v>
      </c>
      <c r="P1276" s="1" t="str">
        <f>IFERROR(__xludf.DUMMYFUNCTION("""COMPUTED_VALUE"""),"Madam")</f>
        <v>Madam</v>
      </c>
      <c r="Q1276" s="1" t="str">
        <f>IFERROR(__xludf.DUMMYFUNCTION("""COMPUTED_VALUE"""),"No")</f>
        <v>No</v>
      </c>
      <c r="R1276" s="1" t="str">
        <f>IFERROR(__xludf.DUMMYFUNCTION("""COMPUTED_VALUE"""),"NEW WALK IN")</f>
        <v>NEW WALK IN</v>
      </c>
      <c r="S1276" s="1" t="str">
        <f>IFERROR(__xludf.DUMMYFUNCTION("""COMPUTED_VALUE"""),"No")</f>
        <v>No</v>
      </c>
    </row>
    <row r="1277">
      <c r="A1277" s="2">
        <f>IFERROR(__xludf.DUMMYFUNCTION("""COMPUTED_VALUE"""),45905.70288142361)</f>
        <v>45905.70288</v>
      </c>
      <c r="B1277" s="1" t="str">
        <f>IFERROR(__xludf.DUMMYFUNCTION("""COMPUTED_VALUE"""),"Akshay ji")</f>
        <v>Akshay ji</v>
      </c>
      <c r="C1277" s="1">
        <f>IFERROR(__xludf.DUMMYFUNCTION("""COMPUTED_VALUE"""),9.811675741E9)</f>
        <v>9811675741</v>
      </c>
      <c r="D1277" s="1">
        <f>IFERROR(__xludf.DUMMYFUNCTION("""COMPUTED_VALUE"""),5.0)</f>
        <v>5</v>
      </c>
      <c r="E1277" s="3">
        <f>IFERROR(__xludf.DUMMYFUNCTION("""COMPUTED_VALUE"""),0.7048611111094942)</f>
        <v>0.7048611111</v>
      </c>
      <c r="F1277" s="1" t="str">
        <f>IFERROR(__xludf.DUMMYFUNCTION("""COMPUTED_VALUE"""),"Plain Gold")</f>
        <v>Plain Gold</v>
      </c>
      <c r="G1277" s="1" t="str">
        <f>IFERROR(__xludf.DUMMYFUNCTION("""COMPUTED_VALUE"""),"Sapna")</f>
        <v>Sapna</v>
      </c>
      <c r="H1277" s="1" t="str">
        <f>IFERROR(__xludf.DUMMYFUNCTION("""COMPUTED_VALUE"""),"Set rings mangalsutra ")</f>
        <v>Set rings mangalsutra </v>
      </c>
      <c r="I1277" s="1"/>
      <c r="J1277" s="1"/>
      <c r="K1277" s="3">
        <f>IFERROR(__xludf.DUMMYFUNCTION("""COMPUTED_VALUE"""),0.8020833333357587)</f>
        <v>0.8020833333</v>
      </c>
      <c r="L1277" s="1" t="str">
        <f>IFERROR(__xludf.DUMMYFUNCTION("""COMPUTED_VALUE"""),"No")</f>
        <v>No</v>
      </c>
      <c r="M1277" s="1" t="str">
        <f>IFERROR(__xludf.DUMMYFUNCTION("""COMPUTED_VALUE"""),"Yes")</f>
        <v>Yes</v>
      </c>
      <c r="N1277" s="1" t="str">
        <f>IFERROR(__xludf.DUMMYFUNCTION("""COMPUTED_VALUE"""),"Yes")</f>
        <v>Yes</v>
      </c>
      <c r="O1277" s="1" t="str">
        <f>IFERROR(__xludf.DUMMYFUNCTION("""COMPUTED_VALUE"""),"WA ONLY")</f>
        <v>WA ONLY</v>
      </c>
      <c r="P1277" s="1" t="str">
        <f>IFERROR(__xludf.DUMMYFUNCTION("""COMPUTED_VALUE"""),"Sir")</f>
        <v>Sir</v>
      </c>
      <c r="Q1277" s="1" t="str">
        <f>IFERROR(__xludf.DUMMYFUNCTION("""COMPUTED_VALUE"""),"No")</f>
        <v>No</v>
      </c>
      <c r="R1277" s="1" t="str">
        <f>IFERROR(__xludf.DUMMYFUNCTION("""COMPUTED_VALUE"""),"OLD")</f>
        <v>OLD</v>
      </c>
      <c r="S1277" s="1" t="str">
        <f>IFERROR(__xludf.DUMMYFUNCTION("""COMPUTED_VALUE"""),"Yes")</f>
        <v>Yes</v>
      </c>
    </row>
    <row r="1278">
      <c r="A1278" s="2">
        <f>IFERROR(__xludf.DUMMYFUNCTION("""COMPUTED_VALUE"""),45905.78349740741)</f>
        <v>45905.7835</v>
      </c>
      <c r="B1278" s="1" t="str">
        <f>IFERROR(__xludf.DUMMYFUNCTION("""COMPUTED_VALUE"""),"Vandana ji")</f>
        <v>Vandana ji</v>
      </c>
      <c r="C1278" s="1">
        <f>IFERROR(__xludf.DUMMYFUNCTION("""COMPUTED_VALUE"""),9.266985894E9)</f>
        <v>9266985894</v>
      </c>
      <c r="D1278" s="1">
        <f>IFERROR(__xludf.DUMMYFUNCTION("""COMPUTED_VALUE"""),2.0)</f>
        <v>2</v>
      </c>
      <c r="E1278" s="3">
        <f>IFERROR(__xludf.DUMMYFUNCTION("""COMPUTED_VALUE"""),0.7083333333357587)</f>
        <v>0.7083333333</v>
      </c>
      <c r="F1278" s="1" t="str">
        <f>IFERROR(__xludf.DUMMYFUNCTION("""COMPUTED_VALUE"""),"Plain Gold")</f>
        <v>Plain Gold</v>
      </c>
      <c r="G1278" s="1" t="str">
        <f>IFERROR(__xludf.DUMMYFUNCTION("""COMPUTED_VALUE"""),"Sapna")</f>
        <v>Sapna</v>
      </c>
      <c r="H1278" s="1" t="str">
        <f>IFERROR(__xludf.DUMMYFUNCTION("""COMPUTED_VALUE"""),"Set bracelets ")</f>
        <v>Set bracelets </v>
      </c>
      <c r="I1278" s="1" t="str">
        <f>IFERROR(__xludf.DUMMYFUNCTION("""COMPUTED_VALUE"""),"She found making a lot")</f>
        <v>She found making a lot</v>
      </c>
      <c r="J1278" s="1"/>
      <c r="K1278" s="3">
        <f>IFERROR(__xludf.DUMMYFUNCTION("""COMPUTED_VALUE"""),0.7326388888905058)</f>
        <v>0.7326388889</v>
      </c>
      <c r="L1278" s="1" t="str">
        <f>IFERROR(__xludf.DUMMYFUNCTION("""COMPUTED_VALUE"""),"No")</f>
        <v>No</v>
      </c>
      <c r="M1278" s="1" t="str">
        <f>IFERROR(__xludf.DUMMYFUNCTION("""COMPUTED_VALUE"""),"Yes")</f>
        <v>Yes</v>
      </c>
      <c r="N1278" s="1" t="str">
        <f>IFERROR(__xludf.DUMMYFUNCTION("""COMPUTED_VALUE"""),"No")</f>
        <v>No</v>
      </c>
      <c r="O1278" s="1" t="str">
        <f>IFERROR(__xludf.DUMMYFUNCTION("""COMPUTED_VALUE"""),"WA ONLY")</f>
        <v>WA ONLY</v>
      </c>
      <c r="P1278" s="1" t="str">
        <f>IFERROR(__xludf.DUMMYFUNCTION("""COMPUTED_VALUE"""),"Madam")</f>
        <v>Madam</v>
      </c>
      <c r="Q1278" s="1" t="str">
        <f>IFERROR(__xludf.DUMMYFUNCTION("""COMPUTED_VALUE"""),"No")</f>
        <v>No</v>
      </c>
      <c r="R1278" s="1" t="str">
        <f>IFERROR(__xludf.DUMMYFUNCTION("""COMPUTED_VALUE"""),"NEW WALK IN")</f>
        <v>NEW WALK IN</v>
      </c>
      <c r="S1278" s="1" t="str">
        <f>IFERROR(__xludf.DUMMYFUNCTION("""COMPUTED_VALUE"""),"No")</f>
        <v>No</v>
      </c>
    </row>
    <row r="1279">
      <c r="A1279" s="2">
        <f>IFERROR(__xludf.DUMMYFUNCTION("""COMPUTED_VALUE"""),45906.61859709491)</f>
        <v>45906.6186</v>
      </c>
      <c r="B1279" s="1" t="str">
        <f>IFERROR(__xludf.DUMMYFUNCTION("""COMPUTED_VALUE"""),"Mustafa Alam ji")</f>
        <v>Mustafa Alam ji</v>
      </c>
      <c r="C1279" s="1">
        <f>IFERROR(__xludf.DUMMYFUNCTION("""COMPUTED_VALUE"""),9.999481786E9)</f>
        <v>9999481786</v>
      </c>
      <c r="D1279" s="1">
        <f>IFERROR(__xludf.DUMMYFUNCTION("""COMPUTED_VALUE"""),1.0)</f>
        <v>1</v>
      </c>
      <c r="E1279" s="3">
        <f>IFERROR(__xludf.DUMMYFUNCTION("""COMPUTED_VALUE"""),0.59375)</f>
        <v>0.59375</v>
      </c>
      <c r="F1279" s="1" t="str">
        <f>IFERROR(__xludf.DUMMYFUNCTION("""COMPUTED_VALUE"""),"Plain Gold")</f>
        <v>Plain Gold</v>
      </c>
      <c r="G1279" s="1" t="str">
        <f>IFERROR(__xludf.DUMMYFUNCTION("""COMPUTED_VALUE"""),"Preeti")</f>
        <v>Preeti</v>
      </c>
      <c r="H1279" s="1" t="str">
        <f>IFERROR(__xludf.DUMMYFUNCTION("""COMPUTED_VALUE"""),"MMTC gold coin")</f>
        <v>MMTC gold coin</v>
      </c>
      <c r="I1279" s="1"/>
      <c r="J1279" s="1"/>
      <c r="K1279" s="3">
        <f>IFERROR(__xludf.DUMMYFUNCTION("""COMPUTED_VALUE"""),0.6145833333357587)</f>
        <v>0.6145833333</v>
      </c>
      <c r="L1279" s="1" t="str">
        <f>IFERROR(__xludf.DUMMYFUNCTION("""COMPUTED_VALUE"""),"No")</f>
        <v>No</v>
      </c>
      <c r="M1279" s="1" t="str">
        <f>IFERROR(__xludf.DUMMYFUNCTION("""COMPUTED_VALUE"""),"Yesy")</f>
        <v>Yesy</v>
      </c>
      <c r="N1279" s="1" t="str">
        <f>IFERROR(__xludf.DUMMYFUNCTION("""COMPUTED_VALUE"""),"Yes")</f>
        <v>Yes</v>
      </c>
      <c r="O1279" s="1" t="str">
        <f>IFERROR(__xludf.DUMMYFUNCTION("""COMPUTED_VALUE"""),"WA ONLY")</f>
        <v>WA ONLY</v>
      </c>
      <c r="P1279" s="1" t="str">
        <f>IFERROR(__xludf.DUMMYFUNCTION("""COMPUTED_VALUE"""),"Sir")</f>
        <v>Sir</v>
      </c>
      <c r="Q1279" s="1" t="str">
        <f>IFERROR(__xludf.DUMMYFUNCTION("""COMPUTED_VALUE"""),"No")</f>
        <v>No</v>
      </c>
      <c r="R1279" s="1" t="str">
        <f>IFERROR(__xludf.DUMMYFUNCTION("""COMPUTED_VALUE"""),"OLD")</f>
        <v>OLD</v>
      </c>
      <c r="S1279" s="1" t="str">
        <f>IFERROR(__xludf.DUMMYFUNCTION("""COMPUTED_VALUE"""),"Yes")</f>
        <v>Yes</v>
      </c>
    </row>
    <row r="1280">
      <c r="A1280" s="2">
        <f>IFERROR(__xludf.DUMMYFUNCTION("""COMPUTED_VALUE"""),45906.73105598379)</f>
        <v>45906.73106</v>
      </c>
      <c r="B1280" s="1" t="str">
        <f>IFERROR(__xludf.DUMMYFUNCTION("""COMPUTED_VALUE"""),"Meenu Arora ji")</f>
        <v>Meenu Arora ji</v>
      </c>
      <c r="C1280" s="1">
        <f>IFERROR(__xludf.DUMMYFUNCTION("""COMPUTED_VALUE"""),9.312248882E9)</f>
        <v>9312248882</v>
      </c>
      <c r="D1280" s="1">
        <f>IFERROR(__xludf.DUMMYFUNCTION("""COMPUTED_VALUE"""),3.0)</f>
        <v>3</v>
      </c>
      <c r="E1280" s="3">
        <f>IFERROR(__xludf.DUMMYFUNCTION("""COMPUTED_VALUE"""),0.6909722222189885)</f>
        <v>0.6909722222</v>
      </c>
      <c r="F1280" s="1" t="str">
        <f>IFERROR(__xludf.DUMMYFUNCTION("""COMPUTED_VALUE"""),"Diamond")</f>
        <v>Diamond</v>
      </c>
      <c r="G1280" s="1" t="str">
        <f>IFERROR(__xludf.DUMMYFUNCTION("""COMPUTED_VALUE"""),"Preeti")</f>
        <v>Preeti</v>
      </c>
      <c r="H1280" s="1" t="str">
        <f>IFERROR(__xludf.DUMMYFUNCTION("""COMPUTED_VALUE"""),"Diamond sets")</f>
        <v>Diamond sets</v>
      </c>
      <c r="I1280" s="1" t="str">
        <f>IFERROR(__xludf.DUMMYFUNCTION("""COMPUTED_VALUE"""),"Designs Not Liked")</f>
        <v>Designs Not Liked</v>
      </c>
      <c r="J1280" s="1"/>
      <c r="K1280" s="3">
        <f>IFERROR(__xludf.DUMMYFUNCTION("""COMPUTED_VALUE"""),0.7277777777781012)</f>
        <v>0.7277777778</v>
      </c>
      <c r="L1280" s="1" t="str">
        <f>IFERROR(__xludf.DUMMYFUNCTION("""COMPUTED_VALUE"""),"No")</f>
        <v>No</v>
      </c>
      <c r="M1280" s="1" t="str">
        <f>IFERROR(__xludf.DUMMYFUNCTION("""COMPUTED_VALUE"""),"Already done")</f>
        <v>Already done</v>
      </c>
      <c r="N1280" s="1" t="str">
        <f>IFERROR(__xludf.DUMMYFUNCTION("""COMPUTED_VALUE"""),"Already done")</f>
        <v>Already done</v>
      </c>
      <c r="O1280" s="1" t="str">
        <f>IFERROR(__xludf.DUMMYFUNCTION("""COMPUTED_VALUE"""),"WA ONLY, OWNER CONTACT ONLY")</f>
        <v>WA ONLY, OWNER CONTACT ONLY</v>
      </c>
      <c r="P1280" s="1" t="str">
        <f>IFERROR(__xludf.DUMMYFUNCTION("""COMPUTED_VALUE"""),"Madam")</f>
        <v>Madam</v>
      </c>
      <c r="Q1280" s="1" t="str">
        <f>IFERROR(__xludf.DUMMYFUNCTION("""COMPUTED_VALUE"""),"No")</f>
        <v>No</v>
      </c>
      <c r="R1280" s="1" t="str">
        <f>IFERROR(__xludf.DUMMYFUNCTION("""COMPUTED_VALUE"""),"OLD")</f>
        <v>OLD</v>
      </c>
      <c r="S1280" s="1" t="str">
        <f>IFERROR(__xludf.DUMMYFUNCTION("""COMPUTED_VALUE"""),"No")</f>
        <v>No</v>
      </c>
    </row>
    <row r="1281">
      <c r="A1281" s="2">
        <f>IFERROR(__xludf.DUMMYFUNCTION("""COMPUTED_VALUE"""),45909.57943136574)</f>
        <v>45909.57943</v>
      </c>
      <c r="B1281" s="1" t="str">
        <f>IFERROR(__xludf.DUMMYFUNCTION("""COMPUTED_VALUE"""),"Ram sagar ji")</f>
        <v>Ram sagar ji</v>
      </c>
      <c r="C1281" s="1">
        <f>IFERROR(__xludf.DUMMYFUNCTION("""COMPUTED_VALUE"""),9.818997528E9)</f>
        <v>9818997528</v>
      </c>
      <c r="D1281" s="1">
        <f>IFERROR(__xludf.DUMMYFUNCTION("""COMPUTED_VALUE"""),2.0)</f>
        <v>2</v>
      </c>
      <c r="E1281" s="3">
        <f>IFERROR(__xludf.DUMMYFUNCTION("""COMPUTED_VALUE"""),0.6875)</f>
        <v>0.6875</v>
      </c>
      <c r="F1281" s="1" t="str">
        <f>IFERROR(__xludf.DUMMYFUNCTION("""COMPUTED_VALUE"""),"Plain Gold")</f>
        <v>Plain Gold</v>
      </c>
      <c r="G1281" s="1" t="str">
        <f>IFERROR(__xludf.DUMMYFUNCTION("""COMPUTED_VALUE"""),"Sapna")</f>
        <v>Sapna</v>
      </c>
      <c r="H1281" s="1" t="str">
        <f>IFERROR(__xludf.DUMMYFUNCTION("""COMPUTED_VALUE"""),"Pendent ")</f>
        <v>Pendent </v>
      </c>
      <c r="I1281" s="1"/>
      <c r="J1281" s="1"/>
      <c r="K1281" s="3">
        <f>IFERROR(__xludf.DUMMYFUNCTION("""COMPUTED_VALUE"""),0.7083333333357587)</f>
        <v>0.7083333333</v>
      </c>
      <c r="L1281" s="1" t="str">
        <f>IFERROR(__xludf.DUMMYFUNCTION("""COMPUTED_VALUE"""),"No")</f>
        <v>No</v>
      </c>
      <c r="M1281" s="1" t="str">
        <f>IFERROR(__xludf.DUMMYFUNCTION("""COMPUTED_VALUE"""),"Yes")</f>
        <v>Yes</v>
      </c>
      <c r="N1281" s="1" t="str">
        <f>IFERROR(__xludf.DUMMYFUNCTION("""COMPUTED_VALUE"""),"Yes")</f>
        <v>Yes</v>
      </c>
      <c r="O1281" s="1" t="str">
        <f>IFERROR(__xludf.DUMMYFUNCTION("""COMPUTED_VALUE"""),"WA ONLY")</f>
        <v>WA ONLY</v>
      </c>
      <c r="P1281" s="1" t="str">
        <f>IFERROR(__xludf.DUMMYFUNCTION("""COMPUTED_VALUE"""),"Sir")</f>
        <v>Sir</v>
      </c>
      <c r="Q1281" s="1" t="str">
        <f>IFERROR(__xludf.DUMMYFUNCTION("""COMPUTED_VALUE"""),"No")</f>
        <v>No</v>
      </c>
      <c r="R1281" s="1" t="str">
        <f>IFERROR(__xludf.DUMMYFUNCTION("""COMPUTED_VALUE"""),"NEW WALK IN")</f>
        <v>NEW WALK IN</v>
      </c>
      <c r="S1281" s="1" t="str">
        <f>IFERROR(__xludf.DUMMYFUNCTION("""COMPUTED_VALUE"""),"Yes")</f>
        <v>Yes</v>
      </c>
    </row>
    <row r="1282">
      <c r="A1282" s="2">
        <f>IFERROR(__xludf.DUMMYFUNCTION("""COMPUTED_VALUE"""),45909.58164497685)</f>
        <v>45909.58164</v>
      </c>
      <c r="B1282" s="1" t="str">
        <f>IFERROR(__xludf.DUMMYFUNCTION("""COMPUTED_VALUE"""),"Kartik ji")</f>
        <v>Kartik ji</v>
      </c>
      <c r="C1282" s="1">
        <f>IFERROR(__xludf.DUMMYFUNCTION("""COMPUTED_VALUE"""),9.568339368E9)</f>
        <v>9568339368</v>
      </c>
      <c r="D1282" s="1">
        <f>IFERROR(__xludf.DUMMYFUNCTION("""COMPUTED_VALUE"""),2.0)</f>
        <v>2</v>
      </c>
      <c r="E1282" s="3">
        <f>IFERROR(__xludf.DUMMYFUNCTION("""COMPUTED_VALUE"""),0.6909722222189885)</f>
        <v>0.6909722222</v>
      </c>
      <c r="F1282" s="1" t="str">
        <f>IFERROR(__xludf.DUMMYFUNCTION("""COMPUTED_VALUE"""),"Plain Gold")</f>
        <v>Plain Gold</v>
      </c>
      <c r="G1282" s="1"/>
      <c r="H1282" s="1" t="str">
        <f>IFERROR(__xludf.DUMMYFUNCTION("""COMPUTED_VALUE"""),"Engagement ring")</f>
        <v>Engagement ring</v>
      </c>
      <c r="I1282" s="1" t="str">
        <f>IFERROR(__xludf.DUMMYFUNCTION("""COMPUTED_VALUE"""),"Visit Again in 1 Month")</f>
        <v>Visit Again in 1 Month</v>
      </c>
      <c r="J1282" s="1"/>
      <c r="K1282" s="3">
        <f>IFERROR(__xludf.DUMMYFUNCTION("""COMPUTED_VALUE"""),0.7083333333357587)</f>
        <v>0.7083333333</v>
      </c>
      <c r="L1282" s="1" t="str">
        <f>IFERROR(__xludf.DUMMYFUNCTION("""COMPUTED_VALUE"""),"No")</f>
        <v>No</v>
      </c>
      <c r="M1282" s="1" t="str">
        <f>IFERROR(__xludf.DUMMYFUNCTION("""COMPUTED_VALUE"""),"No")</f>
        <v>No</v>
      </c>
      <c r="N1282" s="1" t="str">
        <f>IFERROR(__xludf.DUMMYFUNCTION("""COMPUTED_VALUE"""),"No")</f>
        <v>No</v>
      </c>
      <c r="O1282" s="1" t="str">
        <f>IFERROR(__xludf.DUMMYFUNCTION("""COMPUTED_VALUE"""),"WA ONLY")</f>
        <v>WA ONLY</v>
      </c>
      <c r="P1282" s="1" t="str">
        <f>IFERROR(__xludf.DUMMYFUNCTION("""COMPUTED_VALUE"""),"Sir")</f>
        <v>Sir</v>
      </c>
      <c r="Q1282" s="1" t="str">
        <f>IFERROR(__xludf.DUMMYFUNCTION("""COMPUTED_VALUE"""),"No")</f>
        <v>No</v>
      </c>
      <c r="R1282" s="1" t="str">
        <f>IFERROR(__xludf.DUMMYFUNCTION("""COMPUTED_VALUE"""),"NEW WALK IN")</f>
        <v>NEW WALK IN</v>
      </c>
      <c r="S1282" s="1" t="str">
        <f>IFERROR(__xludf.DUMMYFUNCTION("""COMPUTED_VALUE"""),"No")</f>
        <v>No</v>
      </c>
    </row>
    <row r="1283">
      <c r="A1283" s="2">
        <f>IFERROR(__xludf.DUMMYFUNCTION("""COMPUTED_VALUE"""),45909.5888759838)</f>
        <v>45909.58888</v>
      </c>
      <c r="B1283" s="1" t="str">
        <f>IFERROR(__xludf.DUMMYFUNCTION("""COMPUTED_VALUE"""),"Sapna ji")</f>
        <v>Sapna ji</v>
      </c>
      <c r="C1283" s="1">
        <f>IFERROR(__xludf.DUMMYFUNCTION("""COMPUTED_VALUE"""),9.599444787E9)</f>
        <v>9599444787</v>
      </c>
      <c r="D1283" s="1">
        <f>IFERROR(__xludf.DUMMYFUNCTION("""COMPUTED_VALUE"""),2.0)</f>
        <v>2</v>
      </c>
      <c r="E1283" s="3">
        <f>IFERROR(__xludf.DUMMYFUNCTION("""COMPUTED_VALUE"""),0.6944444444452529)</f>
        <v>0.6944444444</v>
      </c>
      <c r="F1283" s="1" t="str">
        <f>IFERROR(__xludf.DUMMYFUNCTION("""COMPUTED_VALUE"""),"Diamond")</f>
        <v>Diamond</v>
      </c>
      <c r="G1283" s="1"/>
      <c r="H1283" s="1" t="str">
        <f>IFERROR(__xludf.DUMMYFUNCTION("""COMPUTED_VALUE"""),"Gold earrings and tops")</f>
        <v>Gold earrings and tops</v>
      </c>
      <c r="I1283" s="1"/>
      <c r="J1283" s="1"/>
      <c r="K1283" s="3">
        <f>IFERROR(__xludf.DUMMYFUNCTION("""COMPUTED_VALUE"""),0.75)</f>
        <v>0.75</v>
      </c>
      <c r="L1283" s="1" t="str">
        <f>IFERROR(__xludf.DUMMYFUNCTION("""COMPUTED_VALUE"""),"No")</f>
        <v>No</v>
      </c>
      <c r="M1283" s="1" t="str">
        <f>IFERROR(__xludf.DUMMYFUNCTION("""COMPUTED_VALUE"""),"No")</f>
        <v>No</v>
      </c>
      <c r="N1283" s="1" t="str">
        <f>IFERROR(__xludf.DUMMYFUNCTION("""COMPUTED_VALUE"""),"No")</f>
        <v>No</v>
      </c>
      <c r="O1283" s="1" t="str">
        <f>IFERROR(__xludf.DUMMYFUNCTION("""COMPUTED_VALUE"""),"OWNER CONTACT ONLY")</f>
        <v>OWNER CONTACT ONLY</v>
      </c>
      <c r="P1283" s="1" t="str">
        <f>IFERROR(__xludf.DUMMYFUNCTION("""COMPUTED_VALUE"""),"Madam")</f>
        <v>Madam</v>
      </c>
      <c r="Q1283" s="1" t="str">
        <f>IFERROR(__xludf.DUMMYFUNCTION("""COMPUTED_VALUE"""),"No")</f>
        <v>No</v>
      </c>
      <c r="R1283" s="1" t="str">
        <f>IFERROR(__xludf.DUMMYFUNCTION("""COMPUTED_VALUE"""),"NEW WALK IN")</f>
        <v>NEW WALK IN</v>
      </c>
      <c r="S1283" s="1" t="str">
        <f>IFERROR(__xludf.DUMMYFUNCTION("""COMPUTED_VALUE"""),"Yes")</f>
        <v>Yes</v>
      </c>
    </row>
    <row r="1284">
      <c r="A1284" s="2">
        <f>IFERROR(__xludf.DUMMYFUNCTION("""COMPUTED_VALUE"""),45909.59016575231)</f>
        <v>45909.59017</v>
      </c>
      <c r="B1284" s="1" t="str">
        <f>IFERROR(__xludf.DUMMYFUNCTION("""COMPUTED_VALUE"""),"Manisha ji")</f>
        <v>Manisha ji</v>
      </c>
      <c r="C1284" s="1">
        <f>IFERROR(__xludf.DUMMYFUNCTION("""COMPUTED_VALUE"""),9.2557752112E10)</f>
        <v>92557752112</v>
      </c>
      <c r="D1284" s="1">
        <f>IFERROR(__xludf.DUMMYFUNCTION("""COMPUTED_VALUE"""),4.0)</f>
        <v>4</v>
      </c>
      <c r="E1284" s="3">
        <f>IFERROR(__xludf.DUMMYFUNCTION("""COMPUTED_VALUE"""),0.7083333333357587)</f>
        <v>0.7083333333</v>
      </c>
      <c r="F1284" s="1" t="str">
        <f>IFERROR(__xludf.DUMMYFUNCTION("""COMPUTED_VALUE"""),"Plain Gold")</f>
        <v>Plain Gold</v>
      </c>
      <c r="G1284" s="1"/>
      <c r="H1284" s="1" t="str">
        <f>IFERROR(__xludf.DUMMYFUNCTION("""COMPUTED_VALUE"""),"Bangles")</f>
        <v>Bangles</v>
      </c>
      <c r="I1284" s="1" t="str">
        <f>IFERROR(__xludf.DUMMYFUNCTION("""COMPUTED_VALUE"""),"Found it costly")</f>
        <v>Found it costly</v>
      </c>
      <c r="J1284" s="1"/>
      <c r="K1284" s="3">
        <f>IFERROR(__xludf.DUMMYFUNCTION("""COMPUTED_VALUE"""),0.7249999999985448)</f>
        <v>0.725</v>
      </c>
      <c r="L1284" s="1" t="str">
        <f>IFERROR(__xludf.DUMMYFUNCTION("""COMPUTED_VALUE"""),"No")</f>
        <v>No</v>
      </c>
      <c r="M1284" s="1" t="str">
        <f>IFERROR(__xludf.DUMMYFUNCTION("""COMPUTED_VALUE"""),"No")</f>
        <v>No</v>
      </c>
      <c r="N1284" s="1" t="str">
        <f>IFERROR(__xludf.DUMMYFUNCTION("""COMPUTED_VALUE"""),"No")</f>
        <v>No</v>
      </c>
      <c r="O1284" s="1" t="str">
        <f>IFERROR(__xludf.DUMMYFUNCTION("""COMPUTED_VALUE"""),"WA ONLY, OWNER CONTACT ONLY")</f>
        <v>WA ONLY, OWNER CONTACT ONLY</v>
      </c>
      <c r="P1284" s="1" t="str">
        <f>IFERROR(__xludf.DUMMYFUNCTION("""COMPUTED_VALUE"""),"Madam")</f>
        <v>Madam</v>
      </c>
      <c r="Q1284" s="1" t="str">
        <f>IFERROR(__xludf.DUMMYFUNCTION("""COMPUTED_VALUE"""),"No")</f>
        <v>No</v>
      </c>
      <c r="R1284" s="1" t="str">
        <f>IFERROR(__xludf.DUMMYFUNCTION("""COMPUTED_VALUE"""),"NEW WALK IN")</f>
        <v>NEW WALK IN</v>
      </c>
      <c r="S1284" s="1" t="str">
        <f>IFERROR(__xludf.DUMMYFUNCTION("""COMPUTED_VALUE"""),"No")</f>
        <v>No</v>
      </c>
    </row>
    <row r="1285">
      <c r="A1285" s="2">
        <f>IFERROR(__xludf.DUMMYFUNCTION("""COMPUTED_VALUE"""),45909.60741128473)</f>
        <v>45909.60741</v>
      </c>
      <c r="B1285" s="1" t="str">
        <f>IFERROR(__xludf.DUMMYFUNCTION("""COMPUTED_VALUE"""),"Akshay arora ji")</f>
        <v>Akshay arora ji</v>
      </c>
      <c r="C1285" s="1">
        <f>IFERROR(__xludf.DUMMYFUNCTION("""COMPUTED_VALUE"""),9.811675741E9)</f>
        <v>9811675741</v>
      </c>
      <c r="D1285" s="1">
        <f>IFERROR(__xludf.DUMMYFUNCTION("""COMPUTED_VALUE"""),2.0)</f>
        <v>2</v>
      </c>
      <c r="E1285" s="3">
        <f>IFERROR(__xludf.DUMMYFUNCTION("""COMPUTED_VALUE"""),0.7291666666642413)</f>
        <v>0.7291666667</v>
      </c>
      <c r="F1285" s="1" t="str">
        <f>IFERROR(__xludf.DUMMYFUNCTION("""COMPUTED_VALUE"""),"Plain Gold")</f>
        <v>Plain Gold</v>
      </c>
      <c r="G1285" s="1" t="str">
        <f>IFERROR(__xludf.DUMMYFUNCTION("""COMPUTED_VALUE"""),"Sapna")</f>
        <v>Sapna</v>
      </c>
      <c r="H1285" s="1" t="str">
        <f>IFERROR(__xludf.DUMMYFUNCTION("""COMPUTED_VALUE"""),"Ring")</f>
        <v>Ring</v>
      </c>
      <c r="I1285" s="1" t="str">
        <f>IFERROR(__xludf.DUMMYFUNCTION("""COMPUTED_VALUE"""),"Pick up Order")</f>
        <v>Pick up Order</v>
      </c>
      <c r="J1285" s="1"/>
      <c r="K1285" s="3">
        <f>IFERROR(__xludf.DUMMYFUNCTION("""COMPUTED_VALUE"""),0.7486111111065838)</f>
        <v>0.7486111111</v>
      </c>
      <c r="L1285" s="1" t="str">
        <f>IFERROR(__xludf.DUMMYFUNCTION("""COMPUTED_VALUE"""),"No")</f>
        <v>No</v>
      </c>
      <c r="M1285" s="1" t="str">
        <f>IFERROR(__xludf.DUMMYFUNCTION("""COMPUTED_VALUE"""),"Already done ")</f>
        <v>Already done </v>
      </c>
      <c r="N1285" s="1" t="str">
        <f>IFERROR(__xludf.DUMMYFUNCTION("""COMPUTED_VALUE"""),"Already done ")</f>
        <v>Already done </v>
      </c>
      <c r="O1285" s="1" t="str">
        <f>IFERROR(__xludf.DUMMYFUNCTION("""COMPUTED_VALUE"""),"WA ONLY")</f>
        <v>WA ONLY</v>
      </c>
      <c r="P1285" s="1" t="str">
        <f>IFERROR(__xludf.DUMMYFUNCTION("""COMPUTED_VALUE"""),"Sir")</f>
        <v>Sir</v>
      </c>
      <c r="Q1285" s="1" t="str">
        <f>IFERROR(__xludf.DUMMYFUNCTION("""COMPUTED_VALUE"""),"No")</f>
        <v>No</v>
      </c>
      <c r="R1285" s="1" t="str">
        <f>IFERROR(__xludf.DUMMYFUNCTION("""COMPUTED_VALUE"""),"OLD")</f>
        <v>OLD</v>
      </c>
      <c r="S1285" s="1" t="str">
        <f>IFERROR(__xludf.DUMMYFUNCTION("""COMPUTED_VALUE"""),"No")</f>
        <v>No</v>
      </c>
    </row>
    <row r="1286">
      <c r="A1286" s="2">
        <f>IFERROR(__xludf.DUMMYFUNCTION("""COMPUTED_VALUE"""),45909.77986900463)</f>
        <v>45909.77987</v>
      </c>
      <c r="B1286" s="1" t="str">
        <f>IFERROR(__xludf.DUMMYFUNCTION("""COMPUTED_VALUE"""),"Mohan lal ji")</f>
        <v>Mohan lal ji</v>
      </c>
      <c r="C1286" s="1">
        <f>IFERROR(__xludf.DUMMYFUNCTION("""COMPUTED_VALUE"""),9.2110257E9)</f>
        <v>9211025700</v>
      </c>
      <c r="D1286" s="1">
        <f>IFERROR(__xludf.DUMMYFUNCTION("""COMPUTED_VALUE"""),3.0)</f>
        <v>3</v>
      </c>
      <c r="E1286" s="3">
        <f>IFERROR(__xludf.DUMMYFUNCTION("""COMPUTED_VALUE"""),0.6909722222189885)</f>
        <v>0.6909722222</v>
      </c>
      <c r="F1286" s="1" t="str">
        <f>IFERROR(__xludf.DUMMYFUNCTION("""COMPUTED_VALUE"""),"Plain Gold")</f>
        <v>Plain Gold</v>
      </c>
      <c r="G1286" s="1" t="str">
        <f>IFERROR(__xludf.DUMMYFUNCTION("""COMPUTED_VALUE"""),"Preeti")</f>
        <v>Preeti</v>
      </c>
      <c r="H1286" s="1" t="str">
        <f>IFERROR(__xludf.DUMMYFUNCTION("""COMPUTED_VALUE"""),"Pendent ")</f>
        <v>Pendent </v>
      </c>
      <c r="I1286" s="1" t="str">
        <f>IFERROR(__xludf.DUMMYFUNCTION("""COMPUTED_VALUE"""),"Price wasn't suitable")</f>
        <v>Price wasn't suitable</v>
      </c>
      <c r="J1286" s="1"/>
      <c r="K1286" s="3">
        <f>IFERROR(__xludf.DUMMYFUNCTION("""COMPUTED_VALUE"""),0.7069444444423425)</f>
        <v>0.7069444444</v>
      </c>
      <c r="L1286" s="1" t="str">
        <f>IFERROR(__xludf.DUMMYFUNCTION("""COMPUTED_VALUE"""),"No")</f>
        <v>No</v>
      </c>
      <c r="M1286" s="1" t="str">
        <f>IFERROR(__xludf.DUMMYFUNCTION("""COMPUTED_VALUE"""),"No")</f>
        <v>No</v>
      </c>
      <c r="N1286" s="1" t="str">
        <f>IFERROR(__xludf.DUMMYFUNCTION("""COMPUTED_VALUE"""),"No")</f>
        <v>No</v>
      </c>
      <c r="O1286" s="1" t="str">
        <f>IFERROR(__xludf.DUMMYFUNCTION("""COMPUTED_VALUE"""),"WA ONLY")</f>
        <v>WA ONLY</v>
      </c>
      <c r="P1286" s="1" t="str">
        <f>IFERROR(__xludf.DUMMYFUNCTION("""COMPUTED_VALUE"""),"Sir")</f>
        <v>Sir</v>
      </c>
      <c r="Q1286" s="1" t="str">
        <f>IFERROR(__xludf.DUMMYFUNCTION("""COMPUTED_VALUE"""),"No")</f>
        <v>No</v>
      </c>
      <c r="R1286" s="1" t="str">
        <f>IFERROR(__xludf.DUMMYFUNCTION("""COMPUTED_VALUE"""),"NEW WALK IN")</f>
        <v>NEW WALK IN</v>
      </c>
      <c r="S1286" s="1" t="str">
        <f>IFERROR(__xludf.DUMMYFUNCTION("""COMPUTED_VALUE"""),"No")</f>
        <v>No</v>
      </c>
    </row>
    <row r="1287">
      <c r="A1287" s="2">
        <f>IFERROR(__xludf.DUMMYFUNCTION("""COMPUTED_VALUE"""),45910.7113549537)</f>
        <v>45910.71135</v>
      </c>
      <c r="B1287" s="1" t="str">
        <f>IFERROR(__xludf.DUMMYFUNCTION("""COMPUTED_VALUE"""),"Madhuri Bhutani ji")</f>
        <v>Madhuri Bhutani ji</v>
      </c>
      <c r="C1287" s="1">
        <f>IFERROR(__xludf.DUMMYFUNCTION("""COMPUTED_VALUE"""),9.30989671E9)</f>
        <v>9309896710</v>
      </c>
      <c r="D1287" s="1">
        <f>IFERROR(__xludf.DUMMYFUNCTION("""COMPUTED_VALUE"""),2.0)</f>
        <v>2</v>
      </c>
      <c r="E1287" s="3">
        <f>IFERROR(__xludf.DUMMYFUNCTION("""COMPUTED_VALUE"""),0.6354166666642413)</f>
        <v>0.6354166667</v>
      </c>
      <c r="F1287" s="1" t="str">
        <f>IFERROR(__xludf.DUMMYFUNCTION("""COMPUTED_VALUE"""),"Diamond")</f>
        <v>Diamond</v>
      </c>
      <c r="G1287" s="1"/>
      <c r="H1287" s="1" t="str">
        <f>IFERROR(__xludf.DUMMYFUNCTION("""COMPUTED_VALUE"""),"Earrings ")</f>
        <v>Earrings </v>
      </c>
      <c r="I1287" s="1"/>
      <c r="J1287" s="1"/>
      <c r="K1287" s="3">
        <f>IFERROR(__xludf.DUMMYFUNCTION("""COMPUTED_VALUE"""),0.6805555555547471)</f>
        <v>0.6805555556</v>
      </c>
      <c r="L1287" s="1" t="str">
        <f>IFERROR(__xludf.DUMMYFUNCTION("""COMPUTED_VALUE"""),"No")</f>
        <v>No</v>
      </c>
      <c r="M1287" s="1" t="str">
        <f>IFERROR(__xludf.DUMMYFUNCTION("""COMPUTED_VALUE"""),"No")</f>
        <v>No</v>
      </c>
      <c r="N1287" s="1" t="str">
        <f>IFERROR(__xludf.DUMMYFUNCTION("""COMPUTED_VALUE"""),"No")</f>
        <v>No</v>
      </c>
      <c r="O1287" s="1" t="str">
        <f>IFERROR(__xludf.DUMMYFUNCTION("""COMPUTED_VALUE"""),"OWNER CONTACT ONLY")</f>
        <v>OWNER CONTACT ONLY</v>
      </c>
      <c r="P1287" s="1" t="str">
        <f>IFERROR(__xludf.DUMMYFUNCTION("""COMPUTED_VALUE"""),"Madam")</f>
        <v>Madam</v>
      </c>
      <c r="Q1287" s="1" t="str">
        <f>IFERROR(__xludf.DUMMYFUNCTION("""COMPUTED_VALUE"""),"No")</f>
        <v>No</v>
      </c>
      <c r="R1287" s="1" t="str">
        <f>IFERROR(__xludf.DUMMYFUNCTION("""COMPUTED_VALUE"""),"OLD")</f>
        <v>OLD</v>
      </c>
      <c r="S1287" s="1" t="str">
        <f>IFERROR(__xludf.DUMMYFUNCTION("""COMPUTED_VALUE"""),"Yes")</f>
        <v>Yes</v>
      </c>
    </row>
    <row r="1288">
      <c r="A1288" s="2">
        <f>IFERROR(__xludf.DUMMYFUNCTION("""COMPUTED_VALUE"""),45910.71297912037)</f>
        <v>45910.71298</v>
      </c>
      <c r="B1288" s="1" t="str">
        <f>IFERROR(__xludf.DUMMYFUNCTION("""COMPUTED_VALUE"""),"Sushil verma ji")</f>
        <v>Sushil verma ji</v>
      </c>
      <c r="C1288" s="1">
        <f>IFERROR(__xludf.DUMMYFUNCTION("""COMPUTED_VALUE"""),9.958443938E9)</f>
        <v>9958443938</v>
      </c>
      <c r="D1288" s="1">
        <f>IFERROR(__xludf.DUMMYFUNCTION("""COMPUTED_VALUE"""),3.0)</f>
        <v>3</v>
      </c>
      <c r="E1288" s="3">
        <f>IFERROR(__xludf.DUMMYFUNCTION("""COMPUTED_VALUE"""),0.6388888888905058)</f>
        <v>0.6388888889</v>
      </c>
      <c r="F1288" s="1" t="str">
        <f>IFERROR(__xludf.DUMMYFUNCTION("""COMPUTED_VALUE"""),"Plain Gold")</f>
        <v>Plain Gold</v>
      </c>
      <c r="G1288" s="1" t="str">
        <f>IFERROR(__xludf.DUMMYFUNCTION("""COMPUTED_VALUE"""),"Preeti")</f>
        <v>Preeti</v>
      </c>
      <c r="H1288" s="1" t="str">
        <f>IFERROR(__xludf.DUMMYFUNCTION("""COMPUTED_VALUE"""),"Earrings chain")</f>
        <v>Earrings chain</v>
      </c>
      <c r="I1288" s="1" t="str">
        <f>IFERROR(__xludf.DUMMYFUNCTION("""COMPUTED_VALUE"""),"Visit Again in 1 Month")</f>
        <v>Visit Again in 1 Month</v>
      </c>
      <c r="J1288" s="1"/>
      <c r="K1288" s="3">
        <f>IFERROR(__xludf.DUMMYFUNCTION("""COMPUTED_VALUE"""),0.6576388888934162)</f>
        <v>0.6576388889</v>
      </c>
      <c r="L1288" s="1" t="str">
        <f>IFERROR(__xludf.DUMMYFUNCTION("""COMPUTED_VALUE"""),"No")</f>
        <v>No</v>
      </c>
      <c r="M1288" s="1" t="str">
        <f>IFERROR(__xludf.DUMMYFUNCTION("""COMPUTED_VALUE"""),"No")</f>
        <v>No</v>
      </c>
      <c r="N1288" s="1" t="str">
        <f>IFERROR(__xludf.DUMMYFUNCTION("""COMPUTED_VALUE"""),"No")</f>
        <v>No</v>
      </c>
      <c r="O1288" s="1" t="str">
        <f>IFERROR(__xludf.DUMMYFUNCTION("""COMPUTED_VALUE"""),"WA ONLY")</f>
        <v>WA ONLY</v>
      </c>
      <c r="P1288" s="1" t="str">
        <f>IFERROR(__xludf.DUMMYFUNCTION("""COMPUTED_VALUE"""),"Sir")</f>
        <v>Sir</v>
      </c>
      <c r="Q1288" s="1" t="str">
        <f>IFERROR(__xludf.DUMMYFUNCTION("""COMPUTED_VALUE"""),"No")</f>
        <v>No</v>
      </c>
      <c r="R1288" s="1" t="str">
        <f>IFERROR(__xludf.DUMMYFUNCTION("""COMPUTED_VALUE"""),"NEW WALK IN")</f>
        <v>NEW WALK IN</v>
      </c>
      <c r="S1288" s="1" t="str">
        <f>IFERROR(__xludf.DUMMYFUNCTION("""COMPUTED_VALUE"""),"No")</f>
        <v>No</v>
      </c>
    </row>
    <row r="1289">
      <c r="A1289" s="2">
        <f>IFERROR(__xludf.DUMMYFUNCTION("""COMPUTED_VALUE"""),45910.715628125)</f>
        <v>45910.71563</v>
      </c>
      <c r="B1289" s="1" t="str">
        <f>IFERROR(__xludf.DUMMYFUNCTION("""COMPUTED_VALUE"""),"Anjali goyal ji")</f>
        <v>Anjali goyal ji</v>
      </c>
      <c r="C1289" s="1">
        <f>IFERROR(__xludf.DUMMYFUNCTION("""COMPUTED_VALUE"""),9.871122833E9)</f>
        <v>9871122833</v>
      </c>
      <c r="D1289" s="1">
        <f>IFERROR(__xludf.DUMMYFUNCTION("""COMPUTED_VALUE"""),1.0)</f>
        <v>1</v>
      </c>
      <c r="E1289" s="3">
        <f>IFERROR(__xludf.DUMMYFUNCTION("""COMPUTED_VALUE"""),0.6770833333357587)</f>
        <v>0.6770833333</v>
      </c>
      <c r="F1289" s="1" t="str">
        <f>IFERROR(__xludf.DUMMYFUNCTION("""COMPUTED_VALUE"""),"Silver Items")</f>
        <v>Silver Items</v>
      </c>
      <c r="G1289" s="1"/>
      <c r="H1289" s="1" t="str">
        <f>IFERROR(__xludf.DUMMYFUNCTION("""COMPUTED_VALUE"""),"Silver antique pieces ")</f>
        <v>Silver antique pieces </v>
      </c>
      <c r="I1289" s="1" t="str">
        <f>IFERROR(__xludf.DUMMYFUNCTION("""COMPUTED_VALUE"""),"Visit Again in 1 Month")</f>
        <v>Visit Again in 1 Month</v>
      </c>
      <c r="J1289" s="1"/>
      <c r="K1289" s="3">
        <f>IFERROR(__xludf.DUMMYFUNCTION("""COMPUTED_VALUE"""),0.6840277777810115)</f>
        <v>0.6840277778</v>
      </c>
      <c r="L1289" s="1" t="str">
        <f>IFERROR(__xludf.DUMMYFUNCTION("""COMPUTED_VALUE"""),"No")</f>
        <v>No</v>
      </c>
      <c r="M1289" s="1" t="str">
        <f>IFERROR(__xludf.DUMMYFUNCTION("""COMPUTED_VALUE"""),"No")</f>
        <v>No</v>
      </c>
      <c r="N1289" s="1" t="str">
        <f>IFERROR(__xludf.DUMMYFUNCTION("""COMPUTED_VALUE"""),"No")</f>
        <v>No</v>
      </c>
      <c r="O1289" s="1" t="str">
        <f>IFERROR(__xludf.DUMMYFUNCTION("""COMPUTED_VALUE"""),"WA ONLY, OWNER CONTACT ONLY")</f>
        <v>WA ONLY, OWNER CONTACT ONLY</v>
      </c>
      <c r="P1289" s="1" t="str">
        <f>IFERROR(__xludf.DUMMYFUNCTION("""COMPUTED_VALUE"""),"Madam")</f>
        <v>Madam</v>
      </c>
      <c r="Q1289" s="1" t="str">
        <f>IFERROR(__xludf.DUMMYFUNCTION("""COMPUTED_VALUE"""),"No")</f>
        <v>No</v>
      </c>
      <c r="R1289" s="1" t="str">
        <f>IFERROR(__xludf.DUMMYFUNCTION("""COMPUTED_VALUE"""),"NEW WALK IN")</f>
        <v>NEW WALK IN</v>
      </c>
      <c r="S1289" s="1" t="str">
        <f>IFERROR(__xludf.DUMMYFUNCTION("""COMPUTED_VALUE"""),"No")</f>
        <v>No</v>
      </c>
    </row>
    <row r="1290">
      <c r="A1290" s="2">
        <f>IFERROR(__xludf.DUMMYFUNCTION("""COMPUTED_VALUE"""),45911.798174641204)</f>
        <v>45911.79817</v>
      </c>
      <c r="B1290" s="1" t="str">
        <f>IFERROR(__xludf.DUMMYFUNCTION("""COMPUTED_VALUE"""),"Priya ji")</f>
        <v>Priya ji</v>
      </c>
      <c r="C1290" s="1">
        <f>IFERROR(__xludf.DUMMYFUNCTION("""COMPUTED_VALUE"""),9.8730251E9)</f>
        <v>9873025100</v>
      </c>
      <c r="D1290" s="1">
        <f>IFERROR(__xludf.DUMMYFUNCTION("""COMPUTED_VALUE"""),2.0)</f>
        <v>2</v>
      </c>
      <c r="E1290" s="3">
        <f>IFERROR(__xludf.DUMMYFUNCTION("""COMPUTED_VALUE"""),0.6666666666642413)</f>
        <v>0.6666666667</v>
      </c>
      <c r="F1290" s="1" t="str">
        <f>IFERROR(__xludf.DUMMYFUNCTION("""COMPUTED_VALUE"""),"Silver Items")</f>
        <v>Silver Items</v>
      </c>
      <c r="G1290" s="1"/>
      <c r="H1290" s="1" t="str">
        <f>IFERROR(__xludf.DUMMYFUNCTION("""COMPUTED_VALUE"""),"Mmtc silver bar")</f>
        <v>Mmtc silver bar</v>
      </c>
      <c r="I1290" s="1"/>
      <c r="J1290" s="1"/>
      <c r="K1290" s="3">
        <f>IFERROR(__xludf.DUMMYFUNCTION("""COMPUTED_VALUE"""),0.6944444444452529)</f>
        <v>0.6944444444</v>
      </c>
      <c r="L1290" s="1" t="str">
        <f>IFERROR(__xludf.DUMMYFUNCTION("""COMPUTED_VALUE"""),"No")</f>
        <v>No</v>
      </c>
      <c r="M1290" s="1" t="str">
        <f>IFERROR(__xludf.DUMMYFUNCTION("""COMPUTED_VALUE"""),"No")</f>
        <v>No</v>
      </c>
      <c r="N1290" s="1" t="str">
        <f>IFERROR(__xludf.DUMMYFUNCTION("""COMPUTED_VALUE"""),"Yes")</f>
        <v>Yes</v>
      </c>
      <c r="O1290" s="1" t="str">
        <f>IFERROR(__xludf.DUMMYFUNCTION("""COMPUTED_VALUE"""),"WA ONLY")</f>
        <v>WA ONLY</v>
      </c>
      <c r="P1290" s="1" t="str">
        <f>IFERROR(__xludf.DUMMYFUNCTION("""COMPUTED_VALUE"""),"Sir")</f>
        <v>Sir</v>
      </c>
      <c r="Q1290" s="1" t="str">
        <f>IFERROR(__xludf.DUMMYFUNCTION("""COMPUTED_VALUE"""),"No")</f>
        <v>No</v>
      </c>
      <c r="R1290" s="1" t="str">
        <f>IFERROR(__xludf.DUMMYFUNCTION("""COMPUTED_VALUE"""),"NEW WALK IN")</f>
        <v>NEW WALK IN</v>
      </c>
      <c r="S1290" s="1" t="str">
        <f>IFERROR(__xludf.DUMMYFUNCTION("""COMPUTED_VALUE"""),"Yes")</f>
        <v>Yes</v>
      </c>
    </row>
    <row r="1291">
      <c r="A1291" s="2">
        <f>IFERROR(__xludf.DUMMYFUNCTION("""COMPUTED_VALUE"""),45911.7993102662)</f>
        <v>45911.79931</v>
      </c>
      <c r="B1291" s="1" t="str">
        <f>IFERROR(__xludf.DUMMYFUNCTION("""COMPUTED_VALUE"""),"Menan ")</f>
        <v>Menan </v>
      </c>
      <c r="C1291" s="1">
        <f>IFERROR(__xludf.DUMMYFUNCTION("""COMPUTED_VALUE"""),9.71506254417E11)</f>
        <v>971506254417</v>
      </c>
      <c r="D1291" s="1">
        <f>IFERROR(__xludf.DUMMYFUNCTION("""COMPUTED_VALUE"""),2.0)</f>
        <v>2</v>
      </c>
      <c r="E1291" s="3">
        <f>IFERROR(__xludf.DUMMYFUNCTION("""COMPUTED_VALUE"""),0.6770833333357587)</f>
        <v>0.6770833333</v>
      </c>
      <c r="F1291" s="1" t="str">
        <f>IFERROR(__xludf.DUMMYFUNCTION("""COMPUTED_VALUE"""),"Silver Items")</f>
        <v>Silver Items</v>
      </c>
      <c r="G1291" s="1"/>
      <c r="H1291" s="1" t="str">
        <f>IFERROR(__xludf.DUMMYFUNCTION("""COMPUTED_VALUE"""),"Gold plated silver items")</f>
        <v>Gold plated silver items</v>
      </c>
      <c r="I1291" s="1" t="str">
        <f>IFERROR(__xludf.DUMMYFUNCTION("""COMPUTED_VALUE"""),"Designs Not Liked")</f>
        <v>Designs Not Liked</v>
      </c>
      <c r="J1291" s="1"/>
      <c r="K1291" s="3">
        <f>IFERROR(__xludf.DUMMYFUNCTION("""COMPUTED_VALUE"""),0.6840277777810115)</f>
        <v>0.6840277778</v>
      </c>
      <c r="L1291" s="1" t="str">
        <f>IFERROR(__xludf.DUMMYFUNCTION("""COMPUTED_VALUE"""),"No")</f>
        <v>No</v>
      </c>
      <c r="M1291" s="1" t="str">
        <f>IFERROR(__xludf.DUMMYFUNCTION("""COMPUTED_VALUE"""),"No")</f>
        <v>No</v>
      </c>
      <c r="N1291" s="1" t="str">
        <f>IFERROR(__xludf.DUMMYFUNCTION("""COMPUTED_VALUE"""),"No")</f>
        <v>No</v>
      </c>
      <c r="O1291" s="1" t="str">
        <f>IFERROR(__xludf.DUMMYFUNCTION("""COMPUTED_VALUE"""),"WA ONLY, OWNER CONTACT ONLY")</f>
        <v>WA ONLY, OWNER CONTACT ONLY</v>
      </c>
      <c r="P1291" s="1" t="str">
        <f>IFERROR(__xludf.DUMMYFUNCTION("""COMPUTED_VALUE"""),"Madam")</f>
        <v>Madam</v>
      </c>
      <c r="Q1291" s="1" t="str">
        <f>IFERROR(__xludf.DUMMYFUNCTION("""COMPUTED_VALUE"""),"No")</f>
        <v>No</v>
      </c>
      <c r="R1291" s="1" t="str">
        <f>IFERROR(__xludf.DUMMYFUNCTION("""COMPUTED_VALUE"""),"NEW WALK IN")</f>
        <v>NEW WALK IN</v>
      </c>
      <c r="S1291" s="1" t="str">
        <f>IFERROR(__xludf.DUMMYFUNCTION("""COMPUTED_VALUE"""),"No")</f>
        <v>No</v>
      </c>
    </row>
    <row r="1292">
      <c r="A1292" s="2">
        <f>IFERROR(__xludf.DUMMYFUNCTION("""COMPUTED_VALUE"""),45913.80049108797)</f>
        <v>45913.80049</v>
      </c>
      <c r="B1292" s="1" t="str">
        <f>IFERROR(__xludf.DUMMYFUNCTION("""COMPUTED_VALUE"""),"Chaya jalan ji")</f>
        <v>Chaya jalan ji</v>
      </c>
      <c r="C1292" s="1">
        <f>IFERROR(__xludf.DUMMYFUNCTION("""COMPUTED_VALUE"""),9.811725515E9)</f>
        <v>9811725515</v>
      </c>
      <c r="D1292" s="1">
        <f>IFERROR(__xludf.DUMMYFUNCTION("""COMPUTED_VALUE"""),1.0)</f>
        <v>1</v>
      </c>
      <c r="E1292" s="3">
        <f>IFERROR(__xludf.DUMMYFUNCTION("""COMPUTED_VALUE"""),0.47916666666424135)</f>
        <v>0.4791666667</v>
      </c>
      <c r="F1292" s="1" t="str">
        <f>IFERROR(__xludf.DUMMYFUNCTION("""COMPUTED_VALUE"""),"Diamond")</f>
        <v>Diamond</v>
      </c>
      <c r="G1292" s="1"/>
      <c r="H1292" s="1" t="str">
        <f>IFERROR(__xludf.DUMMYFUNCTION("""COMPUTED_VALUE"""),"Had an item to repair")</f>
        <v>Had an item to repair</v>
      </c>
      <c r="I1292" s="1"/>
      <c r="J1292" s="1"/>
      <c r="K1292" s="3">
        <f>IFERROR(__xludf.DUMMYFUNCTION("""COMPUTED_VALUE"""),0.48958333333575865)</f>
        <v>0.4895833333</v>
      </c>
      <c r="L1292" s="1" t="str">
        <f>IFERROR(__xludf.DUMMYFUNCTION("""COMPUTED_VALUE"""),"No")</f>
        <v>No</v>
      </c>
      <c r="M1292" s="1" t="str">
        <f>IFERROR(__xludf.DUMMYFUNCTION("""COMPUTED_VALUE"""),"Already done")</f>
        <v>Already done</v>
      </c>
      <c r="N1292" s="1" t="str">
        <f>IFERROR(__xludf.DUMMYFUNCTION("""COMPUTED_VALUE"""),"Already done")</f>
        <v>Already done</v>
      </c>
      <c r="O1292" s="1" t="str">
        <f>IFERROR(__xludf.DUMMYFUNCTION("""COMPUTED_VALUE"""),"WA ONLY, OWNER CONTACT ONLY")</f>
        <v>WA ONLY, OWNER CONTACT ONLY</v>
      </c>
      <c r="P1292" s="1" t="str">
        <f>IFERROR(__xludf.DUMMYFUNCTION("""COMPUTED_VALUE"""),"Madam")</f>
        <v>Madam</v>
      </c>
      <c r="Q1292" s="1" t="str">
        <f>IFERROR(__xludf.DUMMYFUNCTION("""COMPUTED_VALUE"""),"No")</f>
        <v>No</v>
      </c>
      <c r="R1292" s="1" t="str">
        <f>IFERROR(__xludf.DUMMYFUNCTION("""COMPUTED_VALUE"""),"OLD")</f>
        <v>OLD</v>
      </c>
      <c r="S1292" s="1" t="str">
        <f>IFERROR(__xludf.DUMMYFUNCTION("""COMPUTED_VALUE"""),"No")</f>
        <v>No</v>
      </c>
    </row>
    <row r="1293">
      <c r="A1293" s="2">
        <f>IFERROR(__xludf.DUMMYFUNCTION("""COMPUTED_VALUE"""),45913.801520995374)</f>
        <v>45913.80152</v>
      </c>
      <c r="B1293" s="1" t="str">
        <f>IFERROR(__xludf.DUMMYFUNCTION("""COMPUTED_VALUE"""),"Pratibha manchanda ji")</f>
        <v>Pratibha manchanda ji</v>
      </c>
      <c r="C1293" s="1">
        <f>IFERROR(__xludf.DUMMYFUNCTION("""COMPUTED_VALUE"""),8.076374848E9)</f>
        <v>8076374848</v>
      </c>
      <c r="D1293" s="1">
        <f>IFERROR(__xludf.DUMMYFUNCTION("""COMPUTED_VALUE"""),1.0)</f>
        <v>1</v>
      </c>
      <c r="E1293" s="3">
        <f>IFERROR(__xludf.DUMMYFUNCTION("""COMPUTED_VALUE"""),0.5)</f>
        <v>0.5</v>
      </c>
      <c r="F1293" s="1" t="str">
        <f>IFERROR(__xludf.DUMMYFUNCTION("""COMPUTED_VALUE"""),"Diamond")</f>
        <v>Diamond</v>
      </c>
      <c r="G1293" s="1"/>
      <c r="H1293" s="1" t="str">
        <f>IFERROR(__xludf.DUMMYFUNCTION("""COMPUTED_VALUE"""),"Antique sets")</f>
        <v>Antique sets</v>
      </c>
      <c r="I1293" s="1"/>
      <c r="J1293" s="1"/>
      <c r="K1293" s="3">
        <f>IFERROR(__xludf.DUMMYFUNCTION("""COMPUTED_VALUE"""),0.625)</f>
        <v>0.625</v>
      </c>
      <c r="L1293" s="1" t="str">
        <f>IFERROR(__xludf.DUMMYFUNCTION("""COMPUTED_VALUE"""),"No")</f>
        <v>No</v>
      </c>
      <c r="M1293" s="1" t="str">
        <f>IFERROR(__xludf.DUMMYFUNCTION("""COMPUTED_VALUE"""),"No")</f>
        <v>No</v>
      </c>
      <c r="N1293" s="1" t="str">
        <f>IFERROR(__xludf.DUMMYFUNCTION("""COMPUTED_VALUE"""),"No")</f>
        <v>No</v>
      </c>
      <c r="O1293" s="1" t="str">
        <f>IFERROR(__xludf.DUMMYFUNCTION("""COMPUTED_VALUE"""),"WA ONLY, OWNER CONTACT ONLY")</f>
        <v>WA ONLY, OWNER CONTACT ONLY</v>
      </c>
      <c r="P1293" s="1" t="str">
        <f>IFERROR(__xludf.DUMMYFUNCTION("""COMPUTED_VALUE"""),"Madam")</f>
        <v>Madam</v>
      </c>
      <c r="Q1293" s="1" t="str">
        <f>IFERROR(__xludf.DUMMYFUNCTION("""COMPUTED_VALUE"""),"No")</f>
        <v>No</v>
      </c>
      <c r="R1293" s="1" t="str">
        <f>IFERROR(__xludf.DUMMYFUNCTION("""COMPUTED_VALUE"""),"OLD")</f>
        <v>OLD</v>
      </c>
      <c r="S1293" s="1" t="str">
        <f>IFERROR(__xludf.DUMMYFUNCTION("""COMPUTED_VALUE"""),"Yes")</f>
        <v>Yes</v>
      </c>
    </row>
    <row r="1294">
      <c r="A1294" s="2">
        <f>IFERROR(__xludf.DUMMYFUNCTION("""COMPUTED_VALUE"""),45914.53493034722)</f>
        <v>45914.53493</v>
      </c>
      <c r="B1294" s="1" t="str">
        <f>IFERROR(__xludf.DUMMYFUNCTION("""COMPUTED_VALUE"""),"Himi Bhatia ji")</f>
        <v>Himi Bhatia ji</v>
      </c>
      <c r="C1294" s="1">
        <f>IFERROR(__xludf.DUMMYFUNCTION("""COMPUTED_VALUE"""),9.868409966E9)</f>
        <v>9868409966</v>
      </c>
      <c r="D1294" s="1">
        <f>IFERROR(__xludf.DUMMYFUNCTION("""COMPUTED_VALUE"""),2.0)</f>
        <v>2</v>
      </c>
      <c r="E1294" s="3">
        <f>IFERROR(__xludf.DUMMYFUNCTION("""COMPUTED_VALUE"""),0.7604166666642413)</f>
        <v>0.7604166667</v>
      </c>
      <c r="F1294" s="1" t="str">
        <f>IFERROR(__xludf.DUMMYFUNCTION("""COMPUTED_VALUE"""),"Silver Items")</f>
        <v>Silver Items</v>
      </c>
      <c r="G1294" s="1"/>
      <c r="H1294" s="1" t="str">
        <f>IFERROR(__xludf.DUMMYFUNCTION("""COMPUTED_VALUE"""),"MMTC gold coin")</f>
        <v>MMTC gold coin</v>
      </c>
      <c r="I1294" s="1"/>
      <c r="J1294" s="1"/>
      <c r="K1294" s="3">
        <f>IFERROR(__xludf.DUMMYFUNCTION("""COMPUTED_VALUE"""),0.8125)</f>
        <v>0.8125</v>
      </c>
      <c r="L1294" s="1" t="str">
        <f>IFERROR(__xludf.DUMMYFUNCTION("""COMPUTED_VALUE"""),"No")</f>
        <v>No</v>
      </c>
      <c r="M1294" s="1" t="str">
        <f>IFERROR(__xludf.DUMMYFUNCTION("""COMPUTED_VALUE"""),"Yes")</f>
        <v>Yes</v>
      </c>
      <c r="N1294" s="1" t="str">
        <f>IFERROR(__xludf.DUMMYFUNCTION("""COMPUTED_VALUE"""),"Yes")</f>
        <v>Yes</v>
      </c>
      <c r="O1294" s="1" t="str">
        <f>IFERROR(__xludf.DUMMYFUNCTION("""COMPUTED_VALUE"""),"WA ONLY, OWNER CONTACT ONLY")</f>
        <v>WA ONLY, OWNER CONTACT ONLY</v>
      </c>
      <c r="P1294" s="1" t="str">
        <f>IFERROR(__xludf.DUMMYFUNCTION("""COMPUTED_VALUE"""),"Madam")</f>
        <v>Madam</v>
      </c>
      <c r="Q1294" s="1" t="str">
        <f>IFERROR(__xludf.DUMMYFUNCTION("""COMPUTED_VALUE"""),"No")</f>
        <v>No</v>
      </c>
      <c r="R1294" s="1" t="str">
        <f>IFERROR(__xludf.DUMMYFUNCTION("""COMPUTED_VALUE"""),"OLD")</f>
        <v>OLD</v>
      </c>
      <c r="S1294" s="1" t="str">
        <f>IFERROR(__xludf.DUMMYFUNCTION("""COMPUTED_VALUE"""),"Yes")</f>
        <v>Yes</v>
      </c>
    </row>
    <row r="1295">
      <c r="A1295" s="2">
        <f>IFERROR(__xludf.DUMMYFUNCTION("""COMPUTED_VALUE"""),45914.53615409722)</f>
        <v>45914.53615</v>
      </c>
      <c r="B1295" s="1" t="str">
        <f>IFERROR(__xludf.DUMMYFUNCTION("""COMPUTED_VALUE"""),"Rekha ji")</f>
        <v>Rekha ji</v>
      </c>
      <c r="C1295" s="1">
        <f>IFERROR(__xludf.DUMMYFUNCTION("""COMPUTED_VALUE"""),7.827230212E9)</f>
        <v>7827230212</v>
      </c>
      <c r="D1295" s="1">
        <f>IFERROR(__xludf.DUMMYFUNCTION("""COMPUTED_VALUE"""),2.0)</f>
        <v>2</v>
      </c>
      <c r="E1295" s="3">
        <f>IFERROR(__xludf.DUMMYFUNCTION("""COMPUTED_VALUE"""),0.5173611111094942)</f>
        <v>0.5173611111</v>
      </c>
      <c r="F1295" s="1" t="str">
        <f>IFERROR(__xludf.DUMMYFUNCTION("""COMPUTED_VALUE"""),"Silver Items")</f>
        <v>Silver Items</v>
      </c>
      <c r="G1295" s="1"/>
      <c r="H1295" s="1" t="str">
        <f>IFERROR(__xludf.DUMMYFUNCTION("""COMPUTED_VALUE"""),"Female kadha")</f>
        <v>Female kadha</v>
      </c>
      <c r="I1295" s="1" t="str">
        <f>IFERROR(__xludf.DUMMYFUNCTION("""COMPUTED_VALUE"""),"They were looking for a kadha they couldn't found")</f>
        <v>They were looking for a kadha they couldn't found</v>
      </c>
      <c r="J1295" s="1"/>
      <c r="K1295" s="3">
        <f>IFERROR(__xludf.DUMMYFUNCTION("""COMPUTED_VALUE"""),0.5229166666686069)</f>
        <v>0.5229166667</v>
      </c>
      <c r="L1295" s="1" t="str">
        <f>IFERROR(__xludf.DUMMYFUNCTION("""COMPUTED_VALUE"""),"No")</f>
        <v>No</v>
      </c>
      <c r="M1295" s="1" t="str">
        <f>IFERROR(__xludf.DUMMYFUNCTION("""COMPUTED_VALUE"""),"No")</f>
        <v>No</v>
      </c>
      <c r="N1295" s="1" t="str">
        <f>IFERROR(__xludf.DUMMYFUNCTION("""COMPUTED_VALUE"""),"No")</f>
        <v>No</v>
      </c>
      <c r="O1295" s="1" t="str">
        <f>IFERROR(__xludf.DUMMYFUNCTION("""COMPUTED_VALUE"""),"WA ONLY")</f>
        <v>WA ONLY</v>
      </c>
      <c r="P1295" s="1" t="str">
        <f>IFERROR(__xludf.DUMMYFUNCTION("""COMPUTED_VALUE"""),"Madam")</f>
        <v>Madam</v>
      </c>
      <c r="Q1295" s="1" t="str">
        <f>IFERROR(__xludf.DUMMYFUNCTION("""COMPUTED_VALUE"""),"No")</f>
        <v>No</v>
      </c>
      <c r="R1295" s="1" t="str">
        <f>IFERROR(__xludf.DUMMYFUNCTION("""COMPUTED_VALUE"""),"NEW WALK IN")</f>
        <v>NEW WALK IN</v>
      </c>
      <c r="S1295" s="1" t="str">
        <f>IFERROR(__xludf.DUMMYFUNCTION("""COMPUTED_VALUE"""),"No")</f>
        <v>No</v>
      </c>
    </row>
    <row r="1296">
      <c r="A1296" s="2">
        <f>IFERROR(__xludf.DUMMYFUNCTION("""COMPUTED_VALUE"""),45914.74617025463)</f>
        <v>45914.74617</v>
      </c>
      <c r="B1296" s="1" t="str">
        <f>IFERROR(__xludf.DUMMYFUNCTION("""COMPUTED_VALUE"""),"Rekha ji")</f>
        <v>Rekha ji</v>
      </c>
      <c r="C1296" s="1">
        <f>IFERROR(__xludf.DUMMYFUNCTION("""COMPUTED_VALUE"""),7.827230212E9)</f>
        <v>7827230212</v>
      </c>
      <c r="D1296" s="1">
        <f>IFERROR(__xludf.DUMMYFUNCTION("""COMPUTED_VALUE"""),2.0)</f>
        <v>2</v>
      </c>
      <c r="E1296" s="3">
        <f>IFERROR(__xludf.DUMMYFUNCTION("""COMPUTED_VALUE"""),0.5173611111094942)</f>
        <v>0.5173611111</v>
      </c>
      <c r="F1296" s="1" t="str">
        <f>IFERROR(__xludf.DUMMYFUNCTION("""COMPUTED_VALUE"""),"Silver Items")</f>
        <v>Silver Items</v>
      </c>
      <c r="G1296" s="1"/>
      <c r="H1296" s="1" t="str">
        <f>IFERROR(__xludf.DUMMYFUNCTION("""COMPUTED_VALUE"""),"Kadha")</f>
        <v>Kadha</v>
      </c>
      <c r="I1296" s="1" t="str">
        <f>IFERROR(__xludf.DUMMYFUNCTION("""COMPUTED_VALUE"""),"Designs Not Liked")</f>
        <v>Designs Not Liked</v>
      </c>
      <c r="J1296" s="1"/>
      <c r="K1296" s="3">
        <f>IFERROR(__xludf.DUMMYFUNCTION("""COMPUTED_VALUE"""),0.5229166666686069)</f>
        <v>0.5229166667</v>
      </c>
      <c r="L1296" s="1" t="str">
        <f>IFERROR(__xludf.DUMMYFUNCTION("""COMPUTED_VALUE"""),"No")</f>
        <v>No</v>
      </c>
      <c r="M1296" s="1" t="str">
        <f>IFERROR(__xludf.DUMMYFUNCTION("""COMPUTED_VALUE"""),"No")</f>
        <v>No</v>
      </c>
      <c r="N1296" s="1" t="str">
        <f>IFERROR(__xludf.DUMMYFUNCTION("""COMPUTED_VALUE"""),"No")</f>
        <v>No</v>
      </c>
      <c r="O1296" s="1" t="str">
        <f>IFERROR(__xludf.DUMMYFUNCTION("""COMPUTED_VALUE"""),"WA ONLY")</f>
        <v>WA ONLY</v>
      </c>
      <c r="P1296" s="1" t="str">
        <f>IFERROR(__xludf.DUMMYFUNCTION("""COMPUTED_VALUE"""),"Madam")</f>
        <v>Madam</v>
      </c>
      <c r="Q1296" s="1" t="str">
        <f>IFERROR(__xludf.DUMMYFUNCTION("""COMPUTED_VALUE"""),"No")</f>
        <v>No</v>
      </c>
      <c r="R1296" s="1" t="str">
        <f>IFERROR(__xludf.DUMMYFUNCTION("""COMPUTED_VALUE"""),"NEW WALK IN")</f>
        <v>NEW WALK IN</v>
      </c>
      <c r="S1296" s="1" t="str">
        <f>IFERROR(__xludf.DUMMYFUNCTION("""COMPUTED_VALUE"""),"No")</f>
        <v>No</v>
      </c>
    </row>
    <row r="1297">
      <c r="A1297" s="2">
        <f>IFERROR(__xludf.DUMMYFUNCTION("""COMPUTED_VALUE"""),45914.74790443287)</f>
        <v>45914.7479</v>
      </c>
      <c r="B1297" s="1" t="str">
        <f>IFERROR(__xludf.DUMMYFUNCTION("""COMPUTED_VALUE"""),"Md. Keshar khan")</f>
        <v>Md. Keshar khan</v>
      </c>
      <c r="C1297" s="1">
        <f>IFERROR(__xludf.DUMMYFUNCTION("""COMPUTED_VALUE"""),9.999728283E9)</f>
        <v>9999728283</v>
      </c>
      <c r="D1297" s="1">
        <f>IFERROR(__xludf.DUMMYFUNCTION("""COMPUTED_VALUE"""),2.0)</f>
        <v>2</v>
      </c>
      <c r="E1297" s="3">
        <f>IFERROR(__xludf.DUMMYFUNCTION("""COMPUTED_VALUE"""),0.5520833333357587)</f>
        <v>0.5520833333</v>
      </c>
      <c r="F1297" s="1" t="str">
        <f>IFERROR(__xludf.DUMMYFUNCTION("""COMPUTED_VALUE"""),"Silver Items")</f>
        <v>Silver Items</v>
      </c>
      <c r="G1297" s="1"/>
      <c r="H1297" s="1" t="str">
        <f>IFERROR(__xludf.DUMMYFUNCTION("""COMPUTED_VALUE"""),"Ring tops")</f>
        <v>Ring tops</v>
      </c>
      <c r="I1297" s="1"/>
      <c r="J1297" s="1"/>
      <c r="K1297" s="3">
        <f>IFERROR(__xludf.DUMMYFUNCTION("""COMPUTED_VALUE"""),0.6347222222248092)</f>
        <v>0.6347222222</v>
      </c>
      <c r="L1297" s="1" t="str">
        <f>IFERROR(__xludf.DUMMYFUNCTION("""COMPUTED_VALUE"""),"No")</f>
        <v>No</v>
      </c>
      <c r="M1297" s="1" t="str">
        <f>IFERROR(__xludf.DUMMYFUNCTION("""COMPUTED_VALUE"""),"Yes")</f>
        <v>Yes</v>
      </c>
      <c r="N1297" s="1" t="str">
        <f>IFERROR(__xludf.DUMMYFUNCTION("""COMPUTED_VALUE"""),"No")</f>
        <v>No</v>
      </c>
      <c r="O1297" s="1" t="str">
        <f>IFERROR(__xludf.DUMMYFUNCTION("""COMPUTED_VALUE"""),"WA ONLY")</f>
        <v>WA ONLY</v>
      </c>
      <c r="P1297" s="1" t="str">
        <f>IFERROR(__xludf.DUMMYFUNCTION("""COMPUTED_VALUE"""),"Sir")</f>
        <v>Sir</v>
      </c>
      <c r="Q1297" s="1" t="str">
        <f>IFERROR(__xludf.DUMMYFUNCTION("""COMPUTED_VALUE"""),"Yes")</f>
        <v>Yes</v>
      </c>
      <c r="R1297" s="1" t="str">
        <f>IFERROR(__xludf.DUMMYFUNCTION("""COMPUTED_VALUE"""),"OLD")</f>
        <v>OLD</v>
      </c>
      <c r="S1297" s="1" t="str">
        <f>IFERROR(__xludf.DUMMYFUNCTION("""COMPUTED_VALUE"""),"Yes")</f>
        <v>Yes</v>
      </c>
    </row>
    <row r="1298">
      <c r="A1298" s="2">
        <f>IFERROR(__xludf.DUMMYFUNCTION("""COMPUTED_VALUE"""),45914.753863819446)</f>
        <v>45914.75386</v>
      </c>
      <c r="B1298" s="1" t="str">
        <f>IFERROR(__xludf.DUMMYFUNCTION("""COMPUTED_VALUE"""),"Shahista Khan mam")</f>
        <v>Shahista Khan mam</v>
      </c>
      <c r="C1298" s="1">
        <f>IFERROR(__xludf.DUMMYFUNCTION("""COMPUTED_VALUE"""),8.860741616E9)</f>
        <v>8860741616</v>
      </c>
      <c r="D1298" s="1">
        <f>IFERROR(__xludf.DUMMYFUNCTION("""COMPUTED_VALUE"""),1.0)</f>
        <v>1</v>
      </c>
      <c r="E1298" s="3">
        <f>IFERROR(__xludf.DUMMYFUNCTION("""COMPUTED_VALUE"""),0.5555555555547471)</f>
        <v>0.5555555556</v>
      </c>
      <c r="F1298" s="1"/>
      <c r="G1298" s="1"/>
      <c r="H1298" s="1" t="str">
        <f>IFERROR(__xludf.DUMMYFUNCTION("""COMPUTED_VALUE"""),"Nothing")</f>
        <v>Nothing</v>
      </c>
      <c r="I1298" s="1" t="str">
        <f>IFERROR(__xludf.DUMMYFUNCTION("""COMPUTED_VALUE"""),"Here to meet Sanjeev Sir")</f>
        <v>Here to meet Sanjeev Sir</v>
      </c>
      <c r="J1298" s="1"/>
      <c r="K1298" s="3">
        <f>IFERROR(__xludf.DUMMYFUNCTION("""COMPUTED_VALUE"""),0.6340277777781012)</f>
        <v>0.6340277778</v>
      </c>
      <c r="L1298" s="1" t="str">
        <f>IFERROR(__xludf.DUMMYFUNCTION("""COMPUTED_VALUE"""),"No")</f>
        <v>No</v>
      </c>
      <c r="M1298" s="1" t="str">
        <f>IFERROR(__xludf.DUMMYFUNCTION("""COMPUTED_VALUE"""),"Already done")</f>
        <v>Already done</v>
      </c>
      <c r="N1298" s="1" t="str">
        <f>IFERROR(__xludf.DUMMYFUNCTION("""COMPUTED_VALUE"""),"Already done")</f>
        <v>Already done</v>
      </c>
      <c r="O1298" s="1" t="str">
        <f>IFERROR(__xludf.DUMMYFUNCTION("""COMPUTED_VALUE"""),"OWNER CONTACT ONLY")</f>
        <v>OWNER CONTACT ONLY</v>
      </c>
      <c r="P1298" s="1" t="str">
        <f>IFERROR(__xludf.DUMMYFUNCTION("""COMPUTED_VALUE"""),"Madam")</f>
        <v>Madam</v>
      </c>
      <c r="Q1298" s="1" t="str">
        <f>IFERROR(__xludf.DUMMYFUNCTION("""COMPUTED_VALUE"""),"No")</f>
        <v>No</v>
      </c>
      <c r="R1298" s="1" t="str">
        <f>IFERROR(__xludf.DUMMYFUNCTION("""COMPUTED_VALUE"""),"OLD")</f>
        <v>OLD</v>
      </c>
      <c r="S1298" s="1" t="str">
        <f>IFERROR(__xludf.DUMMYFUNCTION("""COMPUTED_VALUE"""),"No")</f>
        <v>No</v>
      </c>
    </row>
    <row r="1299">
      <c r="A1299" s="2">
        <f>IFERROR(__xludf.DUMMYFUNCTION("""COMPUTED_VALUE"""),45914.755495046295)</f>
        <v>45914.7555</v>
      </c>
      <c r="B1299" s="1" t="str">
        <f>IFERROR(__xludf.DUMMYFUNCTION("""COMPUTED_VALUE"""),"Supriya ji")</f>
        <v>Supriya ji</v>
      </c>
      <c r="C1299" s="1">
        <f>IFERROR(__xludf.DUMMYFUNCTION("""COMPUTED_VALUE"""),8.860435565E9)</f>
        <v>8860435565</v>
      </c>
      <c r="D1299" s="1">
        <f>IFERROR(__xludf.DUMMYFUNCTION("""COMPUTED_VALUE"""),3.0)</f>
        <v>3</v>
      </c>
      <c r="E1299" s="3">
        <f>IFERROR(__xludf.DUMMYFUNCTION("""COMPUTED_VALUE"""),0.5208333333357587)</f>
        <v>0.5208333333</v>
      </c>
      <c r="F1299" s="1" t="str">
        <f>IFERROR(__xludf.DUMMYFUNCTION("""COMPUTED_VALUE"""),"Plain Gold")</f>
        <v>Plain Gold</v>
      </c>
      <c r="G1299" s="1"/>
      <c r="H1299" s="1" t="str">
        <f>IFERROR(__xludf.DUMMYFUNCTION("""COMPUTED_VALUE"""),"Bangles")</f>
        <v>Bangles</v>
      </c>
      <c r="I1299" s="1" t="str">
        <f>IFERROR(__xludf.DUMMYFUNCTION("""COMPUTED_VALUE"""),"Gave an order")</f>
        <v>Gave an order</v>
      </c>
      <c r="J1299" s="1"/>
      <c r="K1299" s="3">
        <f>IFERROR(__xludf.DUMMYFUNCTION("""COMPUTED_VALUE"""),0.625)</f>
        <v>0.625</v>
      </c>
      <c r="L1299" s="1" t="str">
        <f>IFERROR(__xludf.DUMMYFUNCTION("""COMPUTED_VALUE"""),"No")</f>
        <v>No</v>
      </c>
      <c r="M1299" s="1" t="str">
        <f>IFERROR(__xludf.DUMMYFUNCTION("""COMPUTED_VALUE"""),"No")</f>
        <v>No</v>
      </c>
      <c r="N1299" s="1" t="str">
        <f>IFERROR(__xludf.DUMMYFUNCTION("""COMPUTED_VALUE"""),"No")</f>
        <v>No</v>
      </c>
      <c r="O1299" s="1" t="str">
        <f>IFERROR(__xludf.DUMMYFUNCTION("""COMPUTED_VALUE"""),"WA ONLY")</f>
        <v>WA ONLY</v>
      </c>
      <c r="P1299" s="1" t="str">
        <f>IFERROR(__xludf.DUMMYFUNCTION("""COMPUTED_VALUE"""),"Madam")</f>
        <v>Madam</v>
      </c>
      <c r="Q1299" s="1" t="str">
        <f>IFERROR(__xludf.DUMMYFUNCTION("""COMPUTED_VALUE"""),"Yes")</f>
        <v>Yes</v>
      </c>
      <c r="R1299" s="1" t="str">
        <f>IFERROR(__xludf.DUMMYFUNCTION("""COMPUTED_VALUE"""),"OLD")</f>
        <v>OLD</v>
      </c>
      <c r="S1299" s="1" t="str">
        <f>IFERROR(__xludf.DUMMYFUNCTION("""COMPUTED_VALUE"""),"No")</f>
        <v>No</v>
      </c>
    </row>
    <row r="1300">
      <c r="A1300" s="2">
        <f>IFERROR(__xludf.DUMMYFUNCTION("""COMPUTED_VALUE"""),45914.769839189816)</f>
        <v>45914.76984</v>
      </c>
      <c r="B1300" s="1" t="str">
        <f>IFERROR(__xludf.DUMMYFUNCTION("""COMPUTED_VALUE"""),"Shashwat ji")</f>
        <v>Shashwat ji</v>
      </c>
      <c r="C1300" s="1">
        <f>IFERROR(__xludf.DUMMYFUNCTION("""COMPUTED_VALUE"""),7.827574738E9)</f>
        <v>7827574738</v>
      </c>
      <c r="D1300" s="1">
        <f>IFERROR(__xludf.DUMMYFUNCTION("""COMPUTED_VALUE"""),1.0)</f>
        <v>1</v>
      </c>
      <c r="E1300" s="3">
        <f>IFERROR(__xludf.DUMMYFUNCTION("""COMPUTED_VALUE"""),0.5833333333357587)</f>
        <v>0.5833333333</v>
      </c>
      <c r="F1300" s="1" t="str">
        <f>IFERROR(__xludf.DUMMYFUNCTION("""COMPUTED_VALUE"""),"Diamond")</f>
        <v>Diamond</v>
      </c>
      <c r="G1300" s="1"/>
      <c r="H1300" s="1" t="str">
        <f>IFERROR(__xludf.DUMMYFUNCTION("""COMPUTED_VALUE"""),"Nothing")</f>
        <v>Nothing</v>
      </c>
      <c r="I1300" s="1" t="str">
        <f>IFERROR(__xludf.DUMMYFUNCTION("""COMPUTED_VALUE"""),"Here for kitty")</f>
        <v>Here for kitty</v>
      </c>
      <c r="J1300" s="1"/>
      <c r="K1300" s="3">
        <f>IFERROR(__xludf.DUMMYFUNCTION("""COMPUTED_VALUE"""),0.6145833333357587)</f>
        <v>0.6145833333</v>
      </c>
      <c r="L1300" s="1" t="str">
        <f>IFERROR(__xludf.DUMMYFUNCTION("""COMPUTED_VALUE"""),"No")</f>
        <v>No</v>
      </c>
      <c r="M1300" s="1" t="str">
        <f>IFERROR(__xludf.DUMMYFUNCTION("""COMPUTED_VALUE"""),"Already done")</f>
        <v>Already done</v>
      </c>
      <c r="N1300" s="1" t="str">
        <f>IFERROR(__xludf.DUMMYFUNCTION("""COMPUTED_VALUE"""),"Yes")</f>
        <v>Yes</v>
      </c>
      <c r="O1300" s="1" t="str">
        <f>IFERROR(__xludf.DUMMYFUNCTION("""COMPUTED_VALUE"""),"WA ONLY")</f>
        <v>WA ONLY</v>
      </c>
      <c r="P1300" s="1" t="str">
        <f>IFERROR(__xludf.DUMMYFUNCTION("""COMPUTED_VALUE"""),"Sir")</f>
        <v>Sir</v>
      </c>
      <c r="Q1300" s="1" t="str">
        <f>IFERROR(__xludf.DUMMYFUNCTION("""COMPUTED_VALUE"""),"Yes")</f>
        <v>Yes</v>
      </c>
      <c r="R1300" s="1" t="str">
        <f>IFERROR(__xludf.DUMMYFUNCTION("""COMPUTED_VALUE"""),"OLD")</f>
        <v>OLD</v>
      </c>
      <c r="S1300" s="1" t="str">
        <f>IFERROR(__xludf.DUMMYFUNCTION("""COMPUTED_VALUE"""),"No")</f>
        <v>No</v>
      </c>
    </row>
    <row r="1301">
      <c r="A1301" s="2">
        <f>IFERROR(__xludf.DUMMYFUNCTION("""COMPUTED_VALUE"""),45914.77139026621)</f>
        <v>45914.77139</v>
      </c>
      <c r="B1301" s="1" t="str">
        <f>IFERROR(__xludf.DUMMYFUNCTION("""COMPUTED_VALUE"""),"Savita garg ji")</f>
        <v>Savita garg ji</v>
      </c>
      <c r="C1301" s="1">
        <f>IFERROR(__xludf.DUMMYFUNCTION("""COMPUTED_VALUE"""),9.953994467E9)</f>
        <v>9953994467</v>
      </c>
      <c r="D1301" s="1">
        <f>IFERROR(__xludf.DUMMYFUNCTION("""COMPUTED_VALUE"""),2.0)</f>
        <v>2</v>
      </c>
      <c r="E1301" s="3">
        <f>IFERROR(__xludf.DUMMYFUNCTION("""COMPUTED_VALUE"""),0.5833333333357587)</f>
        <v>0.5833333333</v>
      </c>
      <c r="F1301" s="1" t="str">
        <f>IFERROR(__xludf.DUMMYFUNCTION("""COMPUTED_VALUE"""),"Plain Gold")</f>
        <v>Plain Gold</v>
      </c>
      <c r="G1301" s="1"/>
      <c r="H1301" s="1" t="str">
        <f>IFERROR(__xludf.DUMMYFUNCTION("""COMPUTED_VALUE"""),"Nothing ")</f>
        <v>Nothing </v>
      </c>
      <c r="I1301" s="1" t="str">
        <f>IFERROR(__xludf.DUMMYFUNCTION("""COMPUTED_VALUE"""),"Here for kitty")</f>
        <v>Here for kitty</v>
      </c>
      <c r="J1301" s="1"/>
      <c r="K1301" s="3">
        <f>IFERROR(__xludf.DUMMYFUNCTION("""COMPUTED_VALUE"""),0.6270833333328483)</f>
        <v>0.6270833333</v>
      </c>
      <c r="L1301" s="1" t="str">
        <f>IFERROR(__xludf.DUMMYFUNCTION("""COMPUTED_VALUE"""),"No")</f>
        <v>No</v>
      </c>
      <c r="M1301" s="1" t="str">
        <f>IFERROR(__xludf.DUMMYFUNCTION("""COMPUTED_VALUE"""),"No")</f>
        <v>No</v>
      </c>
      <c r="N1301" s="1" t="str">
        <f>IFERROR(__xludf.DUMMYFUNCTION("""COMPUTED_VALUE"""),"No")</f>
        <v>No</v>
      </c>
      <c r="O1301" s="1" t="str">
        <f>IFERROR(__xludf.DUMMYFUNCTION("""COMPUTED_VALUE"""),"WA ONLY")</f>
        <v>WA ONLY</v>
      </c>
      <c r="P1301" s="1" t="str">
        <f>IFERROR(__xludf.DUMMYFUNCTION("""COMPUTED_VALUE"""),"Madam")</f>
        <v>Madam</v>
      </c>
      <c r="Q1301" s="1" t="str">
        <f>IFERROR(__xludf.DUMMYFUNCTION("""COMPUTED_VALUE"""),"Yes")</f>
        <v>Yes</v>
      </c>
      <c r="R1301" s="1" t="str">
        <f>IFERROR(__xludf.DUMMYFUNCTION("""COMPUTED_VALUE"""),"OLD")</f>
        <v>OLD</v>
      </c>
      <c r="S1301" s="1" t="str">
        <f>IFERROR(__xludf.DUMMYFUNCTION("""COMPUTED_VALUE"""),"No")</f>
        <v>No</v>
      </c>
    </row>
    <row r="1302">
      <c r="A1302" s="2">
        <f>IFERROR(__xludf.DUMMYFUNCTION("""COMPUTED_VALUE"""),45914.77529457176)</f>
        <v>45914.77529</v>
      </c>
      <c r="B1302" s="1" t="str">
        <f>IFERROR(__xludf.DUMMYFUNCTION("""COMPUTED_VALUE"""),"Bhumika mam")</f>
        <v>Bhumika mam</v>
      </c>
      <c r="C1302" s="1">
        <f>IFERROR(__xludf.DUMMYFUNCTION("""COMPUTED_VALUE"""),9.911706427E9)</f>
        <v>9911706427</v>
      </c>
      <c r="D1302" s="1">
        <f>IFERROR(__xludf.DUMMYFUNCTION("""COMPUTED_VALUE"""),3.0)</f>
        <v>3</v>
      </c>
      <c r="E1302" s="3">
        <f>IFERROR(__xludf.DUMMYFUNCTION("""COMPUTED_VALUE"""),0.5208333333357587)</f>
        <v>0.5208333333</v>
      </c>
      <c r="F1302" s="1" t="str">
        <f>IFERROR(__xludf.DUMMYFUNCTION("""COMPUTED_VALUE"""),"Diamond")</f>
        <v>Diamond</v>
      </c>
      <c r="G1302" s="1"/>
      <c r="H1302" s="1" t="str">
        <f>IFERROR(__xludf.DUMMYFUNCTION("""COMPUTED_VALUE"""),"Nothing ")</f>
        <v>Nothing </v>
      </c>
      <c r="I1302" s="1" t="str">
        <f>IFERROR(__xludf.DUMMYFUNCTION("""COMPUTED_VALUE"""),"Here for kitty")</f>
        <v>Here for kitty</v>
      </c>
      <c r="J1302" s="1"/>
      <c r="K1302" s="3">
        <f>IFERROR(__xludf.DUMMYFUNCTION("""COMPUTED_VALUE"""),0.5986111111124046)</f>
        <v>0.5986111111</v>
      </c>
      <c r="L1302" s="1" t="str">
        <f>IFERROR(__xludf.DUMMYFUNCTION("""COMPUTED_VALUE"""),"No")</f>
        <v>No</v>
      </c>
      <c r="M1302" s="1" t="str">
        <f>IFERROR(__xludf.DUMMYFUNCTION("""COMPUTED_VALUE"""),"No")</f>
        <v>No</v>
      </c>
      <c r="N1302" s="1" t="str">
        <f>IFERROR(__xludf.DUMMYFUNCTION("""COMPUTED_VALUE"""),"No")</f>
        <v>No</v>
      </c>
      <c r="O1302" s="1" t="str">
        <f>IFERROR(__xludf.DUMMYFUNCTION("""COMPUTED_VALUE"""),"WA ONLY")</f>
        <v>WA ONLY</v>
      </c>
      <c r="P1302" s="1" t="str">
        <f>IFERROR(__xludf.DUMMYFUNCTION("""COMPUTED_VALUE"""),"Madam")</f>
        <v>Madam</v>
      </c>
      <c r="Q1302" s="1" t="str">
        <f>IFERROR(__xludf.DUMMYFUNCTION("""COMPUTED_VALUE"""),"Yes")</f>
        <v>Yes</v>
      </c>
      <c r="R1302" s="1" t="str">
        <f>IFERROR(__xludf.DUMMYFUNCTION("""COMPUTED_VALUE"""),"OLD")</f>
        <v>OLD</v>
      </c>
      <c r="S1302" s="1" t="str">
        <f>IFERROR(__xludf.DUMMYFUNCTION("""COMPUTED_VALUE"""),"No")</f>
        <v>No</v>
      </c>
    </row>
    <row r="1303">
      <c r="A1303" s="2">
        <f>IFERROR(__xludf.DUMMYFUNCTION("""COMPUTED_VALUE"""),45914.77768510417)</f>
        <v>45914.77769</v>
      </c>
      <c r="B1303" s="1" t="str">
        <f>IFERROR(__xludf.DUMMYFUNCTION("""COMPUTED_VALUE"""),"Sushma Yadav mam")</f>
        <v>Sushma Yadav mam</v>
      </c>
      <c r="C1303" s="1">
        <f>IFERROR(__xludf.DUMMYFUNCTION("""COMPUTED_VALUE"""),9.811904046E9)</f>
        <v>9811904046</v>
      </c>
      <c r="D1303" s="1">
        <f>IFERROR(__xludf.DUMMYFUNCTION("""COMPUTED_VALUE"""),1.0)</f>
        <v>1</v>
      </c>
      <c r="E1303" s="3">
        <f>IFERROR(__xludf.DUMMYFUNCTION("""COMPUTED_VALUE"""),0.6187500000014552)</f>
        <v>0.61875</v>
      </c>
      <c r="F1303" s="1" t="str">
        <f>IFERROR(__xludf.DUMMYFUNCTION("""COMPUTED_VALUE"""),"Plain Gold")</f>
        <v>Plain Gold</v>
      </c>
      <c r="G1303" s="1"/>
      <c r="H1303" s="1" t="str">
        <f>IFERROR(__xludf.DUMMYFUNCTION("""COMPUTED_VALUE"""),"Nothing")</f>
        <v>Nothing</v>
      </c>
      <c r="I1303" s="1" t="str">
        <f>IFERROR(__xludf.DUMMYFUNCTION("""COMPUTED_VALUE"""),"Here for kitty")</f>
        <v>Here for kitty</v>
      </c>
      <c r="J1303" s="1"/>
      <c r="K1303" s="3">
        <f>IFERROR(__xludf.DUMMYFUNCTION("""COMPUTED_VALUE"""),0.6340277777781012)</f>
        <v>0.6340277778</v>
      </c>
      <c r="L1303" s="1" t="str">
        <f>IFERROR(__xludf.DUMMYFUNCTION("""COMPUTED_VALUE"""),"No")</f>
        <v>No</v>
      </c>
      <c r="M1303" s="1" t="str">
        <f>IFERROR(__xludf.DUMMYFUNCTION("""COMPUTED_VALUE"""),"No")</f>
        <v>No</v>
      </c>
      <c r="N1303" s="1" t="str">
        <f>IFERROR(__xludf.DUMMYFUNCTION("""COMPUTED_VALUE"""),"No")</f>
        <v>No</v>
      </c>
      <c r="O1303" s="1" t="str">
        <f>IFERROR(__xludf.DUMMYFUNCTION("""COMPUTED_VALUE"""),"WA ONLY")</f>
        <v>WA ONLY</v>
      </c>
      <c r="P1303" s="1" t="str">
        <f>IFERROR(__xludf.DUMMYFUNCTION("""COMPUTED_VALUE"""),"Madam")</f>
        <v>Madam</v>
      </c>
      <c r="Q1303" s="1" t="str">
        <f>IFERROR(__xludf.DUMMYFUNCTION("""COMPUTED_VALUE"""),"Yes")</f>
        <v>Yes</v>
      </c>
      <c r="R1303" s="1" t="str">
        <f>IFERROR(__xludf.DUMMYFUNCTION("""COMPUTED_VALUE"""),"OLD")</f>
        <v>OLD</v>
      </c>
      <c r="S1303" s="1" t="str">
        <f>IFERROR(__xludf.DUMMYFUNCTION("""COMPUTED_VALUE"""),"No")</f>
        <v>No</v>
      </c>
    </row>
    <row r="1304">
      <c r="A1304" s="2">
        <f>IFERROR(__xludf.DUMMYFUNCTION("""COMPUTED_VALUE"""),45914.7795553125)</f>
        <v>45914.77956</v>
      </c>
      <c r="B1304" s="1" t="str">
        <f>IFERROR(__xludf.DUMMYFUNCTION("""COMPUTED_VALUE"""),"Chavi ji")</f>
        <v>Chavi ji</v>
      </c>
      <c r="C1304" s="1">
        <f>IFERROR(__xludf.DUMMYFUNCTION("""COMPUTED_VALUE"""),9.71875819E9)</f>
        <v>9718758190</v>
      </c>
      <c r="D1304" s="1">
        <f>IFERROR(__xludf.DUMMYFUNCTION("""COMPUTED_VALUE"""),2.0)</f>
        <v>2</v>
      </c>
      <c r="E1304" s="3">
        <f>IFERROR(__xludf.DUMMYFUNCTION("""COMPUTED_VALUE"""),0.6388888888905058)</f>
        <v>0.6388888889</v>
      </c>
      <c r="F1304" s="1" t="str">
        <f>IFERROR(__xludf.DUMMYFUNCTION("""COMPUTED_VALUE"""),"Silver Items")</f>
        <v>Silver Items</v>
      </c>
      <c r="G1304" s="1"/>
      <c r="H1304" s="1" t="str">
        <f>IFERROR(__xludf.DUMMYFUNCTION("""COMPUTED_VALUE"""),"Ring, Earrings ")</f>
        <v>Ring, Earrings </v>
      </c>
      <c r="I1304" s="1"/>
      <c r="J1304" s="1"/>
      <c r="K1304" s="3">
        <f>IFERROR(__xludf.DUMMYFUNCTION("""COMPUTED_VALUE"""),0.6979166666642413)</f>
        <v>0.6979166667</v>
      </c>
      <c r="L1304" s="1" t="str">
        <f>IFERROR(__xludf.DUMMYFUNCTION("""COMPUTED_VALUE"""),"No")</f>
        <v>No</v>
      </c>
      <c r="M1304" s="1" t="str">
        <f>IFERROR(__xludf.DUMMYFUNCTION("""COMPUTED_VALUE"""),"Yes")</f>
        <v>Yes</v>
      </c>
      <c r="N1304" s="1" t="str">
        <f>IFERROR(__xludf.DUMMYFUNCTION("""COMPUTED_VALUE"""),"No")</f>
        <v>No</v>
      </c>
      <c r="O1304" s="1" t="str">
        <f>IFERROR(__xludf.DUMMYFUNCTION("""COMPUTED_VALUE"""),"WA ONLY, OWNER CONTACT ONLY")</f>
        <v>WA ONLY, OWNER CONTACT ONLY</v>
      </c>
      <c r="P1304" s="1" t="str">
        <f>IFERROR(__xludf.DUMMYFUNCTION("""COMPUTED_VALUE"""),"Madam")</f>
        <v>Madam</v>
      </c>
      <c r="Q1304" s="1" t="str">
        <f>IFERROR(__xludf.DUMMYFUNCTION("""COMPUTED_VALUE"""),"No")</f>
        <v>No</v>
      </c>
      <c r="R1304" s="1" t="str">
        <f>IFERROR(__xludf.DUMMYFUNCTION("""COMPUTED_VALUE"""),"NEW WALK IN")</f>
        <v>NEW WALK IN</v>
      </c>
      <c r="S1304" s="1" t="str">
        <f>IFERROR(__xludf.DUMMYFUNCTION("""COMPUTED_VALUE"""),"Yes")</f>
        <v>Yes</v>
      </c>
    </row>
    <row r="1305">
      <c r="A1305" s="2">
        <f>IFERROR(__xludf.DUMMYFUNCTION("""COMPUTED_VALUE"""),45914.78076721064)</f>
        <v>45914.78077</v>
      </c>
      <c r="B1305" s="1" t="str">
        <f>IFERROR(__xludf.DUMMYFUNCTION("""COMPUTED_VALUE"""),"Mustafa ji")</f>
        <v>Mustafa ji</v>
      </c>
      <c r="C1305" s="1">
        <f>IFERROR(__xludf.DUMMYFUNCTION("""COMPUTED_VALUE"""),9.999481786E9)</f>
        <v>9999481786</v>
      </c>
      <c r="D1305" s="1">
        <f>IFERROR(__xludf.DUMMYFUNCTION("""COMPUTED_VALUE"""),3.0)</f>
        <v>3</v>
      </c>
      <c r="E1305" s="3">
        <f>IFERROR(__xludf.DUMMYFUNCTION("""COMPUTED_VALUE"""),0.6458333333357587)</f>
        <v>0.6458333333</v>
      </c>
      <c r="F1305" s="1" t="str">
        <f>IFERROR(__xludf.DUMMYFUNCTION("""COMPUTED_VALUE"""),"Plain Gold")</f>
        <v>Plain Gold</v>
      </c>
      <c r="G1305" s="1"/>
      <c r="H1305" s="1" t="str">
        <f>IFERROR(__xludf.DUMMYFUNCTION("""COMPUTED_VALUE"""),"Gold tops and coin")</f>
        <v>Gold tops and coin</v>
      </c>
      <c r="I1305" s="1"/>
      <c r="J1305" s="1"/>
      <c r="K1305" s="3">
        <f>IFERROR(__xludf.DUMMYFUNCTION("""COMPUTED_VALUE"""),0.7416666666686069)</f>
        <v>0.7416666667</v>
      </c>
      <c r="L1305" s="1" t="str">
        <f>IFERROR(__xludf.DUMMYFUNCTION("""COMPUTED_VALUE"""),"Yes")</f>
        <v>Yes</v>
      </c>
      <c r="M1305" s="1" t="str">
        <f>IFERROR(__xludf.DUMMYFUNCTION("""COMPUTED_VALUE"""),"Already done")</f>
        <v>Already done</v>
      </c>
      <c r="N1305" s="1" t="str">
        <f>IFERROR(__xludf.DUMMYFUNCTION("""COMPUTED_VALUE"""),"Already done")</f>
        <v>Already done</v>
      </c>
      <c r="O1305" s="1" t="str">
        <f>IFERROR(__xludf.DUMMYFUNCTION("""COMPUTED_VALUE"""),"WA ONLY")</f>
        <v>WA ONLY</v>
      </c>
      <c r="P1305" s="1" t="str">
        <f>IFERROR(__xludf.DUMMYFUNCTION("""COMPUTED_VALUE"""),"Sir")</f>
        <v>Sir</v>
      </c>
      <c r="Q1305" s="1" t="str">
        <f>IFERROR(__xludf.DUMMYFUNCTION("""COMPUTED_VALUE"""),"No")</f>
        <v>No</v>
      </c>
      <c r="R1305" s="1" t="str">
        <f>IFERROR(__xludf.DUMMYFUNCTION("""COMPUTED_VALUE"""),"OLD")</f>
        <v>OLD</v>
      </c>
      <c r="S1305" s="1" t="str">
        <f>IFERROR(__xludf.DUMMYFUNCTION("""COMPUTED_VALUE"""),"Yes")</f>
        <v>Yes</v>
      </c>
    </row>
    <row r="1306">
      <c r="A1306" s="2">
        <f>IFERROR(__xludf.DUMMYFUNCTION("""COMPUTED_VALUE"""),45916.63983300926)</f>
        <v>45916.63983</v>
      </c>
      <c r="B1306" s="1" t="str">
        <f>IFERROR(__xludf.DUMMYFUNCTION("""COMPUTED_VALUE"""),"Bhumika mam")</f>
        <v>Bhumika mam</v>
      </c>
      <c r="C1306" s="1">
        <f>IFERROR(__xludf.DUMMYFUNCTION("""COMPUTED_VALUE"""),9.911706427E9)</f>
        <v>9911706427</v>
      </c>
      <c r="D1306" s="1">
        <f>IFERROR(__xludf.DUMMYFUNCTION("""COMPUTED_VALUE"""),3.0)</f>
        <v>3</v>
      </c>
      <c r="E1306" s="3">
        <f>IFERROR(__xludf.DUMMYFUNCTION("""COMPUTED_VALUE"""),0.5208333333357587)</f>
        <v>0.5208333333</v>
      </c>
      <c r="F1306" s="1" t="str">
        <f>IFERROR(__xludf.DUMMYFUNCTION("""COMPUTED_VALUE"""),"Diamond")</f>
        <v>Diamond</v>
      </c>
      <c r="G1306" s="1"/>
      <c r="H1306" s="1" t="str">
        <f>IFERROR(__xludf.DUMMYFUNCTION("""COMPUTED_VALUE"""),"Nothing")</f>
        <v>Nothing</v>
      </c>
      <c r="I1306" s="1" t="str">
        <f>IFERROR(__xludf.DUMMYFUNCTION("""COMPUTED_VALUE"""),"Here for kitty")</f>
        <v>Here for kitty</v>
      </c>
      <c r="J1306" s="1"/>
      <c r="K1306" s="3">
        <f>IFERROR(__xludf.DUMMYFUNCTION("""COMPUTED_VALUE"""),0.5986111111124046)</f>
        <v>0.5986111111</v>
      </c>
      <c r="L1306" s="1" t="str">
        <f>IFERROR(__xludf.DUMMYFUNCTION("""COMPUTED_VALUE"""),"No")</f>
        <v>No</v>
      </c>
      <c r="M1306" s="1" t="str">
        <f>IFERROR(__xludf.DUMMYFUNCTION("""COMPUTED_VALUE"""),"No")</f>
        <v>No</v>
      </c>
      <c r="N1306" s="1" t="str">
        <f>IFERROR(__xludf.DUMMYFUNCTION("""COMPUTED_VALUE"""),"No")</f>
        <v>No</v>
      </c>
      <c r="O1306" s="1" t="str">
        <f>IFERROR(__xludf.DUMMYFUNCTION("""COMPUTED_VALUE"""),"WA ONLY")</f>
        <v>WA ONLY</v>
      </c>
      <c r="P1306" s="1" t="str">
        <f>IFERROR(__xludf.DUMMYFUNCTION("""COMPUTED_VALUE"""),"Madam")</f>
        <v>Madam</v>
      </c>
      <c r="Q1306" s="1" t="str">
        <f>IFERROR(__xludf.DUMMYFUNCTION("""COMPUTED_VALUE"""),"Yes")</f>
        <v>Yes</v>
      </c>
      <c r="R1306" s="1" t="str">
        <f>IFERROR(__xludf.DUMMYFUNCTION("""COMPUTED_VALUE"""),"OLD")</f>
        <v>OLD</v>
      </c>
      <c r="S1306" s="1" t="str">
        <f>IFERROR(__xludf.DUMMYFUNCTION("""COMPUTED_VALUE"""),"No")</f>
        <v>No</v>
      </c>
    </row>
    <row r="1307">
      <c r="A1307" s="2">
        <f>IFERROR(__xludf.DUMMYFUNCTION("""COMPUTED_VALUE"""),45916.642146238424)</f>
        <v>45916.64215</v>
      </c>
      <c r="B1307" s="1" t="str">
        <f>IFERROR(__xludf.DUMMYFUNCTION("""COMPUTED_VALUE"""),"Sushma Yadav ji")</f>
        <v>Sushma Yadav ji</v>
      </c>
      <c r="C1307" s="1">
        <f>IFERROR(__xludf.DUMMYFUNCTION("""COMPUTED_VALUE"""),9.811904046E9)</f>
        <v>9811904046</v>
      </c>
      <c r="D1307" s="1">
        <f>IFERROR(__xludf.DUMMYFUNCTION("""COMPUTED_VALUE"""),1.0)</f>
        <v>1</v>
      </c>
      <c r="E1307" s="3">
        <f>IFERROR(__xludf.DUMMYFUNCTION("""COMPUTED_VALUE"""),0.6187500000014552)</f>
        <v>0.61875</v>
      </c>
      <c r="F1307" s="1" t="str">
        <f>IFERROR(__xludf.DUMMYFUNCTION("""COMPUTED_VALUE"""),"Plain Gold")</f>
        <v>Plain Gold</v>
      </c>
      <c r="G1307" s="1"/>
      <c r="H1307" s="1" t="str">
        <f>IFERROR(__xludf.DUMMYFUNCTION("""COMPUTED_VALUE"""),"Nothing")</f>
        <v>Nothing</v>
      </c>
      <c r="I1307" s="1" t="str">
        <f>IFERROR(__xludf.DUMMYFUNCTION("""COMPUTED_VALUE"""),"Here for kitty")</f>
        <v>Here for kitty</v>
      </c>
      <c r="J1307" s="1"/>
      <c r="K1307" s="3">
        <f>IFERROR(__xludf.DUMMYFUNCTION("""COMPUTED_VALUE"""),0.6340277777781012)</f>
        <v>0.6340277778</v>
      </c>
      <c r="L1307" s="1" t="str">
        <f>IFERROR(__xludf.DUMMYFUNCTION("""COMPUTED_VALUE"""),"No")</f>
        <v>No</v>
      </c>
      <c r="M1307" s="1" t="str">
        <f>IFERROR(__xludf.DUMMYFUNCTION("""COMPUTED_VALUE"""),"No")</f>
        <v>No</v>
      </c>
      <c r="N1307" s="1" t="str">
        <f>IFERROR(__xludf.DUMMYFUNCTION("""COMPUTED_VALUE"""),"No")</f>
        <v>No</v>
      </c>
      <c r="O1307" s="1" t="str">
        <f>IFERROR(__xludf.DUMMYFUNCTION("""COMPUTED_VALUE"""),"WA ONLY")</f>
        <v>WA ONLY</v>
      </c>
      <c r="P1307" s="1" t="str">
        <f>IFERROR(__xludf.DUMMYFUNCTION("""COMPUTED_VALUE"""),"Madam")</f>
        <v>Madam</v>
      </c>
      <c r="Q1307" s="1" t="str">
        <f>IFERROR(__xludf.DUMMYFUNCTION("""COMPUTED_VALUE"""),"Yes")</f>
        <v>Yes</v>
      </c>
      <c r="R1307" s="1" t="str">
        <f>IFERROR(__xludf.DUMMYFUNCTION("""COMPUTED_VALUE"""),"OLD")</f>
        <v>OLD</v>
      </c>
      <c r="S1307" s="1" t="str">
        <f>IFERROR(__xludf.DUMMYFUNCTION("""COMPUTED_VALUE"""),"No")</f>
        <v>No</v>
      </c>
    </row>
    <row r="1308">
      <c r="A1308" s="2">
        <f>IFERROR(__xludf.DUMMYFUNCTION("""COMPUTED_VALUE"""),45916.6437579051)</f>
        <v>45916.64376</v>
      </c>
      <c r="B1308" s="1" t="str">
        <f>IFERROR(__xludf.DUMMYFUNCTION("""COMPUTED_VALUE"""),"Chavi ji")</f>
        <v>Chavi ji</v>
      </c>
      <c r="C1308" s="1">
        <f>IFERROR(__xludf.DUMMYFUNCTION("""COMPUTED_VALUE"""),9.71875819E9)</f>
        <v>9718758190</v>
      </c>
      <c r="D1308" s="1">
        <f>IFERROR(__xludf.DUMMYFUNCTION("""COMPUTED_VALUE"""),2.0)</f>
        <v>2</v>
      </c>
      <c r="E1308" s="3">
        <f>IFERROR(__xludf.DUMMYFUNCTION("""COMPUTED_VALUE"""),0.6388888888905058)</f>
        <v>0.6388888889</v>
      </c>
      <c r="F1308" s="1" t="str">
        <f>IFERROR(__xludf.DUMMYFUNCTION("""COMPUTED_VALUE"""),"Silver Items")</f>
        <v>Silver Items</v>
      </c>
      <c r="G1308" s="1"/>
      <c r="H1308" s="1" t="str">
        <f>IFERROR(__xludf.DUMMYFUNCTION("""COMPUTED_VALUE"""),"Rings, earrings")</f>
        <v>Rings, earrings</v>
      </c>
      <c r="I1308" s="1"/>
      <c r="J1308" s="1"/>
      <c r="K1308" s="3">
        <f>IFERROR(__xludf.DUMMYFUNCTION("""COMPUTED_VALUE"""),0.6979166666642413)</f>
        <v>0.6979166667</v>
      </c>
      <c r="L1308" s="1" t="str">
        <f>IFERROR(__xludf.DUMMYFUNCTION("""COMPUTED_VALUE"""),"No")</f>
        <v>No</v>
      </c>
      <c r="M1308" s="1" t="str">
        <f>IFERROR(__xludf.DUMMYFUNCTION("""COMPUTED_VALUE"""),"Yes")</f>
        <v>Yes</v>
      </c>
      <c r="N1308" s="1" t="str">
        <f>IFERROR(__xludf.DUMMYFUNCTION("""COMPUTED_VALUE"""),"Yes")</f>
        <v>Yes</v>
      </c>
      <c r="O1308" s="1" t="str">
        <f>IFERROR(__xludf.DUMMYFUNCTION("""COMPUTED_VALUE"""),"WA ONLY, OWNER CONTACT ONLY")</f>
        <v>WA ONLY, OWNER CONTACT ONLY</v>
      </c>
      <c r="P1308" s="1" t="str">
        <f>IFERROR(__xludf.DUMMYFUNCTION("""COMPUTED_VALUE"""),"Madam")</f>
        <v>Madam</v>
      </c>
      <c r="Q1308" s="1" t="str">
        <f>IFERROR(__xludf.DUMMYFUNCTION("""COMPUTED_VALUE"""),"No")</f>
        <v>No</v>
      </c>
      <c r="R1308" s="1" t="str">
        <f>IFERROR(__xludf.DUMMYFUNCTION("""COMPUTED_VALUE"""),"NEW WALK IN")</f>
        <v>NEW WALK IN</v>
      </c>
      <c r="S1308" s="1" t="str">
        <f>IFERROR(__xludf.DUMMYFUNCTION("""COMPUTED_VALUE"""),"Yes")</f>
        <v>Yes</v>
      </c>
    </row>
    <row r="1309">
      <c r="A1309" s="2">
        <f>IFERROR(__xludf.DUMMYFUNCTION("""COMPUTED_VALUE"""),45916.64503712963)</f>
        <v>45916.64504</v>
      </c>
      <c r="B1309" s="1" t="str">
        <f>IFERROR(__xludf.DUMMYFUNCTION("""COMPUTED_VALUE"""),"Mustafa ji")</f>
        <v>Mustafa ji</v>
      </c>
      <c r="C1309" s="1">
        <f>IFERROR(__xludf.DUMMYFUNCTION("""COMPUTED_VALUE"""),9.999481786E9)</f>
        <v>9999481786</v>
      </c>
      <c r="D1309" s="1">
        <f>IFERROR(__xludf.DUMMYFUNCTION("""COMPUTED_VALUE"""),3.0)</f>
        <v>3</v>
      </c>
      <c r="E1309" s="3">
        <f>IFERROR(__xludf.DUMMYFUNCTION("""COMPUTED_VALUE"""),0.6458333333357587)</f>
        <v>0.6458333333</v>
      </c>
      <c r="F1309" s="1" t="str">
        <f>IFERROR(__xludf.DUMMYFUNCTION("""COMPUTED_VALUE"""),"Plain Gold")</f>
        <v>Plain Gold</v>
      </c>
      <c r="G1309" s="1"/>
      <c r="H1309" s="1" t="str">
        <f>IFERROR(__xludf.DUMMYFUNCTION("""COMPUTED_VALUE"""),"Gold tops, coin")</f>
        <v>Gold tops, coin</v>
      </c>
      <c r="I1309" s="1"/>
      <c r="J1309" s="1"/>
      <c r="K1309" s="3">
        <f>IFERROR(__xludf.DUMMYFUNCTION("""COMPUTED_VALUE"""),0.7416666666686069)</f>
        <v>0.7416666667</v>
      </c>
      <c r="L1309" s="1" t="str">
        <f>IFERROR(__xludf.DUMMYFUNCTION("""COMPUTED_VALUE"""),"Yes")</f>
        <v>Yes</v>
      </c>
      <c r="M1309" s="1" t="str">
        <f>IFERROR(__xludf.DUMMYFUNCTION("""COMPUTED_VALUE"""),"Already done ")</f>
        <v>Already done </v>
      </c>
      <c r="N1309" s="1" t="str">
        <f>IFERROR(__xludf.DUMMYFUNCTION("""COMPUTED_VALUE"""),"Already done ")</f>
        <v>Already done </v>
      </c>
      <c r="O1309" s="1" t="str">
        <f>IFERROR(__xludf.DUMMYFUNCTION("""COMPUTED_VALUE"""),"WA ONLY")</f>
        <v>WA ONLY</v>
      </c>
      <c r="P1309" s="1" t="str">
        <f>IFERROR(__xludf.DUMMYFUNCTION("""COMPUTED_VALUE"""),"Sir")</f>
        <v>Sir</v>
      </c>
      <c r="Q1309" s="1" t="str">
        <f>IFERROR(__xludf.DUMMYFUNCTION("""COMPUTED_VALUE"""),"No")</f>
        <v>No</v>
      </c>
      <c r="R1309" s="1" t="str">
        <f>IFERROR(__xludf.DUMMYFUNCTION("""COMPUTED_VALUE"""),"OLD")</f>
        <v>OLD</v>
      </c>
      <c r="S1309" s="1" t="str">
        <f>IFERROR(__xludf.DUMMYFUNCTION("""COMPUTED_VALUE"""),"Yes")</f>
        <v>Yes</v>
      </c>
    </row>
    <row r="1310">
      <c r="A1310" s="2">
        <f>IFERROR(__xludf.DUMMYFUNCTION("""COMPUTED_VALUE"""),45916.64714865741)</f>
        <v>45916.64715</v>
      </c>
      <c r="B1310" s="1" t="str">
        <f>IFERROR(__xludf.DUMMYFUNCTION("""COMPUTED_VALUE"""),"Ritu gupta ji")</f>
        <v>Ritu gupta ji</v>
      </c>
      <c r="C1310" s="1">
        <f>IFERROR(__xludf.DUMMYFUNCTION("""COMPUTED_VALUE"""),9.891000073E9)</f>
        <v>9891000073</v>
      </c>
      <c r="D1310" s="1">
        <f>IFERROR(__xludf.DUMMYFUNCTION("""COMPUTED_VALUE"""),2.0)</f>
        <v>2</v>
      </c>
      <c r="E1310" s="3">
        <f>IFERROR(__xludf.DUMMYFUNCTION("""COMPUTED_VALUE"""),0.7118055555547471)</f>
        <v>0.7118055556</v>
      </c>
      <c r="F1310" s="1" t="str">
        <f>IFERROR(__xludf.DUMMYFUNCTION("""COMPUTED_VALUE"""),"Diamond")</f>
        <v>Diamond</v>
      </c>
      <c r="G1310" s="1"/>
      <c r="H1310" s="1" t="str">
        <f>IFERROR(__xludf.DUMMYFUNCTION("""COMPUTED_VALUE"""),"Necklace")</f>
        <v>Necklace</v>
      </c>
      <c r="I1310" s="1" t="str">
        <f>IFERROR(__xludf.DUMMYFUNCTION("""COMPUTED_VALUE"""),"Here for repair")</f>
        <v>Here for repair</v>
      </c>
      <c r="J1310" s="1"/>
      <c r="K1310" s="3">
        <f>IFERROR(__xludf.DUMMYFUNCTION("""COMPUTED_VALUE"""),0.8159722222189885)</f>
        <v>0.8159722222</v>
      </c>
      <c r="L1310" s="1" t="str">
        <f>IFERROR(__xludf.DUMMYFUNCTION("""COMPUTED_VALUE"""),"No")</f>
        <v>No</v>
      </c>
      <c r="M1310" s="1" t="str">
        <f>IFERROR(__xludf.DUMMYFUNCTION("""COMPUTED_VALUE"""),"Already done")</f>
        <v>Already done</v>
      </c>
      <c r="N1310" s="1" t="str">
        <f>IFERROR(__xludf.DUMMYFUNCTION("""COMPUTED_VALUE"""),"Yes")</f>
        <v>Yes</v>
      </c>
      <c r="O1310" s="1" t="str">
        <f>IFERROR(__xludf.DUMMYFUNCTION("""COMPUTED_VALUE"""),"OWNER CONTACT ONLY")</f>
        <v>OWNER CONTACT ONLY</v>
      </c>
      <c r="P1310" s="1" t="str">
        <f>IFERROR(__xludf.DUMMYFUNCTION("""COMPUTED_VALUE"""),"Madam")</f>
        <v>Madam</v>
      </c>
      <c r="Q1310" s="1" t="str">
        <f>IFERROR(__xludf.DUMMYFUNCTION("""COMPUTED_VALUE"""),"No")</f>
        <v>No</v>
      </c>
      <c r="R1310" s="1" t="str">
        <f>IFERROR(__xludf.DUMMYFUNCTION("""COMPUTED_VALUE"""),"OLD")</f>
        <v>OLD</v>
      </c>
      <c r="S1310" s="1" t="str">
        <f>IFERROR(__xludf.DUMMYFUNCTION("""COMPUTED_VALUE"""),"No")</f>
        <v>No</v>
      </c>
    </row>
    <row r="1311">
      <c r="A1311" s="2">
        <f>IFERROR(__xludf.DUMMYFUNCTION("""COMPUTED_VALUE"""),45918.471721932874)</f>
        <v>45918.47172</v>
      </c>
      <c r="B1311" s="1" t="str">
        <f>IFERROR(__xludf.DUMMYFUNCTION("""COMPUTED_VALUE"""),"Sunita goyal ji")</f>
        <v>Sunita goyal ji</v>
      </c>
      <c r="C1311" s="1">
        <f>IFERROR(__xludf.DUMMYFUNCTION("""COMPUTED_VALUE"""),9.013927456E9)</f>
        <v>9013927456</v>
      </c>
      <c r="D1311" s="1">
        <f>IFERROR(__xludf.DUMMYFUNCTION("""COMPUTED_VALUE"""),1.0)</f>
        <v>1</v>
      </c>
      <c r="E1311" s="3">
        <f>IFERROR(__xludf.DUMMYFUNCTION("""COMPUTED_VALUE"""),0.5833333333357587)</f>
        <v>0.5833333333</v>
      </c>
      <c r="F1311" s="1" t="str">
        <f>IFERROR(__xludf.DUMMYFUNCTION("""COMPUTED_VALUE"""),"Silver Items")</f>
        <v>Silver Items</v>
      </c>
      <c r="G1311" s="1"/>
      <c r="H1311" s="1" t="str">
        <f>IFERROR(__xludf.DUMMYFUNCTION("""COMPUTED_VALUE"""),"Pendant")</f>
        <v>Pendant</v>
      </c>
      <c r="I1311" s="1"/>
      <c r="J1311" s="1"/>
      <c r="K1311" s="3">
        <f>IFERROR(__xludf.DUMMYFUNCTION("""COMPUTED_VALUE"""),0.6145833333357587)</f>
        <v>0.6145833333</v>
      </c>
      <c r="L1311" s="1" t="str">
        <f>IFERROR(__xludf.DUMMYFUNCTION("""COMPUTED_VALUE"""),"No")</f>
        <v>No</v>
      </c>
      <c r="M1311" s="1" t="str">
        <f>IFERROR(__xludf.DUMMYFUNCTION("""COMPUTED_VALUE"""),"Already done")</f>
        <v>Already done</v>
      </c>
      <c r="N1311" s="1" t="str">
        <f>IFERROR(__xludf.DUMMYFUNCTION("""COMPUTED_VALUE"""),"Already done")</f>
        <v>Already done</v>
      </c>
      <c r="O1311" s="1" t="str">
        <f>IFERROR(__xludf.DUMMYFUNCTION("""COMPUTED_VALUE"""),"WA ONLY, OWNER CONTACT ONLY")</f>
        <v>WA ONLY, OWNER CONTACT ONLY</v>
      </c>
      <c r="P1311" s="1" t="str">
        <f>IFERROR(__xludf.DUMMYFUNCTION("""COMPUTED_VALUE"""),"Madam")</f>
        <v>Madam</v>
      </c>
      <c r="Q1311" s="1" t="str">
        <f>IFERROR(__xludf.DUMMYFUNCTION("""COMPUTED_VALUE"""),"No")</f>
        <v>No</v>
      </c>
      <c r="R1311" s="1" t="str">
        <f>IFERROR(__xludf.DUMMYFUNCTION("""COMPUTED_VALUE"""),"OLD")</f>
        <v>OLD</v>
      </c>
      <c r="S1311" s="1" t="str">
        <f>IFERROR(__xludf.DUMMYFUNCTION("""COMPUTED_VALUE"""),"Yes")</f>
        <v>Yes</v>
      </c>
    </row>
    <row r="1312">
      <c r="A1312" s="2">
        <f>IFERROR(__xludf.DUMMYFUNCTION("""COMPUTED_VALUE"""),45918.47294033565)</f>
        <v>45918.47294</v>
      </c>
      <c r="B1312" s="1" t="str">
        <f>IFERROR(__xludf.DUMMYFUNCTION("""COMPUTED_VALUE"""),"Shailesh ji")</f>
        <v>Shailesh ji</v>
      </c>
      <c r="C1312" s="1">
        <f>IFERROR(__xludf.DUMMYFUNCTION("""COMPUTED_VALUE"""),9.840476111E9)</f>
        <v>9840476111</v>
      </c>
      <c r="D1312" s="1">
        <f>IFERROR(__xludf.DUMMYFUNCTION("""COMPUTED_VALUE"""),2.0)</f>
        <v>2</v>
      </c>
      <c r="E1312" s="3">
        <f>IFERROR(__xludf.DUMMYFUNCTION("""COMPUTED_VALUE"""),0.6458333333357587)</f>
        <v>0.6458333333</v>
      </c>
      <c r="F1312" s="1" t="str">
        <f>IFERROR(__xludf.DUMMYFUNCTION("""COMPUTED_VALUE"""),"Plain Gold")</f>
        <v>Plain Gold</v>
      </c>
      <c r="G1312" s="1"/>
      <c r="H1312" s="1" t="str">
        <f>IFERROR(__xludf.DUMMYFUNCTION("""COMPUTED_VALUE"""),"Gold coin")</f>
        <v>Gold coin</v>
      </c>
      <c r="I1312" s="1"/>
      <c r="J1312" s="1"/>
      <c r="K1312" s="3">
        <f>IFERROR(__xludf.DUMMYFUNCTION("""COMPUTED_VALUE"""),0.6875)</f>
        <v>0.6875</v>
      </c>
      <c r="L1312" s="1" t="str">
        <f>IFERROR(__xludf.DUMMYFUNCTION("""COMPUTED_VALUE"""),"No")</f>
        <v>No</v>
      </c>
      <c r="M1312" s="1" t="str">
        <f>IFERROR(__xludf.DUMMYFUNCTION("""COMPUTED_VALUE"""),"Yes")</f>
        <v>Yes</v>
      </c>
      <c r="N1312" s="1" t="str">
        <f>IFERROR(__xludf.DUMMYFUNCTION("""COMPUTED_VALUE"""),"No")</f>
        <v>No</v>
      </c>
      <c r="O1312" s="1" t="str">
        <f>IFERROR(__xludf.DUMMYFUNCTION("""COMPUTED_VALUE"""),"WA ONLY, OWNER CONTACT ONLY")</f>
        <v>WA ONLY, OWNER CONTACT ONLY</v>
      </c>
      <c r="P1312" s="1" t="str">
        <f>IFERROR(__xludf.DUMMYFUNCTION("""COMPUTED_VALUE"""),"Sir")</f>
        <v>Sir</v>
      </c>
      <c r="Q1312" s="1" t="str">
        <f>IFERROR(__xludf.DUMMYFUNCTION("""COMPUTED_VALUE"""),"No")</f>
        <v>No</v>
      </c>
      <c r="R1312" s="1" t="str">
        <f>IFERROR(__xludf.DUMMYFUNCTION("""COMPUTED_VALUE"""),"NEW WALK IN")</f>
        <v>NEW WALK IN</v>
      </c>
      <c r="S1312" s="1" t="str">
        <f>IFERROR(__xludf.DUMMYFUNCTION("""COMPUTED_VALUE"""),"Yes")</f>
        <v>Yes</v>
      </c>
    </row>
    <row r="1313">
      <c r="A1313" s="2">
        <f>IFERROR(__xludf.DUMMYFUNCTION("""COMPUTED_VALUE"""),45918.47418196759)</f>
        <v>45918.47418</v>
      </c>
      <c r="B1313" s="1" t="str">
        <f>IFERROR(__xludf.DUMMYFUNCTION("""COMPUTED_VALUE"""),"Pankaj kumar ji")</f>
        <v>Pankaj kumar ji</v>
      </c>
      <c r="C1313" s="1">
        <f>IFERROR(__xludf.DUMMYFUNCTION("""COMPUTED_VALUE"""),9.873903756E9)</f>
        <v>9873903756</v>
      </c>
      <c r="D1313" s="1">
        <f>IFERROR(__xludf.DUMMYFUNCTION("""COMPUTED_VALUE"""),1.0)</f>
        <v>1</v>
      </c>
      <c r="E1313" s="3">
        <f>IFERROR(__xludf.DUMMYFUNCTION("""COMPUTED_VALUE"""),0.71875)</f>
        <v>0.71875</v>
      </c>
      <c r="F1313" s="1" t="str">
        <f>IFERROR(__xludf.DUMMYFUNCTION("""COMPUTED_VALUE"""),"Silver Items")</f>
        <v>Silver Items</v>
      </c>
      <c r="G1313" s="1"/>
      <c r="H1313" s="1" t="str">
        <f>IFERROR(__xludf.DUMMYFUNCTION("""COMPUTED_VALUE"""),"Anklets")</f>
        <v>Anklets</v>
      </c>
      <c r="I1313" s="1"/>
      <c r="J1313" s="1"/>
      <c r="K1313" s="3">
        <f>IFERROR(__xludf.DUMMYFUNCTION("""COMPUTED_VALUE"""),0.78125)</f>
        <v>0.78125</v>
      </c>
      <c r="L1313" s="1" t="str">
        <f>IFERROR(__xludf.DUMMYFUNCTION("""COMPUTED_VALUE"""),"No")</f>
        <v>No</v>
      </c>
      <c r="M1313" s="1" t="str">
        <f>IFERROR(__xludf.DUMMYFUNCTION("""COMPUTED_VALUE"""),"Yes")</f>
        <v>Yes</v>
      </c>
      <c r="N1313" s="1" t="str">
        <f>IFERROR(__xludf.DUMMYFUNCTION("""COMPUTED_VALUE"""),"No")</f>
        <v>No</v>
      </c>
      <c r="O1313" s="1" t="str">
        <f>IFERROR(__xludf.DUMMYFUNCTION("""COMPUTED_VALUE"""),"WA ONLY")</f>
        <v>WA ONLY</v>
      </c>
      <c r="P1313" s="1" t="str">
        <f>IFERROR(__xludf.DUMMYFUNCTION("""COMPUTED_VALUE"""),"Sir")</f>
        <v>Sir</v>
      </c>
      <c r="Q1313" s="1" t="str">
        <f>IFERROR(__xludf.DUMMYFUNCTION("""COMPUTED_VALUE"""),"No")</f>
        <v>No</v>
      </c>
      <c r="R1313" s="1" t="str">
        <f>IFERROR(__xludf.DUMMYFUNCTION("""COMPUTED_VALUE"""),"NEW WALK IN")</f>
        <v>NEW WALK IN</v>
      </c>
      <c r="S1313" s="1" t="str">
        <f>IFERROR(__xludf.DUMMYFUNCTION("""COMPUTED_VALUE"""),"Yes")</f>
        <v>Yes</v>
      </c>
    </row>
    <row r="1314">
      <c r="A1314" s="2">
        <f>IFERROR(__xludf.DUMMYFUNCTION("""COMPUTED_VALUE"""),45918.77228582176)</f>
        <v>45918.77229</v>
      </c>
      <c r="B1314" s="1" t="str">
        <f>IFERROR(__xludf.DUMMYFUNCTION("""COMPUTED_VALUE"""),"Shivani ji")</f>
        <v>Shivani ji</v>
      </c>
      <c r="C1314" s="1">
        <f>IFERROR(__xludf.DUMMYFUNCTION("""COMPUTED_VALUE"""),9.625808328E9)</f>
        <v>9625808328</v>
      </c>
      <c r="D1314" s="1">
        <f>IFERROR(__xludf.DUMMYFUNCTION("""COMPUTED_VALUE"""),2.0)</f>
        <v>2</v>
      </c>
      <c r="E1314" s="3">
        <f>IFERROR(__xludf.DUMMYFUNCTION("""COMPUTED_VALUE"""),0.6875)</f>
        <v>0.6875</v>
      </c>
      <c r="F1314" s="1" t="str">
        <f>IFERROR(__xludf.DUMMYFUNCTION("""COMPUTED_VALUE"""),"Silver Items")</f>
        <v>Silver Items</v>
      </c>
      <c r="G1314" s="1"/>
      <c r="H1314" s="1" t="str">
        <f>IFERROR(__xludf.DUMMYFUNCTION("""COMPUTED_VALUE"""),"Anklets")</f>
        <v>Anklets</v>
      </c>
      <c r="I1314" s="1"/>
      <c r="J1314" s="1"/>
      <c r="K1314" s="3">
        <f>IFERROR(__xludf.DUMMYFUNCTION("""COMPUTED_VALUE"""),0.7166666666671517)</f>
        <v>0.7166666667</v>
      </c>
      <c r="L1314" s="1" t="str">
        <f>IFERROR(__xludf.DUMMYFUNCTION("""COMPUTED_VALUE"""),"No")</f>
        <v>No</v>
      </c>
      <c r="M1314" s="1" t="str">
        <f>IFERROR(__xludf.DUMMYFUNCTION("""COMPUTED_VALUE"""),"No")</f>
        <v>No</v>
      </c>
      <c r="N1314" s="1" t="str">
        <f>IFERROR(__xludf.DUMMYFUNCTION("""COMPUTED_VALUE"""),"No")</f>
        <v>No</v>
      </c>
      <c r="O1314" s="1" t="str">
        <f>IFERROR(__xludf.DUMMYFUNCTION("""COMPUTED_VALUE"""),"WA ONLY, OWNER CONTACT ONLY")</f>
        <v>WA ONLY, OWNER CONTACT ONLY</v>
      </c>
      <c r="P1314" s="1" t="str">
        <f>IFERROR(__xludf.DUMMYFUNCTION("""COMPUTED_VALUE"""),"Madam")</f>
        <v>Madam</v>
      </c>
      <c r="Q1314" s="1" t="str">
        <f>IFERROR(__xludf.DUMMYFUNCTION("""COMPUTED_VALUE"""),"No")</f>
        <v>No</v>
      </c>
      <c r="R1314" s="1" t="str">
        <f>IFERROR(__xludf.DUMMYFUNCTION("""COMPUTED_VALUE"""),"NEW WALK IN")</f>
        <v>NEW WALK IN</v>
      </c>
      <c r="S1314" s="1" t="str">
        <f>IFERROR(__xludf.DUMMYFUNCTION("""COMPUTED_VALUE"""),"No")</f>
        <v>No</v>
      </c>
    </row>
    <row r="1315">
      <c r="A1315" s="2">
        <f>IFERROR(__xludf.DUMMYFUNCTION("""COMPUTED_VALUE"""),45918.77457662037)</f>
        <v>45918.77458</v>
      </c>
      <c r="B1315" s="1" t="str">
        <f>IFERROR(__xludf.DUMMYFUNCTION("""COMPUTED_VALUE"""),"Beauty devi")</f>
        <v>Beauty devi</v>
      </c>
      <c r="C1315" s="1">
        <f>IFERROR(__xludf.DUMMYFUNCTION("""COMPUTED_VALUE"""),9.6432393E9)</f>
        <v>9643239300</v>
      </c>
      <c r="D1315" s="1">
        <f>IFERROR(__xludf.DUMMYFUNCTION("""COMPUTED_VALUE"""),1.0)</f>
        <v>1</v>
      </c>
      <c r="E1315" s="3">
        <f>IFERROR(__xludf.DUMMYFUNCTION("""COMPUTED_VALUE"""),0.7291666666642413)</f>
        <v>0.7291666667</v>
      </c>
      <c r="F1315" s="1" t="str">
        <f>IFERROR(__xludf.DUMMYFUNCTION("""COMPUTED_VALUE"""),"Plain Gold")</f>
        <v>Plain Gold</v>
      </c>
      <c r="G1315" s="1"/>
      <c r="H1315" s="1" t="str">
        <f>IFERROR(__xludf.DUMMYFUNCTION("""COMPUTED_VALUE"""),"Sets")</f>
        <v>Sets</v>
      </c>
      <c r="I1315" s="1" t="str">
        <f>IFERROR(__xludf.DUMMYFUNCTION("""COMPUTED_VALUE"""),"Making High or Wants Discount")</f>
        <v>Making High or Wants Discount</v>
      </c>
      <c r="J1315" s="1"/>
      <c r="K1315" s="3">
        <f>IFERROR(__xludf.DUMMYFUNCTION("""COMPUTED_VALUE"""),0.7527777777795563)</f>
        <v>0.7527777778</v>
      </c>
      <c r="L1315" s="1" t="str">
        <f>IFERROR(__xludf.DUMMYFUNCTION("""COMPUTED_VALUE"""),"No")</f>
        <v>No</v>
      </c>
      <c r="M1315" s="1" t="str">
        <f>IFERROR(__xludf.DUMMYFUNCTION("""COMPUTED_VALUE"""),"No")</f>
        <v>No</v>
      </c>
      <c r="N1315" s="1" t="str">
        <f>IFERROR(__xludf.DUMMYFUNCTION("""COMPUTED_VALUE"""),"No")</f>
        <v>No</v>
      </c>
      <c r="O1315" s="1" t="str">
        <f>IFERROR(__xludf.DUMMYFUNCTION("""COMPUTED_VALUE"""),"WA ONLY")</f>
        <v>WA ONLY</v>
      </c>
      <c r="P1315" s="1" t="str">
        <f>IFERROR(__xludf.DUMMYFUNCTION("""COMPUTED_VALUE"""),"Madam")</f>
        <v>Madam</v>
      </c>
      <c r="Q1315" s="1" t="str">
        <f>IFERROR(__xludf.DUMMYFUNCTION("""COMPUTED_VALUE"""),"No")</f>
        <v>No</v>
      </c>
      <c r="R1315" s="1" t="str">
        <f>IFERROR(__xludf.DUMMYFUNCTION("""COMPUTED_VALUE"""),"NEW WALK IN")</f>
        <v>NEW WALK IN</v>
      </c>
      <c r="S1315" s="1" t="str">
        <f>IFERROR(__xludf.DUMMYFUNCTION("""COMPUTED_VALUE"""),"No")</f>
        <v>No</v>
      </c>
    </row>
    <row r="1316">
      <c r="A1316" s="2">
        <f>IFERROR(__xludf.DUMMYFUNCTION("""COMPUTED_VALUE"""),45920.657807384254)</f>
        <v>45920.65781</v>
      </c>
      <c r="B1316" s="1" t="str">
        <f>IFERROR(__xludf.DUMMYFUNCTION("""COMPUTED_VALUE"""),"Mahavir Singh ji")</f>
        <v>Mahavir Singh ji</v>
      </c>
      <c r="C1316" s="1">
        <f>IFERROR(__xludf.DUMMYFUNCTION("""COMPUTED_VALUE"""),7.827312752E9)</f>
        <v>7827312752</v>
      </c>
      <c r="D1316" s="1">
        <f>IFERROR(__xludf.DUMMYFUNCTION("""COMPUTED_VALUE"""),2.0)</f>
        <v>2</v>
      </c>
      <c r="E1316" s="3">
        <f>IFERROR(__xludf.DUMMYFUNCTION("""COMPUTED_VALUE"""),0.5694444444452529)</f>
        <v>0.5694444444</v>
      </c>
      <c r="F1316" s="1" t="str">
        <f>IFERROR(__xludf.DUMMYFUNCTION("""COMPUTED_VALUE"""),"Plain Gold")</f>
        <v>Plain Gold</v>
      </c>
      <c r="G1316" s="1"/>
      <c r="H1316" s="1" t="str">
        <f>IFERROR(__xludf.DUMMYFUNCTION("""COMPUTED_VALUE"""),"Rings")</f>
        <v>Rings</v>
      </c>
      <c r="I1316" s="1" t="str">
        <f>IFERROR(__xludf.DUMMYFUNCTION("""COMPUTED_VALUE"""),"Will revisit didn't had enough booking rate")</f>
        <v>Will revisit didn't had enough booking rate</v>
      </c>
      <c r="J1316" s="1"/>
      <c r="K1316" s="3">
        <f>IFERROR(__xludf.DUMMYFUNCTION("""COMPUTED_VALUE"""),0.59375)</f>
        <v>0.59375</v>
      </c>
      <c r="L1316" s="1" t="str">
        <f>IFERROR(__xludf.DUMMYFUNCTION("""COMPUTED_VALUE"""),"No")</f>
        <v>No</v>
      </c>
      <c r="M1316" s="1" t="str">
        <f>IFERROR(__xludf.DUMMYFUNCTION("""COMPUTED_VALUE"""),"No")</f>
        <v>No</v>
      </c>
      <c r="N1316" s="1" t="str">
        <f>IFERROR(__xludf.DUMMYFUNCTION("""COMPUTED_VALUE"""),"No")</f>
        <v>No</v>
      </c>
      <c r="O1316" s="1" t="str">
        <f>IFERROR(__xludf.DUMMYFUNCTION("""COMPUTED_VALUE"""),"WA ONLY")</f>
        <v>WA ONLY</v>
      </c>
      <c r="P1316" s="1" t="str">
        <f>IFERROR(__xludf.DUMMYFUNCTION("""COMPUTED_VALUE"""),"Sir")</f>
        <v>Sir</v>
      </c>
      <c r="Q1316" s="1" t="str">
        <f>IFERROR(__xludf.DUMMYFUNCTION("""COMPUTED_VALUE"""),"No")</f>
        <v>No</v>
      </c>
      <c r="R1316" s="1" t="str">
        <f>IFERROR(__xludf.DUMMYFUNCTION("""COMPUTED_VALUE"""),"NEW WALK IN")</f>
        <v>NEW WALK IN</v>
      </c>
      <c r="S1316" s="1" t="str">
        <f>IFERROR(__xludf.DUMMYFUNCTION("""COMPUTED_VALUE"""),"No")</f>
        <v>No</v>
      </c>
    </row>
    <row r="1317">
      <c r="A1317" s="2">
        <f>IFERROR(__xludf.DUMMYFUNCTION("""COMPUTED_VALUE"""),45920.65976222222)</f>
        <v>45920.65976</v>
      </c>
      <c r="B1317" s="1" t="str">
        <f>IFERROR(__xludf.DUMMYFUNCTION("""COMPUTED_VALUE"""),"Muskan ji")</f>
        <v>Muskan ji</v>
      </c>
      <c r="C1317" s="1">
        <f>IFERROR(__xludf.DUMMYFUNCTION("""COMPUTED_VALUE"""),9.818267218E9)</f>
        <v>9818267218</v>
      </c>
      <c r="D1317" s="1">
        <f>IFERROR(__xludf.DUMMYFUNCTION("""COMPUTED_VALUE"""),2.0)</f>
        <v>2</v>
      </c>
      <c r="E1317" s="3">
        <f>IFERROR(__xludf.DUMMYFUNCTION("""COMPUTED_VALUE"""),0.5833333333357587)</f>
        <v>0.5833333333</v>
      </c>
      <c r="F1317" s="1" t="str">
        <f>IFERROR(__xludf.DUMMYFUNCTION("""COMPUTED_VALUE"""),"Plain Gold")</f>
        <v>Plain Gold</v>
      </c>
      <c r="G1317" s="1"/>
      <c r="H1317" s="1" t="str">
        <f>IFERROR(__xludf.DUMMYFUNCTION("""COMPUTED_VALUE"""),"Gold set")</f>
        <v>Gold set</v>
      </c>
      <c r="I1317" s="1" t="str">
        <f>IFERROR(__xludf.DUMMYFUNCTION("""COMPUTED_VALUE"""),"Want to see More Variety")</f>
        <v>Want to see More Variety</v>
      </c>
      <c r="J1317" s="1"/>
      <c r="K1317" s="3">
        <f>IFERROR(__xludf.DUMMYFUNCTION("""COMPUTED_VALUE"""),0.6159722222218988)</f>
        <v>0.6159722222</v>
      </c>
      <c r="L1317" s="1" t="str">
        <f>IFERROR(__xludf.DUMMYFUNCTION("""COMPUTED_VALUE"""),"No")</f>
        <v>No</v>
      </c>
      <c r="M1317" s="1" t="str">
        <f>IFERROR(__xludf.DUMMYFUNCTION("""COMPUTED_VALUE"""),"No")</f>
        <v>No</v>
      </c>
      <c r="N1317" s="1" t="str">
        <f>IFERROR(__xludf.DUMMYFUNCTION("""COMPUTED_VALUE"""),"No")</f>
        <v>No</v>
      </c>
      <c r="O1317" s="1" t="str">
        <f>IFERROR(__xludf.DUMMYFUNCTION("""COMPUTED_VALUE"""),"WA ONLY")</f>
        <v>WA ONLY</v>
      </c>
      <c r="P1317" s="1" t="str">
        <f>IFERROR(__xludf.DUMMYFUNCTION("""COMPUTED_VALUE"""),"Madam")</f>
        <v>Madam</v>
      </c>
      <c r="Q1317" s="1" t="str">
        <f>IFERROR(__xludf.DUMMYFUNCTION("""COMPUTED_VALUE"""),"No")</f>
        <v>No</v>
      </c>
      <c r="R1317" s="1" t="str">
        <f>IFERROR(__xludf.DUMMYFUNCTION("""COMPUTED_VALUE"""),"NEW WALK IN")</f>
        <v>NEW WALK IN</v>
      </c>
      <c r="S1317" s="1" t="str">
        <f>IFERROR(__xludf.DUMMYFUNCTION("""COMPUTED_VALUE"""),"No")</f>
        <v>No</v>
      </c>
    </row>
    <row r="1318">
      <c r="A1318" s="2">
        <f>IFERROR(__xludf.DUMMYFUNCTION("""COMPUTED_VALUE"""),45920.80382701389)</f>
        <v>45920.80383</v>
      </c>
      <c r="B1318" s="1" t="str">
        <f>IFERROR(__xludf.DUMMYFUNCTION("""COMPUTED_VALUE"""),"Mehvish ji")</f>
        <v>Mehvish ji</v>
      </c>
      <c r="C1318" s="1">
        <f>IFERROR(__xludf.DUMMYFUNCTION("""COMPUTED_VALUE"""),8.860980806E9)</f>
        <v>8860980806</v>
      </c>
      <c r="D1318" s="1">
        <f>IFERROR(__xludf.DUMMYFUNCTION("""COMPUTED_VALUE"""),1.0)</f>
        <v>1</v>
      </c>
      <c r="E1318" s="3">
        <f>IFERROR(__xludf.DUMMYFUNCTION("""COMPUTED_VALUE"""),0.7715277777751908)</f>
        <v>0.7715277778</v>
      </c>
      <c r="F1318" s="1" t="str">
        <f>IFERROR(__xludf.DUMMYFUNCTION("""COMPUTED_VALUE"""),"Diamond")</f>
        <v>Diamond</v>
      </c>
      <c r="G1318" s="1"/>
      <c r="H1318" s="1" t="str">
        <f>IFERROR(__xludf.DUMMYFUNCTION("""COMPUTED_VALUE"""),"Gold coin")</f>
        <v>Gold coin</v>
      </c>
      <c r="I1318" s="1"/>
      <c r="J1318" s="1"/>
      <c r="K1318" s="3">
        <f>IFERROR(__xludf.DUMMYFUNCTION("""COMPUTED_VALUE"""),0.7923611111109494)</f>
        <v>0.7923611111</v>
      </c>
      <c r="L1318" s="1" t="str">
        <f>IFERROR(__xludf.DUMMYFUNCTION("""COMPUTED_VALUE"""),"No")</f>
        <v>No</v>
      </c>
      <c r="M1318" s="1" t="str">
        <f>IFERROR(__xludf.DUMMYFUNCTION("""COMPUTED_VALUE"""),"No")</f>
        <v>No</v>
      </c>
      <c r="N1318" s="1" t="str">
        <f>IFERROR(__xludf.DUMMYFUNCTION("""COMPUTED_VALUE"""),"Yes")</f>
        <v>Yes</v>
      </c>
      <c r="O1318" s="1" t="str">
        <f>IFERROR(__xludf.DUMMYFUNCTION("""COMPUTED_VALUE"""),"WA ONLY")</f>
        <v>WA ONLY</v>
      </c>
      <c r="P1318" s="1" t="str">
        <f>IFERROR(__xludf.DUMMYFUNCTION("""COMPUTED_VALUE"""),"Madam")</f>
        <v>Madam</v>
      </c>
      <c r="Q1318" s="1" t="str">
        <f>IFERROR(__xludf.DUMMYFUNCTION("""COMPUTED_VALUE"""),"No")</f>
        <v>No</v>
      </c>
      <c r="R1318" s="1" t="str">
        <f>IFERROR(__xludf.DUMMYFUNCTION("""COMPUTED_VALUE"""),"OLD")</f>
        <v>OLD</v>
      </c>
      <c r="S1318" s="1" t="str">
        <f>IFERROR(__xludf.DUMMYFUNCTION("""COMPUTED_VALUE"""),"Yes")</f>
        <v>Yes</v>
      </c>
    </row>
    <row r="1319">
      <c r="A1319" s="2">
        <f>IFERROR(__xludf.DUMMYFUNCTION("""COMPUTED_VALUE"""),45921.69590688657)</f>
        <v>45921.69591</v>
      </c>
      <c r="B1319" s="1" t="str">
        <f>IFERROR(__xludf.DUMMYFUNCTION("""COMPUTED_VALUE"""),"Anchal ji")</f>
        <v>Anchal ji</v>
      </c>
      <c r="C1319" s="1">
        <f>IFERROR(__xludf.DUMMYFUNCTION("""COMPUTED_VALUE"""),8.527616025E9)</f>
        <v>8527616025</v>
      </c>
      <c r="D1319" s="1">
        <f>IFERROR(__xludf.DUMMYFUNCTION("""COMPUTED_VALUE"""),2.0)</f>
        <v>2</v>
      </c>
      <c r="E1319" s="3">
        <f>IFERROR(__xludf.DUMMYFUNCTION("""COMPUTED_VALUE"""),0.6354166666642413)</f>
        <v>0.6354166667</v>
      </c>
      <c r="F1319" s="1" t="str">
        <f>IFERROR(__xludf.DUMMYFUNCTION("""COMPUTED_VALUE"""),"Plain Gold")</f>
        <v>Plain Gold</v>
      </c>
      <c r="G1319" s="1"/>
      <c r="H1319" s="1" t="str">
        <f>IFERROR(__xludf.DUMMYFUNCTION("""COMPUTED_VALUE"""),"Gold coin")</f>
        <v>Gold coin</v>
      </c>
      <c r="I1319" s="1"/>
      <c r="J1319" s="1"/>
      <c r="K1319" s="3">
        <f>IFERROR(__xludf.DUMMYFUNCTION("""COMPUTED_VALUE"""),0.6604166666656965)</f>
        <v>0.6604166667</v>
      </c>
      <c r="L1319" s="1" t="str">
        <f>IFERROR(__xludf.DUMMYFUNCTION("""COMPUTED_VALUE"""),"No")</f>
        <v>No</v>
      </c>
      <c r="M1319" s="1" t="str">
        <f>IFERROR(__xludf.DUMMYFUNCTION("""COMPUTED_VALUE"""),"No")</f>
        <v>No</v>
      </c>
      <c r="N1319" s="1" t="str">
        <f>IFERROR(__xludf.DUMMYFUNCTION("""COMPUTED_VALUE"""),"Yes")</f>
        <v>Yes</v>
      </c>
      <c r="O1319" s="1" t="str">
        <f>IFERROR(__xludf.DUMMYFUNCTION("""COMPUTED_VALUE"""),"WA ONLY")</f>
        <v>WA ONLY</v>
      </c>
      <c r="P1319" s="1" t="str">
        <f>IFERROR(__xludf.DUMMYFUNCTION("""COMPUTED_VALUE"""),"Madam")</f>
        <v>Madam</v>
      </c>
      <c r="Q1319" s="1" t="str">
        <f>IFERROR(__xludf.DUMMYFUNCTION("""COMPUTED_VALUE"""),"No")</f>
        <v>No</v>
      </c>
      <c r="R1319" s="1" t="str">
        <f>IFERROR(__xludf.DUMMYFUNCTION("""COMPUTED_VALUE"""),"OLD")</f>
        <v>OLD</v>
      </c>
      <c r="S1319" s="1" t="str">
        <f>IFERROR(__xludf.DUMMYFUNCTION("""COMPUTED_VALUE"""),"Yes")</f>
        <v>Yes</v>
      </c>
    </row>
    <row r="1320">
      <c r="A1320" s="2">
        <f>IFERROR(__xludf.DUMMYFUNCTION("""COMPUTED_VALUE"""),45924.77545006944)</f>
        <v>45924.77545</v>
      </c>
      <c r="B1320" s="1" t="str">
        <f>IFERROR(__xludf.DUMMYFUNCTION("""COMPUTED_VALUE"""),"Soniya ji")</f>
        <v>Soniya ji</v>
      </c>
      <c r="C1320" s="1">
        <f>IFERROR(__xludf.DUMMYFUNCTION("""COMPUTED_VALUE"""),9.716946645E9)</f>
        <v>9716946645</v>
      </c>
      <c r="D1320" s="1">
        <f>IFERROR(__xludf.DUMMYFUNCTION("""COMPUTED_VALUE"""),2.0)</f>
        <v>2</v>
      </c>
      <c r="E1320" s="3">
        <f>IFERROR(__xludf.DUMMYFUNCTION("""COMPUTED_VALUE"""),0.5798611111094942)</f>
        <v>0.5798611111</v>
      </c>
      <c r="F1320" s="1" t="str">
        <f>IFERROR(__xludf.DUMMYFUNCTION("""COMPUTED_VALUE"""),"Plain Gold")</f>
        <v>Plain Gold</v>
      </c>
      <c r="G1320" s="1"/>
      <c r="H1320" s="1" t="str">
        <f>IFERROR(__xludf.DUMMYFUNCTION("""COMPUTED_VALUE"""),"Mangalsutra ")</f>
        <v>Mangalsutra </v>
      </c>
      <c r="I1320" s="1" t="str">
        <f>IFERROR(__xludf.DUMMYFUNCTION("""COMPUTED_VALUE"""),"Told that they will visit in evening again")</f>
        <v>Told that they will visit in evening again</v>
      </c>
      <c r="J1320" s="1"/>
      <c r="K1320" s="3">
        <f>IFERROR(__xludf.DUMMYFUNCTION("""COMPUTED_VALUE"""),0.5881944444408873)</f>
        <v>0.5881944444</v>
      </c>
      <c r="L1320" s="1" t="str">
        <f>IFERROR(__xludf.DUMMYFUNCTION("""COMPUTED_VALUE"""),"No")</f>
        <v>No</v>
      </c>
      <c r="M1320" s="1" t="str">
        <f>IFERROR(__xludf.DUMMYFUNCTION("""COMPUTED_VALUE"""),"No")</f>
        <v>No</v>
      </c>
      <c r="N1320" s="1" t="str">
        <f>IFERROR(__xludf.DUMMYFUNCTION("""COMPUTED_VALUE"""),"No")</f>
        <v>No</v>
      </c>
      <c r="O1320" s="1" t="str">
        <f>IFERROR(__xludf.DUMMYFUNCTION("""COMPUTED_VALUE"""),"WA ONLY")</f>
        <v>WA ONLY</v>
      </c>
      <c r="P1320" s="1" t="str">
        <f>IFERROR(__xludf.DUMMYFUNCTION("""COMPUTED_VALUE"""),"Madam")</f>
        <v>Madam</v>
      </c>
      <c r="Q1320" s="1" t="str">
        <f>IFERROR(__xludf.DUMMYFUNCTION("""COMPUTED_VALUE"""),"No")</f>
        <v>No</v>
      </c>
      <c r="R1320" s="1" t="str">
        <f>IFERROR(__xludf.DUMMYFUNCTION("""COMPUTED_VALUE"""),"NEW WALK IN")</f>
        <v>NEW WALK IN</v>
      </c>
      <c r="S1320" s="1" t="str">
        <f>IFERROR(__xludf.DUMMYFUNCTION("""COMPUTED_VALUE"""),"No")</f>
        <v>No</v>
      </c>
    </row>
    <row r="1321">
      <c r="A1321" s="2">
        <f>IFERROR(__xludf.DUMMYFUNCTION("""COMPUTED_VALUE"""),45924.777393067125)</f>
        <v>45924.77739</v>
      </c>
      <c r="B1321" s="1" t="str">
        <f>IFERROR(__xludf.DUMMYFUNCTION("""COMPUTED_VALUE"""),"Dimpal kher ji")</f>
        <v>Dimpal kher ji</v>
      </c>
      <c r="C1321" s="1">
        <f>IFERROR(__xludf.DUMMYFUNCTION("""COMPUTED_VALUE"""),9.953937777E9)</f>
        <v>9953937777</v>
      </c>
      <c r="D1321" s="1">
        <f>IFERROR(__xludf.DUMMYFUNCTION("""COMPUTED_VALUE"""),1.0)</f>
        <v>1</v>
      </c>
      <c r="E1321" s="3">
        <f>IFERROR(__xludf.DUMMYFUNCTION("""COMPUTED_VALUE"""),0.6041666666642413)</f>
        <v>0.6041666667</v>
      </c>
      <c r="F1321" s="1" t="str">
        <f>IFERROR(__xludf.DUMMYFUNCTION("""COMPUTED_VALUE"""),"Diamond")</f>
        <v>Diamond</v>
      </c>
      <c r="G1321" s="1"/>
      <c r="H1321" s="1" t="str">
        <f>IFERROR(__xludf.DUMMYFUNCTION("""COMPUTED_VALUE"""),"Diamond band, antique pieces silver")</f>
        <v>Diamond band, antique pieces silver</v>
      </c>
      <c r="I1321" s="1"/>
      <c r="J1321" s="1"/>
      <c r="K1321" s="3">
        <f>IFERROR(__xludf.DUMMYFUNCTION("""COMPUTED_VALUE"""),0.6527777777810115)</f>
        <v>0.6527777778</v>
      </c>
      <c r="L1321" s="1" t="str">
        <f>IFERROR(__xludf.DUMMYFUNCTION("""COMPUTED_VALUE"""),"No")</f>
        <v>No</v>
      </c>
      <c r="M1321" s="1" t="str">
        <f>IFERROR(__xludf.DUMMYFUNCTION("""COMPUTED_VALUE"""),"No")</f>
        <v>No</v>
      </c>
      <c r="N1321" s="1" t="str">
        <f>IFERROR(__xludf.DUMMYFUNCTION("""COMPUTED_VALUE"""),"No")</f>
        <v>No</v>
      </c>
      <c r="O1321" s="1" t="str">
        <f>IFERROR(__xludf.DUMMYFUNCTION("""COMPUTED_VALUE"""),"WA ONLY, OWNER CONTACT ONLY")</f>
        <v>WA ONLY, OWNER CONTACT ONLY</v>
      </c>
      <c r="P1321" s="1" t="str">
        <f>IFERROR(__xludf.DUMMYFUNCTION("""COMPUTED_VALUE"""),"Madam")</f>
        <v>Madam</v>
      </c>
      <c r="Q1321" s="1" t="str">
        <f>IFERROR(__xludf.DUMMYFUNCTION("""COMPUTED_VALUE"""),"No")</f>
        <v>No</v>
      </c>
      <c r="R1321" s="1" t="str">
        <f>IFERROR(__xludf.DUMMYFUNCTION("""COMPUTED_VALUE"""),"OLD")</f>
        <v>OLD</v>
      </c>
      <c r="S1321" s="1" t="str">
        <f>IFERROR(__xludf.DUMMYFUNCTION("""COMPUTED_VALUE"""),"Yes")</f>
        <v>Yes</v>
      </c>
    </row>
    <row r="1322">
      <c r="A1322" s="2">
        <f>IFERROR(__xludf.DUMMYFUNCTION("""COMPUTED_VALUE"""),45924.782915648146)</f>
        <v>45924.78292</v>
      </c>
      <c r="B1322" s="1" t="str">
        <f>IFERROR(__xludf.DUMMYFUNCTION("""COMPUTED_VALUE"""),"Supriya ji")</f>
        <v>Supriya ji</v>
      </c>
      <c r="C1322" s="1">
        <f>IFERROR(__xludf.DUMMYFUNCTION("""COMPUTED_VALUE"""),8.860435565E9)</f>
        <v>8860435565</v>
      </c>
      <c r="D1322" s="1">
        <f>IFERROR(__xludf.DUMMYFUNCTION("""COMPUTED_VALUE"""),1.0)</f>
        <v>1</v>
      </c>
      <c r="E1322" s="3">
        <f>IFERROR(__xludf.DUMMYFUNCTION("""COMPUTED_VALUE"""),0.7152777777810115)</f>
        <v>0.7152777778</v>
      </c>
      <c r="F1322" s="1" t="str">
        <f>IFERROR(__xludf.DUMMYFUNCTION("""COMPUTED_VALUE"""),"Diamond")</f>
        <v>Diamond</v>
      </c>
      <c r="G1322" s="1"/>
      <c r="H1322" s="1" t="str">
        <f>IFERROR(__xludf.DUMMYFUNCTION("""COMPUTED_VALUE"""),"Earrings ")</f>
        <v>Earrings </v>
      </c>
      <c r="I1322" s="1"/>
      <c r="J1322" s="1"/>
      <c r="K1322" s="3">
        <f>IFERROR(__xludf.DUMMYFUNCTION("""COMPUTED_VALUE"""),0.7673611111094942)</f>
        <v>0.7673611111</v>
      </c>
      <c r="L1322" s="1" t="str">
        <f>IFERROR(__xludf.DUMMYFUNCTION("""COMPUTED_VALUE"""),"No")</f>
        <v>No</v>
      </c>
      <c r="M1322" s="1" t="str">
        <f>IFERROR(__xludf.DUMMYFUNCTION("""COMPUTED_VALUE"""),"Already done")</f>
        <v>Already done</v>
      </c>
      <c r="N1322" s="1" t="str">
        <f>IFERROR(__xludf.DUMMYFUNCTION("""COMPUTED_VALUE"""),"Yes")</f>
        <v>Yes</v>
      </c>
      <c r="O1322" s="1" t="str">
        <f>IFERROR(__xludf.DUMMYFUNCTION("""COMPUTED_VALUE"""),"WA ONLY, OWNER CONTACT ONLY")</f>
        <v>WA ONLY, OWNER CONTACT ONLY</v>
      </c>
      <c r="P1322" s="1" t="str">
        <f>IFERROR(__xludf.DUMMYFUNCTION("""COMPUTED_VALUE"""),"Madam")</f>
        <v>Madam</v>
      </c>
      <c r="Q1322" s="1" t="str">
        <f>IFERROR(__xludf.DUMMYFUNCTION("""COMPUTED_VALUE"""),"No")</f>
        <v>No</v>
      </c>
      <c r="R1322" s="1" t="str">
        <f>IFERROR(__xludf.DUMMYFUNCTION("""COMPUTED_VALUE"""),"OLD")</f>
        <v>OLD</v>
      </c>
      <c r="S1322" s="1" t="str">
        <f>IFERROR(__xludf.DUMMYFUNCTION("""COMPUTED_VALUE"""),"Yes")</f>
        <v>Yes</v>
      </c>
    </row>
    <row r="1323">
      <c r="A1323" s="2">
        <f>IFERROR(__xludf.DUMMYFUNCTION("""COMPUTED_VALUE"""),45925.657631145834)</f>
        <v>45925.65763</v>
      </c>
      <c r="B1323" s="1" t="str">
        <f>IFERROR(__xludf.DUMMYFUNCTION("""COMPUTED_VALUE"""),"Talwar ji")</f>
        <v>Talwar ji</v>
      </c>
      <c r="C1323" s="1">
        <f>IFERROR(__xludf.DUMMYFUNCTION("""COMPUTED_VALUE"""),7.993399128E9)</f>
        <v>7993399128</v>
      </c>
      <c r="D1323" s="1">
        <f>IFERROR(__xludf.DUMMYFUNCTION("""COMPUTED_VALUE"""),2.0)</f>
        <v>2</v>
      </c>
      <c r="E1323" s="3">
        <f>IFERROR(__xludf.DUMMYFUNCTION("""COMPUTED_VALUE"""),0.46527777778101154)</f>
        <v>0.4652777778</v>
      </c>
      <c r="F1323" s="1" t="str">
        <f>IFERROR(__xludf.DUMMYFUNCTION("""COMPUTED_VALUE"""),"Diamond")</f>
        <v>Diamond</v>
      </c>
      <c r="G1323" s="1"/>
      <c r="H1323" s="1" t="str">
        <f>IFERROR(__xludf.DUMMYFUNCTION("""COMPUTED_VALUE"""),"Bracelets cartier earrings ")</f>
        <v>Bracelets cartier earrings </v>
      </c>
      <c r="I1323" s="1"/>
      <c r="J1323" s="1"/>
      <c r="K1323" s="3">
        <f>IFERROR(__xludf.DUMMYFUNCTION("""COMPUTED_VALUE"""),0.5)</f>
        <v>0.5</v>
      </c>
      <c r="L1323" s="1" t="str">
        <f>IFERROR(__xludf.DUMMYFUNCTION("""COMPUTED_VALUE"""),"No")</f>
        <v>No</v>
      </c>
      <c r="M1323" s="1" t="str">
        <f>IFERROR(__xludf.DUMMYFUNCTION("""COMPUTED_VALUE"""),"No")</f>
        <v>No</v>
      </c>
      <c r="N1323" s="1" t="str">
        <f>IFERROR(__xludf.DUMMYFUNCTION("""COMPUTED_VALUE"""),"No")</f>
        <v>No</v>
      </c>
      <c r="O1323" s="1" t="str">
        <f>IFERROR(__xludf.DUMMYFUNCTION("""COMPUTED_VALUE"""),"OWNER CONTACT ONLY")</f>
        <v>OWNER CONTACT ONLY</v>
      </c>
      <c r="P1323" s="1" t="str">
        <f>IFERROR(__xludf.DUMMYFUNCTION("""COMPUTED_VALUE"""),"Madam")</f>
        <v>Madam</v>
      </c>
      <c r="Q1323" s="1" t="str">
        <f>IFERROR(__xludf.DUMMYFUNCTION("""COMPUTED_VALUE"""),"No")</f>
        <v>No</v>
      </c>
      <c r="R1323" s="1" t="str">
        <f>IFERROR(__xludf.DUMMYFUNCTION("""COMPUTED_VALUE"""),"NEW WALK IN")</f>
        <v>NEW WALK IN</v>
      </c>
      <c r="S1323" s="1" t="str">
        <f>IFERROR(__xludf.DUMMYFUNCTION("""COMPUTED_VALUE"""),"Yes")</f>
        <v>Yes</v>
      </c>
    </row>
    <row r="1324">
      <c r="A1324" s="2">
        <f>IFERROR(__xludf.DUMMYFUNCTION("""COMPUTED_VALUE"""),45925.659624837965)</f>
        <v>45925.65962</v>
      </c>
      <c r="B1324" s="1" t="str">
        <f>IFERROR(__xludf.DUMMYFUNCTION("""COMPUTED_VALUE"""),"Tushar jain ji")</f>
        <v>Tushar jain ji</v>
      </c>
      <c r="C1324" s="1">
        <f>IFERROR(__xludf.DUMMYFUNCTION("""COMPUTED_VALUE"""),9.414250475E9)</f>
        <v>9414250475</v>
      </c>
      <c r="D1324" s="1">
        <f>IFERROR(__xludf.DUMMYFUNCTION("""COMPUTED_VALUE"""),1.0)</f>
        <v>1</v>
      </c>
      <c r="E1324" s="3">
        <f>IFERROR(__xludf.DUMMYFUNCTION("""COMPUTED_VALUE"""),0.49652777778101154)</f>
        <v>0.4965277778</v>
      </c>
      <c r="F1324" s="1" t="str">
        <f>IFERROR(__xludf.DUMMYFUNCTION("""COMPUTED_VALUE"""),"Silver Items")</f>
        <v>Silver Items</v>
      </c>
      <c r="G1324" s="1"/>
      <c r="H1324" s="1" t="str">
        <f>IFERROR(__xludf.DUMMYFUNCTION("""COMPUTED_VALUE"""),"Silver box")</f>
        <v>Silver box</v>
      </c>
      <c r="I1324" s="1" t="str">
        <f>IFERROR(__xludf.DUMMYFUNCTION("""COMPUTED_VALUE"""),"Couldn't find the product they were looking for")</f>
        <v>Couldn't find the product they were looking for</v>
      </c>
      <c r="J1324" s="1"/>
      <c r="K1324" s="3">
        <f>IFERROR(__xludf.DUMMYFUNCTION("""COMPUTED_VALUE"""),0.5034722222189885)</f>
        <v>0.5034722222</v>
      </c>
      <c r="L1324" s="1" t="str">
        <f>IFERROR(__xludf.DUMMYFUNCTION("""COMPUTED_VALUE"""),"No")</f>
        <v>No</v>
      </c>
      <c r="M1324" s="1" t="str">
        <f>IFERROR(__xludf.DUMMYFUNCTION("""COMPUTED_VALUE"""),"No")</f>
        <v>No</v>
      </c>
      <c r="N1324" s="1" t="str">
        <f>IFERROR(__xludf.DUMMYFUNCTION("""COMPUTED_VALUE"""),"No")</f>
        <v>No</v>
      </c>
      <c r="O1324" s="1" t="str">
        <f>IFERROR(__xludf.DUMMYFUNCTION("""COMPUTED_VALUE"""),"WA ONLY, OWNER CONTACT ONLY")</f>
        <v>WA ONLY, OWNER CONTACT ONLY</v>
      </c>
      <c r="P1324" s="1" t="str">
        <f>IFERROR(__xludf.DUMMYFUNCTION("""COMPUTED_VALUE"""),"Sir")</f>
        <v>Sir</v>
      </c>
      <c r="Q1324" s="1" t="str">
        <f>IFERROR(__xludf.DUMMYFUNCTION("""COMPUTED_VALUE"""),"No")</f>
        <v>No</v>
      </c>
      <c r="R1324" s="1" t="str">
        <f>IFERROR(__xludf.DUMMYFUNCTION("""COMPUTED_VALUE"""),"NEW WALK IN")</f>
        <v>NEW WALK IN</v>
      </c>
      <c r="S1324" s="1" t="str">
        <f>IFERROR(__xludf.DUMMYFUNCTION("""COMPUTED_VALUE"""),"No")</f>
        <v>No</v>
      </c>
    </row>
    <row r="1325">
      <c r="A1325" s="2">
        <f>IFERROR(__xludf.DUMMYFUNCTION("""COMPUTED_VALUE"""),45925.66203251157)</f>
        <v>45925.66203</v>
      </c>
      <c r="B1325" s="1" t="str">
        <f>IFERROR(__xludf.DUMMYFUNCTION("""COMPUTED_VALUE"""),"Geetu mahajan ji")</f>
        <v>Geetu mahajan ji</v>
      </c>
      <c r="C1325" s="1">
        <f>IFERROR(__xludf.DUMMYFUNCTION("""COMPUTED_VALUE"""),9.419293588E9)</f>
        <v>9419293588</v>
      </c>
      <c r="D1325" s="1">
        <f>IFERROR(__xludf.DUMMYFUNCTION("""COMPUTED_VALUE"""),2.0)</f>
        <v>2</v>
      </c>
      <c r="E1325" s="3">
        <f>IFERROR(__xludf.DUMMYFUNCTION("""COMPUTED_VALUE"""),0.5069444444452529)</f>
        <v>0.5069444444</v>
      </c>
      <c r="F1325" s="1" t="str">
        <f>IFERROR(__xludf.DUMMYFUNCTION("""COMPUTED_VALUE"""),"Plain Gold")</f>
        <v>Plain Gold</v>
      </c>
      <c r="G1325" s="1"/>
      <c r="H1325" s="1" t="str">
        <f>IFERROR(__xludf.DUMMYFUNCTION("""COMPUTED_VALUE"""),"Polki sets")</f>
        <v>Polki sets</v>
      </c>
      <c r="I1325" s="1" t="str">
        <f>IFERROR(__xludf.DUMMYFUNCTION("""COMPUTED_VALUE"""),"They will tell about the designs they liked")</f>
        <v>They will tell about the designs they liked</v>
      </c>
      <c r="J1325" s="1"/>
      <c r="K1325" s="3">
        <f>IFERROR(__xludf.DUMMYFUNCTION("""COMPUTED_VALUE"""),0.6041666666642413)</f>
        <v>0.6041666667</v>
      </c>
      <c r="L1325" s="1" t="str">
        <f>IFERROR(__xludf.DUMMYFUNCTION("""COMPUTED_VALUE"""),"No")</f>
        <v>No</v>
      </c>
      <c r="M1325" s="1" t="str">
        <f>IFERROR(__xludf.DUMMYFUNCTION("""COMPUTED_VALUE"""),"No")</f>
        <v>No</v>
      </c>
      <c r="N1325" s="1" t="str">
        <f>IFERROR(__xludf.DUMMYFUNCTION("""COMPUTED_VALUE"""),"No")</f>
        <v>No</v>
      </c>
      <c r="O1325" s="1" t="str">
        <f>IFERROR(__xludf.DUMMYFUNCTION("""COMPUTED_VALUE"""),"WA ONLY, OWNER CONTACT ONLY")</f>
        <v>WA ONLY, OWNER CONTACT ONLY</v>
      </c>
      <c r="P1325" s="1" t="str">
        <f>IFERROR(__xludf.DUMMYFUNCTION("""COMPUTED_VALUE"""),"Madam")</f>
        <v>Madam</v>
      </c>
      <c r="Q1325" s="1" t="str">
        <f>IFERROR(__xludf.DUMMYFUNCTION("""COMPUTED_VALUE"""),"No")</f>
        <v>No</v>
      </c>
      <c r="R1325" s="1" t="str">
        <f>IFERROR(__xludf.DUMMYFUNCTION("""COMPUTED_VALUE"""),"OLD")</f>
        <v>OLD</v>
      </c>
      <c r="S1325" s="1" t="str">
        <f>IFERROR(__xludf.DUMMYFUNCTION("""COMPUTED_VALUE"""),"No")</f>
        <v>No</v>
      </c>
    </row>
    <row r="1326">
      <c r="A1326" s="2">
        <f>IFERROR(__xludf.DUMMYFUNCTION("""COMPUTED_VALUE"""),45925.66452160879)</f>
        <v>45925.66452</v>
      </c>
      <c r="B1326" s="1" t="str">
        <f>IFERROR(__xludf.DUMMYFUNCTION("""COMPUTED_VALUE"""),"Mrs.Ahuja")</f>
        <v>Mrs.Ahuja</v>
      </c>
      <c r="C1326" s="1">
        <f>IFERROR(__xludf.DUMMYFUNCTION("""COMPUTED_VALUE"""),9.810799668E9)</f>
        <v>9810799668</v>
      </c>
      <c r="D1326" s="1">
        <f>IFERROR(__xludf.DUMMYFUNCTION("""COMPUTED_VALUE"""),1.0)</f>
        <v>1</v>
      </c>
      <c r="E1326" s="3">
        <f>IFERROR(__xludf.DUMMYFUNCTION("""COMPUTED_VALUE"""),0.5277777777810115)</f>
        <v>0.5277777778</v>
      </c>
      <c r="F1326" s="1" t="str">
        <f>IFERROR(__xludf.DUMMYFUNCTION("""COMPUTED_VALUE"""),"Diamond")</f>
        <v>Diamond</v>
      </c>
      <c r="G1326" s="1"/>
      <c r="H1326" s="1" t="str">
        <f>IFERROR(__xludf.DUMMYFUNCTION("""COMPUTED_VALUE"""),"Diamond sets")</f>
        <v>Diamond sets</v>
      </c>
      <c r="I1326" s="1" t="str">
        <f>IFERROR(__xludf.DUMMYFUNCTION("""COMPUTED_VALUE"""),"Here to select today")</f>
        <v>Here to select today</v>
      </c>
      <c r="J1326" s="1"/>
      <c r="K1326" s="3">
        <f>IFERROR(__xludf.DUMMYFUNCTION("""COMPUTED_VALUE"""),0.6229166666671517)</f>
        <v>0.6229166667</v>
      </c>
      <c r="L1326" s="1" t="str">
        <f>IFERROR(__xludf.DUMMYFUNCTION("""COMPUTED_VALUE"""),"No")</f>
        <v>No</v>
      </c>
      <c r="M1326" s="1" t="str">
        <f>IFERROR(__xludf.DUMMYFUNCTION("""COMPUTED_VALUE"""),"No")</f>
        <v>No</v>
      </c>
      <c r="N1326" s="1" t="str">
        <f>IFERROR(__xludf.DUMMYFUNCTION("""COMPUTED_VALUE"""),"No")</f>
        <v>No</v>
      </c>
      <c r="O1326" s="1" t="str">
        <f>IFERROR(__xludf.DUMMYFUNCTION("""COMPUTED_VALUE"""),"OWNER CONTACT ONLY")</f>
        <v>OWNER CONTACT ONLY</v>
      </c>
      <c r="P1326" s="1" t="str">
        <f>IFERROR(__xludf.DUMMYFUNCTION("""COMPUTED_VALUE"""),"Madam")</f>
        <v>Madam</v>
      </c>
      <c r="Q1326" s="1" t="str">
        <f>IFERROR(__xludf.DUMMYFUNCTION("""COMPUTED_VALUE"""),"Yes")</f>
        <v>Yes</v>
      </c>
      <c r="R1326" s="1" t="str">
        <f>IFERROR(__xludf.DUMMYFUNCTION("""COMPUTED_VALUE"""),"OLD")</f>
        <v>OLD</v>
      </c>
      <c r="S1326" s="1" t="str">
        <f>IFERROR(__xludf.DUMMYFUNCTION("""COMPUTED_VALUE"""),"No")</f>
        <v>No</v>
      </c>
    </row>
    <row r="1327">
      <c r="A1327" s="2">
        <f>IFERROR(__xludf.DUMMYFUNCTION("""COMPUTED_VALUE"""),45925.66584622685)</f>
        <v>45925.66585</v>
      </c>
      <c r="B1327" s="1" t="str">
        <f>IFERROR(__xludf.DUMMYFUNCTION("""COMPUTED_VALUE"""),"Soniya ji")</f>
        <v>Soniya ji</v>
      </c>
      <c r="C1327" s="1">
        <f>IFERROR(__xludf.DUMMYFUNCTION("""COMPUTED_VALUE"""),9.716946645E9)</f>
        <v>9716946645</v>
      </c>
      <c r="D1327" s="1">
        <f>IFERROR(__xludf.DUMMYFUNCTION("""COMPUTED_VALUE"""),2.0)</f>
        <v>2</v>
      </c>
      <c r="E1327" s="3">
        <f>IFERROR(__xludf.DUMMYFUNCTION("""COMPUTED_VALUE"""),0.5416666666642413)</f>
        <v>0.5416666667</v>
      </c>
      <c r="F1327" s="1" t="str">
        <f>IFERROR(__xludf.DUMMYFUNCTION("""COMPUTED_VALUE"""),"Plain Gold")</f>
        <v>Plain Gold</v>
      </c>
      <c r="G1327" s="1"/>
      <c r="H1327" s="1" t="str">
        <f>IFERROR(__xludf.DUMMYFUNCTION("""COMPUTED_VALUE"""),"Mangalsutra bali")</f>
        <v>Mangalsutra bali</v>
      </c>
      <c r="I1327" s="1"/>
      <c r="J1327" s="1"/>
      <c r="K1327" s="3">
        <f>IFERROR(__xludf.DUMMYFUNCTION("""COMPUTED_VALUE"""),0.5625)</f>
        <v>0.5625</v>
      </c>
      <c r="L1327" s="1" t="str">
        <f>IFERROR(__xludf.DUMMYFUNCTION("""COMPUTED_VALUE"""),"No")</f>
        <v>No</v>
      </c>
      <c r="M1327" s="1" t="str">
        <f>IFERROR(__xludf.DUMMYFUNCTION("""COMPUTED_VALUE"""),"No")</f>
        <v>No</v>
      </c>
      <c r="N1327" s="1" t="str">
        <f>IFERROR(__xludf.DUMMYFUNCTION("""COMPUTED_VALUE"""),"No")</f>
        <v>No</v>
      </c>
      <c r="O1327" s="1" t="str">
        <f>IFERROR(__xludf.DUMMYFUNCTION("""COMPUTED_VALUE"""),"WA ONLY")</f>
        <v>WA ONLY</v>
      </c>
      <c r="P1327" s="1" t="str">
        <f>IFERROR(__xludf.DUMMYFUNCTION("""COMPUTED_VALUE"""),"Madam")</f>
        <v>Madam</v>
      </c>
      <c r="Q1327" s="1" t="str">
        <f>IFERROR(__xludf.DUMMYFUNCTION("""COMPUTED_VALUE"""),"No")</f>
        <v>No</v>
      </c>
      <c r="R1327" s="1" t="str">
        <f>IFERROR(__xludf.DUMMYFUNCTION("""COMPUTED_VALUE"""),"OLD")</f>
        <v>OLD</v>
      </c>
      <c r="S1327" s="1" t="str">
        <f>IFERROR(__xludf.DUMMYFUNCTION("""COMPUTED_VALUE"""),"Yes")</f>
        <v>Yes</v>
      </c>
    </row>
    <row r="1328">
      <c r="A1328" s="2">
        <f>IFERROR(__xludf.DUMMYFUNCTION("""COMPUTED_VALUE"""),45925.66780166667)</f>
        <v>45925.6678</v>
      </c>
      <c r="B1328" s="1" t="str">
        <f>IFERROR(__xludf.DUMMYFUNCTION("""COMPUTED_VALUE"""),"Pawan wadhwa ji")</f>
        <v>Pawan wadhwa ji</v>
      </c>
      <c r="C1328" s="1">
        <f>IFERROR(__xludf.DUMMYFUNCTION("""COMPUTED_VALUE"""),8.920763366E9)</f>
        <v>8920763366</v>
      </c>
      <c r="D1328" s="1">
        <f>IFERROR(__xludf.DUMMYFUNCTION("""COMPUTED_VALUE"""),1.0)</f>
        <v>1</v>
      </c>
      <c r="E1328" s="3">
        <f>IFERROR(__xludf.DUMMYFUNCTION("""COMPUTED_VALUE"""),0.5520833333357587)</f>
        <v>0.5520833333</v>
      </c>
      <c r="F1328" s="1" t="str">
        <f>IFERROR(__xludf.DUMMYFUNCTION("""COMPUTED_VALUE"""),"Silver Items")</f>
        <v>Silver Items</v>
      </c>
      <c r="G1328" s="1"/>
      <c r="H1328" s="1" t="str">
        <f>IFERROR(__xludf.DUMMYFUNCTION("""COMPUTED_VALUE"""),"Gold earring for single ear male")</f>
        <v>Gold earring for single ear male</v>
      </c>
      <c r="I1328" s="1"/>
      <c r="J1328" s="1"/>
      <c r="K1328" s="3">
        <f>IFERROR(__xludf.DUMMYFUNCTION("""COMPUTED_VALUE"""),0.5833333333357587)</f>
        <v>0.5833333333</v>
      </c>
      <c r="L1328" s="1" t="str">
        <f>IFERROR(__xludf.DUMMYFUNCTION("""COMPUTED_VALUE"""),"No")</f>
        <v>No</v>
      </c>
      <c r="M1328" s="1" t="str">
        <f>IFERROR(__xludf.DUMMYFUNCTION("""COMPUTED_VALUE"""),"No")</f>
        <v>No</v>
      </c>
      <c r="N1328" s="1" t="str">
        <f>IFERROR(__xludf.DUMMYFUNCTION("""COMPUTED_VALUE"""),"No")</f>
        <v>No</v>
      </c>
      <c r="O1328" s="1" t="str">
        <f>IFERROR(__xludf.DUMMYFUNCTION("""COMPUTED_VALUE"""),"WA ONLY, OWNER CONTACT ONLY")</f>
        <v>WA ONLY, OWNER CONTACT ONLY</v>
      </c>
      <c r="P1328" s="1" t="str">
        <f>IFERROR(__xludf.DUMMYFUNCTION("""COMPUTED_VALUE"""),"Sir")</f>
        <v>Sir</v>
      </c>
      <c r="Q1328" s="1" t="str">
        <f>IFERROR(__xludf.DUMMYFUNCTION("""COMPUTED_VALUE"""),"No")</f>
        <v>No</v>
      </c>
      <c r="R1328" s="1" t="str">
        <f>IFERROR(__xludf.DUMMYFUNCTION("""COMPUTED_VALUE"""),"NEW WALK IN")</f>
        <v>NEW WALK IN</v>
      </c>
      <c r="S1328" s="1" t="str">
        <f>IFERROR(__xludf.DUMMYFUNCTION("""COMPUTED_VALUE"""),"Yes")</f>
        <v>Yes</v>
      </c>
    </row>
    <row r="1329">
      <c r="A1329" s="2">
        <f>IFERROR(__xludf.DUMMYFUNCTION("""COMPUTED_VALUE"""),45925.669879918976)</f>
        <v>45925.66988</v>
      </c>
      <c r="B1329" s="1" t="str">
        <f>IFERROR(__xludf.DUMMYFUNCTION("""COMPUTED_VALUE"""),"Mouli ji")</f>
        <v>Mouli ji</v>
      </c>
      <c r="C1329" s="1">
        <f>IFERROR(__xludf.DUMMYFUNCTION("""COMPUTED_VALUE"""),9.711411929E9)</f>
        <v>9711411929</v>
      </c>
      <c r="D1329" s="1">
        <f>IFERROR(__xludf.DUMMYFUNCTION("""COMPUTED_VALUE"""),2.0)</f>
        <v>2</v>
      </c>
      <c r="E1329" s="3">
        <f>IFERROR(__xludf.DUMMYFUNCTION("""COMPUTED_VALUE"""),0.625)</f>
        <v>0.625</v>
      </c>
      <c r="F1329" s="1" t="str">
        <f>IFERROR(__xludf.DUMMYFUNCTION("""COMPUTED_VALUE"""),"Plain Gold")</f>
        <v>Plain Gold</v>
      </c>
      <c r="G1329" s="1"/>
      <c r="H1329" s="1" t="str">
        <f>IFERROR(__xludf.DUMMYFUNCTION("""COMPUTED_VALUE"""),"Mmtc gold coin")</f>
        <v>Mmtc gold coin</v>
      </c>
      <c r="I1329" s="1"/>
      <c r="J1329" s="1"/>
      <c r="K1329" s="3">
        <f>IFERROR(__xludf.DUMMYFUNCTION("""COMPUTED_VALUE"""),0.6305555555591127)</f>
        <v>0.6305555556</v>
      </c>
      <c r="L1329" s="1" t="str">
        <f>IFERROR(__xludf.DUMMYFUNCTION("""COMPUTED_VALUE"""),"No")</f>
        <v>No</v>
      </c>
      <c r="M1329" s="1" t="str">
        <f>IFERROR(__xludf.DUMMYFUNCTION("""COMPUTED_VALUE"""),"No")</f>
        <v>No</v>
      </c>
      <c r="N1329" s="1" t="str">
        <f>IFERROR(__xludf.DUMMYFUNCTION("""COMPUTED_VALUE"""),"Yes")</f>
        <v>Yes</v>
      </c>
      <c r="O1329" s="1" t="str">
        <f>IFERROR(__xludf.DUMMYFUNCTION("""COMPUTED_VALUE"""),"WA ONLY")</f>
        <v>WA ONLY</v>
      </c>
      <c r="P1329" s="1" t="str">
        <f>IFERROR(__xludf.DUMMYFUNCTION("""COMPUTED_VALUE"""),"Madam")</f>
        <v>Madam</v>
      </c>
      <c r="Q1329" s="1" t="str">
        <f>IFERROR(__xludf.DUMMYFUNCTION("""COMPUTED_VALUE"""),"No")</f>
        <v>No</v>
      </c>
      <c r="R1329" s="1" t="str">
        <f>IFERROR(__xludf.DUMMYFUNCTION("""COMPUTED_VALUE"""),"NEW WALK IN")</f>
        <v>NEW WALK IN</v>
      </c>
      <c r="S1329" s="1" t="str">
        <f>IFERROR(__xludf.DUMMYFUNCTION("""COMPUTED_VALUE"""),"Yes")</f>
        <v>Yes</v>
      </c>
    </row>
    <row r="1330">
      <c r="A1330" s="2">
        <f>IFERROR(__xludf.DUMMYFUNCTION("""COMPUTED_VALUE"""),45926.54167474537)</f>
        <v>45926.54167</v>
      </c>
      <c r="B1330" s="1" t="str">
        <f>IFERROR(__xludf.DUMMYFUNCTION("""COMPUTED_VALUE"""),"Atul ji")</f>
        <v>Atul ji</v>
      </c>
      <c r="C1330" s="1">
        <f>IFERROR(__xludf.DUMMYFUNCTION("""COMPUTED_VALUE"""),9.654288686E9)</f>
        <v>9654288686</v>
      </c>
      <c r="D1330" s="1">
        <f>IFERROR(__xludf.DUMMYFUNCTION("""COMPUTED_VALUE"""),1.0)</f>
        <v>1</v>
      </c>
      <c r="E1330" s="3">
        <f>IFERROR(__xludf.DUMMYFUNCTION("""COMPUTED_VALUE"""),0.7743055555547471)</f>
        <v>0.7743055556</v>
      </c>
      <c r="F1330" s="1" t="str">
        <f>IFERROR(__xludf.DUMMYFUNCTION("""COMPUTED_VALUE"""),"Diamond")</f>
        <v>Diamond</v>
      </c>
      <c r="G1330" s="1"/>
      <c r="H1330" s="1" t="str">
        <f>IFERROR(__xludf.DUMMYFUNCTION("""COMPUTED_VALUE"""),"Gold chain")</f>
        <v>Gold chain</v>
      </c>
      <c r="I1330" s="1" t="str">
        <f>IFERROR(__xludf.DUMMYFUNCTION("""COMPUTED_VALUE"""),"Visit Again in 1 Month")</f>
        <v>Visit Again in 1 Month</v>
      </c>
      <c r="J1330" s="1"/>
      <c r="K1330" s="3">
        <f>IFERROR(__xludf.DUMMYFUNCTION("""COMPUTED_VALUE"""),0.8055555555547471)</f>
        <v>0.8055555556</v>
      </c>
      <c r="L1330" s="1" t="str">
        <f>IFERROR(__xludf.DUMMYFUNCTION("""COMPUTED_VALUE"""),"No")</f>
        <v>No</v>
      </c>
      <c r="M1330" s="1" t="str">
        <f>IFERROR(__xludf.DUMMYFUNCTION("""COMPUTED_VALUE"""),"No")</f>
        <v>No</v>
      </c>
      <c r="N1330" s="1" t="str">
        <f>IFERROR(__xludf.DUMMYFUNCTION("""COMPUTED_VALUE"""),"No")</f>
        <v>No</v>
      </c>
      <c r="O1330" s="1" t="str">
        <f>IFERROR(__xludf.DUMMYFUNCTION("""COMPUTED_VALUE"""),"WA ONLY")</f>
        <v>WA ONLY</v>
      </c>
      <c r="P1330" s="1" t="str">
        <f>IFERROR(__xludf.DUMMYFUNCTION("""COMPUTED_VALUE"""),"Sir")</f>
        <v>Sir</v>
      </c>
      <c r="Q1330" s="1" t="str">
        <f>IFERROR(__xludf.DUMMYFUNCTION("""COMPUTED_VALUE"""),"No")</f>
        <v>No</v>
      </c>
      <c r="R1330" s="1" t="str">
        <f>IFERROR(__xludf.DUMMYFUNCTION("""COMPUTED_VALUE"""),"NEW WALK IN")</f>
        <v>NEW WALK IN</v>
      </c>
      <c r="S1330" s="1" t="str">
        <f>IFERROR(__xludf.DUMMYFUNCTION("""COMPUTED_VALUE"""),"No")</f>
        <v>No</v>
      </c>
    </row>
    <row r="1331">
      <c r="A1331" s="2">
        <f>IFERROR(__xludf.DUMMYFUNCTION("""COMPUTED_VALUE"""),45927.78181881944)</f>
        <v>45927.78182</v>
      </c>
      <c r="B1331" s="1" t="str">
        <f>IFERROR(__xludf.DUMMYFUNCTION("""COMPUTED_VALUE"""),"Anjali yadav ji")</f>
        <v>Anjali yadav ji</v>
      </c>
      <c r="C1331" s="1">
        <f>IFERROR(__xludf.DUMMYFUNCTION("""COMPUTED_VALUE"""),9.810552571E9)</f>
        <v>9810552571</v>
      </c>
      <c r="D1331" s="1">
        <f>IFERROR(__xludf.DUMMYFUNCTION("""COMPUTED_VALUE"""),2.0)</f>
        <v>2</v>
      </c>
      <c r="E1331" s="3">
        <f>IFERROR(__xludf.DUMMYFUNCTION("""COMPUTED_VALUE"""),0.625)</f>
        <v>0.625</v>
      </c>
      <c r="F1331" s="1" t="str">
        <f>IFERROR(__xludf.DUMMYFUNCTION("""COMPUTED_VALUE"""),"Plain Gold")</f>
        <v>Plain Gold</v>
      </c>
      <c r="G1331" s="1"/>
      <c r="H1331" s="1" t="str">
        <f>IFERROR(__xludf.DUMMYFUNCTION("""COMPUTED_VALUE"""),"Pendent chain")</f>
        <v>Pendent chain</v>
      </c>
      <c r="I1331" s="1"/>
      <c r="J1331" s="1"/>
      <c r="K1331" s="3">
        <f>IFERROR(__xludf.DUMMYFUNCTION("""COMPUTED_VALUE"""),0.703472222223354)</f>
        <v>0.7034722222</v>
      </c>
      <c r="L1331" s="1" t="str">
        <f>IFERROR(__xludf.DUMMYFUNCTION("""COMPUTED_VALUE"""),"No")</f>
        <v>No</v>
      </c>
      <c r="M1331" s="1" t="str">
        <f>IFERROR(__xludf.DUMMYFUNCTION("""COMPUTED_VALUE"""),"Yes")</f>
        <v>Yes</v>
      </c>
      <c r="N1331" s="1" t="str">
        <f>IFERROR(__xludf.DUMMYFUNCTION("""COMPUTED_VALUE"""),"No")</f>
        <v>No</v>
      </c>
      <c r="O1331" s="1" t="str">
        <f>IFERROR(__xludf.DUMMYFUNCTION("""COMPUTED_VALUE"""),"WA ONLY, OWNER CONTACT ONLY")</f>
        <v>WA ONLY, OWNER CONTACT ONLY</v>
      </c>
      <c r="P1331" s="1" t="str">
        <f>IFERROR(__xludf.DUMMYFUNCTION("""COMPUTED_VALUE"""),"Sir")</f>
        <v>Sir</v>
      </c>
      <c r="Q1331" s="1" t="str">
        <f>IFERROR(__xludf.DUMMYFUNCTION("""COMPUTED_VALUE"""),"No")</f>
        <v>No</v>
      </c>
      <c r="R1331" s="1" t="str">
        <f>IFERROR(__xludf.DUMMYFUNCTION("""COMPUTED_VALUE"""),"OLD")</f>
        <v>OLD</v>
      </c>
      <c r="S1331" s="1" t="str">
        <f>IFERROR(__xludf.DUMMYFUNCTION("""COMPUTED_VALUE"""),"Yes")</f>
        <v>Yes</v>
      </c>
    </row>
    <row r="1332">
      <c r="A1332" s="2">
        <f>IFERROR(__xludf.DUMMYFUNCTION("""COMPUTED_VALUE"""),45927.78450408565)</f>
        <v>45927.7845</v>
      </c>
      <c r="B1332" s="1" t="str">
        <f>IFERROR(__xludf.DUMMYFUNCTION("""COMPUTED_VALUE"""),"Ramneet Nagpal ji")</f>
        <v>Ramneet Nagpal ji</v>
      </c>
      <c r="C1332" s="1">
        <f>IFERROR(__xludf.DUMMYFUNCTION("""COMPUTED_VALUE"""),9.310223776E9)</f>
        <v>9310223776</v>
      </c>
      <c r="D1332" s="1">
        <f>IFERROR(__xludf.DUMMYFUNCTION("""COMPUTED_VALUE"""),1.0)</f>
        <v>1</v>
      </c>
      <c r="E1332" s="3">
        <f>IFERROR(__xludf.DUMMYFUNCTION("""COMPUTED_VALUE"""),0.7604166666642413)</f>
        <v>0.7604166667</v>
      </c>
      <c r="F1332" s="1" t="str">
        <f>IFERROR(__xludf.DUMMYFUNCTION("""COMPUTED_VALUE"""),"Silver Items")</f>
        <v>Silver Items</v>
      </c>
      <c r="G1332" s="1"/>
      <c r="H1332" s="1" t="str">
        <f>IFERROR(__xludf.DUMMYFUNCTION("""COMPUTED_VALUE"""),"Antique pieces ")</f>
        <v>Antique pieces </v>
      </c>
      <c r="I1332" s="1"/>
      <c r="J1332" s="1"/>
      <c r="K1332" s="3">
        <f>IFERROR(__xludf.DUMMYFUNCTION("""COMPUTED_VALUE"""),0.7743055555547471)</f>
        <v>0.7743055556</v>
      </c>
      <c r="L1332" s="1" t="str">
        <f>IFERROR(__xludf.DUMMYFUNCTION("""COMPUTED_VALUE"""),"No")</f>
        <v>No</v>
      </c>
      <c r="M1332" s="1" t="str">
        <f>IFERROR(__xludf.DUMMYFUNCTION("""COMPUTED_VALUE"""),"No")</f>
        <v>No</v>
      </c>
      <c r="N1332" s="1" t="str">
        <f>IFERROR(__xludf.DUMMYFUNCTION("""COMPUTED_VALUE"""),"No")</f>
        <v>No</v>
      </c>
      <c r="O1332" s="1" t="str">
        <f>IFERROR(__xludf.DUMMYFUNCTION("""COMPUTED_VALUE"""),"WA ONLY")</f>
        <v>WA ONLY</v>
      </c>
      <c r="P1332" s="1" t="str">
        <f>IFERROR(__xludf.DUMMYFUNCTION("""COMPUTED_VALUE"""),"Sir")</f>
        <v>Sir</v>
      </c>
      <c r="Q1332" s="1" t="str">
        <f>IFERROR(__xludf.DUMMYFUNCTION("""COMPUTED_VALUE"""),"No")</f>
        <v>No</v>
      </c>
      <c r="R1332" s="1" t="str">
        <f>IFERROR(__xludf.DUMMYFUNCTION("""COMPUTED_VALUE"""),"NEW WALK IN")</f>
        <v>NEW WALK IN</v>
      </c>
      <c r="S1332" s="1" t="str">
        <f>IFERROR(__xludf.DUMMYFUNCTION("""COMPUTED_VALUE"""),"Yes")</f>
        <v>Yes</v>
      </c>
    </row>
    <row r="1333">
      <c r="A1333" s="2">
        <f>IFERROR(__xludf.DUMMYFUNCTION("""COMPUTED_VALUE"""),45927.7862972338)</f>
        <v>45927.7863</v>
      </c>
      <c r="B1333" s="1" t="str">
        <f>IFERROR(__xludf.DUMMYFUNCTION("""COMPUTED_VALUE"""),"Raveen ji")</f>
        <v>Raveen ji</v>
      </c>
      <c r="C1333" s="1">
        <f>IFERROR(__xludf.DUMMYFUNCTION("""COMPUTED_VALUE"""),9.4151457E9)</f>
        <v>9415145700</v>
      </c>
      <c r="D1333" s="1">
        <f>IFERROR(__xludf.DUMMYFUNCTION("""COMPUTED_VALUE"""),1.0)</f>
        <v>1</v>
      </c>
      <c r="E1333" s="3">
        <f>IFERROR(__xludf.DUMMYFUNCTION("""COMPUTED_VALUE"""),0.46875)</f>
        <v>0.46875</v>
      </c>
      <c r="F1333" s="1" t="str">
        <f>IFERROR(__xludf.DUMMYFUNCTION("""COMPUTED_VALUE"""),"Silver Items")</f>
        <v>Silver Items</v>
      </c>
      <c r="G1333" s="1"/>
      <c r="H1333" s="1" t="str">
        <f>IFERROR(__xludf.DUMMYFUNCTION("""COMPUTED_VALUE"""),"Karwa thaali")</f>
        <v>Karwa thaali</v>
      </c>
      <c r="I1333" s="1" t="str">
        <f>IFERROR(__xludf.DUMMYFUNCTION("""COMPUTED_VALUE"""),"Stock wasn't ready")</f>
        <v>Stock wasn't ready</v>
      </c>
      <c r="J1333" s="1"/>
      <c r="K1333" s="3">
        <f>IFERROR(__xludf.DUMMYFUNCTION("""COMPUTED_VALUE"""),0.47916666666424135)</f>
        <v>0.4791666667</v>
      </c>
      <c r="L1333" s="1" t="str">
        <f>IFERROR(__xludf.DUMMYFUNCTION("""COMPUTED_VALUE"""),"No")</f>
        <v>No</v>
      </c>
      <c r="M1333" s="1" t="str">
        <f>IFERROR(__xludf.DUMMYFUNCTION("""COMPUTED_VALUE"""),"No")</f>
        <v>No</v>
      </c>
      <c r="N1333" s="1" t="str">
        <f>IFERROR(__xludf.DUMMYFUNCTION("""COMPUTED_VALUE"""),"No")</f>
        <v>No</v>
      </c>
      <c r="O1333" s="1" t="str">
        <f>IFERROR(__xludf.DUMMYFUNCTION("""COMPUTED_VALUE"""),"WA ONLY")</f>
        <v>WA ONLY</v>
      </c>
      <c r="P1333" s="1" t="str">
        <f>IFERROR(__xludf.DUMMYFUNCTION("""COMPUTED_VALUE"""),"Sir")</f>
        <v>Sir</v>
      </c>
      <c r="Q1333" s="1" t="str">
        <f>IFERROR(__xludf.DUMMYFUNCTION("""COMPUTED_VALUE"""),"No")</f>
        <v>No</v>
      </c>
      <c r="R1333" s="1" t="str">
        <f>IFERROR(__xludf.DUMMYFUNCTION("""COMPUTED_VALUE"""),"NEW WALK IN")</f>
        <v>NEW WALK IN</v>
      </c>
      <c r="S1333" s="1" t="str">
        <f>IFERROR(__xludf.DUMMYFUNCTION("""COMPUTED_VALUE"""),"No")</f>
        <v>No</v>
      </c>
    </row>
    <row r="1334">
      <c r="A1334" s="2">
        <f>IFERROR(__xludf.DUMMYFUNCTION("""COMPUTED_VALUE"""),45927.78812945602)</f>
        <v>45927.78813</v>
      </c>
      <c r="B1334" s="1" t="str">
        <f>IFERROR(__xludf.DUMMYFUNCTION("""COMPUTED_VALUE"""),"Neeto ji")</f>
        <v>Neeto ji</v>
      </c>
      <c r="C1334" s="1">
        <f>IFERROR(__xludf.DUMMYFUNCTION("""COMPUTED_VALUE"""),8.800319246E9)</f>
        <v>8800319246</v>
      </c>
      <c r="D1334" s="1">
        <f>IFERROR(__xludf.DUMMYFUNCTION("""COMPUTED_VALUE"""),1.0)</f>
        <v>1</v>
      </c>
      <c r="E1334" s="3">
        <f>IFERROR(__xludf.DUMMYFUNCTION("""COMPUTED_VALUE"""),0.48263888889050577)</f>
        <v>0.4826388889</v>
      </c>
      <c r="F1334" s="1" t="str">
        <f>IFERROR(__xludf.DUMMYFUNCTION("""COMPUTED_VALUE"""),"Plain Gold")</f>
        <v>Plain Gold</v>
      </c>
      <c r="G1334" s="1"/>
      <c r="H1334" s="1" t="str">
        <f>IFERROR(__xludf.DUMMYFUNCTION("""COMPUTED_VALUE"""),"Gold coin")</f>
        <v>Gold coin</v>
      </c>
      <c r="I1334" s="1" t="str">
        <f>IFERROR(__xludf.DUMMYFUNCTION("""COMPUTED_VALUE"""),"Stock wasn't ready")</f>
        <v>Stock wasn't ready</v>
      </c>
      <c r="J1334" s="1"/>
      <c r="K1334" s="3">
        <f>IFERROR(__xludf.DUMMYFUNCTION("""COMPUTED_VALUE"""),0.48611111110949423)</f>
        <v>0.4861111111</v>
      </c>
      <c r="L1334" s="1" t="str">
        <f>IFERROR(__xludf.DUMMYFUNCTION("""COMPUTED_VALUE"""),"No")</f>
        <v>No</v>
      </c>
      <c r="M1334" s="1" t="str">
        <f>IFERROR(__xludf.DUMMYFUNCTION("""COMPUTED_VALUE"""),"No")</f>
        <v>No</v>
      </c>
      <c r="N1334" s="1" t="str">
        <f>IFERROR(__xludf.DUMMYFUNCTION("""COMPUTED_VALUE"""),"No")</f>
        <v>No</v>
      </c>
      <c r="O1334" s="1" t="str">
        <f>IFERROR(__xludf.DUMMYFUNCTION("""COMPUTED_VALUE"""),"WA ONLY")</f>
        <v>WA ONLY</v>
      </c>
      <c r="P1334" s="1" t="str">
        <f>IFERROR(__xludf.DUMMYFUNCTION("""COMPUTED_VALUE"""),"Sir")</f>
        <v>Sir</v>
      </c>
      <c r="Q1334" s="1" t="str">
        <f>IFERROR(__xludf.DUMMYFUNCTION("""COMPUTED_VALUE"""),"No")</f>
        <v>No</v>
      </c>
      <c r="R1334" s="1" t="str">
        <f>IFERROR(__xludf.DUMMYFUNCTION("""COMPUTED_VALUE"""),"NEW WALK IN")</f>
        <v>NEW WALK IN</v>
      </c>
      <c r="S1334" s="1" t="str">
        <f>IFERROR(__xludf.DUMMYFUNCTION("""COMPUTED_VALUE"""),"No")</f>
        <v>No</v>
      </c>
    </row>
    <row r="1335">
      <c r="A1335" s="2">
        <f>IFERROR(__xludf.DUMMYFUNCTION("""COMPUTED_VALUE"""),45927.789647708334)</f>
        <v>45927.78965</v>
      </c>
      <c r="B1335" s="1" t="str">
        <f>IFERROR(__xludf.DUMMYFUNCTION("""COMPUTED_VALUE"""),"Neeru ji")</f>
        <v>Neeru ji</v>
      </c>
      <c r="C1335" s="1">
        <f>IFERROR(__xludf.DUMMYFUNCTION("""COMPUTED_VALUE"""),8.70039129E9)</f>
        <v>8700391290</v>
      </c>
      <c r="D1335" s="1">
        <f>IFERROR(__xludf.DUMMYFUNCTION("""COMPUTED_VALUE"""),1.0)</f>
        <v>1</v>
      </c>
      <c r="E1335" s="3">
        <f>IFERROR(__xludf.DUMMYFUNCTION("""COMPUTED_VALUE"""),0.5833333333357587)</f>
        <v>0.5833333333</v>
      </c>
      <c r="F1335" s="1" t="str">
        <f>IFERROR(__xludf.DUMMYFUNCTION("""COMPUTED_VALUE"""),"Plain Gold")</f>
        <v>Plain Gold</v>
      </c>
      <c r="G1335" s="1"/>
      <c r="H1335" s="1" t="str">
        <f>IFERROR(__xludf.DUMMYFUNCTION("""COMPUTED_VALUE"""),"Shiv parwati locket")</f>
        <v>Shiv parwati locket</v>
      </c>
      <c r="I1335" s="1" t="str">
        <f>IFERROR(__xludf.DUMMYFUNCTION("""COMPUTED_VALUE"""),"Couldn't find the type they were looking for")</f>
        <v>Couldn't find the type they were looking for</v>
      </c>
      <c r="J1335" s="1"/>
      <c r="K1335" s="3">
        <f>IFERROR(__xludf.DUMMYFUNCTION("""COMPUTED_VALUE"""),0.5902777777810115)</f>
        <v>0.5902777778</v>
      </c>
      <c r="L1335" s="1" t="str">
        <f>IFERROR(__xludf.DUMMYFUNCTION("""COMPUTED_VALUE"""),"No")</f>
        <v>No</v>
      </c>
      <c r="M1335" s="1" t="str">
        <f>IFERROR(__xludf.DUMMYFUNCTION("""COMPUTED_VALUE"""),"No")</f>
        <v>No</v>
      </c>
      <c r="N1335" s="1" t="str">
        <f>IFERROR(__xludf.DUMMYFUNCTION("""COMPUTED_VALUE"""),"No")</f>
        <v>No</v>
      </c>
      <c r="O1335" s="1" t="str">
        <f>IFERROR(__xludf.DUMMYFUNCTION("""COMPUTED_VALUE"""),"WA ONLY")</f>
        <v>WA ONLY</v>
      </c>
      <c r="P1335" s="1" t="str">
        <f>IFERROR(__xludf.DUMMYFUNCTION("""COMPUTED_VALUE"""),"Madam")</f>
        <v>Madam</v>
      </c>
      <c r="Q1335" s="1" t="str">
        <f>IFERROR(__xludf.DUMMYFUNCTION("""COMPUTED_VALUE"""),"No")</f>
        <v>No</v>
      </c>
      <c r="R1335" s="1" t="str">
        <f>IFERROR(__xludf.DUMMYFUNCTION("""COMPUTED_VALUE"""),"NEW WALK IN")</f>
        <v>NEW WALK IN</v>
      </c>
      <c r="S1335" s="1" t="str">
        <f>IFERROR(__xludf.DUMMYFUNCTION("""COMPUTED_VALUE"""),"No")</f>
        <v>No</v>
      </c>
    </row>
    <row r="1336">
      <c r="A1336" s="2">
        <f>IFERROR(__xludf.DUMMYFUNCTION("""COMPUTED_VALUE"""),45927.7913105787)</f>
        <v>45927.79131</v>
      </c>
      <c r="B1336" s="1" t="str">
        <f>IFERROR(__xludf.DUMMYFUNCTION("""COMPUTED_VALUE"""),"Suman jain ji")</f>
        <v>Suman jain ji</v>
      </c>
      <c r="C1336" s="1">
        <f>IFERROR(__xludf.DUMMYFUNCTION("""COMPUTED_VALUE"""),9.968016155E9)</f>
        <v>9968016155</v>
      </c>
      <c r="D1336" s="1">
        <f>IFERROR(__xludf.DUMMYFUNCTION("""COMPUTED_VALUE"""),2.0)</f>
        <v>2</v>
      </c>
      <c r="E1336" s="3">
        <f>IFERROR(__xludf.DUMMYFUNCTION("""COMPUTED_VALUE"""),0.6041666666642413)</f>
        <v>0.6041666667</v>
      </c>
      <c r="F1336" s="1" t="str">
        <f>IFERROR(__xludf.DUMMYFUNCTION("""COMPUTED_VALUE"""),"Plain Gold")</f>
        <v>Plain Gold</v>
      </c>
      <c r="G1336" s="1"/>
      <c r="H1336" s="1" t="str">
        <f>IFERROR(__xludf.DUMMYFUNCTION("""COMPUTED_VALUE"""),"Mmtc coin")</f>
        <v>Mmtc coin</v>
      </c>
      <c r="I1336" s="1" t="str">
        <f>IFERROR(__xludf.DUMMYFUNCTION("""COMPUTED_VALUE"""),"Visit Again in 1 Month")</f>
        <v>Visit Again in 1 Month</v>
      </c>
      <c r="J1336" s="1"/>
      <c r="K1336" s="3">
        <f>IFERROR(__xludf.DUMMYFUNCTION("""COMPUTED_VALUE"""),0.6111111111094942)</f>
        <v>0.6111111111</v>
      </c>
      <c r="L1336" s="1" t="str">
        <f>IFERROR(__xludf.DUMMYFUNCTION("""COMPUTED_VALUE"""),"No")</f>
        <v>No</v>
      </c>
      <c r="M1336" s="1" t="str">
        <f>IFERROR(__xludf.DUMMYFUNCTION("""COMPUTED_VALUE"""),"No")</f>
        <v>No</v>
      </c>
      <c r="N1336" s="1" t="str">
        <f>IFERROR(__xludf.DUMMYFUNCTION("""COMPUTED_VALUE"""),"No")</f>
        <v>No</v>
      </c>
      <c r="O1336" s="1" t="str">
        <f>IFERROR(__xludf.DUMMYFUNCTION("""COMPUTED_VALUE"""),"WA ONLY")</f>
        <v>WA ONLY</v>
      </c>
      <c r="P1336" s="1" t="str">
        <f>IFERROR(__xludf.DUMMYFUNCTION("""COMPUTED_VALUE"""),"Madam")</f>
        <v>Madam</v>
      </c>
      <c r="Q1336" s="1" t="str">
        <f>IFERROR(__xludf.DUMMYFUNCTION("""COMPUTED_VALUE"""),"No")</f>
        <v>No</v>
      </c>
      <c r="R1336" s="1" t="str">
        <f>IFERROR(__xludf.DUMMYFUNCTION("""COMPUTED_VALUE"""),"NEW WALK IN")</f>
        <v>NEW WALK IN</v>
      </c>
      <c r="S1336" s="1" t="str">
        <f>IFERROR(__xludf.DUMMYFUNCTION("""COMPUTED_VALUE"""),"No")</f>
        <v>No</v>
      </c>
    </row>
    <row r="1337">
      <c r="A1337" s="2">
        <f>IFERROR(__xludf.DUMMYFUNCTION("""COMPUTED_VALUE"""),45927.79351670139)</f>
        <v>45927.79352</v>
      </c>
      <c r="B1337" s="1" t="str">
        <f>IFERROR(__xludf.DUMMYFUNCTION("""COMPUTED_VALUE"""),"Geetanjali ji")</f>
        <v>Geetanjali ji</v>
      </c>
      <c r="C1337" s="1">
        <f>IFERROR(__xludf.DUMMYFUNCTION("""COMPUTED_VALUE"""),9.873041853E9)</f>
        <v>9873041853</v>
      </c>
      <c r="D1337" s="1">
        <f>IFERROR(__xludf.DUMMYFUNCTION("""COMPUTED_VALUE"""),1.0)</f>
        <v>1</v>
      </c>
      <c r="E1337" s="3">
        <f>IFERROR(__xludf.DUMMYFUNCTION("""COMPUTED_VALUE"""),0.640277777776646)</f>
        <v>0.6402777778</v>
      </c>
      <c r="F1337" s="1" t="str">
        <f>IFERROR(__xludf.DUMMYFUNCTION("""COMPUTED_VALUE"""),"Plain Gold")</f>
        <v>Plain Gold</v>
      </c>
      <c r="G1337" s="1"/>
      <c r="H1337" s="1" t="str">
        <f>IFERROR(__xludf.DUMMYFUNCTION("""COMPUTED_VALUE"""),"Anklets gold jhumkis")</f>
        <v>Anklets gold jhumkis</v>
      </c>
      <c r="I1337" s="1"/>
      <c r="J1337" s="1"/>
      <c r="K1337" s="3">
        <f>IFERROR(__xludf.DUMMYFUNCTION("""COMPUTED_VALUE"""),0.6972222222248092)</f>
        <v>0.6972222222</v>
      </c>
      <c r="L1337" s="1" t="str">
        <f>IFERROR(__xludf.DUMMYFUNCTION("""COMPUTED_VALUE"""),"No")</f>
        <v>No</v>
      </c>
      <c r="M1337" s="1" t="str">
        <f>IFERROR(__xludf.DUMMYFUNCTION("""COMPUTED_VALUE"""),"Yes")</f>
        <v>Yes</v>
      </c>
      <c r="N1337" s="1" t="str">
        <f>IFERROR(__xludf.DUMMYFUNCTION("""COMPUTED_VALUE"""),"No")</f>
        <v>No</v>
      </c>
      <c r="O1337" s="1" t="str">
        <f>IFERROR(__xludf.DUMMYFUNCTION("""COMPUTED_VALUE"""),"WA ONLY")</f>
        <v>WA ONLY</v>
      </c>
      <c r="P1337" s="1" t="str">
        <f>IFERROR(__xludf.DUMMYFUNCTION("""COMPUTED_VALUE"""),"Madam")</f>
        <v>Madam</v>
      </c>
      <c r="Q1337" s="1" t="str">
        <f>IFERROR(__xludf.DUMMYFUNCTION("""COMPUTED_VALUE"""),"No")</f>
        <v>No</v>
      </c>
      <c r="R1337" s="1" t="str">
        <f>IFERROR(__xludf.DUMMYFUNCTION("""COMPUTED_VALUE"""),"OLD")</f>
        <v>OLD</v>
      </c>
      <c r="S1337" s="1" t="str">
        <f>IFERROR(__xludf.DUMMYFUNCTION("""COMPUTED_VALUE"""),"Yes")</f>
        <v>Yes</v>
      </c>
    </row>
    <row r="1338">
      <c r="A1338" s="2">
        <f>IFERROR(__xludf.DUMMYFUNCTION("""COMPUTED_VALUE"""),45927.79558576389)</f>
        <v>45927.79559</v>
      </c>
      <c r="B1338" s="1" t="str">
        <f>IFERROR(__xludf.DUMMYFUNCTION("""COMPUTED_VALUE"""),"Nidhi ji")</f>
        <v>Nidhi ji</v>
      </c>
      <c r="C1338" s="1">
        <f>IFERROR(__xludf.DUMMYFUNCTION("""COMPUTED_VALUE"""),9.899699432E9)</f>
        <v>9899699432</v>
      </c>
      <c r="D1338" s="1">
        <f>IFERROR(__xludf.DUMMYFUNCTION("""COMPUTED_VALUE"""),2.0)</f>
        <v>2</v>
      </c>
      <c r="E1338" s="3">
        <f>IFERROR(__xludf.DUMMYFUNCTION("""COMPUTED_VALUE"""),0.7743055555547471)</f>
        <v>0.7743055556</v>
      </c>
      <c r="F1338" s="1" t="str">
        <f>IFERROR(__xludf.DUMMYFUNCTION("""COMPUTED_VALUE"""),"Diamond")</f>
        <v>Diamond</v>
      </c>
      <c r="G1338" s="1"/>
      <c r="H1338" s="1" t="str">
        <f>IFERROR(__xludf.DUMMYFUNCTION("""COMPUTED_VALUE"""),"Antique sets")</f>
        <v>Antique sets</v>
      </c>
      <c r="I1338" s="1" t="str">
        <f>IFERROR(__xludf.DUMMYFUNCTION("""COMPUTED_VALUE"""),"Visit Again in 1 Month")</f>
        <v>Visit Again in 1 Month</v>
      </c>
      <c r="J1338" s="1"/>
      <c r="K1338" s="3">
        <f>IFERROR(__xludf.DUMMYFUNCTION("""COMPUTED_VALUE"""),0.7916666666642413)</f>
        <v>0.7916666667</v>
      </c>
      <c r="L1338" s="1" t="str">
        <f>IFERROR(__xludf.DUMMYFUNCTION("""COMPUTED_VALUE"""),"No")</f>
        <v>No</v>
      </c>
      <c r="M1338" s="1" t="str">
        <f>IFERROR(__xludf.DUMMYFUNCTION("""COMPUTED_VALUE"""),"No")</f>
        <v>No</v>
      </c>
      <c r="N1338" s="1" t="str">
        <f>IFERROR(__xludf.DUMMYFUNCTION("""COMPUTED_VALUE"""),"No")</f>
        <v>No</v>
      </c>
      <c r="O1338" s="1" t="str">
        <f>IFERROR(__xludf.DUMMYFUNCTION("""COMPUTED_VALUE"""),"WA ONLY")</f>
        <v>WA ONLY</v>
      </c>
      <c r="P1338" s="1" t="str">
        <f>IFERROR(__xludf.DUMMYFUNCTION("""COMPUTED_VALUE"""),"Madam")</f>
        <v>Madam</v>
      </c>
      <c r="Q1338" s="1" t="str">
        <f>IFERROR(__xludf.DUMMYFUNCTION("""COMPUTED_VALUE"""),"No")</f>
        <v>No</v>
      </c>
      <c r="R1338" s="1" t="str">
        <f>IFERROR(__xludf.DUMMYFUNCTION("""COMPUTED_VALUE"""),"NEW WALK IN")</f>
        <v>NEW WALK IN</v>
      </c>
      <c r="S1338" s="1" t="str">
        <f>IFERROR(__xludf.DUMMYFUNCTION("""COMPUTED_VALUE"""),"No")</f>
        <v>No</v>
      </c>
    </row>
    <row r="1339">
      <c r="A1339" s="2">
        <f>IFERROR(__xludf.DUMMYFUNCTION("""COMPUTED_VALUE"""),45931.78331328704)</f>
        <v>45931.78331</v>
      </c>
      <c r="B1339" s="1" t="str">
        <f>IFERROR(__xludf.DUMMYFUNCTION("""COMPUTED_VALUE"""),"Seema gupta ji")</f>
        <v>Seema gupta ji</v>
      </c>
      <c r="C1339" s="1">
        <f>IFERROR(__xludf.DUMMYFUNCTION("""COMPUTED_VALUE"""),9.810413272E9)</f>
        <v>9810413272</v>
      </c>
      <c r="D1339" s="1">
        <f>IFERROR(__xludf.DUMMYFUNCTION("""COMPUTED_VALUE"""),2.0)</f>
        <v>2</v>
      </c>
      <c r="E1339" s="3">
        <f>IFERROR(__xludf.DUMMYFUNCTION("""COMPUTED_VALUE"""),0.5416666666642413)</f>
        <v>0.5416666667</v>
      </c>
      <c r="F1339" s="1" t="str">
        <f>IFERROR(__xludf.DUMMYFUNCTION("""COMPUTED_VALUE"""),"Plain Gold")</f>
        <v>Plain Gold</v>
      </c>
      <c r="G1339" s="1"/>
      <c r="H1339" s="1" t="str">
        <f>IFERROR(__xludf.DUMMYFUNCTION("""COMPUTED_VALUE"""),"Silver gifts and customize their jewellery ")</f>
        <v>Silver gifts and customize their jewellery </v>
      </c>
      <c r="I1339" s="1"/>
      <c r="J1339" s="1"/>
      <c r="K1339" s="3">
        <f>IFERROR(__xludf.DUMMYFUNCTION("""COMPUTED_VALUE"""),0.632638888884685)</f>
        <v>0.6326388889</v>
      </c>
      <c r="L1339" s="1" t="str">
        <f>IFERROR(__xludf.DUMMYFUNCTION("""COMPUTED_VALUE"""),"No")</f>
        <v>No</v>
      </c>
      <c r="M1339" s="1" t="str">
        <f>IFERROR(__xludf.DUMMYFUNCTION("""COMPUTED_VALUE"""),"No")</f>
        <v>No</v>
      </c>
      <c r="N1339" s="1" t="str">
        <f>IFERROR(__xludf.DUMMYFUNCTION("""COMPUTED_VALUE"""),"Yes")</f>
        <v>Yes</v>
      </c>
      <c r="O1339" s="1" t="str">
        <f>IFERROR(__xludf.DUMMYFUNCTION("""COMPUTED_VALUE"""),"WA ONLY, OWNER CONTACT ONLY")</f>
        <v>WA ONLY, OWNER CONTACT ONLY</v>
      </c>
      <c r="P1339" s="1" t="str">
        <f>IFERROR(__xludf.DUMMYFUNCTION("""COMPUTED_VALUE"""),"Madam")</f>
        <v>Madam</v>
      </c>
      <c r="Q1339" s="1" t="str">
        <f>IFERROR(__xludf.DUMMYFUNCTION("""COMPUTED_VALUE"""),"No")</f>
        <v>No</v>
      </c>
      <c r="R1339" s="1"/>
      <c r="S1339" s="1" t="str">
        <f>IFERROR(__xludf.DUMMYFUNCTION("""COMPUTED_VALUE"""),"Yes, No")</f>
        <v>Yes, No</v>
      </c>
    </row>
    <row r="1340">
      <c r="A1340" s="2">
        <f>IFERROR(__xludf.DUMMYFUNCTION("""COMPUTED_VALUE"""),45931.78506879629)</f>
        <v>45931.78507</v>
      </c>
      <c r="B1340" s="1" t="str">
        <f>IFERROR(__xludf.DUMMYFUNCTION("""COMPUTED_VALUE"""),"Vandana punjani ji")</f>
        <v>Vandana punjani ji</v>
      </c>
      <c r="C1340" s="1">
        <f>IFERROR(__xludf.DUMMYFUNCTION("""COMPUTED_VALUE"""),9.8996911E9)</f>
        <v>9899691100</v>
      </c>
      <c r="D1340" s="1">
        <f>IFERROR(__xludf.DUMMYFUNCTION("""COMPUTED_VALUE"""),2.0)</f>
        <v>2</v>
      </c>
      <c r="E1340" s="3">
        <f>IFERROR(__xludf.DUMMYFUNCTION("""COMPUTED_VALUE"""),0.59375)</f>
        <v>0.59375</v>
      </c>
      <c r="F1340" s="1" t="str">
        <f>IFERROR(__xludf.DUMMYFUNCTION("""COMPUTED_VALUE"""),"Diamond")</f>
        <v>Diamond</v>
      </c>
      <c r="G1340" s="1"/>
      <c r="H1340" s="1" t="str">
        <f>IFERROR(__xludf.DUMMYFUNCTION("""COMPUTED_VALUE"""),"Polki sets")</f>
        <v>Polki sets</v>
      </c>
      <c r="I1340" s="1" t="str">
        <f>IFERROR(__xludf.DUMMYFUNCTION("""COMPUTED_VALUE"""),"Will bring cash next time")</f>
        <v>Will bring cash next time</v>
      </c>
      <c r="J1340" s="1"/>
      <c r="K1340" s="3">
        <f>IFERROR(__xludf.DUMMYFUNCTION("""COMPUTED_VALUE"""),0.6604166666656965)</f>
        <v>0.6604166667</v>
      </c>
      <c r="L1340" s="1" t="str">
        <f>IFERROR(__xludf.DUMMYFUNCTION("""COMPUTED_VALUE"""),"No")</f>
        <v>No</v>
      </c>
      <c r="M1340" s="1" t="str">
        <f>IFERROR(__xludf.DUMMYFUNCTION("""COMPUTED_VALUE"""),"Already done ")</f>
        <v>Already done </v>
      </c>
      <c r="N1340" s="1" t="str">
        <f>IFERROR(__xludf.DUMMYFUNCTION("""COMPUTED_VALUE"""),"Already done")</f>
        <v>Already done</v>
      </c>
      <c r="O1340" s="1" t="str">
        <f>IFERROR(__xludf.DUMMYFUNCTION("""COMPUTED_VALUE"""),"WA ONLY, OWNER CONTACT ONLY")</f>
        <v>WA ONLY, OWNER CONTACT ONLY</v>
      </c>
      <c r="P1340" s="1" t="str">
        <f>IFERROR(__xludf.DUMMYFUNCTION("""COMPUTED_VALUE"""),"Madam")</f>
        <v>Madam</v>
      </c>
      <c r="Q1340" s="1" t="str">
        <f>IFERROR(__xludf.DUMMYFUNCTION("""COMPUTED_VALUE"""),"No")</f>
        <v>No</v>
      </c>
      <c r="R1340" s="1" t="str">
        <f>IFERROR(__xludf.DUMMYFUNCTION("""COMPUTED_VALUE"""),"OLD")</f>
        <v>OLD</v>
      </c>
      <c r="S1340" s="1" t="str">
        <f>IFERROR(__xludf.DUMMYFUNCTION("""COMPUTED_VALUE"""),"No")</f>
        <v>No</v>
      </c>
    </row>
    <row r="1341">
      <c r="A1341" s="2">
        <f>IFERROR(__xludf.DUMMYFUNCTION("""COMPUTED_VALUE"""),45931.78714027778)</f>
        <v>45931.78714</v>
      </c>
      <c r="B1341" s="1" t="str">
        <f>IFERROR(__xludf.DUMMYFUNCTION("""COMPUTED_VALUE"""),"Archana grover ji")</f>
        <v>Archana grover ji</v>
      </c>
      <c r="C1341" s="1">
        <f>IFERROR(__xludf.DUMMYFUNCTION("""COMPUTED_VALUE"""),9.999949301E9)</f>
        <v>9999949301</v>
      </c>
      <c r="D1341" s="1">
        <f>IFERROR(__xludf.DUMMYFUNCTION("""COMPUTED_VALUE"""),3.0)</f>
        <v>3</v>
      </c>
      <c r="E1341" s="3">
        <f>IFERROR(__xludf.DUMMYFUNCTION("""COMPUTED_VALUE"""),0.6840277777810115)</f>
        <v>0.6840277778</v>
      </c>
      <c r="F1341" s="1" t="str">
        <f>IFERROR(__xludf.DUMMYFUNCTION("""COMPUTED_VALUE"""),"Plain Gold")</f>
        <v>Plain Gold</v>
      </c>
      <c r="G1341" s="1"/>
      <c r="H1341" s="1" t="str">
        <f>IFERROR(__xludf.DUMMYFUNCTION("""COMPUTED_VALUE"""),"Gold chain")</f>
        <v>Gold chain</v>
      </c>
      <c r="I1341" s="1" t="str">
        <f>IFERROR(__xludf.DUMMYFUNCTION("""COMPUTED_VALUE"""),"They were looking for a specific weight we Didn't had instantly ")</f>
        <v>They were looking for a specific weight we Didn't had instantly </v>
      </c>
      <c r="J1341" s="1"/>
      <c r="K1341" s="3">
        <f>IFERROR(__xludf.DUMMYFUNCTION("""COMPUTED_VALUE"""),0.7048611111094942)</f>
        <v>0.7048611111</v>
      </c>
      <c r="L1341" s="1" t="str">
        <f>IFERROR(__xludf.DUMMYFUNCTION("""COMPUTED_VALUE"""),"No")</f>
        <v>No</v>
      </c>
      <c r="M1341" s="1" t="str">
        <f>IFERROR(__xludf.DUMMYFUNCTION("""COMPUTED_VALUE"""),"No")</f>
        <v>No</v>
      </c>
      <c r="N1341" s="1" t="str">
        <f>IFERROR(__xludf.DUMMYFUNCTION("""COMPUTED_VALUE"""),"No")</f>
        <v>No</v>
      </c>
      <c r="O1341" s="1" t="str">
        <f>IFERROR(__xludf.DUMMYFUNCTION("""COMPUTED_VALUE"""),"WA ONLY")</f>
        <v>WA ONLY</v>
      </c>
      <c r="P1341" s="1" t="str">
        <f>IFERROR(__xludf.DUMMYFUNCTION("""COMPUTED_VALUE"""),"Madam")</f>
        <v>Madam</v>
      </c>
      <c r="Q1341" s="1" t="str">
        <f>IFERROR(__xludf.DUMMYFUNCTION("""COMPUTED_VALUE"""),"No")</f>
        <v>No</v>
      </c>
      <c r="R1341" s="1" t="str">
        <f>IFERROR(__xludf.DUMMYFUNCTION("""COMPUTED_VALUE"""),"OLD")</f>
        <v>OLD</v>
      </c>
      <c r="S1341" s="1" t="str">
        <f>IFERROR(__xludf.DUMMYFUNCTION("""COMPUTED_VALUE"""),"No")</f>
        <v>No</v>
      </c>
    </row>
    <row r="1342">
      <c r="A1342" s="2">
        <f>IFERROR(__xludf.DUMMYFUNCTION("""COMPUTED_VALUE"""),45931.78864373843)</f>
        <v>45931.78864</v>
      </c>
      <c r="B1342" s="1" t="str">
        <f>IFERROR(__xludf.DUMMYFUNCTION("""COMPUTED_VALUE"""),"Vinay goel ji")</f>
        <v>Vinay goel ji</v>
      </c>
      <c r="C1342" s="1">
        <f>IFERROR(__xludf.DUMMYFUNCTION("""COMPUTED_VALUE"""),9.310083603E9)</f>
        <v>9310083603</v>
      </c>
      <c r="D1342" s="1">
        <f>IFERROR(__xludf.DUMMYFUNCTION("""COMPUTED_VALUE"""),1.0)</f>
        <v>1</v>
      </c>
      <c r="E1342" s="3">
        <f>IFERROR(__xludf.DUMMYFUNCTION("""COMPUTED_VALUE"""),0.75)</f>
        <v>0.75</v>
      </c>
      <c r="F1342" s="1" t="str">
        <f>IFERROR(__xludf.DUMMYFUNCTION("""COMPUTED_VALUE"""),"Plain Gold")</f>
        <v>Plain Gold</v>
      </c>
      <c r="G1342" s="1"/>
      <c r="H1342" s="1" t="str">
        <f>IFERROR(__xludf.DUMMYFUNCTION("""COMPUTED_VALUE"""),"Mmtc coin 10 gm")</f>
        <v>Mmtc coin 10 gm</v>
      </c>
      <c r="I1342" s="1" t="str">
        <f>IFERROR(__xludf.DUMMYFUNCTION("""COMPUTED_VALUE"""),"Found it costly ")</f>
        <v>Found it costly </v>
      </c>
      <c r="J1342" s="1"/>
      <c r="K1342" s="3">
        <f>IFERROR(__xludf.DUMMYFUNCTION("""COMPUTED_VALUE"""),0.7534722222189885)</f>
        <v>0.7534722222</v>
      </c>
      <c r="L1342" s="1" t="str">
        <f>IFERROR(__xludf.DUMMYFUNCTION("""COMPUTED_VALUE"""),"No")</f>
        <v>No</v>
      </c>
      <c r="M1342" s="1" t="str">
        <f>IFERROR(__xludf.DUMMYFUNCTION("""COMPUTED_VALUE"""),"No")</f>
        <v>No</v>
      </c>
      <c r="N1342" s="1" t="str">
        <f>IFERROR(__xludf.DUMMYFUNCTION("""COMPUTED_VALUE"""),"No")</f>
        <v>No</v>
      </c>
      <c r="O1342" s="1" t="str">
        <f>IFERROR(__xludf.DUMMYFUNCTION("""COMPUTED_VALUE"""),"WA ONLY")</f>
        <v>WA ONLY</v>
      </c>
      <c r="P1342" s="1" t="str">
        <f>IFERROR(__xludf.DUMMYFUNCTION("""COMPUTED_VALUE"""),"Sir")</f>
        <v>Sir</v>
      </c>
      <c r="Q1342" s="1" t="str">
        <f>IFERROR(__xludf.DUMMYFUNCTION("""COMPUTED_VALUE"""),"No")</f>
        <v>No</v>
      </c>
      <c r="R1342" s="1" t="str">
        <f>IFERROR(__xludf.DUMMYFUNCTION("""COMPUTED_VALUE"""),"NEW WALK IN")</f>
        <v>NEW WALK IN</v>
      </c>
      <c r="S1342" s="1" t="str">
        <f>IFERROR(__xludf.DUMMYFUNCTION("""COMPUTED_VALUE"""),"No")</f>
        <v>No</v>
      </c>
    </row>
    <row r="1343">
      <c r="A1343" s="2">
        <f>IFERROR(__xludf.DUMMYFUNCTION("""COMPUTED_VALUE"""),45933.80740334491)</f>
        <v>45933.8074</v>
      </c>
      <c r="B1343" s="1" t="str">
        <f>IFERROR(__xludf.DUMMYFUNCTION("""COMPUTED_VALUE"""),"Anushri ji")</f>
        <v>Anushri ji</v>
      </c>
      <c r="C1343" s="1">
        <f>IFERROR(__xludf.DUMMYFUNCTION("""COMPUTED_VALUE"""),9.131080175E9)</f>
        <v>9131080175</v>
      </c>
      <c r="D1343" s="1">
        <f>IFERROR(__xludf.DUMMYFUNCTION("""COMPUTED_VALUE"""),2.0)</f>
        <v>2</v>
      </c>
      <c r="E1343" s="3">
        <f>IFERROR(__xludf.DUMMYFUNCTION("""COMPUTED_VALUE"""),0.6736111111094942)</f>
        <v>0.6736111111</v>
      </c>
      <c r="F1343" s="1" t="str">
        <f>IFERROR(__xludf.DUMMYFUNCTION("""COMPUTED_VALUE"""),"Plain Gold")</f>
        <v>Plain Gold</v>
      </c>
      <c r="G1343" s="1"/>
      <c r="H1343" s="1" t="str">
        <f>IFERROR(__xludf.DUMMYFUNCTION("""COMPUTED_VALUE"""),"Rings")</f>
        <v>Rings</v>
      </c>
      <c r="I1343" s="1"/>
      <c r="J1343" s="1"/>
      <c r="K1343" s="3">
        <f>IFERROR(__xludf.DUMMYFUNCTION("""COMPUTED_VALUE"""),0.6979166666642413)</f>
        <v>0.6979166667</v>
      </c>
      <c r="L1343" s="1" t="str">
        <f>IFERROR(__xludf.DUMMYFUNCTION("""COMPUTED_VALUE"""),"No")</f>
        <v>No</v>
      </c>
      <c r="M1343" s="1" t="str">
        <f>IFERROR(__xludf.DUMMYFUNCTION("""COMPUTED_VALUE"""),"Yes")</f>
        <v>Yes</v>
      </c>
      <c r="N1343" s="1" t="str">
        <f>IFERROR(__xludf.DUMMYFUNCTION("""COMPUTED_VALUE"""),"Yes")</f>
        <v>Yes</v>
      </c>
      <c r="O1343" s="1" t="str">
        <f>IFERROR(__xludf.DUMMYFUNCTION("""COMPUTED_VALUE"""),"WA ONLY")</f>
        <v>WA ONLY</v>
      </c>
      <c r="P1343" s="1" t="str">
        <f>IFERROR(__xludf.DUMMYFUNCTION("""COMPUTED_VALUE"""),"Madam")</f>
        <v>Madam</v>
      </c>
      <c r="Q1343" s="1" t="str">
        <f>IFERROR(__xludf.DUMMYFUNCTION("""COMPUTED_VALUE"""),"No")</f>
        <v>No</v>
      </c>
      <c r="R1343" s="1" t="str">
        <f>IFERROR(__xludf.DUMMYFUNCTION("""COMPUTED_VALUE"""),"OLD")</f>
        <v>OLD</v>
      </c>
      <c r="S1343" s="1" t="str">
        <f>IFERROR(__xludf.DUMMYFUNCTION("""COMPUTED_VALUE"""),"Yes")</f>
        <v>Yes</v>
      </c>
    </row>
    <row r="1344">
      <c r="A1344" s="2">
        <f>IFERROR(__xludf.DUMMYFUNCTION("""COMPUTED_VALUE"""),45933.8091644213)</f>
        <v>45933.80916</v>
      </c>
      <c r="B1344" s="1" t="str">
        <f>IFERROR(__xludf.DUMMYFUNCTION("""COMPUTED_VALUE"""),"Abha ji")</f>
        <v>Abha ji</v>
      </c>
      <c r="C1344" s="1" t="str">
        <f>IFERROR(__xludf.DUMMYFUNCTION("""COMPUTED_VALUE"""),"+16305440302")</f>
        <v>+16305440302</v>
      </c>
      <c r="D1344" s="1">
        <f>IFERROR(__xludf.DUMMYFUNCTION("""COMPUTED_VALUE"""),5.0)</f>
        <v>5</v>
      </c>
      <c r="E1344" s="3">
        <f>IFERROR(__xludf.DUMMYFUNCTION("""COMPUTED_VALUE"""),0.7062500000029104)</f>
        <v>0.70625</v>
      </c>
      <c r="F1344" s="1" t="str">
        <f>IFERROR(__xludf.DUMMYFUNCTION("""COMPUTED_VALUE"""),"Diamond")</f>
        <v>Diamond</v>
      </c>
      <c r="G1344" s="1"/>
      <c r="H1344" s="1" t="str">
        <f>IFERROR(__xludf.DUMMYFUNCTION("""COMPUTED_VALUE"""),"Mangalsutra ring bands")</f>
        <v>Mangalsutra ring bands</v>
      </c>
      <c r="I1344" s="1" t="str">
        <f>IFERROR(__xludf.DUMMYFUNCTION("""COMPUTED_VALUE"""),"They will tell after discussing it with family")</f>
        <v>They will tell after discussing it with family</v>
      </c>
      <c r="J1344" s="1"/>
      <c r="K1344" s="3">
        <f>IFERROR(__xludf.DUMMYFUNCTION("""COMPUTED_VALUE"""),0.8020833333357587)</f>
        <v>0.8020833333</v>
      </c>
      <c r="L1344" s="1" t="str">
        <f>IFERROR(__xludf.DUMMYFUNCTION("""COMPUTED_VALUE"""),"No")</f>
        <v>No</v>
      </c>
      <c r="M1344" s="1" t="str">
        <f>IFERROR(__xludf.DUMMYFUNCTION("""COMPUTED_VALUE"""),"Yes")</f>
        <v>Yes</v>
      </c>
      <c r="N1344" s="1" t="str">
        <f>IFERROR(__xludf.DUMMYFUNCTION("""COMPUTED_VALUE"""),"Yes")</f>
        <v>Yes</v>
      </c>
      <c r="O1344" s="1" t="str">
        <f>IFERROR(__xludf.DUMMYFUNCTION("""COMPUTED_VALUE"""),"WA ONLY, OWNER CONTACT ONLY")</f>
        <v>WA ONLY, OWNER CONTACT ONLY</v>
      </c>
      <c r="P1344" s="1" t="str">
        <f>IFERROR(__xludf.DUMMYFUNCTION("""COMPUTED_VALUE"""),"Madam")</f>
        <v>Madam</v>
      </c>
      <c r="Q1344" s="1" t="str">
        <f>IFERROR(__xludf.DUMMYFUNCTION("""COMPUTED_VALUE"""),"No")</f>
        <v>No</v>
      </c>
      <c r="R1344" s="1" t="str">
        <f>IFERROR(__xludf.DUMMYFUNCTION("""COMPUTED_VALUE"""),"OLD")</f>
        <v>OLD</v>
      </c>
      <c r="S1344" s="1" t="str">
        <f>IFERROR(__xludf.DUMMYFUNCTION("""COMPUTED_VALUE"""),"No")</f>
        <v>No</v>
      </c>
    </row>
    <row r="1345">
      <c r="A1345" s="2">
        <f>IFERROR(__xludf.DUMMYFUNCTION("""COMPUTED_VALUE"""),45934.80005230324)</f>
        <v>45934.80005</v>
      </c>
      <c r="B1345" s="1" t="str">
        <f>IFERROR(__xludf.DUMMYFUNCTION("""COMPUTED_VALUE"""),"Sapna ji")</f>
        <v>Sapna ji</v>
      </c>
      <c r="C1345" s="1">
        <f>IFERROR(__xludf.DUMMYFUNCTION("""COMPUTED_VALUE"""),9.599444787E9)</f>
        <v>9599444787</v>
      </c>
      <c r="D1345" s="1">
        <f>IFERROR(__xludf.DUMMYFUNCTION("""COMPUTED_VALUE"""),2.0)</f>
        <v>2</v>
      </c>
      <c r="E1345" s="3">
        <f>IFERROR(__xludf.DUMMYFUNCTION("""COMPUTED_VALUE"""),0.53125)</f>
        <v>0.53125</v>
      </c>
      <c r="F1345" s="1" t="str">
        <f>IFERROR(__xludf.DUMMYFUNCTION("""COMPUTED_VALUE"""),"Diamond")</f>
        <v>Diamond</v>
      </c>
      <c r="G1345" s="1"/>
      <c r="H1345" s="1" t="str">
        <f>IFERROR(__xludf.DUMMYFUNCTION("""COMPUTED_VALUE"""),"Diamond earrings and mangalsutra ")</f>
        <v>Diamond earrings and mangalsutra </v>
      </c>
      <c r="I1345" s="1"/>
      <c r="J1345" s="1"/>
      <c r="K1345" s="3">
        <f>IFERROR(__xludf.DUMMYFUNCTION("""COMPUTED_VALUE"""),0.6041666666642413)</f>
        <v>0.6041666667</v>
      </c>
      <c r="L1345" s="1" t="str">
        <f>IFERROR(__xludf.DUMMYFUNCTION("""COMPUTED_VALUE"""),"No")</f>
        <v>No</v>
      </c>
      <c r="M1345" s="1" t="str">
        <f>IFERROR(__xludf.DUMMYFUNCTION("""COMPUTED_VALUE"""),"No")</f>
        <v>No</v>
      </c>
      <c r="N1345" s="1" t="str">
        <f>IFERROR(__xludf.DUMMYFUNCTION("""COMPUTED_VALUE"""),"Yes")</f>
        <v>Yes</v>
      </c>
      <c r="O1345" s="1" t="str">
        <f>IFERROR(__xludf.DUMMYFUNCTION("""COMPUTED_VALUE"""),"WA ONLY, OWNER CONTACT ONLY")</f>
        <v>WA ONLY, OWNER CONTACT ONLY</v>
      </c>
      <c r="P1345" s="1" t="str">
        <f>IFERROR(__xludf.DUMMYFUNCTION("""COMPUTED_VALUE"""),"Madam")</f>
        <v>Madam</v>
      </c>
      <c r="Q1345" s="1" t="str">
        <f>IFERROR(__xludf.DUMMYFUNCTION("""COMPUTED_VALUE"""),"No")</f>
        <v>No</v>
      </c>
      <c r="R1345" s="1" t="str">
        <f>IFERROR(__xludf.DUMMYFUNCTION("""COMPUTED_VALUE"""),"OLD")</f>
        <v>OLD</v>
      </c>
      <c r="S1345" s="1" t="str">
        <f>IFERROR(__xludf.DUMMYFUNCTION("""COMPUTED_VALUE"""),"Yes")</f>
        <v>Yes</v>
      </c>
    </row>
    <row r="1346">
      <c r="A1346" s="2">
        <f>IFERROR(__xludf.DUMMYFUNCTION("""COMPUTED_VALUE"""),45934.8017096875)</f>
        <v>45934.80171</v>
      </c>
      <c r="B1346" s="1" t="str">
        <f>IFERROR(__xludf.DUMMYFUNCTION("""COMPUTED_VALUE"""),"Durga Jewellers ")</f>
        <v>Durga Jewellers </v>
      </c>
      <c r="C1346" s="1">
        <f>IFERROR(__xludf.DUMMYFUNCTION("""COMPUTED_VALUE"""),8.708014248E9)</f>
        <v>8708014248</v>
      </c>
      <c r="D1346" s="1">
        <f>IFERROR(__xludf.DUMMYFUNCTION("""COMPUTED_VALUE"""),2.0)</f>
        <v>2</v>
      </c>
      <c r="E1346" s="3">
        <f>IFERROR(__xludf.DUMMYFUNCTION("""COMPUTED_VALUE"""),0.6076388888905058)</f>
        <v>0.6076388889</v>
      </c>
      <c r="F1346" s="1" t="str">
        <f>IFERROR(__xludf.DUMMYFUNCTION("""COMPUTED_VALUE"""),"Silver Items")</f>
        <v>Silver Items</v>
      </c>
      <c r="G1346" s="1"/>
      <c r="H1346" s="1" t="str">
        <f>IFERROR(__xludf.DUMMYFUNCTION("""COMPUTED_VALUE"""),"Mmtc bar silver")</f>
        <v>Mmtc bar silver</v>
      </c>
      <c r="I1346" s="1" t="str">
        <f>IFERROR(__xludf.DUMMYFUNCTION("""COMPUTED_VALUE"""),"Only Ask for Gold Rate")</f>
        <v>Only Ask for Gold Rate</v>
      </c>
      <c r="J1346" s="1"/>
      <c r="K1346" s="3">
        <f>IFERROR(__xludf.DUMMYFUNCTION("""COMPUTED_VALUE"""),0.6145833333357587)</f>
        <v>0.6145833333</v>
      </c>
      <c r="L1346" s="1" t="str">
        <f>IFERROR(__xludf.DUMMYFUNCTION("""COMPUTED_VALUE"""),"No")</f>
        <v>No</v>
      </c>
      <c r="M1346" s="1" t="str">
        <f>IFERROR(__xludf.DUMMYFUNCTION("""COMPUTED_VALUE"""),"No")</f>
        <v>No</v>
      </c>
      <c r="N1346" s="1" t="str">
        <f>IFERROR(__xludf.DUMMYFUNCTION("""COMPUTED_VALUE"""),"No")</f>
        <v>No</v>
      </c>
      <c r="O1346" s="1" t="str">
        <f>IFERROR(__xludf.DUMMYFUNCTION("""COMPUTED_VALUE"""),"WA ONLY")</f>
        <v>WA ONLY</v>
      </c>
      <c r="P1346" s="1" t="str">
        <f>IFERROR(__xludf.DUMMYFUNCTION("""COMPUTED_VALUE"""),"Sir")</f>
        <v>Sir</v>
      </c>
      <c r="Q1346" s="1" t="str">
        <f>IFERROR(__xludf.DUMMYFUNCTION("""COMPUTED_VALUE"""),"No")</f>
        <v>No</v>
      </c>
      <c r="R1346" s="1" t="str">
        <f>IFERROR(__xludf.DUMMYFUNCTION("""COMPUTED_VALUE"""),"NEW WALK IN")</f>
        <v>NEW WALK IN</v>
      </c>
      <c r="S1346" s="1" t="str">
        <f>IFERROR(__xludf.DUMMYFUNCTION("""COMPUTED_VALUE"""),"No")</f>
        <v>No</v>
      </c>
    </row>
    <row r="1347">
      <c r="A1347" s="2">
        <f>IFERROR(__xludf.DUMMYFUNCTION("""COMPUTED_VALUE"""),45934.802848402775)</f>
        <v>45934.80285</v>
      </c>
      <c r="B1347" s="1" t="str">
        <f>IFERROR(__xludf.DUMMYFUNCTION("""COMPUTED_VALUE"""),"Kanika ji ")</f>
        <v>Kanika ji </v>
      </c>
      <c r="C1347" s="1">
        <f>IFERROR(__xludf.DUMMYFUNCTION("""COMPUTED_VALUE"""),9.871064699E9)</f>
        <v>9871064699</v>
      </c>
      <c r="D1347" s="1">
        <f>IFERROR(__xludf.DUMMYFUNCTION("""COMPUTED_VALUE"""),3.0)</f>
        <v>3</v>
      </c>
      <c r="E1347" s="3">
        <f>IFERROR(__xludf.DUMMYFUNCTION("""COMPUTED_VALUE"""),0.6215277777810115)</f>
        <v>0.6215277778</v>
      </c>
      <c r="F1347" s="1"/>
      <c r="G1347" s="1"/>
      <c r="H1347" s="1" t="str">
        <f>IFERROR(__xludf.DUMMYFUNCTION("""COMPUTED_VALUE"""),"Diamond sets")</f>
        <v>Diamond sets</v>
      </c>
      <c r="I1347" s="1"/>
      <c r="J1347" s="1"/>
      <c r="K1347" s="3">
        <f>IFERROR(__xludf.DUMMYFUNCTION("""COMPUTED_VALUE"""),0.7916666666642413)</f>
        <v>0.7916666667</v>
      </c>
      <c r="L1347" s="1" t="str">
        <f>IFERROR(__xludf.DUMMYFUNCTION("""COMPUTED_VALUE"""),"No")</f>
        <v>No</v>
      </c>
      <c r="M1347" s="1" t="str">
        <f>IFERROR(__xludf.DUMMYFUNCTION("""COMPUTED_VALUE"""),"Yes")</f>
        <v>Yes</v>
      </c>
      <c r="N1347" s="1" t="str">
        <f>IFERROR(__xludf.DUMMYFUNCTION("""COMPUTED_VALUE"""),"Yes")</f>
        <v>Yes</v>
      </c>
      <c r="O1347" s="1" t="str">
        <f>IFERROR(__xludf.DUMMYFUNCTION("""COMPUTED_VALUE"""),"WA ONLY, OWNER CONTACT ONLY")</f>
        <v>WA ONLY, OWNER CONTACT ONLY</v>
      </c>
      <c r="P1347" s="1" t="str">
        <f>IFERROR(__xludf.DUMMYFUNCTION("""COMPUTED_VALUE"""),"Madam")</f>
        <v>Madam</v>
      </c>
      <c r="Q1347" s="1" t="str">
        <f>IFERROR(__xludf.DUMMYFUNCTION("""COMPUTED_VALUE"""),"No")</f>
        <v>No</v>
      </c>
      <c r="R1347" s="1" t="str">
        <f>IFERROR(__xludf.DUMMYFUNCTION("""COMPUTED_VALUE"""),"OLD")</f>
        <v>OLD</v>
      </c>
      <c r="S1347" s="1" t="str">
        <f>IFERROR(__xludf.DUMMYFUNCTION("""COMPUTED_VALUE"""),"Yes")</f>
        <v>Yes</v>
      </c>
    </row>
    <row r="1348">
      <c r="A1348" s="2">
        <f>IFERROR(__xludf.DUMMYFUNCTION("""COMPUTED_VALUE"""),45934.80417591435)</f>
        <v>45934.80418</v>
      </c>
      <c r="B1348" s="1" t="str">
        <f>IFERROR(__xludf.DUMMYFUNCTION("""COMPUTED_VALUE"""),"Umang ji")</f>
        <v>Umang ji</v>
      </c>
      <c r="C1348" s="1">
        <f>IFERROR(__xludf.DUMMYFUNCTION("""COMPUTED_VALUE"""),9.810746578E9)</f>
        <v>9810746578</v>
      </c>
      <c r="D1348" s="1">
        <f>IFERROR(__xludf.DUMMYFUNCTION("""COMPUTED_VALUE"""),6.0)</f>
        <v>6</v>
      </c>
      <c r="E1348" s="3">
        <f>IFERROR(__xludf.DUMMYFUNCTION("""COMPUTED_VALUE"""),0.6965277777781012)</f>
        <v>0.6965277778</v>
      </c>
      <c r="F1348" s="1" t="str">
        <f>IFERROR(__xludf.DUMMYFUNCTION("""COMPUTED_VALUE"""),"Plain Gold")</f>
        <v>Plain Gold</v>
      </c>
      <c r="G1348" s="1"/>
      <c r="H1348" s="1" t="str">
        <f>IFERROR(__xludf.DUMMYFUNCTION("""COMPUTED_VALUE"""),"Gold sets")</f>
        <v>Gold sets</v>
      </c>
      <c r="I1348" s="1"/>
      <c r="J1348" s="1"/>
      <c r="K1348" s="3">
        <f>IFERROR(__xludf.DUMMYFUNCTION("""COMPUTED_VALUE"""),0.7361111111094942)</f>
        <v>0.7361111111</v>
      </c>
      <c r="L1348" s="1" t="str">
        <f>IFERROR(__xludf.DUMMYFUNCTION("""COMPUTED_VALUE"""),"No")</f>
        <v>No</v>
      </c>
      <c r="M1348" s="1" t="str">
        <f>IFERROR(__xludf.DUMMYFUNCTION("""COMPUTED_VALUE"""),"Yes")</f>
        <v>Yes</v>
      </c>
      <c r="N1348" s="1" t="str">
        <f>IFERROR(__xludf.DUMMYFUNCTION("""COMPUTED_VALUE"""),"Yes")</f>
        <v>Yes</v>
      </c>
      <c r="O1348" s="1" t="str">
        <f>IFERROR(__xludf.DUMMYFUNCTION("""COMPUTED_VALUE"""),"WA ONLY, OWNER CONTACT ONLY")</f>
        <v>WA ONLY, OWNER CONTACT ONLY</v>
      </c>
      <c r="P1348" s="1"/>
      <c r="Q1348" s="1" t="str">
        <f>IFERROR(__xludf.DUMMYFUNCTION("""COMPUTED_VALUE"""),"No")</f>
        <v>No</v>
      </c>
      <c r="R1348" s="1" t="str">
        <f>IFERROR(__xludf.DUMMYFUNCTION("""COMPUTED_VALUE"""),"OLD")</f>
        <v>OLD</v>
      </c>
      <c r="S1348" s="1" t="str">
        <f>IFERROR(__xludf.DUMMYFUNCTION("""COMPUTED_VALUE"""),"Yes")</f>
        <v>Yes</v>
      </c>
    </row>
    <row r="1349">
      <c r="A1349" s="2">
        <f>IFERROR(__xludf.DUMMYFUNCTION("""COMPUTED_VALUE"""),45934.8064690625)</f>
        <v>45934.80647</v>
      </c>
      <c r="B1349" s="1" t="str">
        <f>IFERROR(__xludf.DUMMYFUNCTION("""COMPUTED_VALUE"""),"Mukesh ji")</f>
        <v>Mukesh ji</v>
      </c>
      <c r="C1349" s="1">
        <f>IFERROR(__xludf.DUMMYFUNCTION("""COMPUTED_VALUE"""),8.459174388E9)</f>
        <v>8459174388</v>
      </c>
      <c r="D1349" s="1"/>
      <c r="E1349" s="3">
        <f>IFERROR(__xludf.DUMMYFUNCTION("""COMPUTED_VALUE"""),0.7534722222189885)</f>
        <v>0.7534722222</v>
      </c>
      <c r="F1349" s="1"/>
      <c r="G1349" s="1"/>
      <c r="H1349" s="1" t="str">
        <f>IFERROR(__xludf.DUMMYFUNCTION("""COMPUTED_VALUE"""),"Mmtc gold coin")</f>
        <v>Mmtc gold coin</v>
      </c>
      <c r="I1349" s="1"/>
      <c r="J1349" s="1"/>
      <c r="K1349" s="3">
        <f>IFERROR(__xludf.DUMMYFUNCTION("""COMPUTED_VALUE"""),0.7708333333357587)</f>
        <v>0.7708333333</v>
      </c>
      <c r="L1349" s="1" t="str">
        <f>IFERROR(__xludf.DUMMYFUNCTION("""COMPUTED_VALUE"""),"No")</f>
        <v>No</v>
      </c>
      <c r="M1349" s="1" t="str">
        <f>IFERROR(__xludf.DUMMYFUNCTION("""COMPUTED_VALUE"""),"Yes")</f>
        <v>Yes</v>
      </c>
      <c r="N1349" s="1" t="str">
        <f>IFERROR(__xludf.DUMMYFUNCTION("""COMPUTED_VALUE"""),"Yes")</f>
        <v>Yes</v>
      </c>
      <c r="O1349" s="1" t="str">
        <f>IFERROR(__xludf.DUMMYFUNCTION("""COMPUTED_VALUE"""),"WA ONLY")</f>
        <v>WA ONLY</v>
      </c>
      <c r="P1349" s="1" t="str">
        <f>IFERROR(__xludf.DUMMYFUNCTION("""COMPUTED_VALUE"""),"Sir")</f>
        <v>Sir</v>
      </c>
      <c r="Q1349" s="1" t="str">
        <f>IFERROR(__xludf.DUMMYFUNCTION("""COMPUTED_VALUE"""),"No")</f>
        <v>No</v>
      </c>
      <c r="R1349" s="1" t="str">
        <f>IFERROR(__xludf.DUMMYFUNCTION("""COMPUTED_VALUE"""),"OLD")</f>
        <v>OLD</v>
      </c>
      <c r="S1349" s="1" t="str">
        <f>IFERROR(__xludf.DUMMYFUNCTION("""COMPUTED_VALUE"""),"Yes")</f>
        <v>Yes</v>
      </c>
    </row>
    <row r="1350">
      <c r="A1350" s="2">
        <f>IFERROR(__xludf.DUMMYFUNCTION("""COMPUTED_VALUE"""),45935.72361052083)</f>
        <v>45935.72361</v>
      </c>
      <c r="B1350" s="1" t="str">
        <f>IFERROR(__xludf.DUMMYFUNCTION("""COMPUTED_VALUE"""),"Priyanka ji")</f>
        <v>Priyanka ji</v>
      </c>
      <c r="C1350" s="1">
        <f>IFERROR(__xludf.DUMMYFUNCTION("""COMPUTED_VALUE"""),9.871231215E9)</f>
        <v>9871231215</v>
      </c>
      <c r="D1350" s="1">
        <f>IFERROR(__xludf.DUMMYFUNCTION("""COMPUTED_VALUE"""),2.0)</f>
        <v>2</v>
      </c>
      <c r="E1350" s="3">
        <f>IFERROR(__xludf.DUMMYFUNCTION("""COMPUTED_VALUE"""),0.5381944444452529)</f>
        <v>0.5381944444</v>
      </c>
      <c r="F1350" s="1" t="str">
        <f>IFERROR(__xludf.DUMMYFUNCTION("""COMPUTED_VALUE"""),"Diamond")</f>
        <v>Diamond</v>
      </c>
      <c r="G1350" s="1"/>
      <c r="H1350" s="1" t="str">
        <f>IFERROR(__xludf.DUMMYFUNCTION("""COMPUTED_VALUE"""),"Earrings and bangles")</f>
        <v>Earrings and bangles</v>
      </c>
      <c r="I1350" s="1" t="str">
        <f>IFERROR(__xludf.DUMMYFUNCTION("""COMPUTED_VALUE"""),"Ordered a silver item")</f>
        <v>Ordered a silver item</v>
      </c>
      <c r="J1350" s="1"/>
      <c r="K1350" s="3">
        <f>IFERROR(__xludf.DUMMYFUNCTION("""COMPUTED_VALUE"""),0.59375)</f>
        <v>0.59375</v>
      </c>
      <c r="L1350" s="1" t="str">
        <f>IFERROR(__xludf.DUMMYFUNCTION("""COMPUTED_VALUE"""),"No")</f>
        <v>No</v>
      </c>
      <c r="M1350" s="1" t="str">
        <f>IFERROR(__xludf.DUMMYFUNCTION("""COMPUTED_VALUE"""),"No")</f>
        <v>No</v>
      </c>
      <c r="N1350" s="1" t="str">
        <f>IFERROR(__xludf.DUMMYFUNCTION("""COMPUTED_VALUE"""),"No")</f>
        <v>No</v>
      </c>
      <c r="O1350" s="1" t="str">
        <f>IFERROR(__xludf.DUMMYFUNCTION("""COMPUTED_VALUE"""),"OWNER CONTACT ONLY")</f>
        <v>OWNER CONTACT ONLY</v>
      </c>
      <c r="P1350" s="1"/>
      <c r="Q1350" s="1" t="str">
        <f>IFERROR(__xludf.DUMMYFUNCTION("""COMPUTED_VALUE"""),"No")</f>
        <v>No</v>
      </c>
      <c r="R1350" s="1" t="str">
        <f>IFERROR(__xludf.DUMMYFUNCTION("""COMPUTED_VALUE"""),"OLD")</f>
        <v>OLD</v>
      </c>
      <c r="S1350" s="1" t="str">
        <f>IFERROR(__xludf.DUMMYFUNCTION("""COMPUTED_VALUE"""),"No")</f>
        <v>No</v>
      </c>
    </row>
    <row r="1351">
      <c r="A1351" s="2">
        <f>IFERROR(__xludf.DUMMYFUNCTION("""COMPUTED_VALUE"""),45935.724875416665)</f>
        <v>45935.72488</v>
      </c>
      <c r="B1351" s="1" t="str">
        <f>IFERROR(__xludf.DUMMYFUNCTION("""COMPUTED_VALUE"""),"Vinod chabbra ")</f>
        <v>Vinod chabbra </v>
      </c>
      <c r="C1351" s="1">
        <f>IFERROR(__xludf.DUMMYFUNCTION("""COMPUTED_VALUE"""),9.811159032E9)</f>
        <v>9811159032</v>
      </c>
      <c r="D1351" s="1">
        <f>IFERROR(__xludf.DUMMYFUNCTION("""COMPUTED_VALUE"""),1.0)</f>
        <v>1</v>
      </c>
      <c r="E1351" s="3">
        <f>IFERROR(__xludf.DUMMYFUNCTION("""COMPUTED_VALUE"""),0.5486111111094942)</f>
        <v>0.5486111111</v>
      </c>
      <c r="F1351" s="1" t="str">
        <f>IFERROR(__xludf.DUMMYFUNCTION("""COMPUTED_VALUE"""),"Silver Items")</f>
        <v>Silver Items</v>
      </c>
      <c r="G1351" s="1"/>
      <c r="H1351" s="1" t="str">
        <f>IFERROR(__xludf.DUMMYFUNCTION("""COMPUTED_VALUE"""),"Hookah filter")</f>
        <v>Hookah filter</v>
      </c>
      <c r="I1351" s="1" t="str">
        <f>IFERROR(__xludf.DUMMYFUNCTION("""COMPUTED_VALUE"""),"Only Ask for Gold Rate")</f>
        <v>Only Ask for Gold Rate</v>
      </c>
      <c r="J1351" s="1"/>
      <c r="K1351" s="3">
        <f>IFERROR(__xludf.DUMMYFUNCTION("""COMPUTED_VALUE"""),0.5527777777751908)</f>
        <v>0.5527777778</v>
      </c>
      <c r="L1351" s="1" t="str">
        <f>IFERROR(__xludf.DUMMYFUNCTION("""COMPUTED_VALUE"""),"No")</f>
        <v>No</v>
      </c>
      <c r="M1351" s="1" t="str">
        <f>IFERROR(__xludf.DUMMYFUNCTION("""COMPUTED_VALUE"""),"No")</f>
        <v>No</v>
      </c>
      <c r="N1351" s="1" t="str">
        <f>IFERROR(__xludf.DUMMYFUNCTION("""COMPUTED_VALUE"""),"No")</f>
        <v>No</v>
      </c>
      <c r="O1351" s="1" t="str">
        <f>IFERROR(__xludf.DUMMYFUNCTION("""COMPUTED_VALUE"""),"WA ONLY")</f>
        <v>WA ONLY</v>
      </c>
      <c r="P1351" s="1" t="str">
        <f>IFERROR(__xludf.DUMMYFUNCTION("""COMPUTED_VALUE"""),"Sir")</f>
        <v>Sir</v>
      </c>
      <c r="Q1351" s="1" t="str">
        <f>IFERROR(__xludf.DUMMYFUNCTION("""COMPUTED_VALUE"""),"No")</f>
        <v>No</v>
      </c>
      <c r="R1351" s="1" t="str">
        <f>IFERROR(__xludf.DUMMYFUNCTION("""COMPUTED_VALUE"""),"OLD")</f>
        <v>OLD</v>
      </c>
      <c r="S1351" s="1" t="str">
        <f>IFERROR(__xludf.DUMMYFUNCTION("""COMPUTED_VALUE"""),"No")</f>
        <v>No</v>
      </c>
    </row>
    <row r="1352">
      <c r="A1352" s="2">
        <f>IFERROR(__xludf.DUMMYFUNCTION("""COMPUTED_VALUE"""),45935.726532430555)</f>
        <v>45935.72653</v>
      </c>
      <c r="B1352" s="1" t="str">
        <f>IFERROR(__xludf.DUMMYFUNCTION("""COMPUTED_VALUE"""),"Prakrati ji")</f>
        <v>Prakrati ji</v>
      </c>
      <c r="C1352" s="1">
        <f>IFERROR(__xludf.DUMMYFUNCTION("""COMPUTED_VALUE"""),8.756200282E9)</f>
        <v>8756200282</v>
      </c>
      <c r="D1352" s="1">
        <f>IFERROR(__xludf.DUMMYFUNCTION("""COMPUTED_VALUE"""),4.0)</f>
        <v>4</v>
      </c>
      <c r="E1352" s="3">
        <f>IFERROR(__xludf.DUMMYFUNCTION("""COMPUTED_VALUE"""),0.5583333333343035)</f>
        <v>0.5583333333</v>
      </c>
      <c r="F1352" s="1" t="str">
        <f>IFERROR(__xludf.DUMMYFUNCTION("""COMPUTED_VALUE"""),"Plain Gold")</f>
        <v>Plain Gold</v>
      </c>
      <c r="G1352" s="1"/>
      <c r="H1352" s="1" t="str">
        <f>IFERROR(__xludf.DUMMYFUNCTION("""COMPUTED_VALUE"""),"Necklace")</f>
        <v>Necklace</v>
      </c>
      <c r="I1352" s="1" t="str">
        <f>IFERROR(__xludf.DUMMYFUNCTION("""COMPUTED_VALUE"""),"Sending this order")</f>
        <v>Sending this order</v>
      </c>
      <c r="J1352" s="1"/>
      <c r="K1352" s="3">
        <f>IFERROR(__xludf.DUMMYFUNCTION("""COMPUTED_VALUE"""),0.6256944444467081)</f>
        <v>0.6256944444</v>
      </c>
      <c r="L1352" s="1" t="str">
        <f>IFERROR(__xludf.DUMMYFUNCTION("""COMPUTED_VALUE"""),"No")</f>
        <v>No</v>
      </c>
      <c r="M1352" s="1" t="str">
        <f>IFERROR(__xludf.DUMMYFUNCTION("""COMPUTED_VALUE"""),"Already done ")</f>
        <v>Already done </v>
      </c>
      <c r="N1352" s="1" t="str">
        <f>IFERROR(__xludf.DUMMYFUNCTION("""COMPUTED_VALUE"""),"Already done")</f>
        <v>Already done</v>
      </c>
      <c r="O1352" s="1" t="str">
        <f>IFERROR(__xludf.DUMMYFUNCTION("""COMPUTED_VALUE"""),"WA ONLY")</f>
        <v>WA ONLY</v>
      </c>
      <c r="P1352" s="1" t="str">
        <f>IFERROR(__xludf.DUMMYFUNCTION("""COMPUTED_VALUE"""),"Madam")</f>
        <v>Madam</v>
      </c>
      <c r="Q1352" s="1" t="str">
        <f>IFERROR(__xludf.DUMMYFUNCTION("""COMPUTED_VALUE"""),"No")</f>
        <v>No</v>
      </c>
      <c r="R1352" s="1" t="str">
        <f>IFERROR(__xludf.DUMMYFUNCTION("""COMPUTED_VALUE"""),"OLD")</f>
        <v>OLD</v>
      </c>
      <c r="S1352" s="1" t="str">
        <f>IFERROR(__xludf.DUMMYFUNCTION("""COMPUTED_VALUE"""),"Yes")</f>
        <v>Yes</v>
      </c>
    </row>
    <row r="1353">
      <c r="A1353" s="2">
        <f>IFERROR(__xludf.DUMMYFUNCTION("""COMPUTED_VALUE"""),45935.728101898145)</f>
        <v>45935.7281</v>
      </c>
      <c r="B1353" s="1" t="str">
        <f>IFERROR(__xludf.DUMMYFUNCTION("""COMPUTED_VALUE"""),"Esha ji")</f>
        <v>Esha ji</v>
      </c>
      <c r="C1353" s="1">
        <f>IFERROR(__xludf.DUMMYFUNCTION("""COMPUTED_VALUE"""),9.810104562E9)</f>
        <v>9810104562</v>
      </c>
      <c r="D1353" s="1">
        <f>IFERROR(__xludf.DUMMYFUNCTION("""COMPUTED_VALUE"""),2.0)</f>
        <v>2</v>
      </c>
      <c r="E1353" s="3">
        <f>IFERROR(__xludf.DUMMYFUNCTION("""COMPUTED_VALUE"""),0.6166666666686069)</f>
        <v>0.6166666667</v>
      </c>
      <c r="F1353" s="1" t="str">
        <f>IFERROR(__xludf.DUMMYFUNCTION("""COMPUTED_VALUE"""),"Diamond")</f>
        <v>Diamond</v>
      </c>
      <c r="G1353" s="1"/>
      <c r="H1353" s="1" t="str">
        <f>IFERROR(__xludf.DUMMYFUNCTION("""COMPUTED_VALUE"""),"Mmtc coin")</f>
        <v>Mmtc coin</v>
      </c>
      <c r="I1353" s="1"/>
      <c r="J1353" s="1"/>
      <c r="K1353" s="3">
        <f>IFERROR(__xludf.DUMMYFUNCTION("""COMPUTED_VALUE"""),0.6354166666642413)</f>
        <v>0.6354166667</v>
      </c>
      <c r="L1353" s="1" t="str">
        <f>IFERROR(__xludf.DUMMYFUNCTION("""COMPUTED_VALUE"""),"No")</f>
        <v>No</v>
      </c>
      <c r="M1353" s="1" t="str">
        <f>IFERROR(__xludf.DUMMYFUNCTION("""COMPUTED_VALUE"""),"Yes")</f>
        <v>Yes</v>
      </c>
      <c r="N1353" s="1" t="str">
        <f>IFERROR(__xludf.DUMMYFUNCTION("""COMPUTED_VALUE"""),"Yes")</f>
        <v>Yes</v>
      </c>
      <c r="O1353" s="1" t="str">
        <f>IFERROR(__xludf.DUMMYFUNCTION("""COMPUTED_VALUE"""),"OWNER CONTACT ONLY")</f>
        <v>OWNER CONTACT ONLY</v>
      </c>
      <c r="P1353" s="1" t="str">
        <f>IFERROR(__xludf.DUMMYFUNCTION("""COMPUTED_VALUE"""),"Madam")</f>
        <v>Madam</v>
      </c>
      <c r="Q1353" s="1" t="str">
        <f>IFERROR(__xludf.DUMMYFUNCTION("""COMPUTED_VALUE"""),"No")</f>
        <v>No</v>
      </c>
      <c r="R1353" s="1" t="str">
        <f>IFERROR(__xludf.DUMMYFUNCTION("""COMPUTED_VALUE"""),"NEW WALK IN")</f>
        <v>NEW WALK IN</v>
      </c>
      <c r="S1353" s="1" t="str">
        <f>IFERROR(__xludf.DUMMYFUNCTION("""COMPUTED_VALUE"""),"Yes")</f>
        <v>Yes</v>
      </c>
    </row>
    <row r="1354">
      <c r="A1354" s="2">
        <f>IFERROR(__xludf.DUMMYFUNCTION("""COMPUTED_VALUE"""),45935.73036053241)</f>
        <v>45935.73036</v>
      </c>
      <c r="B1354" s="1" t="str">
        <f>IFERROR(__xludf.DUMMYFUNCTION("""COMPUTED_VALUE"""),"Rashmi goel ji")</f>
        <v>Rashmi goel ji</v>
      </c>
      <c r="C1354" s="1">
        <f>IFERROR(__xludf.DUMMYFUNCTION("""COMPUTED_VALUE"""),9.250873439E9)</f>
        <v>9250873439</v>
      </c>
      <c r="D1354" s="1">
        <f>IFERROR(__xludf.DUMMYFUNCTION("""COMPUTED_VALUE"""),2.0)</f>
        <v>2</v>
      </c>
      <c r="E1354" s="3">
        <f>IFERROR(__xludf.DUMMYFUNCTION("""COMPUTED_VALUE"""),0.6493055555547471)</f>
        <v>0.6493055556</v>
      </c>
      <c r="F1354" s="1" t="str">
        <f>IFERROR(__xludf.DUMMYFUNCTION("""COMPUTED_VALUE"""),"Diamond")</f>
        <v>Diamond</v>
      </c>
      <c r="G1354" s="1"/>
      <c r="H1354" s="1" t="str">
        <f>IFERROR(__xludf.DUMMYFUNCTION("""COMPUTED_VALUE"""),"Silver vandan vaar")</f>
        <v>Silver vandan vaar</v>
      </c>
      <c r="I1354" s="1" t="str">
        <f>IFERROR(__xludf.DUMMYFUNCTION("""COMPUTED_VALUE"""),"Making High or Wants Discount")</f>
        <v>Making High or Wants Discount</v>
      </c>
      <c r="J1354" s="1"/>
      <c r="K1354" s="3">
        <f>IFERROR(__xludf.DUMMYFUNCTION("""COMPUTED_VALUE"""),0.6631944444452529)</f>
        <v>0.6631944444</v>
      </c>
      <c r="L1354" s="1" t="str">
        <f>IFERROR(__xludf.DUMMYFUNCTION("""COMPUTED_VALUE"""),"No")</f>
        <v>No</v>
      </c>
      <c r="M1354" s="1" t="str">
        <f>IFERROR(__xludf.DUMMYFUNCTION("""COMPUTED_VALUE"""),"No")</f>
        <v>No</v>
      </c>
      <c r="N1354" s="1" t="str">
        <f>IFERROR(__xludf.DUMMYFUNCTION("""COMPUTED_VALUE"""),"No")</f>
        <v>No</v>
      </c>
      <c r="O1354" s="1" t="str">
        <f>IFERROR(__xludf.DUMMYFUNCTION("""COMPUTED_VALUE"""),"OWNER CONTACT ONLY")</f>
        <v>OWNER CONTACT ONLY</v>
      </c>
      <c r="P1354" s="1" t="str">
        <f>IFERROR(__xludf.DUMMYFUNCTION("""COMPUTED_VALUE"""),"Madam")</f>
        <v>Madam</v>
      </c>
      <c r="Q1354" s="1" t="str">
        <f>IFERROR(__xludf.DUMMYFUNCTION("""COMPUTED_VALUE"""),"No")</f>
        <v>No</v>
      </c>
      <c r="R1354" s="1" t="str">
        <f>IFERROR(__xludf.DUMMYFUNCTION("""COMPUTED_VALUE"""),"NEW WALK IN")</f>
        <v>NEW WALK IN</v>
      </c>
      <c r="S1354" s="1" t="str">
        <f>IFERROR(__xludf.DUMMYFUNCTION("""COMPUTED_VALUE"""),"No")</f>
        <v>No</v>
      </c>
    </row>
    <row r="1355">
      <c r="A1355" s="2">
        <f>IFERROR(__xludf.DUMMYFUNCTION("""COMPUTED_VALUE"""),45935.751668530094)</f>
        <v>45935.75167</v>
      </c>
      <c r="B1355" s="1" t="str">
        <f>IFERROR(__xludf.DUMMYFUNCTION("""COMPUTED_VALUE"""),"Aditi dhawan ji ")</f>
        <v>Aditi dhawan ji </v>
      </c>
      <c r="C1355" s="1">
        <f>IFERROR(__xludf.DUMMYFUNCTION("""COMPUTED_VALUE"""),9.91095025E9)</f>
        <v>9910950250</v>
      </c>
      <c r="D1355" s="1">
        <f>IFERROR(__xludf.DUMMYFUNCTION("""COMPUTED_VALUE"""),2.0)</f>
        <v>2</v>
      </c>
      <c r="E1355" s="3">
        <f>IFERROR(__xludf.DUMMYFUNCTION("""COMPUTED_VALUE"""),0.6770833333357587)</f>
        <v>0.6770833333</v>
      </c>
      <c r="F1355" s="1" t="str">
        <f>IFERROR(__xludf.DUMMYFUNCTION("""COMPUTED_VALUE"""),"Diamond")</f>
        <v>Diamond</v>
      </c>
      <c r="G1355" s="1"/>
      <c r="H1355" s="1" t="str">
        <f>IFERROR(__xludf.DUMMYFUNCTION("""COMPUTED_VALUE"""),"Silver set")</f>
        <v>Silver set</v>
      </c>
      <c r="I1355" s="1"/>
      <c r="J1355" s="1"/>
      <c r="K1355" s="3">
        <f>IFERROR(__xludf.DUMMYFUNCTION("""COMPUTED_VALUE"""),0.7159722222204437)</f>
        <v>0.7159722222</v>
      </c>
      <c r="L1355" s="1" t="str">
        <f>IFERROR(__xludf.DUMMYFUNCTION("""COMPUTED_VALUE"""),"Yes")</f>
        <v>Yes</v>
      </c>
      <c r="M1355" s="1" t="str">
        <f>IFERROR(__xludf.DUMMYFUNCTION("""COMPUTED_VALUE"""),"No")</f>
        <v>No</v>
      </c>
      <c r="N1355" s="1" t="str">
        <f>IFERROR(__xludf.DUMMYFUNCTION("""COMPUTED_VALUE"""),"No")</f>
        <v>No</v>
      </c>
      <c r="O1355" s="1" t="str">
        <f>IFERROR(__xludf.DUMMYFUNCTION("""COMPUTED_VALUE"""),"OWNER CONTACT ONLY")</f>
        <v>OWNER CONTACT ONLY</v>
      </c>
      <c r="P1355" s="1" t="str">
        <f>IFERROR(__xludf.DUMMYFUNCTION("""COMPUTED_VALUE"""),"Madam")</f>
        <v>Madam</v>
      </c>
      <c r="Q1355" s="1" t="str">
        <f>IFERROR(__xludf.DUMMYFUNCTION("""COMPUTED_VALUE"""),"Yes")</f>
        <v>Yes</v>
      </c>
      <c r="R1355" s="1" t="str">
        <f>IFERROR(__xludf.DUMMYFUNCTION("""COMPUTED_VALUE"""),"OLD")</f>
        <v>OLD</v>
      </c>
      <c r="S1355" s="1" t="str">
        <f>IFERROR(__xludf.DUMMYFUNCTION("""COMPUTED_VALUE"""),"Yes")</f>
        <v>Yes</v>
      </c>
    </row>
    <row r="1356">
      <c r="A1356" s="2">
        <f>IFERROR(__xludf.DUMMYFUNCTION("""COMPUTED_VALUE"""),45935.753803217594)</f>
        <v>45935.7538</v>
      </c>
      <c r="B1356" s="1" t="str">
        <f>IFERROR(__xludf.DUMMYFUNCTION("""COMPUTED_VALUE"""),"Anil kumar ji")</f>
        <v>Anil kumar ji</v>
      </c>
      <c r="C1356" s="1">
        <f>IFERROR(__xludf.DUMMYFUNCTION("""COMPUTED_VALUE"""),9.914703643E9)</f>
        <v>9914703643</v>
      </c>
      <c r="D1356" s="1">
        <f>IFERROR(__xludf.DUMMYFUNCTION("""COMPUTED_VALUE"""),4.0)</f>
        <v>4</v>
      </c>
      <c r="E1356" s="3">
        <f>IFERROR(__xludf.DUMMYFUNCTION("""COMPUTED_VALUE"""),0.6701388888905058)</f>
        <v>0.6701388889</v>
      </c>
      <c r="F1356" s="1" t="str">
        <f>IFERROR(__xludf.DUMMYFUNCTION("""COMPUTED_VALUE"""),"Plain Gold")</f>
        <v>Plain Gold</v>
      </c>
      <c r="G1356" s="1"/>
      <c r="H1356" s="1" t="str">
        <f>IFERROR(__xludf.DUMMYFUNCTION("""COMPUTED_VALUE"""),"Pendent set Diamond ring")</f>
        <v>Pendent set Diamond ring</v>
      </c>
      <c r="I1356" s="1"/>
      <c r="J1356" s="1"/>
      <c r="K1356" s="3">
        <f>IFERROR(__xludf.DUMMYFUNCTION("""COMPUTED_VALUE"""),0.7361111111094942)</f>
        <v>0.7361111111</v>
      </c>
      <c r="L1356" s="1" t="str">
        <f>IFERROR(__xludf.DUMMYFUNCTION("""COMPUTED_VALUE"""),"No")</f>
        <v>No</v>
      </c>
      <c r="M1356" s="1" t="str">
        <f>IFERROR(__xludf.DUMMYFUNCTION("""COMPUTED_VALUE"""),"No")</f>
        <v>No</v>
      </c>
      <c r="N1356" s="1" t="str">
        <f>IFERROR(__xludf.DUMMYFUNCTION("""COMPUTED_VALUE"""),"No")</f>
        <v>No</v>
      </c>
      <c r="O1356" s="1" t="str">
        <f>IFERROR(__xludf.DUMMYFUNCTION("""COMPUTED_VALUE"""),"WA ONLY")</f>
        <v>WA ONLY</v>
      </c>
      <c r="P1356" s="1" t="str">
        <f>IFERROR(__xludf.DUMMYFUNCTION("""COMPUTED_VALUE"""),"Sir")</f>
        <v>Sir</v>
      </c>
      <c r="Q1356" s="1" t="str">
        <f>IFERROR(__xludf.DUMMYFUNCTION("""COMPUTED_VALUE"""),"No")</f>
        <v>No</v>
      </c>
      <c r="R1356" s="1" t="str">
        <f>IFERROR(__xludf.DUMMYFUNCTION("""COMPUTED_VALUE"""),"OLD")</f>
        <v>OLD</v>
      </c>
      <c r="S1356" s="1" t="str">
        <f>IFERROR(__xludf.DUMMYFUNCTION("""COMPUTED_VALUE"""),"Yes")</f>
        <v>Yes</v>
      </c>
    </row>
    <row r="1357">
      <c r="A1357" s="2">
        <f>IFERROR(__xludf.DUMMYFUNCTION("""COMPUTED_VALUE"""),45935.75541172454)</f>
        <v>45935.75541</v>
      </c>
      <c r="B1357" s="1" t="str">
        <f>IFERROR(__xludf.DUMMYFUNCTION("""COMPUTED_VALUE"""),"Muskan vyas ji")</f>
        <v>Muskan vyas ji</v>
      </c>
      <c r="C1357" s="1">
        <f>IFERROR(__xludf.DUMMYFUNCTION("""COMPUTED_VALUE"""),8.700142855E9)</f>
        <v>8700142855</v>
      </c>
      <c r="D1357" s="1">
        <f>IFERROR(__xludf.DUMMYFUNCTION("""COMPUTED_VALUE"""),2.0)</f>
        <v>2</v>
      </c>
      <c r="E1357" s="3">
        <f>IFERROR(__xludf.DUMMYFUNCTION("""COMPUTED_VALUE"""),0.7291666666642413)</f>
        <v>0.7291666667</v>
      </c>
      <c r="F1357" s="1" t="str">
        <f>IFERROR(__xludf.DUMMYFUNCTION("""COMPUTED_VALUE"""),"Silver Items")</f>
        <v>Silver Items</v>
      </c>
      <c r="G1357" s="1"/>
      <c r="H1357" s="1" t="str">
        <f>IFERROR(__xludf.DUMMYFUNCTION("""COMPUTED_VALUE"""),"Bands")</f>
        <v>Bands</v>
      </c>
      <c r="I1357" s="1" t="str">
        <f>IFERROR(__xludf.DUMMYFUNCTION("""COMPUTED_VALUE"""),"Visit Again in 1 Month")</f>
        <v>Visit Again in 1 Month</v>
      </c>
      <c r="J1357" s="1"/>
      <c r="K1357" s="3">
        <f>IFERROR(__xludf.DUMMYFUNCTION("""COMPUTED_VALUE"""),0.7361111111094942)</f>
        <v>0.7361111111</v>
      </c>
      <c r="L1357" s="1" t="str">
        <f>IFERROR(__xludf.DUMMYFUNCTION("""COMPUTED_VALUE"""),"No")</f>
        <v>No</v>
      </c>
      <c r="M1357" s="1" t="str">
        <f>IFERROR(__xludf.DUMMYFUNCTION("""COMPUTED_VALUE"""),"No")</f>
        <v>No</v>
      </c>
      <c r="N1357" s="1" t="str">
        <f>IFERROR(__xludf.DUMMYFUNCTION("""COMPUTED_VALUE"""),"No")</f>
        <v>No</v>
      </c>
      <c r="O1357" s="1" t="str">
        <f>IFERROR(__xludf.DUMMYFUNCTION("""COMPUTED_VALUE"""),"WA ONLY")</f>
        <v>WA ONLY</v>
      </c>
      <c r="P1357" s="1" t="str">
        <f>IFERROR(__xludf.DUMMYFUNCTION("""COMPUTED_VALUE"""),"Madam")</f>
        <v>Madam</v>
      </c>
      <c r="Q1357" s="1" t="str">
        <f>IFERROR(__xludf.DUMMYFUNCTION("""COMPUTED_VALUE"""),"No")</f>
        <v>No</v>
      </c>
      <c r="R1357" s="1" t="str">
        <f>IFERROR(__xludf.DUMMYFUNCTION("""COMPUTED_VALUE"""),"NEW WALK IN")</f>
        <v>NEW WALK IN</v>
      </c>
      <c r="S1357" s="1" t="str">
        <f>IFERROR(__xludf.DUMMYFUNCTION("""COMPUTED_VALUE"""),"No")</f>
        <v>No</v>
      </c>
    </row>
    <row r="1358">
      <c r="A1358" s="2">
        <f>IFERROR(__xludf.DUMMYFUNCTION("""COMPUTED_VALUE"""),45935.76018353009)</f>
        <v>45935.76018</v>
      </c>
      <c r="B1358" s="1" t="str">
        <f>IFERROR(__xludf.DUMMYFUNCTION("""COMPUTED_VALUE"""),"Neeraj ji")</f>
        <v>Neeraj ji</v>
      </c>
      <c r="C1358" s="1">
        <f>IFERROR(__xludf.DUMMYFUNCTION("""COMPUTED_VALUE"""),9.996042652E9)</f>
        <v>9996042652</v>
      </c>
      <c r="D1358" s="1">
        <f>IFERROR(__xludf.DUMMYFUNCTION("""COMPUTED_VALUE"""),2.0)</f>
        <v>2</v>
      </c>
      <c r="E1358" s="3">
        <f>IFERROR(__xludf.DUMMYFUNCTION("""COMPUTED_VALUE"""),0.7395833333357587)</f>
        <v>0.7395833333</v>
      </c>
      <c r="F1358" s="1" t="str">
        <f>IFERROR(__xludf.DUMMYFUNCTION("""COMPUTED_VALUE"""),"Silver Items")</f>
        <v>Silver Items</v>
      </c>
      <c r="G1358" s="1"/>
      <c r="H1358" s="1" t="str">
        <f>IFERROR(__xludf.DUMMYFUNCTION("""COMPUTED_VALUE"""),"Silver coin")</f>
        <v>Silver coin</v>
      </c>
      <c r="I1358" s="1"/>
      <c r="J1358" s="1"/>
      <c r="K1358" s="3">
        <f>IFERROR(__xludf.DUMMYFUNCTION("""COMPUTED_VALUE"""),0.7430555555547471)</f>
        <v>0.7430555556</v>
      </c>
      <c r="L1358" s="1" t="str">
        <f>IFERROR(__xludf.DUMMYFUNCTION("""COMPUTED_VALUE"""),"No")</f>
        <v>No</v>
      </c>
      <c r="M1358" s="1" t="str">
        <f>IFERROR(__xludf.DUMMYFUNCTION("""COMPUTED_VALUE"""),"No")</f>
        <v>No</v>
      </c>
      <c r="N1358" s="1" t="str">
        <f>IFERROR(__xludf.DUMMYFUNCTION("""COMPUTED_VALUE"""),"No")</f>
        <v>No</v>
      </c>
      <c r="O1358" s="1" t="str">
        <f>IFERROR(__xludf.DUMMYFUNCTION("""COMPUTED_VALUE"""),"WA ONLY, OWNER CONTACT ONLY")</f>
        <v>WA ONLY, OWNER CONTACT ONLY</v>
      </c>
      <c r="P1358" s="1" t="str">
        <f>IFERROR(__xludf.DUMMYFUNCTION("""COMPUTED_VALUE"""),"Sir")</f>
        <v>Sir</v>
      </c>
      <c r="Q1358" s="1" t="str">
        <f>IFERROR(__xludf.DUMMYFUNCTION("""COMPUTED_VALUE"""),"No")</f>
        <v>No</v>
      </c>
      <c r="R1358" s="1" t="str">
        <f>IFERROR(__xludf.DUMMYFUNCTION("""COMPUTED_VALUE"""),"NEW WALK IN")</f>
        <v>NEW WALK IN</v>
      </c>
      <c r="S1358" s="1" t="str">
        <f>IFERROR(__xludf.DUMMYFUNCTION("""COMPUTED_VALUE"""),"No")</f>
        <v>No</v>
      </c>
    </row>
    <row r="1359">
      <c r="A1359" s="2">
        <f>IFERROR(__xludf.DUMMYFUNCTION("""COMPUTED_VALUE"""),45935.788366875)</f>
        <v>45935.78837</v>
      </c>
      <c r="B1359" s="1" t="str">
        <f>IFERROR(__xludf.DUMMYFUNCTION("""COMPUTED_VALUE"""),"Neeraj ji")</f>
        <v>Neeraj ji</v>
      </c>
      <c r="C1359" s="1">
        <f>IFERROR(__xludf.DUMMYFUNCTION("""COMPUTED_VALUE"""),9.996042652E9)</f>
        <v>9996042652</v>
      </c>
      <c r="D1359" s="1">
        <f>IFERROR(__xludf.DUMMYFUNCTION("""COMPUTED_VALUE"""),2.0)</f>
        <v>2</v>
      </c>
      <c r="E1359" s="3">
        <f>IFERROR(__xludf.DUMMYFUNCTION("""COMPUTED_VALUE"""),0.7395833333357587)</f>
        <v>0.7395833333</v>
      </c>
      <c r="F1359" s="1" t="str">
        <f>IFERROR(__xludf.DUMMYFUNCTION("""COMPUTED_VALUE"""),"Silver Items")</f>
        <v>Silver Items</v>
      </c>
      <c r="G1359" s="1"/>
      <c r="H1359" s="1" t="str">
        <f>IFERROR(__xludf.DUMMYFUNCTION("""COMPUTED_VALUE"""),"Silver coin")</f>
        <v>Silver coin</v>
      </c>
      <c r="I1359" s="1"/>
      <c r="J1359" s="1"/>
      <c r="K1359" s="3">
        <f>IFERROR(__xludf.DUMMYFUNCTION("""COMPUTED_VALUE"""),0.7430555555547471)</f>
        <v>0.7430555556</v>
      </c>
      <c r="L1359" s="1" t="str">
        <f>IFERROR(__xludf.DUMMYFUNCTION("""COMPUTED_VALUE"""),"No")</f>
        <v>No</v>
      </c>
      <c r="M1359" s="1" t="str">
        <f>IFERROR(__xludf.DUMMYFUNCTION("""COMPUTED_VALUE"""),"Yes")</f>
        <v>Yes</v>
      </c>
      <c r="N1359" s="1" t="str">
        <f>IFERROR(__xludf.DUMMYFUNCTION("""COMPUTED_VALUE"""),"Yes")</f>
        <v>Yes</v>
      </c>
      <c r="O1359" s="1" t="str">
        <f>IFERROR(__xludf.DUMMYFUNCTION("""COMPUTED_VALUE"""),"WA ONLY, OWNER CONTACT ONLY")</f>
        <v>WA ONLY, OWNER CONTACT ONLY</v>
      </c>
      <c r="P1359" s="1" t="str">
        <f>IFERROR(__xludf.DUMMYFUNCTION("""COMPUTED_VALUE"""),"Sir")</f>
        <v>Sir</v>
      </c>
      <c r="Q1359" s="1" t="str">
        <f>IFERROR(__xludf.DUMMYFUNCTION("""COMPUTED_VALUE"""),"No")</f>
        <v>No</v>
      </c>
      <c r="R1359" s="1" t="str">
        <f>IFERROR(__xludf.DUMMYFUNCTION("""COMPUTED_VALUE"""),"NEW WALK IN")</f>
        <v>NEW WALK IN</v>
      </c>
      <c r="S1359" s="1" t="str">
        <f>IFERROR(__xludf.DUMMYFUNCTION("""COMPUTED_VALUE"""),"Yes")</f>
        <v>Yes</v>
      </c>
    </row>
    <row r="1360">
      <c r="A1360" s="2">
        <f>IFERROR(__xludf.DUMMYFUNCTION("""COMPUTED_VALUE"""),45935.789636608795)</f>
        <v>45935.78964</v>
      </c>
      <c r="B1360" s="1" t="str">
        <f>IFERROR(__xludf.DUMMYFUNCTION("""COMPUTED_VALUE"""),"Farheen ji")</f>
        <v>Farheen ji</v>
      </c>
      <c r="C1360" s="1">
        <f>IFERROR(__xludf.DUMMYFUNCTION("""COMPUTED_VALUE"""),9.999675569E9)</f>
        <v>9999675569</v>
      </c>
      <c r="D1360" s="1">
        <f>IFERROR(__xludf.DUMMYFUNCTION("""COMPUTED_VALUE"""),3.0)</f>
        <v>3</v>
      </c>
      <c r="E1360" s="3">
        <f>IFERROR(__xludf.DUMMYFUNCTION("""COMPUTED_VALUE"""),0.7430555555547471)</f>
        <v>0.7430555556</v>
      </c>
      <c r="F1360" s="1" t="str">
        <f>IFERROR(__xludf.DUMMYFUNCTION("""COMPUTED_VALUE"""),"Plain Gold")</f>
        <v>Plain Gold</v>
      </c>
      <c r="G1360" s="1"/>
      <c r="H1360" s="1" t="str">
        <f>IFERROR(__xludf.DUMMYFUNCTION("""COMPUTED_VALUE"""),"Nosepin")</f>
        <v>Nosepin</v>
      </c>
      <c r="I1360" s="1"/>
      <c r="J1360" s="1"/>
      <c r="K1360" s="3">
        <f>IFERROR(__xludf.DUMMYFUNCTION("""COMPUTED_VALUE"""),0.7861111111124046)</f>
        <v>0.7861111111</v>
      </c>
      <c r="L1360" s="1" t="str">
        <f>IFERROR(__xludf.DUMMYFUNCTION("""COMPUTED_VALUE"""),"No")</f>
        <v>No</v>
      </c>
      <c r="M1360" s="1" t="str">
        <f>IFERROR(__xludf.DUMMYFUNCTION("""COMPUTED_VALUE"""),"Yes")</f>
        <v>Yes</v>
      </c>
      <c r="N1360" s="1" t="str">
        <f>IFERROR(__xludf.DUMMYFUNCTION("""COMPUTED_VALUE"""),"Yes")</f>
        <v>Yes</v>
      </c>
      <c r="O1360" s="1" t="str">
        <f>IFERROR(__xludf.DUMMYFUNCTION("""COMPUTED_VALUE"""),"WA ONLY")</f>
        <v>WA ONLY</v>
      </c>
      <c r="P1360" s="1" t="str">
        <f>IFERROR(__xludf.DUMMYFUNCTION("""COMPUTED_VALUE"""),"Madam")</f>
        <v>Madam</v>
      </c>
      <c r="Q1360" s="1" t="str">
        <f>IFERROR(__xludf.DUMMYFUNCTION("""COMPUTED_VALUE"""),"No")</f>
        <v>No</v>
      </c>
      <c r="R1360" s="1" t="str">
        <f>IFERROR(__xludf.DUMMYFUNCTION("""COMPUTED_VALUE"""),"NEW WALK IN")</f>
        <v>NEW WALK IN</v>
      </c>
      <c r="S1360" s="1" t="str">
        <f>IFERROR(__xludf.DUMMYFUNCTION("""COMPUTED_VALUE"""),"Yes")</f>
        <v>Yes</v>
      </c>
    </row>
    <row r="1361">
      <c r="A1361" s="2">
        <f>IFERROR(__xludf.DUMMYFUNCTION("""COMPUTED_VALUE"""),45935.79139939815)</f>
        <v>45935.7914</v>
      </c>
      <c r="B1361" s="1" t="str">
        <f>IFERROR(__xludf.DUMMYFUNCTION("""COMPUTED_VALUE"""),"Anupriya ji")</f>
        <v>Anupriya ji</v>
      </c>
      <c r="C1361" s="1">
        <f>IFERROR(__xludf.DUMMYFUNCTION("""COMPUTED_VALUE"""),9.99994563E9)</f>
        <v>9999945630</v>
      </c>
      <c r="D1361" s="1">
        <f>IFERROR(__xludf.DUMMYFUNCTION("""COMPUTED_VALUE"""),1.0)</f>
        <v>1</v>
      </c>
      <c r="E1361" s="3">
        <f>IFERROR(__xludf.DUMMYFUNCTION("""COMPUTED_VALUE"""),0.7465277777810115)</f>
        <v>0.7465277778</v>
      </c>
      <c r="F1361" s="1" t="str">
        <f>IFERROR(__xludf.DUMMYFUNCTION("""COMPUTED_VALUE"""),"Silver Items")</f>
        <v>Silver Items</v>
      </c>
      <c r="G1361" s="1"/>
      <c r="H1361" s="1" t="str">
        <f>IFERROR(__xludf.DUMMYFUNCTION("""COMPUTED_VALUE"""),"Chain for men")</f>
        <v>Chain for men</v>
      </c>
      <c r="I1361" s="1"/>
      <c r="J1361" s="1"/>
      <c r="K1361" s="3">
        <f>IFERROR(__xludf.DUMMYFUNCTION("""COMPUTED_VALUE"""),0.7694444444423425)</f>
        <v>0.7694444444</v>
      </c>
      <c r="L1361" s="1" t="str">
        <f>IFERROR(__xludf.DUMMYFUNCTION("""COMPUTED_VALUE"""),"No")</f>
        <v>No</v>
      </c>
      <c r="M1361" s="1" t="str">
        <f>IFERROR(__xludf.DUMMYFUNCTION("""COMPUTED_VALUE"""),"No")</f>
        <v>No</v>
      </c>
      <c r="N1361" s="1" t="str">
        <f>IFERROR(__xludf.DUMMYFUNCTION("""COMPUTED_VALUE"""),"No")</f>
        <v>No</v>
      </c>
      <c r="O1361" s="1" t="str">
        <f>IFERROR(__xludf.DUMMYFUNCTION("""COMPUTED_VALUE"""),"WA ONLY")</f>
        <v>WA ONLY</v>
      </c>
      <c r="P1361" s="1" t="str">
        <f>IFERROR(__xludf.DUMMYFUNCTION("""COMPUTED_VALUE"""),"Madam")</f>
        <v>Madam</v>
      </c>
      <c r="Q1361" s="1" t="str">
        <f>IFERROR(__xludf.DUMMYFUNCTION("""COMPUTED_VALUE"""),"Yes")</f>
        <v>Yes</v>
      </c>
      <c r="R1361" s="1" t="str">
        <f>IFERROR(__xludf.DUMMYFUNCTION("""COMPUTED_VALUE"""),"OLD")</f>
        <v>OLD</v>
      </c>
      <c r="S1361" s="1" t="str">
        <f>IFERROR(__xludf.DUMMYFUNCTION("""COMPUTED_VALUE"""),"Yes")</f>
        <v>Yes</v>
      </c>
    </row>
    <row r="1362">
      <c r="A1362" s="2">
        <f>IFERROR(__xludf.DUMMYFUNCTION("""COMPUTED_VALUE"""),45938.622631018516)</f>
        <v>45938.62263</v>
      </c>
      <c r="B1362" s="1" t="str">
        <f>IFERROR(__xludf.DUMMYFUNCTION("""COMPUTED_VALUE"""),"Anupriya ji")</f>
        <v>Anupriya ji</v>
      </c>
      <c r="C1362" s="1">
        <f>IFERROR(__xludf.DUMMYFUNCTION("""COMPUTED_VALUE"""),9.99994563E9)</f>
        <v>9999945630</v>
      </c>
      <c r="D1362" s="1">
        <f>IFERROR(__xludf.DUMMYFUNCTION("""COMPUTED_VALUE"""),3.0)</f>
        <v>3</v>
      </c>
      <c r="E1362" s="3">
        <f>IFERROR(__xludf.DUMMYFUNCTION("""COMPUTED_VALUE"""),0.7687500000029104)</f>
        <v>0.76875</v>
      </c>
      <c r="F1362" s="1" t="str">
        <f>IFERROR(__xludf.DUMMYFUNCTION("""COMPUTED_VALUE"""),"Silver Items")</f>
        <v>Silver Items</v>
      </c>
      <c r="G1362" s="1"/>
      <c r="H1362" s="1" t="str">
        <f>IFERROR(__xludf.DUMMYFUNCTION("""COMPUTED_VALUE"""),"Gold mangalsutra ")</f>
        <v>Gold mangalsutra </v>
      </c>
      <c r="I1362" s="1"/>
      <c r="J1362" s="1"/>
      <c r="K1362" s="3">
        <f>IFERROR(__xludf.DUMMYFUNCTION("""COMPUTED_VALUE"""),0.8125)</f>
        <v>0.8125</v>
      </c>
      <c r="L1362" s="1" t="str">
        <f>IFERROR(__xludf.DUMMYFUNCTION("""COMPUTED_VALUE"""),"No")</f>
        <v>No</v>
      </c>
      <c r="M1362" s="1" t="str">
        <f>IFERROR(__xludf.DUMMYFUNCTION("""COMPUTED_VALUE"""),"Yes")</f>
        <v>Yes</v>
      </c>
      <c r="N1362" s="1" t="str">
        <f>IFERROR(__xludf.DUMMYFUNCTION("""COMPUTED_VALUE"""),"Yes")</f>
        <v>Yes</v>
      </c>
      <c r="O1362" s="1" t="str">
        <f>IFERROR(__xludf.DUMMYFUNCTION("""COMPUTED_VALUE"""),"WA ONLY")</f>
        <v>WA ONLY</v>
      </c>
      <c r="P1362" s="1" t="str">
        <f>IFERROR(__xludf.DUMMYFUNCTION("""COMPUTED_VALUE"""),"Madam")</f>
        <v>Madam</v>
      </c>
      <c r="Q1362" s="1" t="str">
        <f>IFERROR(__xludf.DUMMYFUNCTION("""COMPUTED_VALUE"""),"No")</f>
        <v>No</v>
      </c>
      <c r="R1362" s="1" t="str">
        <f>IFERROR(__xludf.DUMMYFUNCTION("""COMPUTED_VALUE"""),"OLD")</f>
        <v>OLD</v>
      </c>
      <c r="S1362" s="1" t="str">
        <f>IFERROR(__xludf.DUMMYFUNCTION("""COMPUTED_VALUE"""),"Yes")</f>
        <v>Yes</v>
      </c>
    </row>
    <row r="1363">
      <c r="A1363" s="2">
        <f>IFERROR(__xludf.DUMMYFUNCTION("""COMPUTED_VALUE"""),45938.62659619213)</f>
        <v>45938.6266</v>
      </c>
      <c r="B1363" s="1" t="str">
        <f>IFERROR(__xludf.DUMMYFUNCTION("""COMPUTED_VALUE"""),"Mohini ji")</f>
        <v>Mohini ji</v>
      </c>
      <c r="C1363" s="1">
        <f>IFERROR(__xludf.DUMMYFUNCTION("""COMPUTED_VALUE"""),9.266041377E9)</f>
        <v>9266041377</v>
      </c>
      <c r="D1363" s="1">
        <f>IFERROR(__xludf.DUMMYFUNCTION("""COMPUTED_VALUE"""),4.0)</f>
        <v>4</v>
      </c>
      <c r="E1363" s="3">
        <f>IFERROR(__xludf.DUMMYFUNCTION("""COMPUTED_VALUE"""),0.7777777777810115)</f>
        <v>0.7777777778</v>
      </c>
      <c r="F1363" s="1" t="str">
        <f>IFERROR(__xludf.DUMMYFUNCTION("""COMPUTED_VALUE"""),"Plain Gold")</f>
        <v>Plain Gold</v>
      </c>
      <c r="G1363" s="1"/>
      <c r="H1363" s="1" t="str">
        <f>IFERROR(__xludf.DUMMYFUNCTION("""COMPUTED_VALUE"""),"Baali")</f>
        <v>Baali</v>
      </c>
      <c r="I1363" s="1" t="str">
        <f>IFERROR(__xludf.DUMMYFUNCTION("""COMPUTED_VALUE"""),"Visit Again in 1 Month")</f>
        <v>Visit Again in 1 Month</v>
      </c>
      <c r="J1363" s="1"/>
      <c r="K1363" s="3">
        <f>IFERROR(__xludf.DUMMYFUNCTION("""COMPUTED_VALUE"""),0.8069444444408873)</f>
        <v>0.8069444444</v>
      </c>
      <c r="L1363" s="1" t="str">
        <f>IFERROR(__xludf.DUMMYFUNCTION("""COMPUTED_VALUE"""),"No")</f>
        <v>No</v>
      </c>
      <c r="M1363" s="1" t="str">
        <f>IFERROR(__xludf.DUMMYFUNCTION("""COMPUTED_VALUE"""),"No")</f>
        <v>No</v>
      </c>
      <c r="N1363" s="1" t="str">
        <f>IFERROR(__xludf.DUMMYFUNCTION("""COMPUTED_VALUE"""),"No")</f>
        <v>No</v>
      </c>
      <c r="O1363" s="1" t="str">
        <f>IFERROR(__xludf.DUMMYFUNCTION("""COMPUTED_VALUE"""),"WA ONLY")</f>
        <v>WA ONLY</v>
      </c>
      <c r="P1363" s="1" t="str">
        <f>IFERROR(__xludf.DUMMYFUNCTION("""COMPUTED_VALUE"""),"Madam")</f>
        <v>Madam</v>
      </c>
      <c r="Q1363" s="1" t="str">
        <f>IFERROR(__xludf.DUMMYFUNCTION("""COMPUTED_VALUE"""),"No")</f>
        <v>No</v>
      </c>
      <c r="R1363" s="1" t="str">
        <f>IFERROR(__xludf.DUMMYFUNCTION("""COMPUTED_VALUE"""),"NEW WALK IN")</f>
        <v>NEW WALK IN</v>
      </c>
      <c r="S1363" s="1" t="str">
        <f>IFERROR(__xludf.DUMMYFUNCTION("""COMPUTED_VALUE"""),"No")</f>
        <v>No</v>
      </c>
    </row>
    <row r="1364">
      <c r="A1364" s="2">
        <f>IFERROR(__xludf.DUMMYFUNCTION("""COMPUTED_VALUE"""),45938.633477881944)</f>
        <v>45938.63348</v>
      </c>
      <c r="B1364" s="1" t="str">
        <f>IFERROR(__xludf.DUMMYFUNCTION("""COMPUTED_VALUE"""),"Ranbeer kaur ji")</f>
        <v>Ranbeer kaur ji</v>
      </c>
      <c r="C1364" s="1">
        <f>IFERROR(__xludf.DUMMYFUNCTION("""COMPUTED_VALUE"""),9.810100011E9)</f>
        <v>9810100011</v>
      </c>
      <c r="D1364" s="1">
        <f>IFERROR(__xludf.DUMMYFUNCTION("""COMPUTED_VALUE"""),2.0)</f>
        <v>2</v>
      </c>
      <c r="E1364" s="3">
        <f>IFERROR(__xludf.DUMMYFUNCTION("""COMPUTED_VALUE"""),0.5104166666642413)</f>
        <v>0.5104166667</v>
      </c>
      <c r="F1364" s="1" t="str">
        <f>IFERROR(__xludf.DUMMYFUNCTION("""COMPUTED_VALUE"""),"Silver Items")</f>
        <v>Silver Items</v>
      </c>
      <c r="G1364" s="1"/>
      <c r="H1364" s="1" t="str">
        <f>IFERROR(__xludf.DUMMYFUNCTION("""COMPUTED_VALUE"""),"Earrings rings bangles")</f>
        <v>Earrings rings bangles</v>
      </c>
      <c r="I1364" s="1"/>
      <c r="J1364" s="1"/>
      <c r="K1364" s="3">
        <f>IFERROR(__xludf.DUMMYFUNCTION("""COMPUTED_VALUE"""),0.6284722222189885)</f>
        <v>0.6284722222</v>
      </c>
      <c r="L1364" s="1"/>
      <c r="M1364" s="1" t="str">
        <f>IFERROR(__xludf.DUMMYFUNCTION("""COMPUTED_VALUE"""),"Yes")</f>
        <v>Yes</v>
      </c>
      <c r="N1364" s="1" t="str">
        <f>IFERROR(__xludf.DUMMYFUNCTION("""COMPUTED_VALUE"""),"Yes")</f>
        <v>Yes</v>
      </c>
      <c r="O1364" s="1" t="str">
        <f>IFERROR(__xludf.DUMMYFUNCTION("""COMPUTED_VALUE"""),"WA ONLY")</f>
        <v>WA ONLY</v>
      </c>
      <c r="P1364" s="1" t="str">
        <f>IFERROR(__xludf.DUMMYFUNCTION("""COMPUTED_VALUE"""),"Madam")</f>
        <v>Madam</v>
      </c>
      <c r="Q1364" s="1" t="str">
        <f>IFERROR(__xludf.DUMMYFUNCTION("""COMPUTED_VALUE"""),"No")</f>
        <v>No</v>
      </c>
      <c r="R1364" s="1" t="str">
        <f>IFERROR(__xludf.DUMMYFUNCTION("""COMPUTED_VALUE"""),"OLD")</f>
        <v>OLD</v>
      </c>
      <c r="S1364" s="1" t="str">
        <f>IFERROR(__xludf.DUMMYFUNCTION("""COMPUTED_VALUE"""),"Yes")</f>
        <v>Yes</v>
      </c>
    </row>
    <row r="1365">
      <c r="A1365" s="2">
        <f>IFERROR(__xludf.DUMMYFUNCTION("""COMPUTED_VALUE"""),45938.74302349537)</f>
        <v>45938.74302</v>
      </c>
      <c r="B1365" s="1" t="str">
        <f>IFERROR(__xludf.DUMMYFUNCTION("""COMPUTED_VALUE"""),"Nikhil ji")</f>
        <v>Nikhil ji</v>
      </c>
      <c r="C1365" s="1">
        <f>IFERROR(__xludf.DUMMYFUNCTION("""COMPUTED_VALUE"""),7.065555029E9)</f>
        <v>7065555029</v>
      </c>
      <c r="D1365" s="1">
        <f>IFERROR(__xludf.DUMMYFUNCTION("""COMPUTED_VALUE"""),2.0)</f>
        <v>2</v>
      </c>
      <c r="E1365" s="3">
        <f>IFERROR(__xludf.DUMMYFUNCTION("""COMPUTED_VALUE"""),0.5416666666642413)</f>
        <v>0.5416666667</v>
      </c>
      <c r="F1365" s="1" t="str">
        <f>IFERROR(__xludf.DUMMYFUNCTION("""COMPUTED_VALUE"""),"Diamond")</f>
        <v>Diamond</v>
      </c>
      <c r="G1365" s="1"/>
      <c r="H1365" s="1" t="str">
        <f>IFERROR(__xludf.DUMMYFUNCTION("""COMPUTED_VALUE"""),"Diamond bangles")</f>
        <v>Diamond bangles</v>
      </c>
      <c r="I1365" s="1"/>
      <c r="J1365" s="1"/>
      <c r="K1365" s="3">
        <f>IFERROR(__xludf.DUMMYFUNCTION("""COMPUTED_VALUE"""),0.6006944444452529)</f>
        <v>0.6006944444</v>
      </c>
      <c r="L1365" s="1" t="str">
        <f>IFERROR(__xludf.DUMMYFUNCTION("""COMPUTED_VALUE"""),"No")</f>
        <v>No</v>
      </c>
      <c r="M1365" s="1" t="str">
        <f>IFERROR(__xludf.DUMMYFUNCTION("""COMPUTED_VALUE"""),"No")</f>
        <v>No</v>
      </c>
      <c r="N1365" s="1" t="str">
        <f>IFERROR(__xludf.DUMMYFUNCTION("""COMPUTED_VALUE"""),"No")</f>
        <v>No</v>
      </c>
      <c r="O1365" s="1" t="str">
        <f>IFERROR(__xludf.DUMMYFUNCTION("""COMPUTED_VALUE"""),"OWNER CONTACT ONLY")</f>
        <v>OWNER CONTACT ONLY</v>
      </c>
      <c r="P1365" s="1" t="str">
        <f>IFERROR(__xludf.DUMMYFUNCTION("""COMPUTED_VALUE"""),"Sir")</f>
        <v>Sir</v>
      </c>
      <c r="Q1365" s="1" t="str">
        <f>IFERROR(__xludf.DUMMYFUNCTION("""COMPUTED_VALUE"""),"No")</f>
        <v>No</v>
      </c>
      <c r="R1365" s="1" t="str">
        <f>IFERROR(__xludf.DUMMYFUNCTION("""COMPUTED_VALUE"""),"OLD")</f>
        <v>OLD</v>
      </c>
      <c r="S1365" s="1" t="str">
        <f>IFERROR(__xludf.DUMMYFUNCTION("""COMPUTED_VALUE"""),"No")</f>
        <v>No</v>
      </c>
    </row>
    <row r="1366">
      <c r="A1366" s="2">
        <f>IFERROR(__xludf.DUMMYFUNCTION("""COMPUTED_VALUE"""),45938.746476307875)</f>
        <v>45938.74648</v>
      </c>
      <c r="B1366" s="1" t="str">
        <f>IFERROR(__xludf.DUMMYFUNCTION("""COMPUTED_VALUE"""),"Shahista khan mam")</f>
        <v>Shahista khan mam</v>
      </c>
      <c r="C1366" s="1">
        <f>IFERROR(__xludf.DUMMYFUNCTION("""COMPUTED_VALUE"""),8.860741616E9)</f>
        <v>8860741616</v>
      </c>
      <c r="D1366" s="1">
        <f>IFERROR(__xludf.DUMMYFUNCTION("""COMPUTED_VALUE"""),1.0)</f>
        <v>1</v>
      </c>
      <c r="E1366" s="3">
        <f>IFERROR(__xludf.DUMMYFUNCTION("""COMPUTED_VALUE"""),0.5208333333357587)</f>
        <v>0.5208333333</v>
      </c>
      <c r="F1366" s="1" t="str">
        <f>IFERROR(__xludf.DUMMYFUNCTION("""COMPUTED_VALUE"""),"Silver Items")</f>
        <v>Silver Items</v>
      </c>
      <c r="G1366" s="1"/>
      <c r="H1366" s="1" t="str">
        <f>IFERROR(__xludf.DUMMYFUNCTION("""COMPUTED_VALUE"""),"Bracelet ")</f>
        <v>Bracelet </v>
      </c>
      <c r="I1366" s="1"/>
      <c r="J1366" s="1"/>
      <c r="K1366" s="3">
        <f>IFERROR(__xludf.DUMMYFUNCTION("""COMPUTED_VALUE"""),0.6555555555532919)</f>
        <v>0.6555555556</v>
      </c>
      <c r="L1366" s="1" t="str">
        <f>IFERROR(__xludf.DUMMYFUNCTION("""COMPUTED_VALUE"""),"No")</f>
        <v>No</v>
      </c>
      <c r="M1366" s="1" t="str">
        <f>IFERROR(__xludf.DUMMYFUNCTION("""COMPUTED_VALUE"""),"Already done")</f>
        <v>Already done</v>
      </c>
      <c r="N1366" s="1" t="str">
        <f>IFERROR(__xludf.DUMMYFUNCTION("""COMPUTED_VALUE"""),"Already done")</f>
        <v>Already done</v>
      </c>
      <c r="O1366" s="1" t="str">
        <f>IFERROR(__xludf.DUMMYFUNCTION("""COMPUTED_VALUE"""),"OWNER CONTACT ONLY")</f>
        <v>OWNER CONTACT ONLY</v>
      </c>
      <c r="P1366" s="1" t="str">
        <f>IFERROR(__xludf.DUMMYFUNCTION("""COMPUTED_VALUE"""),"Madam")</f>
        <v>Madam</v>
      </c>
      <c r="Q1366" s="1" t="str">
        <f>IFERROR(__xludf.DUMMYFUNCTION("""COMPUTED_VALUE"""),"No")</f>
        <v>No</v>
      </c>
      <c r="R1366" s="1" t="str">
        <f>IFERROR(__xludf.DUMMYFUNCTION("""COMPUTED_VALUE"""),"OLD")</f>
        <v>OLD</v>
      </c>
      <c r="S1366" s="1" t="str">
        <f>IFERROR(__xludf.DUMMYFUNCTION("""COMPUTED_VALUE"""),"Yes")</f>
        <v>Yes</v>
      </c>
    </row>
    <row r="1367">
      <c r="A1367" s="2">
        <f>IFERROR(__xludf.DUMMYFUNCTION("""COMPUTED_VALUE"""),45938.74948292824)</f>
        <v>45938.74948</v>
      </c>
      <c r="B1367" s="1" t="str">
        <f>IFERROR(__xludf.DUMMYFUNCTION("""COMPUTED_VALUE"""),"Simran sir")</f>
        <v>Simran sir</v>
      </c>
      <c r="C1367" s="1">
        <f>IFERROR(__xludf.DUMMYFUNCTION("""COMPUTED_VALUE"""),9.899383939E9)</f>
        <v>9899383939</v>
      </c>
      <c r="D1367" s="1">
        <f>IFERROR(__xludf.DUMMYFUNCTION("""COMPUTED_VALUE"""),3.0)</f>
        <v>3</v>
      </c>
      <c r="E1367" s="3">
        <f>IFERROR(__xludf.DUMMYFUNCTION("""COMPUTED_VALUE"""),0.6770833333357587)</f>
        <v>0.6770833333</v>
      </c>
      <c r="F1367" s="1" t="str">
        <f>IFERROR(__xludf.DUMMYFUNCTION("""COMPUTED_VALUE"""),"Silver Items")</f>
        <v>Silver Items</v>
      </c>
      <c r="G1367" s="1"/>
      <c r="H1367" s="1" t="str">
        <f>IFERROR(__xludf.DUMMYFUNCTION("""COMPUTED_VALUE"""),"Silver bar 1 kg")</f>
        <v>Silver bar 1 kg</v>
      </c>
      <c r="I1367" s="1"/>
      <c r="J1367" s="1"/>
      <c r="K1367" s="3">
        <f>IFERROR(__xludf.DUMMYFUNCTION("""COMPUTED_VALUE"""),0.7118055555547471)</f>
        <v>0.7118055556</v>
      </c>
      <c r="L1367" s="1" t="str">
        <f>IFERROR(__xludf.DUMMYFUNCTION("""COMPUTED_VALUE"""),"No")</f>
        <v>No</v>
      </c>
      <c r="M1367" s="1" t="str">
        <f>IFERROR(__xludf.DUMMYFUNCTION("""COMPUTED_VALUE"""),"Yes")</f>
        <v>Yes</v>
      </c>
      <c r="N1367" s="1" t="str">
        <f>IFERROR(__xludf.DUMMYFUNCTION("""COMPUTED_VALUE"""),"Yes")</f>
        <v>Yes</v>
      </c>
      <c r="O1367" s="1" t="str">
        <f>IFERROR(__xludf.DUMMYFUNCTION("""COMPUTED_VALUE"""),"WA ONLY, OWNER CONTACT ONLY")</f>
        <v>WA ONLY, OWNER CONTACT ONLY</v>
      </c>
      <c r="P1367" s="1" t="str">
        <f>IFERROR(__xludf.DUMMYFUNCTION("""COMPUTED_VALUE"""),"Sir")</f>
        <v>Sir</v>
      </c>
      <c r="Q1367" s="1" t="str">
        <f>IFERROR(__xludf.DUMMYFUNCTION("""COMPUTED_VALUE"""),"No")</f>
        <v>No</v>
      </c>
      <c r="R1367" s="1" t="str">
        <f>IFERROR(__xludf.DUMMYFUNCTION("""COMPUTED_VALUE"""),"OLD")</f>
        <v>OLD</v>
      </c>
      <c r="S1367" s="1" t="str">
        <f>IFERROR(__xludf.DUMMYFUNCTION("""COMPUTED_VALUE"""),"Yes")</f>
        <v>Yes</v>
      </c>
    </row>
    <row r="1368">
      <c r="A1368" s="2">
        <f>IFERROR(__xludf.DUMMYFUNCTION("""COMPUTED_VALUE"""),45938.753773819444)</f>
        <v>45938.75377</v>
      </c>
      <c r="B1368" s="1" t="str">
        <f>IFERROR(__xludf.DUMMYFUNCTION("""COMPUTED_VALUE"""),"Vikram ji")</f>
        <v>Vikram ji</v>
      </c>
      <c r="C1368" s="1">
        <f>IFERROR(__xludf.DUMMYFUNCTION("""COMPUTED_VALUE"""),9.953308666E9)</f>
        <v>9953308666</v>
      </c>
      <c r="D1368" s="1">
        <f>IFERROR(__xludf.DUMMYFUNCTION("""COMPUTED_VALUE"""),1.0)</f>
        <v>1</v>
      </c>
      <c r="E1368" s="3">
        <f>IFERROR(__xludf.DUMMYFUNCTION("""COMPUTED_VALUE"""),0.6777777777751908)</f>
        <v>0.6777777778</v>
      </c>
      <c r="F1368" s="1" t="str">
        <f>IFERROR(__xludf.DUMMYFUNCTION("""COMPUTED_VALUE"""),"Diamond")</f>
        <v>Diamond</v>
      </c>
      <c r="G1368" s="1"/>
      <c r="H1368" s="1" t="str">
        <f>IFERROR(__xludf.DUMMYFUNCTION("""COMPUTED_VALUE"""),"Bracelet for women")</f>
        <v>Bracelet for women</v>
      </c>
      <c r="I1368" s="1"/>
      <c r="J1368" s="1"/>
      <c r="K1368" s="3">
        <f>IFERROR(__xludf.DUMMYFUNCTION("""COMPUTED_VALUE"""),0.7534722222189885)</f>
        <v>0.7534722222</v>
      </c>
      <c r="L1368" s="1" t="str">
        <f>IFERROR(__xludf.DUMMYFUNCTION("""COMPUTED_VALUE"""),"No")</f>
        <v>No</v>
      </c>
      <c r="M1368" s="1" t="str">
        <f>IFERROR(__xludf.DUMMYFUNCTION("""COMPUTED_VALUE"""),"No")</f>
        <v>No</v>
      </c>
      <c r="N1368" s="1" t="str">
        <f>IFERROR(__xludf.DUMMYFUNCTION("""COMPUTED_VALUE"""),"No")</f>
        <v>No</v>
      </c>
      <c r="O1368" s="1" t="str">
        <f>IFERROR(__xludf.DUMMYFUNCTION("""COMPUTED_VALUE"""),"WA ONLY, OWNER CONTACT ONLY")</f>
        <v>WA ONLY, OWNER CONTACT ONLY</v>
      </c>
      <c r="P1368" s="1" t="str">
        <f>IFERROR(__xludf.DUMMYFUNCTION("""COMPUTED_VALUE"""),"Sir")</f>
        <v>Sir</v>
      </c>
      <c r="Q1368" s="1" t="str">
        <f>IFERROR(__xludf.DUMMYFUNCTION("""COMPUTED_VALUE"""),"No")</f>
        <v>No</v>
      </c>
      <c r="R1368" s="1" t="str">
        <f>IFERROR(__xludf.DUMMYFUNCTION("""COMPUTED_VALUE"""),"NEW WALK IN")</f>
        <v>NEW WALK IN</v>
      </c>
      <c r="S1368" s="1" t="str">
        <f>IFERROR(__xludf.DUMMYFUNCTION("""COMPUTED_VALUE"""),"Yes")</f>
        <v>Yes</v>
      </c>
    </row>
    <row r="1369">
      <c r="A1369" s="2">
        <f>IFERROR(__xludf.DUMMYFUNCTION("""COMPUTED_VALUE"""),45938.802758391204)</f>
        <v>45938.80276</v>
      </c>
      <c r="B1369" s="1" t="str">
        <f>IFERROR(__xludf.DUMMYFUNCTION("""COMPUTED_VALUE"""),"Muskaan ji")</f>
        <v>Muskaan ji</v>
      </c>
      <c r="C1369" s="1">
        <f>IFERROR(__xludf.DUMMYFUNCTION("""COMPUTED_VALUE"""),9.87195766E9)</f>
        <v>9871957660</v>
      </c>
      <c r="D1369" s="1">
        <f>IFERROR(__xludf.DUMMYFUNCTION("""COMPUTED_VALUE"""),5.0)</f>
        <v>5</v>
      </c>
      <c r="E1369" s="3">
        <f>IFERROR(__xludf.DUMMYFUNCTION("""COMPUTED_VALUE"""),0.6770833333357587)</f>
        <v>0.6770833333</v>
      </c>
      <c r="F1369" s="1" t="str">
        <f>IFERROR(__xludf.DUMMYFUNCTION("""COMPUTED_VALUE"""),"Diamond")</f>
        <v>Diamond</v>
      </c>
      <c r="G1369" s="1"/>
      <c r="H1369" s="1" t="str">
        <f>IFERROR(__xludf.DUMMYFUNCTION("""COMPUTED_VALUE"""),"Sets gold and diamond ")</f>
        <v>Sets gold and diamond </v>
      </c>
      <c r="I1369" s="1"/>
      <c r="J1369" s="1"/>
      <c r="K1369" s="3">
        <f>IFERROR(__xludf.DUMMYFUNCTION("""COMPUTED_VALUE"""),0.7979166666627862)</f>
        <v>0.7979166667</v>
      </c>
      <c r="L1369" s="1" t="str">
        <f>IFERROR(__xludf.DUMMYFUNCTION("""COMPUTED_VALUE"""),"No")</f>
        <v>No</v>
      </c>
      <c r="M1369" s="1" t="str">
        <f>IFERROR(__xludf.DUMMYFUNCTION("""COMPUTED_VALUE"""),"Already done")</f>
        <v>Already done</v>
      </c>
      <c r="N1369" s="1" t="str">
        <f>IFERROR(__xludf.DUMMYFUNCTION("""COMPUTED_VALUE"""),"Already done")</f>
        <v>Already done</v>
      </c>
      <c r="O1369" s="1" t="str">
        <f>IFERROR(__xludf.DUMMYFUNCTION("""COMPUTED_VALUE"""),"WA ONLY, OWNER CONTACT ONLY")</f>
        <v>WA ONLY, OWNER CONTACT ONLY</v>
      </c>
      <c r="P1369" s="1" t="str">
        <f>IFERROR(__xludf.DUMMYFUNCTION("""COMPUTED_VALUE"""),"Madam")</f>
        <v>Madam</v>
      </c>
      <c r="Q1369" s="1" t="str">
        <f>IFERROR(__xludf.DUMMYFUNCTION("""COMPUTED_VALUE"""),"No")</f>
        <v>No</v>
      </c>
      <c r="R1369" s="1" t="str">
        <f>IFERROR(__xludf.DUMMYFUNCTION("""COMPUTED_VALUE"""),"OLD")</f>
        <v>OLD</v>
      </c>
      <c r="S1369" s="1" t="str">
        <f>IFERROR(__xludf.DUMMYFUNCTION("""COMPUTED_VALUE"""),"Yes")</f>
        <v>Yes</v>
      </c>
    </row>
    <row r="1370">
      <c r="A1370" s="2">
        <f>IFERROR(__xludf.DUMMYFUNCTION("""COMPUTED_VALUE"""),45938.804324247685)</f>
        <v>45938.80432</v>
      </c>
      <c r="B1370" s="1" t="str">
        <f>IFERROR(__xludf.DUMMYFUNCTION("""COMPUTED_VALUE"""),"Harpreet ji ")</f>
        <v>Harpreet ji </v>
      </c>
      <c r="C1370" s="1">
        <f>IFERROR(__xludf.DUMMYFUNCTION("""COMPUTED_VALUE"""),9.811441464E9)</f>
        <v>9811441464</v>
      </c>
      <c r="D1370" s="1">
        <f>IFERROR(__xludf.DUMMYFUNCTION("""COMPUTED_VALUE"""),2.0)</f>
        <v>2</v>
      </c>
      <c r="E1370" s="3">
        <f>IFERROR(__xludf.DUMMYFUNCTION("""COMPUTED_VALUE"""),0.7048611111094942)</f>
        <v>0.7048611111</v>
      </c>
      <c r="F1370" s="1" t="str">
        <f>IFERROR(__xludf.DUMMYFUNCTION("""COMPUTED_VALUE"""),"Plain Gold")</f>
        <v>Plain Gold</v>
      </c>
      <c r="G1370" s="1"/>
      <c r="H1370" s="1" t="str">
        <f>IFERROR(__xludf.DUMMYFUNCTION("""COMPUTED_VALUE"""),"Mmtc gold coin 50 gm")</f>
        <v>Mmtc gold coin 50 gm</v>
      </c>
      <c r="I1370" s="1"/>
      <c r="J1370" s="1"/>
      <c r="K1370" s="3">
        <f>IFERROR(__xludf.DUMMYFUNCTION("""COMPUTED_VALUE"""),0.75)</f>
        <v>0.75</v>
      </c>
      <c r="L1370" s="1" t="str">
        <f>IFERROR(__xludf.DUMMYFUNCTION("""COMPUTED_VALUE"""),"No")</f>
        <v>No</v>
      </c>
      <c r="M1370" s="1" t="str">
        <f>IFERROR(__xludf.DUMMYFUNCTION("""COMPUTED_VALUE"""),"No")</f>
        <v>No</v>
      </c>
      <c r="N1370" s="1" t="str">
        <f>IFERROR(__xludf.DUMMYFUNCTION("""COMPUTED_VALUE"""),"No")</f>
        <v>No</v>
      </c>
      <c r="O1370" s="1" t="str">
        <f>IFERROR(__xludf.DUMMYFUNCTION("""COMPUTED_VALUE"""),"OWNER CONTACT ONLY")</f>
        <v>OWNER CONTACT ONLY</v>
      </c>
      <c r="P1370" s="1" t="str">
        <f>IFERROR(__xludf.DUMMYFUNCTION("""COMPUTED_VALUE"""),"Sir")</f>
        <v>Sir</v>
      </c>
      <c r="Q1370" s="1" t="str">
        <f>IFERROR(__xludf.DUMMYFUNCTION("""COMPUTED_VALUE"""),"No")</f>
        <v>No</v>
      </c>
      <c r="R1370" s="1" t="str">
        <f>IFERROR(__xludf.DUMMYFUNCTION("""COMPUTED_VALUE"""),"OLD")</f>
        <v>OLD</v>
      </c>
      <c r="S1370" s="1" t="str">
        <f>IFERROR(__xludf.DUMMYFUNCTION("""COMPUTED_VALUE"""),"Yes")</f>
        <v>Yes</v>
      </c>
    </row>
    <row r="1371">
      <c r="A1371" s="2">
        <f>IFERROR(__xludf.DUMMYFUNCTION("""COMPUTED_VALUE"""),45938.80630328704)</f>
        <v>45938.8063</v>
      </c>
      <c r="B1371" s="1" t="str">
        <f>IFERROR(__xludf.DUMMYFUNCTION("""COMPUTED_VALUE"""),"Yagesh ji")</f>
        <v>Yagesh ji</v>
      </c>
      <c r="C1371" s="1">
        <f>IFERROR(__xludf.DUMMYFUNCTION("""COMPUTED_VALUE"""),9.911002648E9)</f>
        <v>9911002648</v>
      </c>
      <c r="D1371" s="1">
        <f>IFERROR(__xludf.DUMMYFUNCTION("""COMPUTED_VALUE"""),2.0)</f>
        <v>2</v>
      </c>
      <c r="E1371" s="3">
        <f>IFERROR(__xludf.DUMMYFUNCTION("""COMPUTED_VALUE"""),0.7847222222189885)</f>
        <v>0.7847222222</v>
      </c>
      <c r="F1371" s="1" t="str">
        <f>IFERROR(__xludf.DUMMYFUNCTION("""COMPUTED_VALUE"""),"Plain Gold")</f>
        <v>Plain Gold</v>
      </c>
      <c r="G1371" s="1"/>
      <c r="H1371" s="1" t="str">
        <f>IFERROR(__xludf.DUMMYFUNCTION("""COMPUTED_VALUE"""),"Here for previous records")</f>
        <v>Here for previous records</v>
      </c>
      <c r="I1371" s="1"/>
      <c r="J1371" s="1"/>
      <c r="K1371" s="3">
        <f>IFERROR(__xludf.DUMMYFUNCTION("""COMPUTED_VALUE"""),0.8125)</f>
        <v>0.8125</v>
      </c>
      <c r="L1371" s="1" t="str">
        <f>IFERROR(__xludf.DUMMYFUNCTION("""COMPUTED_VALUE"""),"No")</f>
        <v>No</v>
      </c>
      <c r="M1371" s="1" t="str">
        <f>IFERROR(__xludf.DUMMYFUNCTION("""COMPUTED_VALUE"""),"Already done")</f>
        <v>Already done</v>
      </c>
      <c r="N1371" s="1" t="str">
        <f>IFERROR(__xludf.DUMMYFUNCTION("""COMPUTED_VALUE"""),"Already done")</f>
        <v>Already done</v>
      </c>
      <c r="O1371" s="1" t="str">
        <f>IFERROR(__xludf.DUMMYFUNCTION("""COMPUTED_VALUE"""),"WA ONLY, OWNER CONTACT ONLY")</f>
        <v>WA ONLY, OWNER CONTACT ONLY</v>
      </c>
      <c r="P1371" s="1" t="str">
        <f>IFERROR(__xludf.DUMMYFUNCTION("""COMPUTED_VALUE"""),"Sir")</f>
        <v>Sir</v>
      </c>
      <c r="Q1371" s="1" t="str">
        <f>IFERROR(__xludf.DUMMYFUNCTION("""COMPUTED_VALUE"""),"No")</f>
        <v>No</v>
      </c>
      <c r="R1371" s="1" t="str">
        <f>IFERROR(__xludf.DUMMYFUNCTION("""COMPUTED_VALUE"""),"OLD")</f>
        <v>OLD</v>
      </c>
      <c r="S1371" s="1" t="str">
        <f>IFERROR(__xludf.DUMMYFUNCTION("""COMPUTED_VALUE"""),"No")</f>
        <v>No</v>
      </c>
    </row>
    <row r="1372">
      <c r="A1372" s="2">
        <f>IFERROR(__xludf.DUMMYFUNCTION("""COMPUTED_VALUE"""),45939.6286690625)</f>
        <v>45939.62867</v>
      </c>
      <c r="B1372" s="1" t="str">
        <f>IFERROR(__xludf.DUMMYFUNCTION("""COMPUTED_VALUE"""),"Rizwan ji")</f>
        <v>Rizwan ji</v>
      </c>
      <c r="C1372" s="1">
        <f>IFERROR(__xludf.DUMMYFUNCTION("""COMPUTED_VALUE"""),9.911136081E9)</f>
        <v>9911136081</v>
      </c>
      <c r="D1372" s="1">
        <f>IFERROR(__xludf.DUMMYFUNCTION("""COMPUTED_VALUE"""),1.0)</f>
        <v>1</v>
      </c>
      <c r="E1372" s="3">
        <f>IFERROR(__xludf.DUMMYFUNCTION("""COMPUTED_VALUE"""),0.5520833333357587)</f>
        <v>0.5520833333</v>
      </c>
      <c r="F1372" s="1" t="str">
        <f>IFERROR(__xludf.DUMMYFUNCTION("""COMPUTED_VALUE"""),"Plain Gold")</f>
        <v>Plain Gold</v>
      </c>
      <c r="G1372" s="1" t="str">
        <f>IFERROR(__xludf.DUMMYFUNCTION("""COMPUTED_VALUE"""),"Pooja")</f>
        <v>Pooja</v>
      </c>
      <c r="H1372" s="1" t="str">
        <f>IFERROR(__xludf.DUMMYFUNCTION("""COMPUTED_VALUE"""),"Nosering")</f>
        <v>Nosering</v>
      </c>
      <c r="I1372" s="1"/>
      <c r="J1372" s="1"/>
      <c r="K1372" s="3">
        <f>IFERROR(__xludf.DUMMYFUNCTION("""COMPUTED_VALUE"""),0.5833333333357587)</f>
        <v>0.5833333333</v>
      </c>
      <c r="L1372" s="1" t="str">
        <f>IFERROR(__xludf.DUMMYFUNCTION("""COMPUTED_VALUE"""),"No")</f>
        <v>No</v>
      </c>
      <c r="M1372" s="1" t="str">
        <f>IFERROR(__xludf.DUMMYFUNCTION("""COMPUTED_VALUE"""),"Yes")</f>
        <v>Yes</v>
      </c>
      <c r="N1372" s="1" t="str">
        <f>IFERROR(__xludf.DUMMYFUNCTION("""COMPUTED_VALUE"""),"No")</f>
        <v>No</v>
      </c>
      <c r="O1372" s="1" t="str">
        <f>IFERROR(__xludf.DUMMYFUNCTION("""COMPUTED_VALUE"""),"WA ONLY")</f>
        <v>WA ONLY</v>
      </c>
      <c r="P1372" s="1" t="str">
        <f>IFERROR(__xludf.DUMMYFUNCTION("""COMPUTED_VALUE"""),"Sir")</f>
        <v>Sir</v>
      </c>
      <c r="Q1372" s="1" t="str">
        <f>IFERROR(__xludf.DUMMYFUNCTION("""COMPUTED_VALUE"""),"No")</f>
        <v>No</v>
      </c>
      <c r="R1372" s="1" t="str">
        <f>IFERROR(__xludf.DUMMYFUNCTION("""COMPUTED_VALUE"""),"NEW WALK IN")</f>
        <v>NEW WALK IN</v>
      </c>
      <c r="S1372" s="1" t="str">
        <f>IFERROR(__xludf.DUMMYFUNCTION("""COMPUTED_VALUE"""),"Yes")</f>
        <v>Yes</v>
      </c>
    </row>
    <row r="1373">
      <c r="A1373" s="2">
        <f>IFERROR(__xludf.DUMMYFUNCTION("""COMPUTED_VALUE"""),45939.78790393518)</f>
        <v>45939.7879</v>
      </c>
      <c r="B1373" s="1" t="str">
        <f>IFERROR(__xludf.DUMMYFUNCTION("""COMPUTED_VALUE"""),"Rizwan ji")</f>
        <v>Rizwan ji</v>
      </c>
      <c r="C1373" s="1">
        <f>IFERROR(__xludf.DUMMYFUNCTION("""COMPUTED_VALUE"""),9.911136081E9)</f>
        <v>9911136081</v>
      </c>
      <c r="D1373" s="1">
        <f>IFERROR(__xludf.DUMMYFUNCTION("""COMPUTED_VALUE"""),1.0)</f>
        <v>1</v>
      </c>
      <c r="E1373" s="3">
        <f>IFERROR(__xludf.DUMMYFUNCTION("""COMPUTED_VALUE"""),0.5520833333357587)</f>
        <v>0.5520833333</v>
      </c>
      <c r="F1373" s="1" t="str">
        <f>IFERROR(__xludf.DUMMYFUNCTION("""COMPUTED_VALUE"""),"Plain Gold")</f>
        <v>Plain Gold</v>
      </c>
      <c r="G1373" s="1" t="str">
        <f>IFERROR(__xludf.DUMMYFUNCTION("""COMPUTED_VALUE"""),"Pooja")</f>
        <v>Pooja</v>
      </c>
      <c r="H1373" s="1" t="str">
        <f>IFERROR(__xludf.DUMMYFUNCTION("""COMPUTED_VALUE"""),"Nose ring")</f>
        <v>Nose ring</v>
      </c>
      <c r="I1373" s="1"/>
      <c r="J1373" s="1"/>
      <c r="K1373" s="3">
        <f>IFERROR(__xludf.DUMMYFUNCTION("""COMPUTED_VALUE"""),0.5833333333357587)</f>
        <v>0.5833333333</v>
      </c>
      <c r="L1373" s="1" t="str">
        <f>IFERROR(__xludf.DUMMYFUNCTION("""COMPUTED_VALUE"""),"No")</f>
        <v>No</v>
      </c>
      <c r="M1373" s="1" t="str">
        <f>IFERROR(__xludf.DUMMYFUNCTION("""COMPUTED_VALUE"""),"Yes")</f>
        <v>Yes</v>
      </c>
      <c r="N1373" s="1" t="str">
        <f>IFERROR(__xludf.DUMMYFUNCTION("""COMPUTED_VALUE"""),"No")</f>
        <v>No</v>
      </c>
      <c r="O1373" s="1" t="str">
        <f>IFERROR(__xludf.DUMMYFUNCTION("""COMPUTED_VALUE"""),"WA ONLY")</f>
        <v>WA ONLY</v>
      </c>
      <c r="P1373" s="1" t="str">
        <f>IFERROR(__xludf.DUMMYFUNCTION("""COMPUTED_VALUE"""),"Sir")</f>
        <v>Sir</v>
      </c>
      <c r="Q1373" s="1" t="str">
        <f>IFERROR(__xludf.DUMMYFUNCTION("""COMPUTED_VALUE"""),"No")</f>
        <v>No</v>
      </c>
      <c r="R1373" s="1" t="str">
        <f>IFERROR(__xludf.DUMMYFUNCTION("""COMPUTED_VALUE"""),"NEW WALK IN")</f>
        <v>NEW WALK IN</v>
      </c>
      <c r="S1373" s="1" t="str">
        <f>IFERROR(__xludf.DUMMYFUNCTION("""COMPUTED_VALUE"""),"Yes")</f>
        <v>Yes</v>
      </c>
    </row>
    <row r="1374">
      <c r="A1374" s="2">
        <f>IFERROR(__xludf.DUMMYFUNCTION("""COMPUTED_VALUE"""),45939.789134108796)</f>
        <v>45939.78913</v>
      </c>
      <c r="B1374" s="1" t="str">
        <f>IFERROR(__xludf.DUMMYFUNCTION("""COMPUTED_VALUE"""),"Aarti ji")</f>
        <v>Aarti ji</v>
      </c>
      <c r="C1374" s="1">
        <f>IFERROR(__xludf.DUMMYFUNCTION("""COMPUTED_VALUE"""),8.920966676E9)</f>
        <v>8920966676</v>
      </c>
      <c r="D1374" s="1">
        <f>IFERROR(__xludf.DUMMYFUNCTION("""COMPUTED_VALUE"""),5.0)</f>
        <v>5</v>
      </c>
      <c r="E1374" s="3">
        <f>IFERROR(__xludf.DUMMYFUNCTION("""COMPUTED_VALUE"""),0.6888888888934162)</f>
        <v>0.6888888889</v>
      </c>
      <c r="F1374" s="1" t="str">
        <f>IFERROR(__xludf.DUMMYFUNCTION("""COMPUTED_VALUE"""),"Plain Gold")</f>
        <v>Plain Gold</v>
      </c>
      <c r="G1374" s="1"/>
      <c r="H1374" s="1" t="str">
        <f>IFERROR(__xludf.DUMMYFUNCTION("""COMPUTED_VALUE"""),"Pendents ")</f>
        <v>Pendents </v>
      </c>
      <c r="I1374" s="1" t="str">
        <f>IFERROR(__xludf.DUMMYFUNCTION("""COMPUTED_VALUE"""),"Needed 1g pendent we didn't had")</f>
        <v>Needed 1g pendent we didn't had</v>
      </c>
      <c r="J1374" s="1"/>
      <c r="K1374" s="3">
        <f>IFERROR(__xludf.DUMMYFUNCTION("""COMPUTED_VALUE"""),0.7083333333357587)</f>
        <v>0.7083333333</v>
      </c>
      <c r="L1374" s="1" t="str">
        <f>IFERROR(__xludf.DUMMYFUNCTION("""COMPUTED_VALUE"""),"No")</f>
        <v>No</v>
      </c>
      <c r="M1374" s="1" t="str">
        <f>IFERROR(__xludf.DUMMYFUNCTION("""COMPUTED_VALUE"""),"No")</f>
        <v>No</v>
      </c>
      <c r="N1374" s="1" t="str">
        <f>IFERROR(__xludf.DUMMYFUNCTION("""COMPUTED_VALUE"""),"No")</f>
        <v>No</v>
      </c>
      <c r="O1374" s="1" t="str">
        <f>IFERROR(__xludf.DUMMYFUNCTION("""COMPUTED_VALUE"""),"WA ONLY")</f>
        <v>WA ONLY</v>
      </c>
      <c r="P1374" s="1" t="str">
        <f>IFERROR(__xludf.DUMMYFUNCTION("""COMPUTED_VALUE"""),"Madam")</f>
        <v>Madam</v>
      </c>
      <c r="Q1374" s="1" t="str">
        <f>IFERROR(__xludf.DUMMYFUNCTION("""COMPUTED_VALUE"""),"No")</f>
        <v>No</v>
      </c>
      <c r="R1374" s="1" t="str">
        <f>IFERROR(__xludf.DUMMYFUNCTION("""COMPUTED_VALUE"""),"NEW WALK IN")</f>
        <v>NEW WALK IN</v>
      </c>
      <c r="S1374" s="1" t="str">
        <f>IFERROR(__xludf.DUMMYFUNCTION("""COMPUTED_VALUE"""),"No")</f>
        <v>No</v>
      </c>
    </row>
    <row r="1375">
      <c r="A1375" s="2">
        <f>IFERROR(__xludf.DUMMYFUNCTION("""COMPUTED_VALUE"""),45940.666624907404)</f>
        <v>45940.66662</v>
      </c>
      <c r="B1375" s="1" t="str">
        <f>IFERROR(__xludf.DUMMYFUNCTION("""COMPUTED_VALUE"""),"Anil kumar")</f>
        <v>Anil kumar</v>
      </c>
      <c r="C1375" s="1">
        <f>IFERROR(__xludf.DUMMYFUNCTION("""COMPUTED_VALUE"""),9.914703643E9)</f>
        <v>9914703643</v>
      </c>
      <c r="D1375" s="1">
        <f>IFERROR(__xludf.DUMMYFUNCTION("""COMPUTED_VALUE"""),1.0)</f>
        <v>1</v>
      </c>
      <c r="E1375" s="3">
        <f>IFERROR(__xludf.DUMMYFUNCTION("""COMPUTED_VALUE"""),0.5104166666642413)</f>
        <v>0.5104166667</v>
      </c>
      <c r="F1375" s="1" t="str">
        <f>IFERROR(__xludf.DUMMYFUNCTION("""COMPUTED_VALUE"""),"Plain Gold")</f>
        <v>Plain Gold</v>
      </c>
      <c r="G1375" s="1"/>
      <c r="H1375" s="1" t="str">
        <f>IFERROR(__xludf.DUMMYFUNCTION("""COMPUTED_VALUE"""),"Gold chain")</f>
        <v>Gold chain</v>
      </c>
      <c r="I1375" s="1" t="str">
        <f>IFERROR(__xludf.DUMMYFUNCTION("""COMPUTED_VALUE"""),"Visit Again in 1 Month")</f>
        <v>Visit Again in 1 Month</v>
      </c>
      <c r="J1375" s="1"/>
      <c r="K1375" s="3">
        <f>IFERROR(__xludf.DUMMYFUNCTION("""COMPUTED_VALUE"""),0.5208333333357587)</f>
        <v>0.5208333333</v>
      </c>
      <c r="L1375" s="1" t="str">
        <f>IFERROR(__xludf.DUMMYFUNCTION("""COMPUTED_VALUE"""),"No")</f>
        <v>No</v>
      </c>
      <c r="M1375" s="1" t="str">
        <f>IFERROR(__xludf.DUMMYFUNCTION("""COMPUTED_VALUE"""),"No")</f>
        <v>No</v>
      </c>
      <c r="N1375" s="1" t="str">
        <f>IFERROR(__xludf.DUMMYFUNCTION("""COMPUTED_VALUE"""),"No")</f>
        <v>No</v>
      </c>
      <c r="O1375" s="1" t="str">
        <f>IFERROR(__xludf.DUMMYFUNCTION("""COMPUTED_VALUE"""),"WA ONLY")</f>
        <v>WA ONLY</v>
      </c>
      <c r="P1375" s="1" t="str">
        <f>IFERROR(__xludf.DUMMYFUNCTION("""COMPUTED_VALUE"""),"Sir")</f>
        <v>Sir</v>
      </c>
      <c r="Q1375" s="1" t="str">
        <f>IFERROR(__xludf.DUMMYFUNCTION("""COMPUTED_VALUE"""),"No")</f>
        <v>No</v>
      </c>
      <c r="R1375" s="1" t="str">
        <f>IFERROR(__xludf.DUMMYFUNCTION("""COMPUTED_VALUE"""),"OLD")</f>
        <v>OLD</v>
      </c>
      <c r="S1375" s="1" t="str">
        <f>IFERROR(__xludf.DUMMYFUNCTION("""COMPUTED_VALUE"""),"No")</f>
        <v>No</v>
      </c>
    </row>
    <row r="1376">
      <c r="A1376" s="2">
        <f>IFERROR(__xludf.DUMMYFUNCTION("""COMPUTED_VALUE"""),45940.66784542824)</f>
        <v>45940.66785</v>
      </c>
      <c r="B1376" s="1" t="str">
        <f>IFERROR(__xludf.DUMMYFUNCTION("""COMPUTED_VALUE"""),"Karan ji")</f>
        <v>Karan ji</v>
      </c>
      <c r="C1376" s="1">
        <f>IFERROR(__xludf.DUMMYFUNCTION("""COMPUTED_VALUE"""),8.448834015E9)</f>
        <v>8448834015</v>
      </c>
      <c r="D1376" s="1">
        <f>IFERROR(__xludf.DUMMYFUNCTION("""COMPUTED_VALUE"""),2.0)</f>
        <v>2</v>
      </c>
      <c r="E1376" s="3">
        <f>IFERROR(__xludf.DUMMYFUNCTION("""COMPUTED_VALUE"""),0.6423611111094942)</f>
        <v>0.6423611111</v>
      </c>
      <c r="F1376" s="1" t="str">
        <f>IFERROR(__xludf.DUMMYFUNCTION("""COMPUTED_VALUE"""),"Silver Items")</f>
        <v>Silver Items</v>
      </c>
      <c r="G1376" s="1"/>
      <c r="H1376" s="1" t="str">
        <f>IFERROR(__xludf.DUMMYFUNCTION("""COMPUTED_VALUE"""),"Anklets")</f>
        <v>Anklets</v>
      </c>
      <c r="I1376" s="1" t="str">
        <f>IFERROR(__xludf.DUMMYFUNCTION("""COMPUTED_VALUE"""),"Designs Not Liked")</f>
        <v>Designs Not Liked</v>
      </c>
      <c r="J1376" s="1"/>
      <c r="K1376" s="3">
        <f>IFERROR(__xludf.DUMMYFUNCTION("""COMPUTED_VALUE"""),0.6597222222189885)</f>
        <v>0.6597222222</v>
      </c>
      <c r="L1376" s="1" t="str">
        <f>IFERROR(__xludf.DUMMYFUNCTION("""COMPUTED_VALUE"""),"No")</f>
        <v>No</v>
      </c>
      <c r="M1376" s="1" t="str">
        <f>IFERROR(__xludf.DUMMYFUNCTION("""COMPUTED_VALUE"""),"No")</f>
        <v>No</v>
      </c>
      <c r="N1376" s="1" t="str">
        <f>IFERROR(__xludf.DUMMYFUNCTION("""COMPUTED_VALUE"""),"No")</f>
        <v>No</v>
      </c>
      <c r="O1376" s="1" t="str">
        <f>IFERROR(__xludf.DUMMYFUNCTION("""COMPUTED_VALUE"""),"WA ONLY, OWNER CONTACT ONLY")</f>
        <v>WA ONLY, OWNER CONTACT ONLY</v>
      </c>
      <c r="P1376" s="1" t="str">
        <f>IFERROR(__xludf.DUMMYFUNCTION("""COMPUTED_VALUE"""),"Sir")</f>
        <v>Sir</v>
      </c>
      <c r="Q1376" s="1" t="str">
        <f>IFERROR(__xludf.DUMMYFUNCTION("""COMPUTED_VALUE"""),"No")</f>
        <v>No</v>
      </c>
      <c r="R1376" s="1" t="str">
        <f>IFERROR(__xludf.DUMMYFUNCTION("""COMPUTED_VALUE"""),"NEW WALK IN")</f>
        <v>NEW WALK IN</v>
      </c>
      <c r="S1376" s="1" t="str">
        <f>IFERROR(__xludf.DUMMYFUNCTION("""COMPUTED_VALUE"""),"No")</f>
        <v>No</v>
      </c>
    </row>
    <row r="1377">
      <c r="A1377" s="2">
        <f>IFERROR(__xludf.DUMMYFUNCTION("""COMPUTED_VALUE"""),45941.5277590162)</f>
        <v>45941.52776</v>
      </c>
      <c r="B1377" s="1" t="str">
        <f>IFERROR(__xludf.DUMMYFUNCTION("""COMPUTED_VALUE"""),"Rizwan ji")</f>
        <v>Rizwan ji</v>
      </c>
      <c r="C1377" s="1">
        <f>IFERROR(__xludf.DUMMYFUNCTION("""COMPUTED_VALUE"""),9.911136081E9)</f>
        <v>9911136081</v>
      </c>
      <c r="D1377" s="1">
        <f>IFERROR(__xludf.DUMMYFUNCTION("""COMPUTED_VALUE"""),1.0)</f>
        <v>1</v>
      </c>
      <c r="E1377" s="3">
        <f>IFERROR(__xludf.DUMMYFUNCTION("""COMPUTED_VALUE"""),0.6645833333313931)</f>
        <v>0.6645833333</v>
      </c>
      <c r="F1377" s="1" t="str">
        <f>IFERROR(__xludf.DUMMYFUNCTION("""COMPUTED_VALUE"""),"Plain Gold")</f>
        <v>Plain Gold</v>
      </c>
      <c r="G1377" s="1"/>
      <c r="H1377" s="1" t="str">
        <f>IFERROR(__xludf.DUMMYFUNCTION("""COMPUTED_VALUE"""),"Nosering")</f>
        <v>Nosering</v>
      </c>
      <c r="I1377" s="1" t="str">
        <f>IFERROR(__xludf.DUMMYFUNCTION("""COMPUTED_VALUE"""),"Found the size big want to replace")</f>
        <v>Found the size big want to replace</v>
      </c>
      <c r="J1377" s="1"/>
      <c r="K1377" s="3">
        <f>IFERROR(__xludf.DUMMYFUNCTION("""COMPUTED_VALUE"""),0.6923611111124046)</f>
        <v>0.6923611111</v>
      </c>
      <c r="L1377" s="1" t="str">
        <f>IFERROR(__xludf.DUMMYFUNCTION("""COMPUTED_VALUE"""),"No")</f>
        <v>No</v>
      </c>
      <c r="M1377" s="1" t="str">
        <f>IFERROR(__xludf.DUMMYFUNCTION("""COMPUTED_VALUE"""),"Already done")</f>
        <v>Already done</v>
      </c>
      <c r="N1377" s="1" t="str">
        <f>IFERROR(__xludf.DUMMYFUNCTION("""COMPUTED_VALUE"""),"Already done")</f>
        <v>Already done</v>
      </c>
      <c r="O1377" s="1" t="str">
        <f>IFERROR(__xludf.DUMMYFUNCTION("""COMPUTED_VALUE"""),"WA ONLY")</f>
        <v>WA ONLY</v>
      </c>
      <c r="P1377" s="1"/>
      <c r="Q1377" s="1" t="str">
        <f>IFERROR(__xludf.DUMMYFUNCTION("""COMPUTED_VALUE"""),"No")</f>
        <v>No</v>
      </c>
      <c r="R1377" s="1" t="str">
        <f>IFERROR(__xludf.DUMMYFUNCTION("""COMPUTED_VALUE"""),"OLD")</f>
        <v>OLD</v>
      </c>
      <c r="S1377" s="1" t="str">
        <f>IFERROR(__xludf.DUMMYFUNCTION("""COMPUTED_VALUE"""),"No")</f>
        <v>No</v>
      </c>
    </row>
    <row r="1378">
      <c r="A1378" s="2">
        <f>IFERROR(__xludf.DUMMYFUNCTION("""COMPUTED_VALUE"""),45941.52896628472)</f>
        <v>45941.52897</v>
      </c>
      <c r="B1378" s="1" t="str">
        <f>IFERROR(__xludf.DUMMYFUNCTION("""COMPUTED_VALUE"""),"Dheeraj ji")</f>
        <v>Dheeraj ji</v>
      </c>
      <c r="C1378" s="1">
        <f>IFERROR(__xludf.DUMMYFUNCTION("""COMPUTED_VALUE"""),9.5551882E9)</f>
        <v>9555188200</v>
      </c>
      <c r="D1378" s="1">
        <f>IFERROR(__xludf.DUMMYFUNCTION("""COMPUTED_VALUE"""),1.0)</f>
        <v>1</v>
      </c>
      <c r="E1378" s="3">
        <f>IFERROR(__xludf.DUMMYFUNCTION("""COMPUTED_VALUE"""),0.6784722222218988)</f>
        <v>0.6784722222</v>
      </c>
      <c r="F1378" s="1" t="str">
        <f>IFERROR(__xludf.DUMMYFUNCTION("""COMPUTED_VALUE"""),"Silver Items")</f>
        <v>Silver Items</v>
      </c>
      <c r="G1378" s="1"/>
      <c r="H1378" s="1" t="str">
        <f>IFERROR(__xludf.DUMMYFUNCTION("""COMPUTED_VALUE"""),"Anklets ")</f>
        <v>Anklets </v>
      </c>
      <c r="I1378" s="1" t="str">
        <f>IFERROR(__xludf.DUMMYFUNCTION("""COMPUTED_VALUE"""),"Didn't had cash")</f>
        <v>Didn't had cash</v>
      </c>
      <c r="J1378" s="1"/>
      <c r="K1378" s="3">
        <f>IFERROR(__xludf.DUMMYFUNCTION("""COMPUTED_VALUE"""),0.7083333333357587)</f>
        <v>0.7083333333</v>
      </c>
      <c r="L1378" s="1" t="str">
        <f>IFERROR(__xludf.DUMMYFUNCTION("""COMPUTED_VALUE"""),"No")</f>
        <v>No</v>
      </c>
      <c r="M1378" s="1" t="str">
        <f>IFERROR(__xludf.DUMMYFUNCTION("""COMPUTED_VALUE"""),"Yes")</f>
        <v>Yes</v>
      </c>
      <c r="N1378" s="1" t="str">
        <f>IFERROR(__xludf.DUMMYFUNCTION("""COMPUTED_VALUE"""),"Yes")</f>
        <v>Yes</v>
      </c>
      <c r="O1378" s="1" t="str">
        <f>IFERROR(__xludf.DUMMYFUNCTION("""COMPUTED_VALUE"""),"WA ONLY")</f>
        <v>WA ONLY</v>
      </c>
      <c r="P1378" s="1" t="str">
        <f>IFERROR(__xludf.DUMMYFUNCTION("""COMPUTED_VALUE"""),"Sir")</f>
        <v>Sir</v>
      </c>
      <c r="Q1378" s="1" t="str">
        <f>IFERROR(__xludf.DUMMYFUNCTION("""COMPUTED_VALUE"""),"No")</f>
        <v>No</v>
      </c>
      <c r="R1378" s="1" t="str">
        <f>IFERROR(__xludf.DUMMYFUNCTION("""COMPUTED_VALUE"""),"NEW WALK IN")</f>
        <v>NEW WALK IN</v>
      </c>
      <c r="S1378" s="1" t="str">
        <f>IFERROR(__xludf.DUMMYFUNCTION("""COMPUTED_VALUE"""),"No")</f>
        <v>No</v>
      </c>
    </row>
    <row r="1379">
      <c r="A1379" s="2">
        <f>IFERROR(__xludf.DUMMYFUNCTION("""COMPUTED_VALUE"""),45941.530462916664)</f>
        <v>45941.53046</v>
      </c>
      <c r="B1379" s="1" t="str">
        <f>IFERROR(__xludf.DUMMYFUNCTION("""COMPUTED_VALUE"""),"Divya ji")</f>
        <v>Divya ji</v>
      </c>
      <c r="C1379" s="1">
        <f>IFERROR(__xludf.DUMMYFUNCTION("""COMPUTED_VALUE"""),7.985310225E9)</f>
        <v>7985310225</v>
      </c>
      <c r="D1379" s="1">
        <f>IFERROR(__xludf.DUMMYFUNCTION("""COMPUTED_VALUE"""),3.0)</f>
        <v>3</v>
      </c>
      <c r="E1379" s="3">
        <f>IFERROR(__xludf.DUMMYFUNCTION("""COMPUTED_VALUE"""),0.7291666666642413)</f>
        <v>0.7291666667</v>
      </c>
      <c r="F1379" s="1" t="str">
        <f>IFERROR(__xludf.DUMMYFUNCTION("""COMPUTED_VALUE"""),"Plain Gold")</f>
        <v>Plain Gold</v>
      </c>
      <c r="G1379" s="1"/>
      <c r="H1379" s="1" t="str">
        <f>IFERROR(__xludf.DUMMYFUNCTION("""COMPUTED_VALUE"""),"Maangteeka")</f>
        <v>Maangteeka</v>
      </c>
      <c r="I1379" s="1"/>
      <c r="J1379" s="1"/>
      <c r="K1379" s="3">
        <f>IFERROR(__xludf.DUMMYFUNCTION("""COMPUTED_VALUE"""),0.75)</f>
        <v>0.75</v>
      </c>
      <c r="L1379" s="1" t="str">
        <f>IFERROR(__xludf.DUMMYFUNCTION("""COMPUTED_VALUE"""),"No")</f>
        <v>No</v>
      </c>
      <c r="M1379" s="1" t="str">
        <f>IFERROR(__xludf.DUMMYFUNCTION("""COMPUTED_VALUE"""),"Yes")</f>
        <v>Yes</v>
      </c>
      <c r="N1379" s="1" t="str">
        <f>IFERROR(__xludf.DUMMYFUNCTION("""COMPUTED_VALUE"""),"Yes")</f>
        <v>Yes</v>
      </c>
      <c r="O1379" s="1" t="str">
        <f>IFERROR(__xludf.DUMMYFUNCTION("""COMPUTED_VALUE"""),"WA ONLY, OWNER CONTACT ONLY")</f>
        <v>WA ONLY, OWNER CONTACT ONLY</v>
      </c>
      <c r="P1379" s="1" t="str">
        <f>IFERROR(__xludf.DUMMYFUNCTION("""COMPUTED_VALUE"""),"Madam")</f>
        <v>Madam</v>
      </c>
      <c r="Q1379" s="1" t="str">
        <f>IFERROR(__xludf.DUMMYFUNCTION("""COMPUTED_VALUE"""),"No")</f>
        <v>No</v>
      </c>
      <c r="R1379" s="1" t="str">
        <f>IFERROR(__xludf.DUMMYFUNCTION("""COMPUTED_VALUE"""),"NEW WALK IN")</f>
        <v>NEW WALK IN</v>
      </c>
      <c r="S1379" s="1" t="str">
        <f>IFERROR(__xludf.DUMMYFUNCTION("""COMPUTED_VALUE"""),"Yes")</f>
        <v>Yes</v>
      </c>
    </row>
    <row r="1380">
      <c r="A1380" s="2">
        <f>IFERROR(__xludf.DUMMYFUNCTION("""COMPUTED_VALUE"""),45941.79740668982)</f>
        <v>45941.79741</v>
      </c>
      <c r="B1380" s="1" t="str">
        <f>IFERROR(__xludf.DUMMYFUNCTION("""COMPUTED_VALUE"""),"Sanjay jha ji")</f>
        <v>Sanjay jha ji</v>
      </c>
      <c r="C1380" s="1">
        <f>IFERROR(__xludf.DUMMYFUNCTION("""COMPUTED_VALUE"""),9.958059151E9)</f>
        <v>9958059151</v>
      </c>
      <c r="D1380" s="1">
        <f>IFERROR(__xludf.DUMMYFUNCTION("""COMPUTED_VALUE"""),1.0)</f>
        <v>1</v>
      </c>
      <c r="E1380" s="3">
        <f>IFERROR(__xludf.DUMMYFUNCTION("""COMPUTED_VALUE"""),0.53125)</f>
        <v>0.53125</v>
      </c>
      <c r="F1380" s="1" t="str">
        <f>IFERROR(__xludf.DUMMYFUNCTION("""COMPUTED_VALUE"""),"Silver Items")</f>
        <v>Silver Items</v>
      </c>
      <c r="G1380" s="1"/>
      <c r="H1380" s="1" t="str">
        <f>IFERROR(__xludf.DUMMYFUNCTION("""COMPUTED_VALUE"""),"Bichiya tops")</f>
        <v>Bichiya tops</v>
      </c>
      <c r="I1380" s="1"/>
      <c r="J1380" s="1"/>
      <c r="K1380" s="3">
        <f>IFERROR(__xludf.DUMMYFUNCTION("""COMPUTED_VALUE"""),0.5569444444408873)</f>
        <v>0.5569444444</v>
      </c>
      <c r="L1380" s="1" t="str">
        <f>IFERROR(__xludf.DUMMYFUNCTION("""COMPUTED_VALUE"""),"No")</f>
        <v>No</v>
      </c>
      <c r="M1380" s="1" t="str">
        <f>IFERROR(__xludf.DUMMYFUNCTION("""COMPUTED_VALUE"""),"No")</f>
        <v>No</v>
      </c>
      <c r="N1380" s="1" t="str">
        <f>IFERROR(__xludf.DUMMYFUNCTION("""COMPUTED_VALUE"""),"No")</f>
        <v>No</v>
      </c>
      <c r="O1380" s="1" t="str">
        <f>IFERROR(__xludf.DUMMYFUNCTION("""COMPUTED_VALUE"""),"WA ONLY")</f>
        <v>WA ONLY</v>
      </c>
      <c r="P1380" s="1" t="str">
        <f>IFERROR(__xludf.DUMMYFUNCTION("""COMPUTED_VALUE"""),"Sir")</f>
        <v>Sir</v>
      </c>
      <c r="Q1380" s="1" t="str">
        <f>IFERROR(__xludf.DUMMYFUNCTION("""COMPUTED_VALUE"""),"No")</f>
        <v>No</v>
      </c>
      <c r="R1380" s="1" t="str">
        <f>IFERROR(__xludf.DUMMYFUNCTION("""COMPUTED_VALUE"""),"NEW WALK IN")</f>
        <v>NEW WALK IN</v>
      </c>
      <c r="S1380" s="1" t="str">
        <f>IFERROR(__xludf.DUMMYFUNCTION("""COMPUTED_VALUE"""),"Yes")</f>
        <v>Yes</v>
      </c>
    </row>
    <row r="1381">
      <c r="A1381" s="2">
        <f>IFERROR(__xludf.DUMMYFUNCTION("""COMPUTED_VALUE"""),45941.798794270835)</f>
        <v>45941.79879</v>
      </c>
      <c r="B1381" s="1" t="str">
        <f>IFERROR(__xludf.DUMMYFUNCTION("""COMPUTED_VALUE"""),"Smita Mishra ji")</f>
        <v>Smita Mishra ji</v>
      </c>
      <c r="C1381" s="1">
        <f>IFERROR(__xludf.DUMMYFUNCTION("""COMPUTED_VALUE"""),8.586813226E9)</f>
        <v>8586813226</v>
      </c>
      <c r="D1381" s="1">
        <f>IFERROR(__xludf.DUMMYFUNCTION("""COMPUTED_VALUE"""),3.0)</f>
        <v>3</v>
      </c>
      <c r="E1381" s="3">
        <f>IFERROR(__xludf.DUMMYFUNCTION("""COMPUTED_VALUE"""),0.5555555555547471)</f>
        <v>0.5555555556</v>
      </c>
      <c r="F1381" s="1" t="str">
        <f>IFERROR(__xludf.DUMMYFUNCTION("""COMPUTED_VALUE"""),"Diamond")</f>
        <v>Diamond</v>
      </c>
      <c r="G1381" s="1"/>
      <c r="H1381" s="1" t="str">
        <f>IFERROR(__xludf.DUMMYFUNCTION("""COMPUTED_VALUE"""),"Ring")</f>
        <v>Ring</v>
      </c>
      <c r="I1381" s="1"/>
      <c r="J1381" s="1"/>
      <c r="K1381" s="3">
        <f>IFERROR(__xludf.DUMMYFUNCTION("""COMPUTED_VALUE"""),0.59375)</f>
        <v>0.59375</v>
      </c>
      <c r="L1381" s="1" t="str">
        <f>IFERROR(__xludf.DUMMYFUNCTION("""COMPUTED_VALUE"""),"No")</f>
        <v>No</v>
      </c>
      <c r="M1381" s="1" t="str">
        <f>IFERROR(__xludf.DUMMYFUNCTION("""COMPUTED_VALUE"""),"Yes")</f>
        <v>Yes</v>
      </c>
      <c r="N1381" s="1" t="str">
        <f>IFERROR(__xludf.DUMMYFUNCTION("""COMPUTED_VALUE"""),"No")</f>
        <v>No</v>
      </c>
      <c r="O1381" s="1" t="str">
        <f>IFERROR(__xludf.DUMMYFUNCTION("""COMPUTED_VALUE"""),"WA ONLY, OWNER CONTACT ONLY")</f>
        <v>WA ONLY, OWNER CONTACT ONLY</v>
      </c>
      <c r="P1381" s="1" t="str">
        <f>IFERROR(__xludf.DUMMYFUNCTION("""COMPUTED_VALUE"""),"Madam")</f>
        <v>Madam</v>
      </c>
      <c r="Q1381" s="1" t="str">
        <f>IFERROR(__xludf.DUMMYFUNCTION("""COMPUTED_VALUE"""),"No")</f>
        <v>No</v>
      </c>
      <c r="R1381" s="1" t="str">
        <f>IFERROR(__xludf.DUMMYFUNCTION("""COMPUTED_VALUE"""),"NEW WALK IN")</f>
        <v>NEW WALK IN</v>
      </c>
      <c r="S1381" s="1" t="str">
        <f>IFERROR(__xludf.DUMMYFUNCTION("""COMPUTED_VALUE"""),"Yes")</f>
        <v>Yes</v>
      </c>
    </row>
    <row r="1382">
      <c r="A1382" s="2">
        <f>IFERROR(__xludf.DUMMYFUNCTION("""COMPUTED_VALUE"""),45941.8000581713)</f>
        <v>45941.80006</v>
      </c>
      <c r="B1382" s="1" t="str">
        <f>IFERROR(__xludf.DUMMYFUNCTION("""COMPUTED_VALUE"""),"Ranbeer kaur ji")</f>
        <v>Ranbeer kaur ji</v>
      </c>
      <c r="C1382" s="1">
        <f>IFERROR(__xludf.DUMMYFUNCTION("""COMPUTED_VALUE"""),9.810100011E9)</f>
        <v>9810100011</v>
      </c>
      <c r="D1382" s="1">
        <f>IFERROR(__xludf.DUMMYFUNCTION("""COMPUTED_VALUE"""),2.0)</f>
        <v>2</v>
      </c>
      <c r="E1382" s="3">
        <f>IFERROR(__xludf.DUMMYFUNCTION("""COMPUTED_VALUE"""),0.5)</f>
        <v>0.5</v>
      </c>
      <c r="F1382" s="1" t="str">
        <f>IFERROR(__xludf.DUMMYFUNCTION("""COMPUTED_VALUE"""),"Silver Items")</f>
        <v>Silver Items</v>
      </c>
      <c r="G1382" s="1"/>
      <c r="H1382" s="1" t="str">
        <f>IFERROR(__xludf.DUMMYFUNCTION("""COMPUTED_VALUE"""),"Gold bangles bracelets ")</f>
        <v>Gold bangles bracelets </v>
      </c>
      <c r="I1382" s="1"/>
      <c r="J1382" s="1"/>
      <c r="K1382" s="3">
        <f>IFERROR(__xludf.DUMMYFUNCTION("""COMPUTED_VALUE"""),0.8125)</f>
        <v>0.8125</v>
      </c>
      <c r="L1382" s="1" t="str">
        <f>IFERROR(__xludf.DUMMYFUNCTION("""COMPUTED_VALUE"""),"No")</f>
        <v>No</v>
      </c>
      <c r="M1382" s="1" t="str">
        <f>IFERROR(__xludf.DUMMYFUNCTION("""COMPUTED_VALUE"""),"Already done ")</f>
        <v>Already done </v>
      </c>
      <c r="N1382" s="1" t="str">
        <f>IFERROR(__xludf.DUMMYFUNCTION("""COMPUTED_VALUE"""),"Already done ")</f>
        <v>Already done </v>
      </c>
      <c r="O1382" s="1" t="str">
        <f>IFERROR(__xludf.DUMMYFUNCTION("""COMPUTED_VALUE"""),"WA ONLY, OWNER CONTACT ONLY")</f>
        <v>WA ONLY, OWNER CONTACT ONLY</v>
      </c>
      <c r="P1382" s="1" t="str">
        <f>IFERROR(__xludf.DUMMYFUNCTION("""COMPUTED_VALUE"""),"Sir")</f>
        <v>Sir</v>
      </c>
      <c r="Q1382" s="1" t="str">
        <f>IFERROR(__xludf.DUMMYFUNCTION("""COMPUTED_VALUE"""),"No")</f>
        <v>No</v>
      </c>
      <c r="R1382" s="1" t="str">
        <f>IFERROR(__xludf.DUMMYFUNCTION("""COMPUTED_VALUE"""),"OLD")</f>
        <v>OLD</v>
      </c>
      <c r="S1382" s="1" t="str">
        <f>IFERROR(__xludf.DUMMYFUNCTION("""COMPUTED_VALUE"""),"Yes")</f>
        <v>Yes</v>
      </c>
    </row>
    <row r="1383">
      <c r="A1383" s="2">
        <f>IFERROR(__xludf.DUMMYFUNCTION("""COMPUTED_VALUE"""),45941.803077986115)</f>
        <v>45941.80308</v>
      </c>
      <c r="B1383" s="1" t="str">
        <f>IFERROR(__xludf.DUMMYFUNCTION("""COMPUTED_VALUE"""),"Nidhi gupta ji")</f>
        <v>Nidhi gupta ji</v>
      </c>
      <c r="C1383" s="1">
        <f>IFERROR(__xludf.DUMMYFUNCTION("""COMPUTED_VALUE"""),9.891715745E9)</f>
        <v>9891715745</v>
      </c>
      <c r="D1383" s="1">
        <f>IFERROR(__xludf.DUMMYFUNCTION("""COMPUTED_VALUE"""),3.0)</f>
        <v>3</v>
      </c>
      <c r="E1383" s="3">
        <f>IFERROR(__xludf.DUMMYFUNCTION("""COMPUTED_VALUE"""),0.6354166666642413)</f>
        <v>0.6354166667</v>
      </c>
      <c r="F1383" s="1" t="str">
        <f>IFERROR(__xludf.DUMMYFUNCTION("""COMPUTED_VALUE"""),"Diamond")</f>
        <v>Diamond</v>
      </c>
      <c r="G1383" s="1"/>
      <c r="H1383" s="1" t="str">
        <f>IFERROR(__xludf.DUMMYFUNCTION("""COMPUTED_VALUE"""),"Diamond sets")</f>
        <v>Diamond sets</v>
      </c>
      <c r="I1383" s="1" t="str">
        <f>IFERROR(__xludf.DUMMYFUNCTION("""COMPUTED_VALUE"""),"Designs Not Liked")</f>
        <v>Designs Not Liked</v>
      </c>
      <c r="J1383" s="1"/>
      <c r="K1383" s="3">
        <f>IFERROR(__xludf.DUMMYFUNCTION("""COMPUTED_VALUE"""),0.7041666666627862)</f>
        <v>0.7041666667</v>
      </c>
      <c r="L1383" s="1" t="str">
        <f>IFERROR(__xludf.DUMMYFUNCTION("""COMPUTED_VALUE"""),"No")</f>
        <v>No</v>
      </c>
      <c r="M1383" s="1" t="str">
        <f>IFERROR(__xludf.DUMMYFUNCTION("""COMPUTED_VALUE"""),"No")</f>
        <v>No</v>
      </c>
      <c r="N1383" s="1" t="str">
        <f>IFERROR(__xludf.DUMMYFUNCTION("""COMPUTED_VALUE"""),"No")</f>
        <v>No</v>
      </c>
      <c r="O1383" s="1" t="str">
        <f>IFERROR(__xludf.DUMMYFUNCTION("""COMPUTED_VALUE"""),"WA ONLY")</f>
        <v>WA ONLY</v>
      </c>
      <c r="P1383" s="1" t="str">
        <f>IFERROR(__xludf.DUMMYFUNCTION("""COMPUTED_VALUE"""),"Madam")</f>
        <v>Madam</v>
      </c>
      <c r="Q1383" s="1" t="str">
        <f>IFERROR(__xludf.DUMMYFUNCTION("""COMPUTED_VALUE"""),"No")</f>
        <v>No</v>
      </c>
      <c r="R1383" s="1" t="str">
        <f>IFERROR(__xludf.DUMMYFUNCTION("""COMPUTED_VALUE"""),"NEW WALK IN")</f>
        <v>NEW WALK IN</v>
      </c>
      <c r="S1383" s="1" t="str">
        <f>IFERROR(__xludf.DUMMYFUNCTION("""COMPUTED_VALUE"""),"No")</f>
        <v>No</v>
      </c>
    </row>
    <row r="1384">
      <c r="A1384" s="2">
        <f>IFERROR(__xludf.DUMMYFUNCTION("""COMPUTED_VALUE"""),45941.806777453705)</f>
        <v>45941.80678</v>
      </c>
      <c r="B1384" s="1" t="str">
        <f>IFERROR(__xludf.DUMMYFUNCTION("""COMPUTED_VALUE"""),"Meeru kapoor ji")</f>
        <v>Meeru kapoor ji</v>
      </c>
      <c r="C1384" s="1">
        <f>IFERROR(__xludf.DUMMYFUNCTION("""COMPUTED_VALUE"""),9.999103109E9)</f>
        <v>9999103109</v>
      </c>
      <c r="D1384" s="1">
        <f>IFERROR(__xludf.DUMMYFUNCTION("""COMPUTED_VALUE"""),2.0)</f>
        <v>2</v>
      </c>
      <c r="E1384" s="3">
        <f>IFERROR(__xludf.DUMMYFUNCTION("""COMPUTED_VALUE"""),0.75)</f>
        <v>0.75</v>
      </c>
      <c r="F1384" s="1" t="str">
        <f>IFERROR(__xludf.DUMMYFUNCTION("""COMPUTED_VALUE"""),"Silver Items")</f>
        <v>Silver Items</v>
      </c>
      <c r="G1384" s="1"/>
      <c r="H1384" s="1" t="str">
        <f>IFERROR(__xludf.DUMMYFUNCTION("""COMPUTED_VALUE"""),"Coins 100 gm")</f>
        <v>Coins 100 gm</v>
      </c>
      <c r="I1384" s="1" t="str">
        <f>IFERROR(__xludf.DUMMYFUNCTION("""COMPUTED_VALUE"""),"Looking for a unique shape")</f>
        <v>Looking for a unique shape</v>
      </c>
      <c r="J1384" s="1"/>
      <c r="K1384" s="3">
        <f>IFERROR(__xludf.DUMMYFUNCTION("""COMPUTED_VALUE"""),0.7604166666642413)</f>
        <v>0.7604166667</v>
      </c>
      <c r="L1384" s="1" t="str">
        <f>IFERROR(__xludf.DUMMYFUNCTION("""COMPUTED_VALUE"""),"No")</f>
        <v>No</v>
      </c>
      <c r="M1384" s="1" t="str">
        <f>IFERROR(__xludf.DUMMYFUNCTION("""COMPUTED_VALUE"""),"No")</f>
        <v>No</v>
      </c>
      <c r="N1384" s="1" t="str">
        <f>IFERROR(__xludf.DUMMYFUNCTION("""COMPUTED_VALUE"""),"No")</f>
        <v>No</v>
      </c>
      <c r="O1384" s="1" t="str">
        <f>IFERROR(__xludf.DUMMYFUNCTION("""COMPUTED_VALUE"""),"WA ONLY")</f>
        <v>WA ONLY</v>
      </c>
      <c r="P1384" s="1" t="str">
        <f>IFERROR(__xludf.DUMMYFUNCTION("""COMPUTED_VALUE"""),"Madam")</f>
        <v>Madam</v>
      </c>
      <c r="Q1384" s="1" t="str">
        <f>IFERROR(__xludf.DUMMYFUNCTION("""COMPUTED_VALUE"""),"No")</f>
        <v>No</v>
      </c>
      <c r="R1384" s="1" t="str">
        <f>IFERROR(__xludf.DUMMYFUNCTION("""COMPUTED_VALUE"""),"NEW WALK IN")</f>
        <v>NEW WALK IN</v>
      </c>
      <c r="S1384" s="1" t="str">
        <f>IFERROR(__xludf.DUMMYFUNCTION("""COMPUTED_VALUE"""),"No")</f>
        <v>No</v>
      </c>
    </row>
    <row r="1385">
      <c r="A1385" s="2">
        <f>IFERROR(__xludf.DUMMYFUNCTION("""COMPUTED_VALUE"""),45941.81041715278)</f>
        <v>45941.81042</v>
      </c>
      <c r="B1385" s="1" t="str">
        <f>IFERROR(__xludf.DUMMYFUNCTION("""COMPUTED_VALUE"""),"Viren ji")</f>
        <v>Viren ji</v>
      </c>
      <c r="C1385" s="1">
        <f>IFERROR(__xludf.DUMMYFUNCTION("""COMPUTED_VALUE"""),9.999796925E9)</f>
        <v>9999796925</v>
      </c>
      <c r="D1385" s="1">
        <f>IFERROR(__xludf.DUMMYFUNCTION("""COMPUTED_VALUE"""),2.0)</f>
        <v>2</v>
      </c>
      <c r="E1385" s="3">
        <f>IFERROR(__xludf.DUMMYFUNCTION("""COMPUTED_VALUE"""),0.78125)</f>
        <v>0.78125</v>
      </c>
      <c r="F1385" s="1" t="str">
        <f>IFERROR(__xludf.DUMMYFUNCTION("""COMPUTED_VALUE"""),"Plain Gold")</f>
        <v>Plain Gold</v>
      </c>
      <c r="G1385" s="1"/>
      <c r="H1385" s="1" t="str">
        <f>IFERROR(__xludf.DUMMYFUNCTION("""COMPUTED_VALUE"""),"Mangalsutra ")</f>
        <v>Mangalsutra </v>
      </c>
      <c r="I1385" s="1" t="str">
        <f>IFERROR(__xludf.DUMMYFUNCTION("""COMPUTED_VALUE"""),"Will visit the market and compare")</f>
        <v>Will visit the market and compare</v>
      </c>
      <c r="J1385" s="1"/>
      <c r="K1385" s="3">
        <f>IFERROR(__xludf.DUMMYFUNCTION("""COMPUTED_VALUE"""),0.797222222223354)</f>
        <v>0.7972222222</v>
      </c>
      <c r="L1385" s="1" t="str">
        <f>IFERROR(__xludf.DUMMYFUNCTION("""COMPUTED_VALUE"""),"No")</f>
        <v>No</v>
      </c>
      <c r="M1385" s="1" t="str">
        <f>IFERROR(__xludf.DUMMYFUNCTION("""COMPUTED_VALUE"""),"No")</f>
        <v>No</v>
      </c>
      <c r="N1385" s="1" t="str">
        <f>IFERROR(__xludf.DUMMYFUNCTION("""COMPUTED_VALUE"""),"No")</f>
        <v>No</v>
      </c>
      <c r="O1385" s="1" t="str">
        <f>IFERROR(__xludf.DUMMYFUNCTION("""COMPUTED_VALUE"""),"WA ONLY")</f>
        <v>WA ONLY</v>
      </c>
      <c r="P1385" s="1" t="str">
        <f>IFERROR(__xludf.DUMMYFUNCTION("""COMPUTED_VALUE"""),"Sir")</f>
        <v>Sir</v>
      </c>
      <c r="Q1385" s="1" t="str">
        <f>IFERROR(__xludf.DUMMYFUNCTION("""COMPUTED_VALUE"""),"No")</f>
        <v>No</v>
      </c>
      <c r="R1385" s="1" t="str">
        <f>IFERROR(__xludf.DUMMYFUNCTION("""COMPUTED_VALUE"""),"OLD")</f>
        <v>OLD</v>
      </c>
      <c r="S1385" s="1" t="str">
        <f>IFERROR(__xludf.DUMMYFUNCTION("""COMPUTED_VALUE"""),"No")</f>
        <v>No</v>
      </c>
    </row>
    <row r="1386">
      <c r="A1386" s="2">
        <f>IFERROR(__xludf.DUMMYFUNCTION("""COMPUTED_VALUE"""),45942.79912488426)</f>
        <v>45942.79912</v>
      </c>
      <c r="B1386" s="1" t="str">
        <f>IFERROR(__xludf.DUMMYFUNCTION("""COMPUTED_VALUE"""),"Seema ji")</f>
        <v>Seema ji</v>
      </c>
      <c r="C1386" s="1">
        <f>IFERROR(__xludf.DUMMYFUNCTION("""COMPUTED_VALUE"""),9.810413272E9)</f>
        <v>9810413272</v>
      </c>
      <c r="D1386" s="1">
        <f>IFERROR(__xludf.DUMMYFUNCTION("""COMPUTED_VALUE"""),2.0)</f>
        <v>2</v>
      </c>
      <c r="E1386" s="3">
        <f>IFERROR(__xludf.DUMMYFUNCTION("""COMPUTED_VALUE"""),0.48958333333575865)</f>
        <v>0.4895833333</v>
      </c>
      <c r="F1386" s="1" t="str">
        <f>IFERROR(__xludf.DUMMYFUNCTION("""COMPUTED_VALUE"""),"Plain Gold")</f>
        <v>Plain Gold</v>
      </c>
      <c r="G1386" s="1"/>
      <c r="H1386" s="1" t="str">
        <f>IFERROR(__xludf.DUMMYFUNCTION("""COMPUTED_VALUE"""),"Bracelets and silver items")</f>
        <v>Bracelets and silver items</v>
      </c>
      <c r="I1386" s="1"/>
      <c r="J1386" s="1"/>
      <c r="K1386" s="3">
        <f>IFERROR(__xludf.DUMMYFUNCTION("""COMPUTED_VALUE"""),0.5284722222204437)</f>
        <v>0.5284722222</v>
      </c>
      <c r="L1386" s="1" t="str">
        <f>IFERROR(__xludf.DUMMYFUNCTION("""COMPUTED_VALUE"""),"No")</f>
        <v>No</v>
      </c>
      <c r="M1386" s="1" t="str">
        <f>IFERROR(__xludf.DUMMYFUNCTION("""COMPUTED_VALUE"""),"No")</f>
        <v>No</v>
      </c>
      <c r="N1386" s="1" t="str">
        <f>IFERROR(__xludf.DUMMYFUNCTION("""COMPUTED_VALUE"""),"No")</f>
        <v>No</v>
      </c>
      <c r="O1386" s="1" t="str">
        <f>IFERROR(__xludf.DUMMYFUNCTION("""COMPUTED_VALUE"""),"WA ONLY")</f>
        <v>WA ONLY</v>
      </c>
      <c r="P1386" s="1" t="str">
        <f>IFERROR(__xludf.DUMMYFUNCTION("""COMPUTED_VALUE"""),"Madam")</f>
        <v>Madam</v>
      </c>
      <c r="Q1386" s="1" t="str">
        <f>IFERROR(__xludf.DUMMYFUNCTION("""COMPUTED_VALUE"""),"No")</f>
        <v>No</v>
      </c>
      <c r="R1386" s="1" t="str">
        <f>IFERROR(__xludf.DUMMYFUNCTION("""COMPUTED_VALUE"""),"OLD")</f>
        <v>OLD</v>
      </c>
      <c r="S1386" s="1" t="str">
        <f>IFERROR(__xludf.DUMMYFUNCTION("""COMPUTED_VALUE"""),"Yes")</f>
        <v>Yes</v>
      </c>
    </row>
    <row r="1387">
      <c r="A1387" s="2">
        <f>IFERROR(__xludf.DUMMYFUNCTION("""COMPUTED_VALUE"""),45942.80133244213)</f>
        <v>45942.80133</v>
      </c>
      <c r="B1387" s="1" t="str">
        <f>IFERROR(__xludf.DUMMYFUNCTION("""COMPUTED_VALUE"""),"Md. Kesar khan")</f>
        <v>Md. Kesar khan</v>
      </c>
      <c r="C1387" s="1">
        <f>IFERROR(__xludf.DUMMYFUNCTION("""COMPUTED_VALUE"""),9.999728283E9)</f>
        <v>9999728283</v>
      </c>
      <c r="D1387" s="1">
        <f>IFERROR(__xludf.DUMMYFUNCTION("""COMPUTED_VALUE"""),6.0)</f>
        <v>6</v>
      </c>
      <c r="E1387" s="3">
        <f>IFERROR(__xludf.DUMMYFUNCTION("""COMPUTED_VALUE"""),0.5416666666642413)</f>
        <v>0.5416666667</v>
      </c>
      <c r="F1387" s="1" t="str">
        <f>IFERROR(__xludf.DUMMYFUNCTION("""COMPUTED_VALUE"""),"Plain Gold")</f>
        <v>Plain Gold</v>
      </c>
      <c r="G1387" s="1"/>
      <c r="H1387" s="1" t="str">
        <f>IFERROR(__xludf.DUMMYFUNCTION("""COMPUTED_VALUE"""),"Rings")</f>
        <v>Rings</v>
      </c>
      <c r="I1387" s="1"/>
      <c r="J1387" s="1"/>
      <c r="K1387" s="3">
        <f>IFERROR(__xludf.DUMMYFUNCTION("""COMPUTED_VALUE"""),0.6041666666642413)</f>
        <v>0.6041666667</v>
      </c>
      <c r="L1387" s="1" t="str">
        <f>IFERROR(__xludf.DUMMYFUNCTION("""COMPUTED_VALUE"""),"No")</f>
        <v>No</v>
      </c>
      <c r="M1387" s="1" t="str">
        <f>IFERROR(__xludf.DUMMYFUNCTION("""COMPUTED_VALUE"""),"Already done")</f>
        <v>Already done</v>
      </c>
      <c r="N1387" s="1" t="str">
        <f>IFERROR(__xludf.DUMMYFUNCTION("""COMPUTED_VALUE"""),"Already done")</f>
        <v>Already done</v>
      </c>
      <c r="O1387" s="1" t="str">
        <f>IFERROR(__xludf.DUMMYFUNCTION("""COMPUTED_VALUE"""),"WA ONLY")</f>
        <v>WA ONLY</v>
      </c>
      <c r="P1387" s="1" t="str">
        <f>IFERROR(__xludf.DUMMYFUNCTION("""COMPUTED_VALUE"""),"Sir")</f>
        <v>Sir</v>
      </c>
      <c r="Q1387" s="1" t="str">
        <f>IFERROR(__xludf.DUMMYFUNCTION("""COMPUTED_VALUE"""),"Yes")</f>
        <v>Yes</v>
      </c>
      <c r="R1387" s="1" t="str">
        <f>IFERROR(__xludf.DUMMYFUNCTION("""COMPUTED_VALUE"""),"OLD")</f>
        <v>OLD</v>
      </c>
      <c r="S1387" s="1" t="str">
        <f>IFERROR(__xludf.DUMMYFUNCTION("""COMPUTED_VALUE"""),"Yes")</f>
        <v>Yes</v>
      </c>
    </row>
    <row r="1388">
      <c r="A1388" s="2">
        <f>IFERROR(__xludf.DUMMYFUNCTION("""COMPUTED_VALUE"""),45942.802856863425)</f>
        <v>45942.80286</v>
      </c>
      <c r="B1388" s="1" t="str">
        <f>IFERROR(__xludf.DUMMYFUNCTION("""COMPUTED_VALUE"""),"Chanchal ji")</f>
        <v>Chanchal ji</v>
      </c>
      <c r="C1388" s="1">
        <f>IFERROR(__xludf.DUMMYFUNCTION("""COMPUTED_VALUE"""),9.871282922E9)</f>
        <v>9871282922</v>
      </c>
      <c r="D1388" s="1">
        <f>IFERROR(__xludf.DUMMYFUNCTION("""COMPUTED_VALUE"""),3.0)</f>
        <v>3</v>
      </c>
      <c r="E1388" s="3">
        <f>IFERROR(__xludf.DUMMYFUNCTION("""COMPUTED_VALUE"""),0.5625)</f>
        <v>0.5625</v>
      </c>
      <c r="F1388" s="1" t="str">
        <f>IFERROR(__xludf.DUMMYFUNCTION("""COMPUTED_VALUE"""),"Diamond")</f>
        <v>Diamond</v>
      </c>
      <c r="G1388" s="1"/>
      <c r="H1388" s="1" t="str">
        <f>IFERROR(__xludf.DUMMYFUNCTION("""COMPUTED_VALUE"""),"Silver bar")</f>
        <v>Silver bar</v>
      </c>
      <c r="I1388" s="1"/>
      <c r="J1388" s="1"/>
      <c r="K1388" s="3">
        <f>IFERROR(__xludf.DUMMYFUNCTION("""COMPUTED_VALUE"""),0.6597222222189885)</f>
        <v>0.6597222222</v>
      </c>
      <c r="L1388" s="1" t="str">
        <f>IFERROR(__xludf.DUMMYFUNCTION("""COMPUTED_VALUE"""),"No")</f>
        <v>No</v>
      </c>
      <c r="M1388" s="1" t="str">
        <f>IFERROR(__xludf.DUMMYFUNCTION("""COMPUTED_VALUE"""),"No")</f>
        <v>No</v>
      </c>
      <c r="N1388" s="1" t="str">
        <f>IFERROR(__xludf.DUMMYFUNCTION("""COMPUTED_VALUE"""),"No")</f>
        <v>No</v>
      </c>
      <c r="O1388" s="1" t="str">
        <f>IFERROR(__xludf.DUMMYFUNCTION("""COMPUTED_VALUE"""),"WA ONLY")</f>
        <v>WA ONLY</v>
      </c>
      <c r="P1388" s="1" t="str">
        <f>IFERROR(__xludf.DUMMYFUNCTION("""COMPUTED_VALUE"""),"Madam")</f>
        <v>Madam</v>
      </c>
      <c r="Q1388" s="1" t="str">
        <f>IFERROR(__xludf.DUMMYFUNCTION("""COMPUTED_VALUE"""),"Yes")</f>
        <v>Yes</v>
      </c>
      <c r="R1388" s="1" t="str">
        <f>IFERROR(__xludf.DUMMYFUNCTION("""COMPUTED_VALUE"""),"OLD")</f>
        <v>OLD</v>
      </c>
      <c r="S1388" s="1" t="str">
        <f>IFERROR(__xludf.DUMMYFUNCTION("""COMPUTED_VALUE"""),"No")</f>
        <v>No</v>
      </c>
    </row>
    <row r="1389">
      <c r="A1389" s="2">
        <f>IFERROR(__xludf.DUMMYFUNCTION("""COMPUTED_VALUE"""),45942.80621105324)</f>
        <v>45942.80621</v>
      </c>
      <c r="B1389" s="1" t="str">
        <f>IFERROR(__xludf.DUMMYFUNCTION("""COMPUTED_VALUE"""),"Shahista khan ji")</f>
        <v>Shahista khan ji</v>
      </c>
      <c r="C1389" s="1">
        <f>IFERROR(__xludf.DUMMYFUNCTION("""COMPUTED_VALUE"""),8.860741616E9)</f>
        <v>8860741616</v>
      </c>
      <c r="D1389" s="1">
        <f>IFERROR(__xludf.DUMMYFUNCTION("""COMPUTED_VALUE"""),1.0)</f>
        <v>1</v>
      </c>
      <c r="E1389" s="3">
        <f>IFERROR(__xludf.DUMMYFUNCTION("""COMPUTED_VALUE"""),0.5208333333357587)</f>
        <v>0.5208333333</v>
      </c>
      <c r="F1389" s="1" t="str">
        <f>IFERROR(__xludf.DUMMYFUNCTION("""COMPUTED_VALUE"""),"Silver Items")</f>
        <v>Silver Items</v>
      </c>
      <c r="G1389" s="1"/>
      <c r="H1389" s="1" t="str">
        <f>IFERROR(__xludf.DUMMYFUNCTION("""COMPUTED_VALUE"""),"Chains")</f>
        <v>Chains</v>
      </c>
      <c r="I1389" s="1"/>
      <c r="J1389" s="1"/>
      <c r="K1389" s="3">
        <f>IFERROR(__xludf.DUMMYFUNCTION("""COMPUTED_VALUE"""),0.625)</f>
        <v>0.625</v>
      </c>
      <c r="L1389" s="1" t="str">
        <f>IFERROR(__xludf.DUMMYFUNCTION("""COMPUTED_VALUE"""),"No")</f>
        <v>No</v>
      </c>
      <c r="M1389" s="1" t="str">
        <f>IFERROR(__xludf.DUMMYFUNCTION("""COMPUTED_VALUE"""),"Already done")</f>
        <v>Already done</v>
      </c>
      <c r="N1389" s="1" t="str">
        <f>IFERROR(__xludf.DUMMYFUNCTION("""COMPUTED_VALUE"""),"Already done")</f>
        <v>Already done</v>
      </c>
      <c r="O1389" s="1" t="str">
        <f>IFERROR(__xludf.DUMMYFUNCTION("""COMPUTED_VALUE"""),"WA ONLY")</f>
        <v>WA ONLY</v>
      </c>
      <c r="P1389" s="1" t="str">
        <f>IFERROR(__xludf.DUMMYFUNCTION("""COMPUTED_VALUE"""),"Madam")</f>
        <v>Madam</v>
      </c>
      <c r="Q1389" s="1" t="str">
        <f>IFERROR(__xludf.DUMMYFUNCTION("""COMPUTED_VALUE"""),"No")</f>
        <v>No</v>
      </c>
      <c r="R1389" s="1" t="str">
        <f>IFERROR(__xludf.DUMMYFUNCTION("""COMPUTED_VALUE"""),"OLD")</f>
        <v>OLD</v>
      </c>
      <c r="S1389" s="1" t="str">
        <f>IFERROR(__xludf.DUMMYFUNCTION("""COMPUTED_VALUE"""),"Yes")</f>
        <v>Yes</v>
      </c>
    </row>
    <row r="1390">
      <c r="A1390" s="2">
        <f>IFERROR(__xludf.DUMMYFUNCTION("""COMPUTED_VALUE"""),45942.80803039352)</f>
        <v>45942.80803</v>
      </c>
      <c r="B1390" s="1" t="str">
        <f>IFERROR(__xludf.DUMMYFUNCTION("""COMPUTED_VALUE"""),"Shashwat ji")</f>
        <v>Shashwat ji</v>
      </c>
      <c r="C1390" s="1">
        <f>IFERROR(__xludf.DUMMYFUNCTION("""COMPUTED_VALUE"""),7.827574738E9)</f>
        <v>7827574738</v>
      </c>
      <c r="D1390" s="1">
        <f>IFERROR(__xludf.DUMMYFUNCTION("""COMPUTED_VALUE"""),1.0)</f>
        <v>1</v>
      </c>
      <c r="E1390" s="3">
        <f>IFERROR(__xludf.DUMMYFUNCTION("""COMPUTED_VALUE"""),0.5798611111094942)</f>
        <v>0.5798611111</v>
      </c>
      <c r="F1390" s="1" t="str">
        <f>IFERROR(__xludf.DUMMYFUNCTION("""COMPUTED_VALUE"""),"Silver Items")</f>
        <v>Silver Items</v>
      </c>
      <c r="G1390" s="1"/>
      <c r="H1390" s="1" t="str">
        <f>IFERROR(__xludf.DUMMYFUNCTION("""COMPUTED_VALUE"""),"Here for kitty")</f>
        <v>Here for kitty</v>
      </c>
      <c r="I1390" s="1"/>
      <c r="J1390" s="1"/>
      <c r="K1390" s="3">
        <f>IFERROR(__xludf.DUMMYFUNCTION("""COMPUTED_VALUE"""),0.6076388888905058)</f>
        <v>0.6076388889</v>
      </c>
      <c r="L1390" s="1" t="str">
        <f>IFERROR(__xludf.DUMMYFUNCTION("""COMPUTED_VALUE"""),"No")</f>
        <v>No</v>
      </c>
      <c r="M1390" s="1" t="str">
        <f>IFERROR(__xludf.DUMMYFUNCTION("""COMPUTED_VALUE"""),"Already done")</f>
        <v>Already done</v>
      </c>
      <c r="N1390" s="1" t="str">
        <f>IFERROR(__xludf.DUMMYFUNCTION("""COMPUTED_VALUE"""),"Already done")</f>
        <v>Already done</v>
      </c>
      <c r="O1390" s="1" t="str">
        <f>IFERROR(__xludf.DUMMYFUNCTION("""COMPUTED_VALUE"""),"WA ONLY")</f>
        <v>WA ONLY</v>
      </c>
      <c r="P1390" s="1" t="str">
        <f>IFERROR(__xludf.DUMMYFUNCTION("""COMPUTED_VALUE"""),"Sir")</f>
        <v>Sir</v>
      </c>
      <c r="Q1390" s="1" t="str">
        <f>IFERROR(__xludf.DUMMYFUNCTION("""COMPUTED_VALUE"""),"Yes")</f>
        <v>Yes</v>
      </c>
      <c r="R1390" s="1" t="str">
        <f>IFERROR(__xludf.DUMMYFUNCTION("""COMPUTED_VALUE"""),"OLD")</f>
        <v>OLD</v>
      </c>
      <c r="S1390" s="1" t="str">
        <f>IFERROR(__xludf.DUMMYFUNCTION("""COMPUTED_VALUE"""),"No")</f>
        <v>No</v>
      </c>
    </row>
    <row r="1391">
      <c r="A1391" s="2">
        <f>IFERROR(__xludf.DUMMYFUNCTION("""COMPUTED_VALUE"""),45942.80926405093)</f>
        <v>45942.80926</v>
      </c>
      <c r="B1391" s="1" t="str">
        <f>IFERROR(__xludf.DUMMYFUNCTION("""COMPUTED_VALUE"""),"R.K Tiwari")</f>
        <v>R.K Tiwari</v>
      </c>
      <c r="C1391" s="1">
        <f>IFERROR(__xludf.DUMMYFUNCTION("""COMPUTED_VALUE"""),9.555152166E9)</f>
        <v>9555152166</v>
      </c>
      <c r="D1391" s="1">
        <f>IFERROR(__xludf.DUMMYFUNCTION("""COMPUTED_VALUE"""),2.0)</f>
        <v>2</v>
      </c>
      <c r="E1391" s="3">
        <f>IFERROR(__xludf.DUMMYFUNCTION("""COMPUTED_VALUE"""),0.5868055555547471)</f>
        <v>0.5868055556</v>
      </c>
      <c r="F1391" s="1" t="str">
        <f>IFERROR(__xludf.DUMMYFUNCTION("""COMPUTED_VALUE"""),"Plain Gold")</f>
        <v>Plain Gold</v>
      </c>
      <c r="G1391" s="1"/>
      <c r="H1391" s="1" t="str">
        <f>IFERROR(__xludf.DUMMYFUNCTION("""COMPUTED_VALUE"""),"Chain")</f>
        <v>Chain</v>
      </c>
      <c r="I1391" s="1" t="str">
        <f>IFERROR(__xludf.DUMMYFUNCTION("""COMPUTED_VALUE"""),"Designs Not Liked")</f>
        <v>Designs Not Liked</v>
      </c>
      <c r="J1391" s="1"/>
      <c r="K1391" s="3">
        <f>IFERROR(__xludf.DUMMYFUNCTION("""COMPUTED_VALUE"""),0.5909722222204437)</f>
        <v>0.5909722222</v>
      </c>
      <c r="L1391" s="1" t="str">
        <f>IFERROR(__xludf.DUMMYFUNCTION("""COMPUTED_VALUE"""),"No")</f>
        <v>No</v>
      </c>
      <c r="M1391" s="1" t="str">
        <f>IFERROR(__xludf.DUMMYFUNCTION("""COMPUTED_VALUE"""),"No")</f>
        <v>No</v>
      </c>
      <c r="N1391" s="1" t="str">
        <f>IFERROR(__xludf.DUMMYFUNCTION("""COMPUTED_VALUE"""),"No")</f>
        <v>No</v>
      </c>
      <c r="O1391" s="1" t="str">
        <f>IFERROR(__xludf.DUMMYFUNCTION("""COMPUTED_VALUE"""),"WA ONLY")</f>
        <v>WA ONLY</v>
      </c>
      <c r="P1391" s="1" t="str">
        <f>IFERROR(__xludf.DUMMYFUNCTION("""COMPUTED_VALUE"""),"Sir")</f>
        <v>Sir</v>
      </c>
      <c r="Q1391" s="1" t="str">
        <f>IFERROR(__xludf.DUMMYFUNCTION("""COMPUTED_VALUE"""),"No")</f>
        <v>No</v>
      </c>
      <c r="R1391" s="1" t="str">
        <f>IFERROR(__xludf.DUMMYFUNCTION("""COMPUTED_VALUE"""),"NEW WALK IN")</f>
        <v>NEW WALK IN</v>
      </c>
      <c r="S1391" s="1" t="str">
        <f>IFERROR(__xludf.DUMMYFUNCTION("""COMPUTED_VALUE"""),"No")</f>
        <v>No</v>
      </c>
    </row>
    <row r="1392">
      <c r="A1392" s="2">
        <f>IFERROR(__xludf.DUMMYFUNCTION("""COMPUTED_VALUE"""),45945.56817155093)</f>
        <v>45945.56817</v>
      </c>
      <c r="B1392" s="1" t="str">
        <f>IFERROR(__xludf.DUMMYFUNCTION("""COMPUTED_VALUE"""),"Ruchika ji")</f>
        <v>Ruchika ji</v>
      </c>
      <c r="C1392" s="1">
        <f>IFERROR(__xludf.DUMMYFUNCTION("""COMPUTED_VALUE"""),9.871084213E9)</f>
        <v>9871084213</v>
      </c>
      <c r="D1392" s="1">
        <f>IFERROR(__xludf.DUMMYFUNCTION("""COMPUTED_VALUE"""),2.0)</f>
        <v>2</v>
      </c>
      <c r="E1392" s="3">
        <f>IFERROR(__xludf.DUMMYFUNCTION("""COMPUTED_VALUE"""),0.53125)</f>
        <v>0.53125</v>
      </c>
      <c r="F1392" s="1" t="str">
        <f>IFERROR(__xludf.DUMMYFUNCTION("""COMPUTED_VALUE"""),"Silver Items")</f>
        <v>Silver Items</v>
      </c>
      <c r="G1392" s="1"/>
      <c r="H1392" s="1" t="str">
        <f>IFERROR(__xludf.DUMMYFUNCTION("""COMPUTED_VALUE"""),"Silver thaali's")</f>
        <v>Silver thaali's</v>
      </c>
      <c r="I1392" s="1"/>
      <c r="J1392" s="1"/>
      <c r="K1392" s="3">
        <f>IFERROR(__xludf.DUMMYFUNCTION("""COMPUTED_VALUE"""),0.5673611111124046)</f>
        <v>0.5673611111</v>
      </c>
      <c r="L1392" s="1" t="str">
        <f>IFERROR(__xludf.DUMMYFUNCTION("""COMPUTED_VALUE"""),"No")</f>
        <v>No</v>
      </c>
      <c r="M1392" s="1" t="str">
        <f>IFERROR(__xludf.DUMMYFUNCTION("""COMPUTED_VALUE"""),"Yes")</f>
        <v>Yes</v>
      </c>
      <c r="N1392" s="1" t="str">
        <f>IFERROR(__xludf.DUMMYFUNCTION("""COMPUTED_VALUE"""),"Yes")</f>
        <v>Yes</v>
      </c>
      <c r="O1392" s="1" t="str">
        <f>IFERROR(__xludf.DUMMYFUNCTION("""COMPUTED_VALUE"""),"WA ONLY, OWNER CONTACT ONLY")</f>
        <v>WA ONLY, OWNER CONTACT ONLY</v>
      </c>
      <c r="P1392" s="1" t="str">
        <f>IFERROR(__xludf.DUMMYFUNCTION("""COMPUTED_VALUE"""),"Madam")</f>
        <v>Madam</v>
      </c>
      <c r="Q1392" s="1" t="str">
        <f>IFERROR(__xludf.DUMMYFUNCTION("""COMPUTED_VALUE"""),"No")</f>
        <v>No</v>
      </c>
      <c r="R1392" s="1" t="str">
        <f>IFERROR(__xludf.DUMMYFUNCTION("""COMPUTED_VALUE"""),"OLD")</f>
        <v>OLD</v>
      </c>
      <c r="S1392" s="1" t="str">
        <f>IFERROR(__xludf.DUMMYFUNCTION("""COMPUTED_VALUE"""),"Yes")</f>
        <v>Yes</v>
      </c>
    </row>
    <row r="1393">
      <c r="A1393" s="2">
        <f>IFERROR(__xludf.DUMMYFUNCTION("""COMPUTED_VALUE"""),45945.56985579861)</f>
        <v>45945.56986</v>
      </c>
      <c r="B1393" s="1" t="str">
        <f>IFERROR(__xludf.DUMMYFUNCTION("""COMPUTED_VALUE"""),"Charanjeet ji")</f>
        <v>Charanjeet ji</v>
      </c>
      <c r="C1393" s="1">
        <f>IFERROR(__xludf.DUMMYFUNCTION("""COMPUTED_VALUE"""),8.920524024E9)</f>
        <v>8920524024</v>
      </c>
      <c r="D1393" s="1">
        <f>IFERROR(__xludf.DUMMYFUNCTION("""COMPUTED_VALUE"""),1.0)</f>
        <v>1</v>
      </c>
      <c r="E1393" s="3">
        <f>IFERROR(__xludf.DUMMYFUNCTION("""COMPUTED_VALUE"""),0.5520833333357587)</f>
        <v>0.5520833333</v>
      </c>
      <c r="F1393" s="1" t="str">
        <f>IFERROR(__xludf.DUMMYFUNCTION("""COMPUTED_VALUE"""),"Plain Gold")</f>
        <v>Plain Gold</v>
      </c>
      <c r="G1393" s="1"/>
      <c r="H1393" s="1" t="str">
        <f>IFERROR(__xludf.DUMMYFUNCTION("""COMPUTED_VALUE"""),"Gold coin")</f>
        <v>Gold coin</v>
      </c>
      <c r="I1393" s="1"/>
      <c r="J1393" s="1"/>
      <c r="K1393" s="3">
        <f>IFERROR(__xludf.DUMMYFUNCTION("""COMPUTED_VALUE"""),0.5833333333357587)</f>
        <v>0.5833333333</v>
      </c>
      <c r="L1393" s="1" t="str">
        <f>IFERROR(__xludf.DUMMYFUNCTION("""COMPUTED_VALUE"""),"No")</f>
        <v>No</v>
      </c>
      <c r="M1393" s="1" t="str">
        <f>IFERROR(__xludf.DUMMYFUNCTION("""COMPUTED_VALUE"""),"Already done")</f>
        <v>Already done</v>
      </c>
      <c r="N1393" s="1" t="str">
        <f>IFERROR(__xludf.DUMMYFUNCTION("""COMPUTED_VALUE"""),"Already done")</f>
        <v>Already done</v>
      </c>
      <c r="O1393" s="1" t="str">
        <f>IFERROR(__xludf.DUMMYFUNCTION("""COMPUTED_VALUE"""),"WA ONLY, OWNER CONTACT ONLY")</f>
        <v>WA ONLY, OWNER CONTACT ONLY</v>
      </c>
      <c r="P1393" s="1" t="str">
        <f>IFERROR(__xludf.DUMMYFUNCTION("""COMPUTED_VALUE"""),"Sir")</f>
        <v>Sir</v>
      </c>
      <c r="Q1393" s="1" t="str">
        <f>IFERROR(__xludf.DUMMYFUNCTION("""COMPUTED_VALUE"""),"No")</f>
        <v>No</v>
      </c>
      <c r="R1393" s="1" t="str">
        <f>IFERROR(__xludf.DUMMYFUNCTION("""COMPUTED_VALUE"""),"OLD")</f>
        <v>OLD</v>
      </c>
      <c r="S1393" s="1" t="str">
        <f>IFERROR(__xludf.DUMMYFUNCTION("""COMPUTED_VALUE"""),"Yes")</f>
        <v>Yes</v>
      </c>
    </row>
    <row r="1394">
      <c r="A1394" s="2">
        <f>IFERROR(__xludf.DUMMYFUNCTION("""COMPUTED_VALUE"""),45945.57190914352)</f>
        <v>45945.57191</v>
      </c>
      <c r="B1394" s="1" t="str">
        <f>IFERROR(__xludf.DUMMYFUNCTION("""COMPUTED_VALUE"""),"Dimple ji")</f>
        <v>Dimple ji</v>
      </c>
      <c r="C1394" s="1">
        <f>IFERROR(__xludf.DUMMYFUNCTION("""COMPUTED_VALUE"""),9.953937777E9)</f>
        <v>9953937777</v>
      </c>
      <c r="D1394" s="1">
        <f>IFERROR(__xludf.DUMMYFUNCTION("""COMPUTED_VALUE"""),1.0)</f>
        <v>1</v>
      </c>
      <c r="E1394" s="3">
        <f>IFERROR(__xludf.DUMMYFUNCTION("""COMPUTED_VALUE"""),0.5611111111065838)</f>
        <v>0.5611111111</v>
      </c>
      <c r="F1394" s="1" t="str">
        <f>IFERROR(__xludf.DUMMYFUNCTION("""COMPUTED_VALUE"""),"Diamond")</f>
        <v>Diamond</v>
      </c>
      <c r="G1394" s="1"/>
      <c r="H1394" s="1" t="str">
        <f>IFERROR(__xludf.DUMMYFUNCTION("""COMPUTED_VALUE"""),"Antique sets")</f>
        <v>Antique sets</v>
      </c>
      <c r="I1394" s="1" t="str">
        <f>IFERROR(__xludf.DUMMYFUNCTION("""COMPUTED_VALUE"""),"Visit Again in 1 Month")</f>
        <v>Visit Again in 1 Month</v>
      </c>
      <c r="J1394" s="1"/>
      <c r="K1394" s="3">
        <f>IFERROR(__xludf.DUMMYFUNCTION("""COMPUTED_VALUE"""),0.625)</f>
        <v>0.625</v>
      </c>
      <c r="L1394" s="1" t="str">
        <f>IFERROR(__xludf.DUMMYFUNCTION("""COMPUTED_VALUE"""),"No")</f>
        <v>No</v>
      </c>
      <c r="M1394" s="1" t="str">
        <f>IFERROR(__xludf.DUMMYFUNCTION("""COMPUTED_VALUE"""),"Already done")</f>
        <v>Already done</v>
      </c>
      <c r="N1394" s="1" t="str">
        <f>IFERROR(__xludf.DUMMYFUNCTION("""COMPUTED_VALUE"""),"Already done")</f>
        <v>Already done</v>
      </c>
      <c r="O1394" s="1" t="str">
        <f>IFERROR(__xludf.DUMMYFUNCTION("""COMPUTED_VALUE"""),"WA ONLY, OWNER CONTACT ONLY")</f>
        <v>WA ONLY, OWNER CONTACT ONLY</v>
      </c>
      <c r="P1394" s="1" t="str">
        <f>IFERROR(__xludf.DUMMYFUNCTION("""COMPUTED_VALUE"""),"Madam")</f>
        <v>Madam</v>
      </c>
      <c r="Q1394" s="1" t="str">
        <f>IFERROR(__xludf.DUMMYFUNCTION("""COMPUTED_VALUE"""),"No")</f>
        <v>No</v>
      </c>
      <c r="R1394" s="1" t="str">
        <f>IFERROR(__xludf.DUMMYFUNCTION("""COMPUTED_VALUE"""),"OLD")</f>
        <v>OLD</v>
      </c>
      <c r="S1394" s="1" t="str">
        <f>IFERROR(__xludf.DUMMYFUNCTION("""COMPUTED_VALUE"""),"No")</f>
        <v>No</v>
      </c>
    </row>
    <row r="1395">
      <c r="A1395" s="2">
        <f>IFERROR(__xludf.DUMMYFUNCTION("""COMPUTED_VALUE"""),45945.57324375)</f>
        <v>45945.57324</v>
      </c>
      <c r="B1395" s="1" t="str">
        <f>IFERROR(__xludf.DUMMYFUNCTION("""COMPUTED_VALUE"""),"Shweta ji")</f>
        <v>Shweta ji</v>
      </c>
      <c r="C1395" s="1">
        <f>IFERROR(__xludf.DUMMYFUNCTION("""COMPUTED_VALUE"""),9.9585769E9)</f>
        <v>9958576900</v>
      </c>
      <c r="D1395" s="1">
        <f>IFERROR(__xludf.DUMMYFUNCTION("""COMPUTED_VALUE"""),2.0)</f>
        <v>2</v>
      </c>
      <c r="E1395" s="3">
        <f>IFERROR(__xludf.DUMMYFUNCTION("""COMPUTED_VALUE"""),0.6388888888905058)</f>
        <v>0.6388888889</v>
      </c>
      <c r="F1395" s="1" t="str">
        <f>IFERROR(__xludf.DUMMYFUNCTION("""COMPUTED_VALUE"""),"Diamond")</f>
        <v>Diamond</v>
      </c>
      <c r="G1395" s="1"/>
      <c r="H1395" s="1" t="str">
        <f>IFERROR(__xludf.DUMMYFUNCTION("""COMPUTED_VALUE"""),"Mmtc silver bar")</f>
        <v>Mmtc silver bar</v>
      </c>
      <c r="I1395" s="1"/>
      <c r="J1395" s="1"/>
      <c r="K1395" s="3">
        <f>IFERROR(__xludf.DUMMYFUNCTION("""COMPUTED_VALUE"""),0.6666666666642413)</f>
        <v>0.6666666667</v>
      </c>
      <c r="L1395" s="1" t="str">
        <f>IFERROR(__xludf.DUMMYFUNCTION("""COMPUTED_VALUE"""),"No")</f>
        <v>No</v>
      </c>
      <c r="M1395" s="1" t="str">
        <f>IFERROR(__xludf.DUMMYFUNCTION("""COMPUTED_VALUE"""),"No")</f>
        <v>No</v>
      </c>
      <c r="N1395" s="1" t="str">
        <f>IFERROR(__xludf.DUMMYFUNCTION("""COMPUTED_VALUE"""),"No")</f>
        <v>No</v>
      </c>
      <c r="O1395" s="1" t="str">
        <f>IFERROR(__xludf.DUMMYFUNCTION("""COMPUTED_VALUE"""),"WA ONLY")</f>
        <v>WA ONLY</v>
      </c>
      <c r="P1395" s="1" t="str">
        <f>IFERROR(__xludf.DUMMYFUNCTION("""COMPUTED_VALUE"""),"Madam")</f>
        <v>Madam</v>
      </c>
      <c r="Q1395" s="1" t="str">
        <f>IFERROR(__xludf.DUMMYFUNCTION("""COMPUTED_VALUE"""),"No")</f>
        <v>No</v>
      </c>
      <c r="R1395" s="1" t="str">
        <f>IFERROR(__xludf.DUMMYFUNCTION("""COMPUTED_VALUE"""),"OLD")</f>
        <v>OLD</v>
      </c>
      <c r="S1395" s="1" t="str">
        <f>IFERROR(__xludf.DUMMYFUNCTION("""COMPUTED_VALUE"""),"Yes")</f>
        <v>Yes</v>
      </c>
    </row>
    <row r="1396">
      <c r="A1396" s="2">
        <f>IFERROR(__xludf.DUMMYFUNCTION("""COMPUTED_VALUE"""),45945.57465231481)</f>
        <v>45945.57465</v>
      </c>
      <c r="B1396" s="1" t="str">
        <f>IFERROR(__xludf.DUMMYFUNCTION("""COMPUTED_VALUE"""),"Rakhi ji")</f>
        <v>Rakhi ji</v>
      </c>
      <c r="C1396" s="1">
        <f>IFERROR(__xludf.DUMMYFUNCTION("""COMPUTED_VALUE"""),9.086000431E9)</f>
        <v>9086000431</v>
      </c>
      <c r="D1396" s="1">
        <f>IFERROR(__xludf.DUMMYFUNCTION("""COMPUTED_VALUE"""),2.0)</f>
        <v>2</v>
      </c>
      <c r="E1396" s="3">
        <f>IFERROR(__xludf.DUMMYFUNCTION("""COMPUTED_VALUE"""),0.6354166666642413)</f>
        <v>0.6354166667</v>
      </c>
      <c r="F1396" s="1" t="str">
        <f>IFERROR(__xludf.DUMMYFUNCTION("""COMPUTED_VALUE"""),"Silver Items")</f>
        <v>Silver Items</v>
      </c>
      <c r="G1396" s="1"/>
      <c r="H1396" s="1" t="str">
        <f>IFERROR(__xludf.DUMMYFUNCTION("""COMPUTED_VALUE"""),"Silver maang teeka")</f>
        <v>Silver maang teeka</v>
      </c>
      <c r="I1396" s="1"/>
      <c r="J1396" s="1"/>
      <c r="K1396" s="3">
        <f>IFERROR(__xludf.DUMMYFUNCTION("""COMPUTED_VALUE"""),0.71875)</f>
        <v>0.71875</v>
      </c>
      <c r="L1396" s="1" t="str">
        <f>IFERROR(__xludf.DUMMYFUNCTION("""COMPUTED_VALUE"""),"No")</f>
        <v>No</v>
      </c>
      <c r="M1396" s="1" t="str">
        <f>IFERROR(__xludf.DUMMYFUNCTION("""COMPUTED_VALUE"""),"Already done")</f>
        <v>Already done</v>
      </c>
      <c r="N1396" s="1" t="str">
        <f>IFERROR(__xludf.DUMMYFUNCTION("""COMPUTED_VALUE"""),"Already done")</f>
        <v>Already done</v>
      </c>
      <c r="O1396" s="1" t="str">
        <f>IFERROR(__xludf.DUMMYFUNCTION("""COMPUTED_VALUE"""),"WA ONLY")</f>
        <v>WA ONLY</v>
      </c>
      <c r="P1396" s="1" t="str">
        <f>IFERROR(__xludf.DUMMYFUNCTION("""COMPUTED_VALUE"""),"Madam")</f>
        <v>Madam</v>
      </c>
      <c r="Q1396" s="1" t="str">
        <f>IFERROR(__xludf.DUMMYFUNCTION("""COMPUTED_VALUE"""),"No")</f>
        <v>No</v>
      </c>
      <c r="R1396" s="1" t="str">
        <f>IFERROR(__xludf.DUMMYFUNCTION("""COMPUTED_VALUE"""),"OLD")</f>
        <v>OLD</v>
      </c>
      <c r="S1396" s="1" t="str">
        <f>IFERROR(__xludf.DUMMYFUNCTION("""COMPUTED_VALUE"""),"Yes")</f>
        <v>Yes</v>
      </c>
    </row>
    <row r="1397">
      <c r="A1397" s="2">
        <f>IFERROR(__xludf.DUMMYFUNCTION("""COMPUTED_VALUE"""),45945.57575256945)</f>
        <v>45945.57575</v>
      </c>
      <c r="B1397" s="1" t="str">
        <f>IFERROR(__xludf.DUMMYFUNCTION("""COMPUTED_VALUE"""),"Mukesh ji")</f>
        <v>Mukesh ji</v>
      </c>
      <c r="C1397" s="1">
        <f>IFERROR(__xludf.DUMMYFUNCTION("""COMPUTED_VALUE"""),9.899155525E9)</f>
        <v>9899155525</v>
      </c>
      <c r="D1397" s="1">
        <f>IFERROR(__xludf.DUMMYFUNCTION("""COMPUTED_VALUE"""),2.0)</f>
        <v>2</v>
      </c>
      <c r="E1397" s="3">
        <f>IFERROR(__xludf.DUMMYFUNCTION("""COMPUTED_VALUE"""),0.65625)</f>
        <v>0.65625</v>
      </c>
      <c r="F1397" s="1" t="str">
        <f>IFERROR(__xludf.DUMMYFUNCTION("""COMPUTED_VALUE"""),"Silver Items")</f>
        <v>Silver Items</v>
      </c>
      <c r="G1397" s="1"/>
      <c r="H1397" s="1" t="str">
        <f>IFERROR(__xludf.DUMMYFUNCTION("""COMPUTED_VALUE"""),"Silver items")</f>
        <v>Silver items</v>
      </c>
      <c r="I1397" s="1"/>
      <c r="J1397" s="1"/>
      <c r="K1397" s="3">
        <f>IFERROR(__xludf.DUMMYFUNCTION("""COMPUTED_VALUE"""),0.6875)</f>
        <v>0.6875</v>
      </c>
      <c r="L1397" s="1" t="str">
        <f>IFERROR(__xludf.DUMMYFUNCTION("""COMPUTED_VALUE"""),"No")</f>
        <v>No</v>
      </c>
      <c r="M1397" s="1" t="str">
        <f>IFERROR(__xludf.DUMMYFUNCTION("""COMPUTED_VALUE"""),"No")</f>
        <v>No</v>
      </c>
      <c r="N1397" s="1" t="str">
        <f>IFERROR(__xludf.DUMMYFUNCTION("""COMPUTED_VALUE"""),"No")</f>
        <v>No</v>
      </c>
      <c r="O1397" s="1" t="str">
        <f>IFERROR(__xludf.DUMMYFUNCTION("""COMPUTED_VALUE"""),"WA ONLY")</f>
        <v>WA ONLY</v>
      </c>
      <c r="P1397" s="1" t="str">
        <f>IFERROR(__xludf.DUMMYFUNCTION("""COMPUTED_VALUE"""),"Sir")</f>
        <v>Sir</v>
      </c>
      <c r="Q1397" s="1" t="str">
        <f>IFERROR(__xludf.DUMMYFUNCTION("""COMPUTED_VALUE"""),"No")</f>
        <v>No</v>
      </c>
      <c r="R1397" s="1" t="str">
        <f>IFERROR(__xludf.DUMMYFUNCTION("""COMPUTED_VALUE"""),"OLD")</f>
        <v>OLD</v>
      </c>
      <c r="S1397" s="1" t="str">
        <f>IFERROR(__xludf.DUMMYFUNCTION("""COMPUTED_VALUE"""),"Yes")</f>
        <v>Yes</v>
      </c>
    </row>
    <row r="1398">
      <c r="A1398" s="2">
        <f>IFERROR(__xludf.DUMMYFUNCTION("""COMPUTED_VALUE"""),45945.79320666667)</f>
        <v>45945.79321</v>
      </c>
      <c r="B1398" s="1" t="str">
        <f>IFERROR(__xludf.DUMMYFUNCTION("""COMPUTED_VALUE"""),"Harleen ji")</f>
        <v>Harleen ji</v>
      </c>
      <c r="C1398" s="1">
        <f>IFERROR(__xludf.DUMMYFUNCTION("""COMPUTED_VALUE"""),9.885352979E9)</f>
        <v>9885352979</v>
      </c>
      <c r="D1398" s="1">
        <f>IFERROR(__xludf.DUMMYFUNCTION("""COMPUTED_VALUE"""),2.0)</f>
        <v>2</v>
      </c>
      <c r="E1398" s="3">
        <f>IFERROR(__xludf.DUMMYFUNCTION("""COMPUTED_VALUE"""),0.6006944444452529)</f>
        <v>0.6006944444</v>
      </c>
      <c r="F1398" s="1" t="str">
        <f>IFERROR(__xludf.DUMMYFUNCTION("""COMPUTED_VALUE"""),"Silver Items")</f>
        <v>Silver Items</v>
      </c>
      <c r="G1398" s="1"/>
      <c r="H1398" s="1" t="str">
        <f>IFERROR(__xludf.DUMMYFUNCTION("""COMPUTED_VALUE"""),"Silver bar")</f>
        <v>Silver bar</v>
      </c>
      <c r="I1398" s="1"/>
      <c r="J1398" s="1"/>
      <c r="K1398" s="3">
        <f>IFERROR(__xludf.DUMMYFUNCTION("""COMPUTED_VALUE"""),0.6284722222189885)</f>
        <v>0.6284722222</v>
      </c>
      <c r="L1398" s="1" t="str">
        <f>IFERROR(__xludf.DUMMYFUNCTION("""COMPUTED_VALUE"""),"No")</f>
        <v>No</v>
      </c>
      <c r="M1398" s="1" t="str">
        <f>IFERROR(__xludf.DUMMYFUNCTION("""COMPUTED_VALUE"""),"Already done")</f>
        <v>Already done</v>
      </c>
      <c r="N1398" s="1" t="str">
        <f>IFERROR(__xludf.DUMMYFUNCTION("""COMPUTED_VALUE"""),"Yes")</f>
        <v>Yes</v>
      </c>
      <c r="O1398" s="1" t="str">
        <f>IFERROR(__xludf.DUMMYFUNCTION("""COMPUTED_VALUE"""),"WA ONLY")</f>
        <v>WA ONLY</v>
      </c>
      <c r="P1398" s="1" t="str">
        <f>IFERROR(__xludf.DUMMYFUNCTION("""COMPUTED_VALUE"""),"Madam")</f>
        <v>Madam</v>
      </c>
      <c r="Q1398" s="1" t="str">
        <f>IFERROR(__xludf.DUMMYFUNCTION("""COMPUTED_VALUE"""),"No")</f>
        <v>No</v>
      </c>
      <c r="R1398" s="1" t="str">
        <f>IFERROR(__xludf.DUMMYFUNCTION("""COMPUTED_VALUE"""),"OLD")</f>
        <v>OLD</v>
      </c>
      <c r="S1398" s="1" t="str">
        <f>IFERROR(__xludf.DUMMYFUNCTION("""COMPUTED_VALUE"""),"Yes")</f>
        <v>Yes</v>
      </c>
    </row>
    <row r="1399">
      <c r="A1399" s="2">
        <f>IFERROR(__xludf.DUMMYFUNCTION("""COMPUTED_VALUE"""),45945.795470682875)</f>
        <v>45945.79547</v>
      </c>
      <c r="B1399" s="1" t="str">
        <f>IFERROR(__xludf.DUMMYFUNCTION("""COMPUTED_VALUE"""),"Diksha ji")</f>
        <v>Diksha ji</v>
      </c>
      <c r="C1399" s="1">
        <f>IFERROR(__xludf.DUMMYFUNCTION("""COMPUTED_VALUE"""),8.882799899E9)</f>
        <v>8882799899</v>
      </c>
      <c r="D1399" s="1">
        <f>IFERROR(__xludf.DUMMYFUNCTION("""COMPUTED_VALUE"""),2.0)</f>
        <v>2</v>
      </c>
      <c r="E1399" s="3">
        <f>IFERROR(__xludf.DUMMYFUNCTION("""COMPUTED_VALUE"""),0.6006944444452529)</f>
        <v>0.6006944444</v>
      </c>
      <c r="F1399" s="1" t="str">
        <f>IFERROR(__xludf.DUMMYFUNCTION("""COMPUTED_VALUE"""),"Diamond")</f>
        <v>Diamond</v>
      </c>
      <c r="G1399" s="1" t="str">
        <f>IFERROR(__xludf.DUMMYFUNCTION("""COMPUTED_VALUE"""),"Pooja")</f>
        <v>Pooja</v>
      </c>
      <c r="H1399" s="1" t="str">
        <f>IFERROR(__xludf.DUMMYFUNCTION("""COMPUTED_VALUE"""),"Here for repair")</f>
        <v>Here for repair</v>
      </c>
      <c r="I1399" s="1"/>
      <c r="J1399" s="1"/>
      <c r="K1399" s="3">
        <f>IFERROR(__xludf.DUMMYFUNCTION("""COMPUTED_VALUE"""),0.6993055555576575)</f>
        <v>0.6993055556</v>
      </c>
      <c r="L1399" s="1" t="str">
        <f>IFERROR(__xludf.DUMMYFUNCTION("""COMPUTED_VALUE"""),"No")</f>
        <v>No</v>
      </c>
      <c r="M1399" s="1" t="str">
        <f>IFERROR(__xludf.DUMMYFUNCTION("""COMPUTED_VALUE"""),"No")</f>
        <v>No</v>
      </c>
      <c r="N1399" s="1" t="str">
        <f>IFERROR(__xludf.DUMMYFUNCTION("""COMPUTED_VALUE"""),"No")</f>
        <v>No</v>
      </c>
      <c r="O1399" s="1" t="str">
        <f>IFERROR(__xludf.DUMMYFUNCTION("""COMPUTED_VALUE"""),"WA ONLY")</f>
        <v>WA ONLY</v>
      </c>
      <c r="P1399" s="1" t="str">
        <f>IFERROR(__xludf.DUMMYFUNCTION("""COMPUTED_VALUE"""),"Madam")</f>
        <v>Madam</v>
      </c>
      <c r="Q1399" s="1" t="str">
        <f>IFERROR(__xludf.DUMMYFUNCTION("""COMPUTED_VALUE"""),"No")</f>
        <v>No</v>
      </c>
      <c r="R1399" s="1" t="str">
        <f>IFERROR(__xludf.DUMMYFUNCTION("""COMPUTED_VALUE"""),"OLD")</f>
        <v>OLD</v>
      </c>
      <c r="S1399" s="1" t="str">
        <f>IFERROR(__xludf.DUMMYFUNCTION("""COMPUTED_VALUE"""),"No")</f>
        <v>No</v>
      </c>
    </row>
    <row r="1400">
      <c r="A1400" s="2">
        <f>IFERROR(__xludf.DUMMYFUNCTION("""COMPUTED_VALUE"""),45945.79672755787)</f>
        <v>45945.79673</v>
      </c>
      <c r="B1400" s="1" t="str">
        <f>IFERROR(__xludf.DUMMYFUNCTION("""COMPUTED_VALUE"""),"Prince ji")</f>
        <v>Prince ji</v>
      </c>
      <c r="C1400" s="1">
        <f>IFERROR(__xludf.DUMMYFUNCTION("""COMPUTED_VALUE"""),9.899971113E9)</f>
        <v>9899971113</v>
      </c>
      <c r="D1400" s="1">
        <f>IFERROR(__xludf.DUMMYFUNCTION("""COMPUTED_VALUE"""),1.0)</f>
        <v>1</v>
      </c>
      <c r="E1400" s="3">
        <f>IFERROR(__xludf.DUMMYFUNCTION("""COMPUTED_VALUE"""),0.5979166666656965)</f>
        <v>0.5979166667</v>
      </c>
      <c r="F1400" s="1" t="str">
        <f>IFERROR(__xludf.DUMMYFUNCTION("""COMPUTED_VALUE"""),"Plain Gold")</f>
        <v>Plain Gold</v>
      </c>
      <c r="G1400" s="1" t="str">
        <f>IFERROR(__xludf.DUMMYFUNCTION("""COMPUTED_VALUE"""),"Pooja")</f>
        <v>Pooja</v>
      </c>
      <c r="H1400" s="1" t="str">
        <f>IFERROR(__xludf.DUMMYFUNCTION("""COMPUTED_VALUE"""),"Mmtc gold coin 20 g 40 g")</f>
        <v>Mmtc gold coin 20 g 40 g</v>
      </c>
      <c r="I1400" s="1" t="str">
        <f>IFERROR(__xludf.DUMMYFUNCTION("""COMPUTED_VALUE"""),"Coming back with cash which he did")</f>
        <v>Coming back with cash which he did</v>
      </c>
      <c r="J1400" s="1"/>
      <c r="K1400" s="3">
        <f>IFERROR(__xludf.DUMMYFUNCTION("""COMPUTED_VALUE"""),0.6284722222189885)</f>
        <v>0.6284722222</v>
      </c>
      <c r="L1400" s="1" t="str">
        <f>IFERROR(__xludf.DUMMYFUNCTION("""COMPUTED_VALUE"""),"No")</f>
        <v>No</v>
      </c>
      <c r="M1400" s="1" t="str">
        <f>IFERROR(__xludf.DUMMYFUNCTION("""COMPUTED_VALUE"""),"No")</f>
        <v>No</v>
      </c>
      <c r="N1400" s="1" t="str">
        <f>IFERROR(__xludf.DUMMYFUNCTION("""COMPUTED_VALUE"""),"No")</f>
        <v>No</v>
      </c>
      <c r="O1400" s="1" t="str">
        <f>IFERROR(__xludf.DUMMYFUNCTION("""COMPUTED_VALUE"""),"WA ONLY")</f>
        <v>WA ONLY</v>
      </c>
      <c r="P1400" s="1" t="str">
        <f>IFERROR(__xludf.DUMMYFUNCTION("""COMPUTED_VALUE"""),"Sir")</f>
        <v>Sir</v>
      </c>
      <c r="Q1400" s="1" t="str">
        <f>IFERROR(__xludf.DUMMYFUNCTION("""COMPUTED_VALUE"""),"No")</f>
        <v>No</v>
      </c>
      <c r="R1400" s="1" t="str">
        <f>IFERROR(__xludf.DUMMYFUNCTION("""COMPUTED_VALUE"""),"NEW WALK IN")</f>
        <v>NEW WALK IN</v>
      </c>
      <c r="S1400" s="1" t="str">
        <f>IFERROR(__xludf.DUMMYFUNCTION("""COMPUTED_VALUE"""),"Yes")</f>
        <v>Yes</v>
      </c>
    </row>
    <row r="1401">
      <c r="A1401" s="2">
        <f>IFERROR(__xludf.DUMMYFUNCTION("""COMPUTED_VALUE"""),45945.79787056713)</f>
        <v>45945.79787</v>
      </c>
      <c r="B1401" s="1" t="str">
        <f>IFERROR(__xludf.DUMMYFUNCTION("""COMPUTED_VALUE"""),"Armaan ji")</f>
        <v>Armaan ji</v>
      </c>
      <c r="C1401" s="1">
        <f>IFERROR(__xludf.DUMMYFUNCTION("""COMPUTED_VALUE"""),9.910230174E9)</f>
        <v>9910230174</v>
      </c>
      <c r="D1401" s="1">
        <f>IFERROR(__xludf.DUMMYFUNCTION("""COMPUTED_VALUE"""),2.0)</f>
        <v>2</v>
      </c>
      <c r="E1401" s="3">
        <f>IFERROR(__xludf.DUMMYFUNCTION("""COMPUTED_VALUE"""),0.6666666666642413)</f>
        <v>0.6666666667</v>
      </c>
      <c r="F1401" s="1" t="str">
        <f>IFERROR(__xludf.DUMMYFUNCTION("""COMPUTED_VALUE"""),"Silver Items")</f>
        <v>Silver Items</v>
      </c>
      <c r="G1401" s="1"/>
      <c r="H1401" s="1" t="str">
        <f>IFERROR(__xludf.DUMMYFUNCTION("""COMPUTED_VALUE"""),"Earrings on order")</f>
        <v>Earrings on order</v>
      </c>
      <c r="I1401" s="1" t="str">
        <f>IFERROR(__xludf.DUMMYFUNCTION("""COMPUTED_VALUE"""),"Couldn't coz design was italian")</f>
        <v>Couldn't coz design was italian</v>
      </c>
      <c r="J1401" s="1"/>
      <c r="K1401" s="3">
        <f>IFERROR(__xludf.DUMMYFUNCTION("""COMPUTED_VALUE"""),0.6875)</f>
        <v>0.6875</v>
      </c>
      <c r="L1401" s="1" t="str">
        <f>IFERROR(__xludf.DUMMYFUNCTION("""COMPUTED_VALUE"""),"No")</f>
        <v>No</v>
      </c>
      <c r="M1401" s="1" t="str">
        <f>IFERROR(__xludf.DUMMYFUNCTION("""COMPUTED_VALUE"""),"No")</f>
        <v>No</v>
      </c>
      <c r="N1401" s="1" t="str">
        <f>IFERROR(__xludf.DUMMYFUNCTION("""COMPUTED_VALUE"""),"No")</f>
        <v>No</v>
      </c>
      <c r="O1401" s="1" t="str">
        <f>IFERROR(__xludf.DUMMYFUNCTION("""COMPUTED_VALUE"""),"WA ONLY")</f>
        <v>WA ONLY</v>
      </c>
      <c r="P1401" s="1" t="str">
        <f>IFERROR(__xludf.DUMMYFUNCTION("""COMPUTED_VALUE"""),"Sir")</f>
        <v>Sir</v>
      </c>
      <c r="Q1401" s="1" t="str">
        <f>IFERROR(__xludf.DUMMYFUNCTION("""COMPUTED_VALUE"""),"No")</f>
        <v>No</v>
      </c>
      <c r="R1401" s="1" t="str">
        <f>IFERROR(__xludf.DUMMYFUNCTION("""COMPUTED_VALUE"""),"NEW WALK IN")</f>
        <v>NEW WALK IN</v>
      </c>
      <c r="S1401" s="1" t="str">
        <f>IFERROR(__xludf.DUMMYFUNCTION("""COMPUTED_VALUE"""),"No")</f>
        <v>No</v>
      </c>
    </row>
    <row r="1402">
      <c r="A1402" s="2">
        <f>IFERROR(__xludf.DUMMYFUNCTION("""COMPUTED_VALUE"""),45945.79887079861)</f>
        <v>45945.79887</v>
      </c>
      <c r="B1402" s="1" t="str">
        <f>IFERROR(__xludf.DUMMYFUNCTION("""COMPUTED_VALUE"""),"Dr. Kaushik")</f>
        <v>Dr. Kaushik</v>
      </c>
      <c r="C1402" s="1">
        <f>IFERROR(__xludf.DUMMYFUNCTION("""COMPUTED_VALUE"""),9.899322201E9)</f>
        <v>9899322201</v>
      </c>
      <c r="D1402" s="1">
        <f>IFERROR(__xludf.DUMMYFUNCTION("""COMPUTED_VALUE"""),1.0)</f>
        <v>1</v>
      </c>
      <c r="E1402" s="3">
        <f>IFERROR(__xludf.DUMMYFUNCTION("""COMPUTED_VALUE"""),0.7291666666642413)</f>
        <v>0.7291666667</v>
      </c>
      <c r="F1402" s="1" t="str">
        <f>IFERROR(__xludf.DUMMYFUNCTION("""COMPUTED_VALUE"""),"Plain Gold")</f>
        <v>Plain Gold</v>
      </c>
      <c r="G1402" s="1" t="str">
        <f>IFERROR(__xludf.DUMMYFUNCTION("""COMPUTED_VALUE"""),"Pooja")</f>
        <v>Pooja</v>
      </c>
      <c r="H1402" s="1" t="str">
        <f>IFERROR(__xludf.DUMMYFUNCTION("""COMPUTED_VALUE"""),"Here for customization ")</f>
        <v>Here for customization </v>
      </c>
      <c r="I1402" s="1"/>
      <c r="J1402" s="1"/>
      <c r="K1402" s="3">
        <f>IFERROR(__xludf.DUMMYFUNCTION("""COMPUTED_VALUE"""),0.7604166666642413)</f>
        <v>0.7604166667</v>
      </c>
      <c r="L1402" s="1" t="str">
        <f>IFERROR(__xludf.DUMMYFUNCTION("""COMPUTED_VALUE"""),"No")</f>
        <v>No</v>
      </c>
      <c r="M1402" s="1" t="str">
        <f>IFERROR(__xludf.DUMMYFUNCTION("""COMPUTED_VALUE"""),"No")</f>
        <v>No</v>
      </c>
      <c r="N1402" s="1" t="str">
        <f>IFERROR(__xludf.DUMMYFUNCTION("""COMPUTED_VALUE"""),"No")</f>
        <v>No</v>
      </c>
      <c r="O1402" s="1" t="str">
        <f>IFERROR(__xludf.DUMMYFUNCTION("""COMPUTED_VALUE"""),"WA ONLY")</f>
        <v>WA ONLY</v>
      </c>
      <c r="P1402" s="1" t="str">
        <f>IFERROR(__xludf.DUMMYFUNCTION("""COMPUTED_VALUE"""),"Madam")</f>
        <v>Madam</v>
      </c>
      <c r="Q1402" s="1" t="str">
        <f>IFERROR(__xludf.DUMMYFUNCTION("""COMPUTED_VALUE"""),"No")</f>
        <v>No</v>
      </c>
      <c r="R1402" s="1" t="str">
        <f>IFERROR(__xludf.DUMMYFUNCTION("""COMPUTED_VALUE"""),"OLD")</f>
        <v>OLD</v>
      </c>
      <c r="S1402" s="1" t="str">
        <f>IFERROR(__xludf.DUMMYFUNCTION("""COMPUTED_VALUE"""),"No")</f>
        <v>No</v>
      </c>
    </row>
    <row r="1403">
      <c r="A1403" s="2">
        <f>IFERROR(__xludf.DUMMYFUNCTION("""COMPUTED_VALUE"""),45945.7999075)</f>
        <v>45945.79991</v>
      </c>
      <c r="B1403" s="1" t="str">
        <f>IFERROR(__xludf.DUMMYFUNCTION("""COMPUTED_VALUE"""),"Anita ji")</f>
        <v>Anita ji</v>
      </c>
      <c r="C1403" s="1">
        <f>IFERROR(__xludf.DUMMYFUNCTION("""COMPUTED_VALUE"""),8.010046101E9)</f>
        <v>8010046101</v>
      </c>
      <c r="D1403" s="1">
        <f>IFERROR(__xludf.DUMMYFUNCTION("""COMPUTED_VALUE"""),2.0)</f>
        <v>2</v>
      </c>
      <c r="E1403" s="3">
        <f>IFERROR(__xludf.DUMMYFUNCTION("""COMPUTED_VALUE"""),0.7381944444423425)</f>
        <v>0.7381944444</v>
      </c>
      <c r="F1403" s="1" t="str">
        <f>IFERROR(__xludf.DUMMYFUNCTION("""COMPUTED_VALUE"""),"Plain Gold")</f>
        <v>Plain Gold</v>
      </c>
      <c r="G1403" s="1"/>
      <c r="H1403" s="1" t="str">
        <f>IFERROR(__xludf.DUMMYFUNCTION("""COMPUTED_VALUE"""),"Bangles")</f>
        <v>Bangles</v>
      </c>
      <c r="I1403" s="1" t="str">
        <f>IFERROR(__xludf.DUMMYFUNCTION("""COMPUTED_VALUE"""),"Visit Again in 1 Month")</f>
        <v>Visit Again in 1 Month</v>
      </c>
      <c r="J1403" s="1"/>
      <c r="K1403" s="3">
        <f>IFERROR(__xludf.DUMMYFUNCTION("""COMPUTED_VALUE"""),0.7604166666642413)</f>
        <v>0.7604166667</v>
      </c>
      <c r="L1403" s="1" t="str">
        <f>IFERROR(__xludf.DUMMYFUNCTION("""COMPUTED_VALUE"""),"No")</f>
        <v>No</v>
      </c>
      <c r="M1403" s="1" t="str">
        <f>IFERROR(__xludf.DUMMYFUNCTION("""COMPUTED_VALUE"""),"No")</f>
        <v>No</v>
      </c>
      <c r="N1403" s="1" t="str">
        <f>IFERROR(__xludf.DUMMYFUNCTION("""COMPUTED_VALUE"""),"No")</f>
        <v>No</v>
      </c>
      <c r="O1403" s="1" t="str">
        <f>IFERROR(__xludf.DUMMYFUNCTION("""COMPUTED_VALUE"""),"WA ONLY, OWNER CONTACT ONLY")</f>
        <v>WA ONLY, OWNER CONTACT ONLY</v>
      </c>
      <c r="P1403" s="1" t="str">
        <f>IFERROR(__xludf.DUMMYFUNCTION("""COMPUTED_VALUE"""),"Madam")</f>
        <v>Madam</v>
      </c>
      <c r="Q1403" s="1" t="str">
        <f>IFERROR(__xludf.DUMMYFUNCTION("""COMPUTED_VALUE"""),"No")</f>
        <v>No</v>
      </c>
      <c r="R1403" s="1" t="str">
        <f>IFERROR(__xludf.DUMMYFUNCTION("""COMPUTED_VALUE"""),"OLD")</f>
        <v>OLD</v>
      </c>
      <c r="S1403" s="1" t="str">
        <f>IFERROR(__xludf.DUMMYFUNCTION("""COMPUTED_VALUE"""),"No")</f>
        <v>No</v>
      </c>
    </row>
    <row r="1404">
      <c r="A1404" s="2">
        <f>IFERROR(__xludf.DUMMYFUNCTION("""COMPUTED_VALUE"""),45945.801194687505)</f>
        <v>45945.80119</v>
      </c>
      <c r="B1404" s="1" t="str">
        <f>IFERROR(__xludf.DUMMYFUNCTION("""COMPUTED_VALUE"""),"Priyanshi ji")</f>
        <v>Priyanshi ji</v>
      </c>
      <c r="C1404" s="1">
        <f>IFERROR(__xludf.DUMMYFUNCTION("""COMPUTED_VALUE"""),9.54056787E9)</f>
        <v>9540567870</v>
      </c>
      <c r="D1404" s="1">
        <f>IFERROR(__xludf.DUMMYFUNCTION("""COMPUTED_VALUE"""),1.0)</f>
        <v>1</v>
      </c>
      <c r="E1404" s="3">
        <f>IFERROR(__xludf.DUMMYFUNCTION("""COMPUTED_VALUE"""),0.75)</f>
        <v>0.75</v>
      </c>
      <c r="F1404" s="1" t="str">
        <f>IFERROR(__xludf.DUMMYFUNCTION("""COMPUTED_VALUE"""),"Silver Items")</f>
        <v>Silver Items</v>
      </c>
      <c r="G1404" s="1"/>
      <c r="H1404" s="1" t="str">
        <f>IFERROR(__xludf.DUMMYFUNCTION("""COMPUTED_VALUE"""),"Sets")</f>
        <v>Sets</v>
      </c>
      <c r="I1404" s="1" t="str">
        <f>IFERROR(__xludf.DUMMYFUNCTION("""COMPUTED_VALUE"""),"Visit Again in 1 Month")</f>
        <v>Visit Again in 1 Month</v>
      </c>
      <c r="J1404" s="1"/>
      <c r="K1404" s="3">
        <f>IFERROR(__xludf.DUMMYFUNCTION("""COMPUTED_VALUE"""),0.7708333333357587)</f>
        <v>0.7708333333</v>
      </c>
      <c r="L1404" s="1" t="str">
        <f>IFERROR(__xludf.DUMMYFUNCTION("""COMPUTED_VALUE"""),"No")</f>
        <v>No</v>
      </c>
      <c r="M1404" s="1" t="str">
        <f>IFERROR(__xludf.DUMMYFUNCTION("""COMPUTED_VALUE"""),"No")</f>
        <v>No</v>
      </c>
      <c r="N1404" s="1" t="str">
        <f>IFERROR(__xludf.DUMMYFUNCTION("""COMPUTED_VALUE"""),"No")</f>
        <v>No</v>
      </c>
      <c r="O1404" s="1" t="str">
        <f>IFERROR(__xludf.DUMMYFUNCTION("""COMPUTED_VALUE"""),"WA ONLY, OWNER CONTACT ONLY")</f>
        <v>WA ONLY, OWNER CONTACT ONLY</v>
      </c>
      <c r="P1404" s="1" t="str">
        <f>IFERROR(__xludf.DUMMYFUNCTION("""COMPUTED_VALUE"""),"Madam")</f>
        <v>Madam</v>
      </c>
      <c r="Q1404" s="1" t="str">
        <f>IFERROR(__xludf.DUMMYFUNCTION("""COMPUTED_VALUE"""),"No")</f>
        <v>No</v>
      </c>
      <c r="R1404" s="1" t="str">
        <f>IFERROR(__xludf.DUMMYFUNCTION("""COMPUTED_VALUE"""),"NEW WALK IN")</f>
        <v>NEW WALK IN</v>
      </c>
      <c r="S1404" s="1" t="str">
        <f>IFERROR(__xludf.DUMMYFUNCTION("""COMPUTED_VALUE"""),"No")</f>
        <v>No</v>
      </c>
    </row>
    <row r="1405">
      <c r="A1405" s="2">
        <f>IFERROR(__xludf.DUMMYFUNCTION("""COMPUTED_VALUE"""),45947.578063912035)</f>
        <v>45947.57806</v>
      </c>
      <c r="B1405" s="1" t="str">
        <f>IFERROR(__xludf.DUMMYFUNCTION("""COMPUTED_VALUE"""),"Charu ji")</f>
        <v>Charu ji</v>
      </c>
      <c r="C1405" s="1">
        <f>IFERROR(__xludf.DUMMYFUNCTION("""COMPUTED_VALUE"""),9.871140012E9)</f>
        <v>9871140012</v>
      </c>
      <c r="D1405" s="1">
        <f>IFERROR(__xludf.DUMMYFUNCTION("""COMPUTED_VALUE"""),1.0)</f>
        <v>1</v>
      </c>
      <c r="E1405" s="3">
        <f>IFERROR(__xludf.DUMMYFUNCTION("""COMPUTED_VALUE"""),0.48958333333575865)</f>
        <v>0.4895833333</v>
      </c>
      <c r="F1405" s="1" t="str">
        <f>IFERROR(__xludf.DUMMYFUNCTION("""COMPUTED_VALUE"""),"Silver Items")</f>
        <v>Silver Items</v>
      </c>
      <c r="G1405" s="1"/>
      <c r="H1405" s="1" t="str">
        <f>IFERROR(__xludf.DUMMYFUNCTION("""COMPUTED_VALUE"""),"Machali silver items")</f>
        <v>Machali silver items</v>
      </c>
      <c r="I1405" s="1"/>
      <c r="J1405" s="1"/>
      <c r="K1405" s="3">
        <f>IFERROR(__xludf.DUMMYFUNCTION("""COMPUTED_VALUE"""),0.5208333333357587)</f>
        <v>0.5208333333</v>
      </c>
      <c r="L1405" s="1" t="str">
        <f>IFERROR(__xludf.DUMMYFUNCTION("""COMPUTED_VALUE"""),"No")</f>
        <v>No</v>
      </c>
      <c r="M1405" s="1" t="str">
        <f>IFERROR(__xludf.DUMMYFUNCTION("""COMPUTED_VALUE"""),"No")</f>
        <v>No</v>
      </c>
      <c r="N1405" s="1" t="str">
        <f>IFERROR(__xludf.DUMMYFUNCTION("""COMPUTED_VALUE"""),"No")</f>
        <v>No</v>
      </c>
      <c r="O1405" s="1" t="str">
        <f>IFERROR(__xludf.DUMMYFUNCTION("""COMPUTED_VALUE"""),"WA ONLY")</f>
        <v>WA ONLY</v>
      </c>
      <c r="P1405" s="1" t="str">
        <f>IFERROR(__xludf.DUMMYFUNCTION("""COMPUTED_VALUE"""),"Madam")</f>
        <v>Madam</v>
      </c>
      <c r="Q1405" s="1" t="str">
        <f>IFERROR(__xludf.DUMMYFUNCTION("""COMPUTED_VALUE"""),"No")</f>
        <v>No</v>
      </c>
      <c r="R1405" s="1" t="str">
        <f>IFERROR(__xludf.DUMMYFUNCTION("""COMPUTED_VALUE"""),"NEW WALK IN")</f>
        <v>NEW WALK IN</v>
      </c>
      <c r="S1405" s="1" t="str">
        <f>IFERROR(__xludf.DUMMYFUNCTION("""COMPUTED_VALUE"""),"No")</f>
        <v>No</v>
      </c>
    </row>
    <row r="1406">
      <c r="A1406" s="2">
        <f>IFERROR(__xludf.DUMMYFUNCTION("""COMPUTED_VALUE"""),45947.57938494213)</f>
        <v>45947.57938</v>
      </c>
      <c r="B1406" s="1" t="str">
        <f>IFERROR(__xludf.DUMMYFUNCTION("""COMPUTED_VALUE"""),"Neelam gupta ji")</f>
        <v>Neelam gupta ji</v>
      </c>
      <c r="C1406" s="1">
        <f>IFERROR(__xludf.DUMMYFUNCTION("""COMPUTED_VALUE"""),9.555906133E9)</f>
        <v>9555906133</v>
      </c>
      <c r="D1406" s="1">
        <f>IFERROR(__xludf.DUMMYFUNCTION("""COMPUTED_VALUE"""),2.0)</f>
        <v>2</v>
      </c>
      <c r="E1406" s="3">
        <f>IFERROR(__xludf.DUMMYFUNCTION("""COMPUTED_VALUE"""),0.5625)</f>
        <v>0.5625</v>
      </c>
      <c r="F1406" s="1" t="str">
        <f>IFERROR(__xludf.DUMMYFUNCTION("""COMPUTED_VALUE"""),"Silver Items")</f>
        <v>Silver Items</v>
      </c>
      <c r="G1406" s="1"/>
      <c r="H1406" s="1" t="str">
        <f>IFERROR(__xludf.DUMMYFUNCTION("""COMPUTED_VALUE"""),"Ganesh ji silver idols")</f>
        <v>Ganesh ji silver idols</v>
      </c>
      <c r="I1406" s="1"/>
      <c r="J1406" s="1"/>
      <c r="K1406" s="3">
        <f>IFERROR(__xludf.DUMMYFUNCTION("""COMPUTED_VALUE"""),0.6041666666642413)</f>
        <v>0.6041666667</v>
      </c>
      <c r="L1406" s="1" t="str">
        <f>IFERROR(__xludf.DUMMYFUNCTION("""COMPUTED_VALUE"""),"Yes")</f>
        <v>Yes</v>
      </c>
      <c r="M1406" s="1" t="str">
        <f>IFERROR(__xludf.DUMMYFUNCTION("""COMPUTED_VALUE"""),"No")</f>
        <v>No</v>
      </c>
      <c r="N1406" s="1" t="str">
        <f>IFERROR(__xludf.DUMMYFUNCTION("""COMPUTED_VALUE"""),"No")</f>
        <v>No</v>
      </c>
      <c r="O1406" s="1" t="str">
        <f>IFERROR(__xludf.DUMMYFUNCTION("""COMPUTED_VALUE"""),"WA ONLY")</f>
        <v>WA ONLY</v>
      </c>
      <c r="P1406" s="1" t="str">
        <f>IFERROR(__xludf.DUMMYFUNCTION("""COMPUTED_VALUE"""),"Madam")</f>
        <v>Madam</v>
      </c>
      <c r="Q1406" s="1" t="str">
        <f>IFERROR(__xludf.DUMMYFUNCTION("""COMPUTED_VALUE"""),"No")</f>
        <v>No</v>
      </c>
      <c r="R1406" s="1" t="str">
        <f>IFERROR(__xludf.DUMMYFUNCTION("""COMPUTED_VALUE"""),"NEW WALK IN")</f>
        <v>NEW WALK IN</v>
      </c>
      <c r="S1406" s="1" t="str">
        <f>IFERROR(__xludf.DUMMYFUNCTION("""COMPUTED_VALUE"""),"Yes")</f>
        <v>Yes</v>
      </c>
    </row>
    <row r="1407">
      <c r="A1407" s="2">
        <f>IFERROR(__xludf.DUMMYFUNCTION("""COMPUTED_VALUE"""),45947.580802349534)</f>
        <v>45947.5808</v>
      </c>
      <c r="B1407" s="1" t="str">
        <f>IFERROR(__xludf.DUMMYFUNCTION("""COMPUTED_VALUE"""),"Shahista khan ji")</f>
        <v>Shahista khan ji</v>
      </c>
      <c r="C1407" s="1">
        <f>IFERROR(__xludf.DUMMYFUNCTION("""COMPUTED_VALUE"""),8.860741616E9)</f>
        <v>8860741616</v>
      </c>
      <c r="D1407" s="1">
        <f>IFERROR(__xludf.DUMMYFUNCTION("""COMPUTED_VALUE"""),2.0)</f>
        <v>2</v>
      </c>
      <c r="E1407" s="3">
        <f>IFERROR(__xludf.DUMMYFUNCTION("""COMPUTED_VALUE"""),0.5416666666642413)</f>
        <v>0.5416666667</v>
      </c>
      <c r="F1407" s="1" t="str">
        <f>IFERROR(__xludf.DUMMYFUNCTION("""COMPUTED_VALUE"""),"Silver Items")</f>
        <v>Silver Items</v>
      </c>
      <c r="G1407" s="1"/>
      <c r="H1407" s="1" t="str">
        <f>IFERROR(__xludf.DUMMYFUNCTION("""COMPUTED_VALUE"""),"Coins")</f>
        <v>Coins</v>
      </c>
      <c r="I1407" s="1"/>
      <c r="J1407" s="1"/>
      <c r="K1407" s="3">
        <f>IFERROR(__xludf.DUMMYFUNCTION("""COMPUTED_VALUE"""),0.6145833333357587)</f>
        <v>0.6145833333</v>
      </c>
      <c r="L1407" s="1" t="str">
        <f>IFERROR(__xludf.DUMMYFUNCTION("""COMPUTED_VALUE"""),"Yes")</f>
        <v>Yes</v>
      </c>
      <c r="M1407" s="1" t="str">
        <f>IFERROR(__xludf.DUMMYFUNCTION("""COMPUTED_VALUE"""),"Already done ")</f>
        <v>Already done </v>
      </c>
      <c r="N1407" s="1" t="str">
        <f>IFERROR(__xludf.DUMMYFUNCTION("""COMPUTED_VALUE"""),"Already done ")</f>
        <v>Already done </v>
      </c>
      <c r="O1407" s="1" t="str">
        <f>IFERROR(__xludf.DUMMYFUNCTION("""COMPUTED_VALUE"""),"WA ONLY, OWNER CONTACT ONLY")</f>
        <v>WA ONLY, OWNER CONTACT ONLY</v>
      </c>
      <c r="P1407" s="1" t="str">
        <f>IFERROR(__xludf.DUMMYFUNCTION("""COMPUTED_VALUE"""),"Madam")</f>
        <v>Madam</v>
      </c>
      <c r="Q1407" s="1" t="str">
        <f>IFERROR(__xludf.DUMMYFUNCTION("""COMPUTED_VALUE"""),"No")</f>
        <v>No</v>
      </c>
      <c r="R1407" s="1" t="str">
        <f>IFERROR(__xludf.DUMMYFUNCTION("""COMPUTED_VALUE"""),"OLD")</f>
        <v>OLD</v>
      </c>
      <c r="S1407" s="1" t="str">
        <f>IFERROR(__xludf.DUMMYFUNCTION("""COMPUTED_VALUE"""),"Yes")</f>
        <v>Yes</v>
      </c>
    </row>
    <row r="1408">
      <c r="A1408" s="2">
        <f>IFERROR(__xludf.DUMMYFUNCTION("""COMPUTED_VALUE"""),45947.58200657407)</f>
        <v>45947.58201</v>
      </c>
      <c r="B1408" s="1" t="str">
        <f>IFERROR(__xludf.DUMMYFUNCTION("""COMPUTED_VALUE"""),"Rakhi aggarwal ji")</f>
        <v>Rakhi aggarwal ji</v>
      </c>
      <c r="C1408" s="1">
        <f>IFERROR(__xludf.DUMMYFUNCTION("""COMPUTED_VALUE"""),9.086000439E9)</f>
        <v>9086000439</v>
      </c>
      <c r="D1408" s="1">
        <f>IFERROR(__xludf.DUMMYFUNCTION("""COMPUTED_VALUE"""),1.0)</f>
        <v>1</v>
      </c>
      <c r="E1408" s="3">
        <f>IFERROR(__xludf.DUMMYFUNCTION("""COMPUTED_VALUE"""),0.6145833333357587)</f>
        <v>0.6145833333</v>
      </c>
      <c r="F1408" s="1" t="str">
        <f>IFERROR(__xludf.DUMMYFUNCTION("""COMPUTED_VALUE"""),"Diamond")</f>
        <v>Diamond</v>
      </c>
      <c r="G1408" s="1"/>
      <c r="H1408" s="1" t="str">
        <f>IFERROR(__xludf.DUMMYFUNCTION("""COMPUTED_VALUE"""),"Antique sets")</f>
        <v>Antique sets</v>
      </c>
      <c r="I1408" s="1"/>
      <c r="J1408" s="1"/>
      <c r="K1408" s="3">
        <f>IFERROR(__xludf.DUMMYFUNCTION("""COMPUTED_VALUE"""),0.75)</f>
        <v>0.75</v>
      </c>
      <c r="L1408" s="1" t="str">
        <f>IFERROR(__xludf.DUMMYFUNCTION("""COMPUTED_VALUE"""),"Yes")</f>
        <v>Yes</v>
      </c>
      <c r="M1408" s="1" t="str">
        <f>IFERROR(__xludf.DUMMYFUNCTION("""COMPUTED_VALUE"""),"Yes")</f>
        <v>Yes</v>
      </c>
      <c r="N1408" s="1" t="str">
        <f>IFERROR(__xludf.DUMMYFUNCTION("""COMPUTED_VALUE"""),"Yes")</f>
        <v>Yes</v>
      </c>
      <c r="O1408" s="1" t="str">
        <f>IFERROR(__xludf.DUMMYFUNCTION("""COMPUTED_VALUE"""),"WA ONLY, OWNER CONTACT ONLY")</f>
        <v>WA ONLY, OWNER CONTACT ONLY</v>
      </c>
      <c r="P1408" s="1" t="str">
        <f>IFERROR(__xludf.DUMMYFUNCTION("""COMPUTED_VALUE"""),"Madam")</f>
        <v>Madam</v>
      </c>
      <c r="Q1408" s="1" t="str">
        <f>IFERROR(__xludf.DUMMYFUNCTION("""COMPUTED_VALUE"""),"No")</f>
        <v>No</v>
      </c>
      <c r="R1408" s="1" t="str">
        <f>IFERROR(__xludf.DUMMYFUNCTION("""COMPUTED_VALUE"""),"OLD")</f>
        <v>OLD</v>
      </c>
      <c r="S1408" s="1" t="str">
        <f>IFERROR(__xludf.DUMMYFUNCTION("""COMPUTED_VALUE"""),"Yes")</f>
        <v>Yes</v>
      </c>
    </row>
    <row r="1409">
      <c r="A1409" s="2">
        <f>IFERROR(__xludf.DUMMYFUNCTION("""COMPUTED_VALUE"""),45947.61005106481)</f>
        <v>45947.61005</v>
      </c>
      <c r="B1409" s="1" t="str">
        <f>IFERROR(__xludf.DUMMYFUNCTION("""COMPUTED_VALUE"""),"Sunita goyal ji")</f>
        <v>Sunita goyal ji</v>
      </c>
      <c r="C1409" s="1">
        <f>IFERROR(__xludf.DUMMYFUNCTION("""COMPUTED_VALUE"""),9.013927456E9)</f>
        <v>9013927456</v>
      </c>
      <c r="D1409" s="1">
        <f>IFERROR(__xludf.DUMMYFUNCTION("""COMPUTED_VALUE"""),1.0)</f>
        <v>1</v>
      </c>
      <c r="E1409" s="3">
        <f>IFERROR(__xludf.DUMMYFUNCTION("""COMPUTED_VALUE"""),0.6770833333357587)</f>
        <v>0.6770833333</v>
      </c>
      <c r="F1409" s="1" t="str">
        <f>IFERROR(__xludf.DUMMYFUNCTION("""COMPUTED_VALUE"""),"Diamond")</f>
        <v>Diamond</v>
      </c>
      <c r="G1409" s="1"/>
      <c r="H1409" s="1" t="str">
        <f>IFERROR(__xludf.DUMMYFUNCTION("""COMPUTED_VALUE"""),"Silver bangles")</f>
        <v>Silver bangles</v>
      </c>
      <c r="I1409" s="1"/>
      <c r="J1409" s="1"/>
      <c r="K1409" s="3">
        <f>IFERROR(__xludf.DUMMYFUNCTION("""COMPUTED_VALUE"""),0.7083333333357587)</f>
        <v>0.7083333333</v>
      </c>
      <c r="L1409" s="1" t="str">
        <f>IFERROR(__xludf.DUMMYFUNCTION("""COMPUTED_VALUE"""),"Yes")</f>
        <v>Yes</v>
      </c>
      <c r="M1409" s="1" t="str">
        <f>IFERROR(__xludf.DUMMYFUNCTION("""COMPUTED_VALUE"""),"Already done")</f>
        <v>Already done</v>
      </c>
      <c r="N1409" s="1" t="str">
        <f>IFERROR(__xludf.DUMMYFUNCTION("""COMPUTED_VALUE"""),"Already done")</f>
        <v>Already done</v>
      </c>
      <c r="O1409" s="1" t="str">
        <f>IFERROR(__xludf.DUMMYFUNCTION("""COMPUTED_VALUE"""),"WA ONLY")</f>
        <v>WA ONLY</v>
      </c>
      <c r="P1409" s="1" t="str">
        <f>IFERROR(__xludf.DUMMYFUNCTION("""COMPUTED_VALUE"""),"Madam")</f>
        <v>Madam</v>
      </c>
      <c r="Q1409" s="1" t="str">
        <f>IFERROR(__xludf.DUMMYFUNCTION("""COMPUTED_VALUE"""),"No")</f>
        <v>No</v>
      </c>
      <c r="R1409" s="1" t="str">
        <f>IFERROR(__xludf.DUMMYFUNCTION("""COMPUTED_VALUE"""),"OLD")</f>
        <v>OLD</v>
      </c>
      <c r="S1409" s="1" t="str">
        <f>IFERROR(__xludf.DUMMYFUNCTION("""COMPUTED_VALUE"""),"Yes")</f>
        <v>Yes</v>
      </c>
    </row>
    <row r="1410">
      <c r="A1410" s="2">
        <f>IFERROR(__xludf.DUMMYFUNCTION("""COMPUTED_VALUE"""),45947.61115296296)</f>
        <v>45947.61115</v>
      </c>
      <c r="B1410" s="1" t="str">
        <f>IFERROR(__xludf.DUMMYFUNCTION("""COMPUTED_VALUE"""),"Nidhi ji")</f>
        <v>Nidhi ji</v>
      </c>
      <c r="C1410" s="1">
        <f>IFERROR(__xludf.DUMMYFUNCTION("""COMPUTED_VALUE"""),9.810658206E9)</f>
        <v>9810658206</v>
      </c>
      <c r="D1410" s="1">
        <f>IFERROR(__xludf.DUMMYFUNCTION("""COMPUTED_VALUE"""),1.0)</f>
        <v>1</v>
      </c>
      <c r="E1410" s="3">
        <f>IFERROR(__xludf.DUMMYFUNCTION("""COMPUTED_VALUE"""),0.7333333333372138)</f>
        <v>0.7333333333</v>
      </c>
      <c r="F1410" s="1" t="str">
        <f>IFERROR(__xludf.DUMMYFUNCTION("""COMPUTED_VALUE"""),"Plain Gold")</f>
        <v>Plain Gold</v>
      </c>
      <c r="G1410" s="1"/>
      <c r="H1410" s="1" t="str">
        <f>IFERROR(__xludf.DUMMYFUNCTION("""COMPUTED_VALUE"""),"Turkish sets")</f>
        <v>Turkish sets</v>
      </c>
      <c r="I1410" s="1"/>
      <c r="J1410" s="1"/>
      <c r="K1410" s="3">
        <f>IFERROR(__xludf.DUMMYFUNCTION("""COMPUTED_VALUE"""),0.7708333333357587)</f>
        <v>0.7708333333</v>
      </c>
      <c r="L1410" s="1" t="str">
        <f>IFERROR(__xludf.DUMMYFUNCTION("""COMPUTED_VALUE"""),"No")</f>
        <v>No</v>
      </c>
      <c r="M1410" s="1" t="str">
        <f>IFERROR(__xludf.DUMMYFUNCTION("""COMPUTED_VALUE"""),"No")</f>
        <v>No</v>
      </c>
      <c r="N1410" s="1" t="str">
        <f>IFERROR(__xludf.DUMMYFUNCTION("""COMPUTED_VALUE"""),"No")</f>
        <v>No</v>
      </c>
      <c r="O1410" s="1" t="str">
        <f>IFERROR(__xludf.DUMMYFUNCTION("""COMPUTED_VALUE"""),"WA ONLY")</f>
        <v>WA ONLY</v>
      </c>
      <c r="P1410" s="1" t="str">
        <f>IFERROR(__xludf.DUMMYFUNCTION("""COMPUTED_VALUE"""),"Madam")</f>
        <v>Madam</v>
      </c>
      <c r="Q1410" s="1" t="str">
        <f>IFERROR(__xludf.DUMMYFUNCTION("""COMPUTED_VALUE"""),"No")</f>
        <v>No</v>
      </c>
      <c r="R1410" s="1" t="str">
        <f>IFERROR(__xludf.DUMMYFUNCTION("""COMPUTED_VALUE"""),"NEW WALK IN")</f>
        <v>NEW WALK IN</v>
      </c>
      <c r="S1410" s="1" t="str">
        <f>IFERROR(__xludf.DUMMYFUNCTION("""COMPUTED_VALUE"""),"No")</f>
        <v>No</v>
      </c>
    </row>
    <row r="1411">
      <c r="A1411" s="2">
        <f>IFERROR(__xludf.DUMMYFUNCTION("""COMPUTED_VALUE"""),45947.61236540509)</f>
        <v>45947.61237</v>
      </c>
      <c r="B1411" s="1" t="str">
        <f>IFERROR(__xludf.DUMMYFUNCTION("""COMPUTED_VALUE"""),"Zain ji")</f>
        <v>Zain ji</v>
      </c>
      <c r="C1411" s="1">
        <f>IFERROR(__xludf.DUMMYFUNCTION("""COMPUTED_VALUE"""),9.716165322E9)</f>
        <v>9716165322</v>
      </c>
      <c r="D1411" s="1">
        <f>IFERROR(__xludf.DUMMYFUNCTION("""COMPUTED_VALUE"""),4.0)</f>
        <v>4</v>
      </c>
      <c r="E1411" s="3">
        <f>IFERROR(__xludf.DUMMYFUNCTION("""COMPUTED_VALUE"""),0.75)</f>
        <v>0.75</v>
      </c>
      <c r="F1411" s="1" t="str">
        <f>IFERROR(__xludf.DUMMYFUNCTION("""COMPUTED_VALUE"""),"Plain Gold")</f>
        <v>Plain Gold</v>
      </c>
      <c r="G1411" s="1"/>
      <c r="H1411" s="1" t="str">
        <f>IFERROR(__xludf.DUMMYFUNCTION("""COMPUTED_VALUE"""),"Baali tops")</f>
        <v>Baali tops</v>
      </c>
      <c r="I1411" s="1"/>
      <c r="J1411" s="1"/>
      <c r="K1411" s="3">
        <f>IFERROR(__xludf.DUMMYFUNCTION("""COMPUTED_VALUE"""),0.8104166666671517)</f>
        <v>0.8104166667</v>
      </c>
      <c r="L1411" s="1" t="str">
        <f>IFERROR(__xludf.DUMMYFUNCTION("""COMPUTED_VALUE"""),"No")</f>
        <v>No</v>
      </c>
      <c r="M1411" s="1" t="str">
        <f>IFERROR(__xludf.DUMMYFUNCTION("""COMPUTED_VALUE"""),"Yes")</f>
        <v>Yes</v>
      </c>
      <c r="N1411" s="1" t="str">
        <f>IFERROR(__xludf.DUMMYFUNCTION("""COMPUTED_VALUE"""),"Yes")</f>
        <v>Yes</v>
      </c>
      <c r="O1411" s="1" t="str">
        <f>IFERROR(__xludf.DUMMYFUNCTION("""COMPUTED_VALUE"""),"WA ONLY")</f>
        <v>WA ONLY</v>
      </c>
      <c r="P1411" s="1" t="str">
        <f>IFERROR(__xludf.DUMMYFUNCTION("""COMPUTED_VALUE"""),"Sir")</f>
        <v>Sir</v>
      </c>
      <c r="Q1411" s="1" t="str">
        <f>IFERROR(__xludf.DUMMYFUNCTION("""COMPUTED_VALUE"""),"No")</f>
        <v>No</v>
      </c>
      <c r="R1411" s="1" t="str">
        <f>IFERROR(__xludf.DUMMYFUNCTION("""COMPUTED_VALUE"""),"NEW WALK IN")</f>
        <v>NEW WALK IN</v>
      </c>
      <c r="S1411" s="1" t="str">
        <f>IFERROR(__xludf.DUMMYFUNCTION("""COMPUTED_VALUE"""),"Yes")</f>
        <v>Yes</v>
      </c>
    </row>
    <row r="1412">
      <c r="A1412" s="2">
        <f>IFERROR(__xludf.DUMMYFUNCTION("""COMPUTED_VALUE"""),45947.61372425926)</f>
        <v>45947.61372</v>
      </c>
      <c r="B1412" s="1" t="str">
        <f>IFERROR(__xludf.DUMMYFUNCTION("""COMPUTED_VALUE"""),"Abha ji")</f>
        <v>Abha ji</v>
      </c>
      <c r="C1412" s="1" t="str">
        <f>IFERROR(__xludf.DUMMYFUNCTION("""COMPUTED_VALUE"""),"+16305440302")</f>
        <v>+16305440302</v>
      </c>
      <c r="D1412" s="1">
        <f>IFERROR(__xludf.DUMMYFUNCTION("""COMPUTED_VALUE"""),2.0)</f>
        <v>2</v>
      </c>
      <c r="E1412" s="3">
        <f>IFERROR(__xludf.DUMMYFUNCTION("""COMPUTED_VALUE"""),0.78125)</f>
        <v>0.78125</v>
      </c>
      <c r="F1412" s="1" t="str">
        <f>IFERROR(__xludf.DUMMYFUNCTION("""COMPUTED_VALUE"""),"Diamond")</f>
        <v>Diamond</v>
      </c>
      <c r="G1412" s="1"/>
      <c r="H1412" s="1" t="str">
        <f>IFERROR(__xludf.DUMMYFUNCTION("""COMPUTED_VALUE"""),"Pendent set Diamond ring")</f>
        <v>Pendent set Diamond ring</v>
      </c>
      <c r="I1412" s="1"/>
      <c r="J1412" s="1"/>
      <c r="K1412" s="3">
        <f>IFERROR(__xludf.DUMMYFUNCTION("""COMPUTED_VALUE"""),0.8229166666642413)</f>
        <v>0.8229166667</v>
      </c>
      <c r="L1412" s="1" t="str">
        <f>IFERROR(__xludf.DUMMYFUNCTION("""COMPUTED_VALUE"""),"No")</f>
        <v>No</v>
      </c>
      <c r="M1412" s="1" t="str">
        <f>IFERROR(__xludf.DUMMYFUNCTION("""COMPUTED_VALUE"""),"No")</f>
        <v>No</v>
      </c>
      <c r="N1412" s="1" t="str">
        <f>IFERROR(__xludf.DUMMYFUNCTION("""COMPUTED_VALUE"""),"No")</f>
        <v>No</v>
      </c>
      <c r="O1412" s="1" t="str">
        <f>IFERROR(__xludf.DUMMYFUNCTION("""COMPUTED_VALUE"""),"WA ONLY")</f>
        <v>WA ONLY</v>
      </c>
      <c r="P1412" s="1" t="str">
        <f>IFERROR(__xludf.DUMMYFUNCTION("""COMPUTED_VALUE"""),"Madam")</f>
        <v>Madam</v>
      </c>
      <c r="Q1412" s="1" t="str">
        <f>IFERROR(__xludf.DUMMYFUNCTION("""COMPUTED_VALUE"""),"No")</f>
        <v>No</v>
      </c>
      <c r="R1412" s="1" t="str">
        <f>IFERROR(__xludf.DUMMYFUNCTION("""COMPUTED_VALUE"""),"OLD")</f>
        <v>OLD</v>
      </c>
      <c r="S1412" s="1" t="str">
        <f>IFERROR(__xludf.DUMMYFUNCTION("""COMPUTED_VALUE"""),"Yes")</f>
        <v>Yes</v>
      </c>
    </row>
    <row r="1413">
      <c r="A1413" s="2">
        <f>IFERROR(__xludf.DUMMYFUNCTION("""COMPUTED_VALUE"""),45948.53399328704)</f>
        <v>45948.53399</v>
      </c>
      <c r="B1413" s="1" t="str">
        <f>IFERROR(__xludf.DUMMYFUNCTION("""COMPUTED_VALUE"""),"Dinesh ji")</f>
        <v>Dinesh ji</v>
      </c>
      <c r="C1413" s="1">
        <f>IFERROR(__xludf.DUMMYFUNCTION("""COMPUTED_VALUE"""),9.6544271814E10)</f>
        <v>96544271814</v>
      </c>
      <c r="D1413" s="1">
        <f>IFERROR(__xludf.DUMMYFUNCTION("""COMPUTED_VALUE"""),1.0)</f>
        <v>1</v>
      </c>
      <c r="E1413" s="3">
        <f>IFERROR(__xludf.DUMMYFUNCTION("""COMPUTED_VALUE"""),0.46875)</f>
        <v>0.46875</v>
      </c>
      <c r="F1413" s="1" t="str">
        <f>IFERROR(__xludf.DUMMYFUNCTION("""COMPUTED_VALUE"""),"Diamond")</f>
        <v>Diamond</v>
      </c>
      <c r="G1413" s="1"/>
      <c r="H1413" s="1" t="str">
        <f>IFERROR(__xludf.DUMMYFUNCTION("""COMPUTED_VALUE"""),"10 gm silver coin MMTC")</f>
        <v>10 gm silver coin MMTC</v>
      </c>
      <c r="I1413" s="1"/>
      <c r="J1413" s="1"/>
      <c r="K1413" s="3">
        <f>IFERROR(__xludf.DUMMYFUNCTION("""COMPUTED_VALUE"""),0.5)</f>
        <v>0.5</v>
      </c>
      <c r="L1413" s="1" t="str">
        <f>IFERROR(__xludf.DUMMYFUNCTION("""COMPUTED_VALUE"""),"No")</f>
        <v>No</v>
      </c>
      <c r="M1413" s="1" t="str">
        <f>IFERROR(__xludf.DUMMYFUNCTION("""COMPUTED_VALUE"""),"No")</f>
        <v>No</v>
      </c>
      <c r="N1413" s="1" t="str">
        <f>IFERROR(__xludf.DUMMYFUNCTION("""COMPUTED_VALUE"""),"No")</f>
        <v>No</v>
      </c>
      <c r="O1413" s="1" t="str">
        <f>IFERROR(__xludf.DUMMYFUNCTION("""COMPUTED_VALUE"""),"WA ONLY")</f>
        <v>WA ONLY</v>
      </c>
      <c r="P1413" s="1" t="str">
        <f>IFERROR(__xludf.DUMMYFUNCTION("""COMPUTED_VALUE"""),"Sir")</f>
        <v>Sir</v>
      </c>
      <c r="Q1413" s="1" t="str">
        <f>IFERROR(__xludf.DUMMYFUNCTION("""COMPUTED_VALUE"""),"No")</f>
        <v>No</v>
      </c>
      <c r="R1413" s="1" t="str">
        <f>IFERROR(__xludf.DUMMYFUNCTION("""COMPUTED_VALUE"""),"NEW WALK IN")</f>
        <v>NEW WALK IN</v>
      </c>
      <c r="S1413" s="1" t="str">
        <f>IFERROR(__xludf.DUMMYFUNCTION("""COMPUTED_VALUE"""),"Yes")</f>
        <v>Yes</v>
      </c>
    </row>
    <row r="1414">
      <c r="A1414" s="2">
        <f>IFERROR(__xludf.DUMMYFUNCTION("""COMPUTED_VALUE"""),45948.5351309838)</f>
        <v>45948.53513</v>
      </c>
      <c r="B1414" s="1" t="str">
        <f>IFERROR(__xludf.DUMMYFUNCTION("""COMPUTED_VALUE"""),"Rehnuma ji")</f>
        <v>Rehnuma ji</v>
      </c>
      <c r="C1414" s="1">
        <f>IFERROR(__xludf.DUMMYFUNCTION("""COMPUTED_VALUE"""),9.999822656E9)</f>
        <v>9999822656</v>
      </c>
      <c r="D1414" s="1">
        <f>IFERROR(__xludf.DUMMYFUNCTION("""COMPUTED_VALUE"""),2.0)</f>
        <v>2</v>
      </c>
      <c r="E1414" s="3">
        <f>IFERROR(__xludf.DUMMYFUNCTION("""COMPUTED_VALUE"""),0.5104166666642413)</f>
        <v>0.5104166667</v>
      </c>
      <c r="F1414" s="1" t="str">
        <f>IFERROR(__xludf.DUMMYFUNCTION("""COMPUTED_VALUE"""),"Silver Items")</f>
        <v>Silver Items</v>
      </c>
      <c r="G1414" s="1"/>
      <c r="H1414" s="1" t="str">
        <f>IFERROR(__xludf.DUMMYFUNCTION("""COMPUTED_VALUE"""),"Anklets silver bar")</f>
        <v>Anklets silver bar</v>
      </c>
      <c r="I1414" s="1"/>
      <c r="J1414" s="1"/>
      <c r="K1414" s="3">
        <f>IFERROR(__xludf.DUMMYFUNCTION("""COMPUTED_VALUE"""),0.5416666666642413)</f>
        <v>0.5416666667</v>
      </c>
      <c r="L1414" s="1" t="str">
        <f>IFERROR(__xludf.DUMMYFUNCTION("""COMPUTED_VALUE"""),"No")</f>
        <v>No</v>
      </c>
      <c r="M1414" s="1" t="str">
        <f>IFERROR(__xludf.DUMMYFUNCTION("""COMPUTED_VALUE"""),"Yes")</f>
        <v>Yes</v>
      </c>
      <c r="N1414" s="1" t="str">
        <f>IFERROR(__xludf.DUMMYFUNCTION("""COMPUTED_VALUE"""),"Yes")</f>
        <v>Yes</v>
      </c>
      <c r="O1414" s="1" t="str">
        <f>IFERROR(__xludf.DUMMYFUNCTION("""COMPUTED_VALUE"""),"WA ONLY")</f>
        <v>WA ONLY</v>
      </c>
      <c r="P1414" s="1" t="str">
        <f>IFERROR(__xludf.DUMMYFUNCTION("""COMPUTED_VALUE"""),"Madam")</f>
        <v>Madam</v>
      </c>
      <c r="Q1414" s="1" t="str">
        <f>IFERROR(__xludf.DUMMYFUNCTION("""COMPUTED_VALUE"""),"No")</f>
        <v>No</v>
      </c>
      <c r="R1414" s="1" t="str">
        <f>IFERROR(__xludf.DUMMYFUNCTION("""COMPUTED_VALUE"""),"NEW WALK IN")</f>
        <v>NEW WALK IN</v>
      </c>
      <c r="S1414" s="1" t="str">
        <f>IFERROR(__xludf.DUMMYFUNCTION("""COMPUTED_VALUE"""),"No")</f>
        <v>No</v>
      </c>
    </row>
    <row r="1415">
      <c r="A1415" s="2">
        <f>IFERROR(__xludf.DUMMYFUNCTION("""COMPUTED_VALUE"""),45948.53862747685)</f>
        <v>45948.53863</v>
      </c>
      <c r="B1415" s="1" t="str">
        <f>IFERROR(__xludf.DUMMYFUNCTION("""COMPUTED_VALUE"""),"Ritu Rathi ji")</f>
        <v>Ritu Rathi ji</v>
      </c>
      <c r="C1415" s="1">
        <f>IFERROR(__xludf.DUMMYFUNCTION("""COMPUTED_VALUE"""),9.81880272E9)</f>
        <v>9818802720</v>
      </c>
      <c r="D1415" s="1">
        <f>IFERROR(__xludf.DUMMYFUNCTION("""COMPUTED_VALUE"""),2.0)</f>
        <v>2</v>
      </c>
      <c r="E1415" s="3">
        <f>IFERROR(__xludf.DUMMYFUNCTION("""COMPUTED_VALUE"""),0.53125)</f>
        <v>0.53125</v>
      </c>
      <c r="F1415" s="1" t="str">
        <f>IFERROR(__xludf.DUMMYFUNCTION("""COMPUTED_VALUE"""),"Diamond")</f>
        <v>Diamond</v>
      </c>
      <c r="G1415" s="1"/>
      <c r="H1415" s="1" t="str">
        <f>IFERROR(__xludf.DUMMYFUNCTION("""COMPUTED_VALUE"""),"Tops")</f>
        <v>Tops</v>
      </c>
      <c r="I1415" s="1"/>
      <c r="J1415" s="1"/>
      <c r="K1415" s="3">
        <f>IFERROR(__xludf.DUMMYFUNCTION("""COMPUTED_VALUE"""),0.5694444444452529)</f>
        <v>0.5694444444</v>
      </c>
      <c r="L1415" s="1" t="str">
        <f>IFERROR(__xludf.DUMMYFUNCTION("""COMPUTED_VALUE"""),"Yes")</f>
        <v>Yes</v>
      </c>
      <c r="M1415" s="1" t="str">
        <f>IFERROR(__xludf.DUMMYFUNCTION("""COMPUTED_VALUE"""),"No")</f>
        <v>No</v>
      </c>
      <c r="N1415" s="1" t="str">
        <f>IFERROR(__xludf.DUMMYFUNCTION("""COMPUTED_VALUE"""),"No")</f>
        <v>No</v>
      </c>
      <c r="O1415" s="1" t="str">
        <f>IFERROR(__xludf.DUMMYFUNCTION("""COMPUTED_VALUE"""),"WA ONLY")</f>
        <v>WA ONLY</v>
      </c>
      <c r="P1415" s="1" t="str">
        <f>IFERROR(__xludf.DUMMYFUNCTION("""COMPUTED_VALUE"""),"Madam")</f>
        <v>Madam</v>
      </c>
      <c r="Q1415" s="1" t="str">
        <f>IFERROR(__xludf.DUMMYFUNCTION("""COMPUTED_VALUE"""),"No")</f>
        <v>No</v>
      </c>
      <c r="R1415" s="1" t="str">
        <f>IFERROR(__xludf.DUMMYFUNCTION("""COMPUTED_VALUE"""),"OLD")</f>
        <v>OLD</v>
      </c>
      <c r="S1415" s="1" t="str">
        <f>IFERROR(__xludf.DUMMYFUNCTION("""COMPUTED_VALUE"""),"Yes")</f>
        <v>Yes</v>
      </c>
    </row>
    <row r="1416">
      <c r="A1416" s="2">
        <f>IFERROR(__xludf.DUMMYFUNCTION("""COMPUTED_VALUE"""),45948.54099247685)</f>
        <v>45948.54099</v>
      </c>
      <c r="B1416" s="1" t="str">
        <f>IFERROR(__xludf.DUMMYFUNCTION("""COMPUTED_VALUE"""),"Nidhi ji")</f>
        <v>Nidhi ji</v>
      </c>
      <c r="C1416" s="1">
        <f>IFERROR(__xludf.DUMMYFUNCTION("""COMPUTED_VALUE"""),9.810658206E9)</f>
        <v>9810658206</v>
      </c>
      <c r="D1416" s="1">
        <f>IFERROR(__xludf.DUMMYFUNCTION("""COMPUTED_VALUE"""),2.0)</f>
        <v>2</v>
      </c>
      <c r="E1416" s="3">
        <f>IFERROR(__xludf.DUMMYFUNCTION("""COMPUTED_VALUE"""),0.5645833333328483)</f>
        <v>0.5645833333</v>
      </c>
      <c r="F1416" s="1" t="str">
        <f>IFERROR(__xludf.DUMMYFUNCTION("""COMPUTED_VALUE"""),"Plain Gold")</f>
        <v>Plain Gold</v>
      </c>
      <c r="G1416" s="1"/>
      <c r="H1416" s="1" t="str">
        <f>IFERROR(__xludf.DUMMYFUNCTION("""COMPUTED_VALUE"""),"Chain")</f>
        <v>Chain</v>
      </c>
      <c r="I1416" s="1"/>
      <c r="J1416" s="1"/>
      <c r="K1416" s="3">
        <f>IFERROR(__xludf.DUMMYFUNCTION("""COMPUTED_VALUE"""),0.6576388888934162)</f>
        <v>0.6576388889</v>
      </c>
      <c r="L1416" s="1" t="str">
        <f>IFERROR(__xludf.DUMMYFUNCTION("""COMPUTED_VALUE"""),"No")</f>
        <v>No</v>
      </c>
      <c r="M1416" s="1" t="str">
        <f>IFERROR(__xludf.DUMMYFUNCTION("""COMPUTED_VALUE"""),"Yes")</f>
        <v>Yes</v>
      </c>
      <c r="N1416" s="1" t="str">
        <f>IFERROR(__xludf.DUMMYFUNCTION("""COMPUTED_VALUE"""),"Yes")</f>
        <v>Yes</v>
      </c>
      <c r="O1416" s="1" t="str">
        <f>IFERROR(__xludf.DUMMYFUNCTION("""COMPUTED_VALUE"""),"WA ONLY")</f>
        <v>WA ONLY</v>
      </c>
      <c r="P1416" s="1" t="str">
        <f>IFERROR(__xludf.DUMMYFUNCTION("""COMPUTED_VALUE"""),"Madam")</f>
        <v>Madam</v>
      </c>
      <c r="Q1416" s="1" t="str">
        <f>IFERROR(__xludf.DUMMYFUNCTION("""COMPUTED_VALUE"""),"No")</f>
        <v>No</v>
      </c>
      <c r="R1416" s="1" t="str">
        <f>IFERROR(__xludf.DUMMYFUNCTION("""COMPUTED_VALUE"""),"NEW WALK IN")</f>
        <v>NEW WALK IN</v>
      </c>
      <c r="S1416" s="1" t="str">
        <f>IFERROR(__xludf.DUMMYFUNCTION("""COMPUTED_VALUE"""),"Yes")</f>
        <v>Yes</v>
      </c>
    </row>
    <row r="1417">
      <c r="A1417" s="2">
        <f>IFERROR(__xludf.DUMMYFUNCTION("""COMPUTED_VALUE"""),45948.542697048615)</f>
        <v>45948.5427</v>
      </c>
      <c r="B1417" s="1" t="str">
        <f>IFERROR(__xludf.DUMMYFUNCTION("""COMPUTED_VALUE"""),"Meeru")</f>
        <v>Meeru</v>
      </c>
      <c r="C1417" s="1">
        <f>IFERROR(__xludf.DUMMYFUNCTION("""COMPUTED_VALUE"""),9.31224882E8)</f>
        <v>931224882</v>
      </c>
      <c r="D1417" s="1">
        <f>IFERROR(__xludf.DUMMYFUNCTION("""COMPUTED_VALUE"""),3.0)</f>
        <v>3</v>
      </c>
      <c r="E1417" s="3">
        <f>IFERROR(__xludf.DUMMYFUNCTION("""COMPUTED_VALUE"""),0.7520833333328483)</f>
        <v>0.7520833333</v>
      </c>
      <c r="F1417" s="1" t="str">
        <f>IFERROR(__xludf.DUMMYFUNCTION("""COMPUTED_VALUE"""),"Plain Gold")</f>
        <v>Plain Gold</v>
      </c>
      <c r="G1417" s="1"/>
      <c r="H1417" s="1" t="str">
        <f>IFERROR(__xludf.DUMMYFUNCTION("""COMPUTED_VALUE"""),"Sets ")</f>
        <v>Sets </v>
      </c>
      <c r="I1417" s="1" t="str">
        <f>IFERROR(__xludf.DUMMYFUNCTION("""COMPUTED_VALUE"""),"Visit Again in 1 Month")</f>
        <v>Visit Again in 1 Month</v>
      </c>
      <c r="J1417" s="1"/>
      <c r="K1417" s="3">
        <f>IFERROR(__xludf.DUMMYFUNCTION("""COMPUTED_VALUE"""),0.7604166666642413)</f>
        <v>0.7604166667</v>
      </c>
      <c r="L1417" s="1" t="str">
        <f>IFERROR(__xludf.DUMMYFUNCTION("""COMPUTED_VALUE"""),"No")</f>
        <v>No</v>
      </c>
      <c r="M1417" s="1" t="str">
        <f>IFERROR(__xludf.DUMMYFUNCTION("""COMPUTED_VALUE"""),"Already done ")</f>
        <v>Already done </v>
      </c>
      <c r="N1417" s="1" t="str">
        <f>IFERROR(__xludf.DUMMYFUNCTION("""COMPUTED_VALUE"""),"Already done")</f>
        <v>Already done</v>
      </c>
      <c r="O1417" s="1" t="str">
        <f>IFERROR(__xludf.DUMMYFUNCTION("""COMPUTED_VALUE"""),"WA ONLY")</f>
        <v>WA ONLY</v>
      </c>
      <c r="P1417" s="1" t="str">
        <f>IFERROR(__xludf.DUMMYFUNCTION("""COMPUTED_VALUE"""),"Madam")</f>
        <v>Madam</v>
      </c>
      <c r="Q1417" s="1" t="str">
        <f>IFERROR(__xludf.DUMMYFUNCTION("""COMPUTED_VALUE"""),"No")</f>
        <v>No</v>
      </c>
      <c r="R1417" s="1" t="str">
        <f>IFERROR(__xludf.DUMMYFUNCTION("""COMPUTED_VALUE"""),"OLD")</f>
        <v>OLD</v>
      </c>
      <c r="S1417" s="1" t="str">
        <f>IFERROR(__xludf.DUMMYFUNCTION("""COMPUTED_VALUE"""),"No")</f>
        <v>No</v>
      </c>
    </row>
    <row r="1418">
      <c r="A1418" s="2">
        <f>IFERROR(__xludf.DUMMYFUNCTION("""COMPUTED_VALUE"""),45949.55546563657)</f>
        <v>45949.55547</v>
      </c>
      <c r="B1418" s="1" t="str">
        <f>IFERROR(__xludf.DUMMYFUNCTION("""COMPUTED_VALUE"""),"Rajesh ji")</f>
        <v>Rajesh ji</v>
      </c>
      <c r="C1418" s="1">
        <f>IFERROR(__xludf.DUMMYFUNCTION("""COMPUTED_VALUE"""),9.004736864E9)</f>
        <v>9004736864</v>
      </c>
      <c r="D1418" s="1">
        <f>IFERROR(__xludf.DUMMYFUNCTION("""COMPUTED_VALUE"""),2.0)</f>
        <v>2</v>
      </c>
      <c r="E1418" s="3">
        <f>IFERROR(__xludf.DUMMYFUNCTION("""COMPUTED_VALUE"""),0.47916666666424135)</f>
        <v>0.4791666667</v>
      </c>
      <c r="F1418" s="1" t="str">
        <f>IFERROR(__xludf.DUMMYFUNCTION("""COMPUTED_VALUE"""),"Diamond")</f>
        <v>Diamond</v>
      </c>
      <c r="G1418" s="1"/>
      <c r="H1418" s="1" t="str">
        <f>IFERROR(__xludf.DUMMYFUNCTION("""COMPUTED_VALUE"""),"Silver coins")</f>
        <v>Silver coins</v>
      </c>
      <c r="I1418" s="1"/>
      <c r="J1418" s="1"/>
      <c r="K1418" s="3">
        <f>IFERROR(__xludf.DUMMYFUNCTION("""COMPUTED_VALUE"""),0.5104166666642413)</f>
        <v>0.5104166667</v>
      </c>
      <c r="L1418" s="1" t="str">
        <f>IFERROR(__xludf.DUMMYFUNCTION("""COMPUTED_VALUE"""),"Yes")</f>
        <v>Yes</v>
      </c>
      <c r="M1418" s="1" t="str">
        <f>IFERROR(__xludf.DUMMYFUNCTION("""COMPUTED_VALUE"""),"Yes")</f>
        <v>Yes</v>
      </c>
      <c r="N1418" s="1" t="str">
        <f>IFERROR(__xludf.DUMMYFUNCTION("""COMPUTED_VALUE"""),"Yes")</f>
        <v>Yes</v>
      </c>
      <c r="O1418" s="1" t="str">
        <f>IFERROR(__xludf.DUMMYFUNCTION("""COMPUTED_VALUE"""),"WA ONLY")</f>
        <v>WA ONLY</v>
      </c>
      <c r="P1418" s="1" t="str">
        <f>IFERROR(__xludf.DUMMYFUNCTION("""COMPUTED_VALUE"""),"Sir")</f>
        <v>Sir</v>
      </c>
      <c r="Q1418" s="1" t="str">
        <f>IFERROR(__xludf.DUMMYFUNCTION("""COMPUTED_VALUE"""),"No")</f>
        <v>No</v>
      </c>
      <c r="R1418" s="1" t="str">
        <f>IFERROR(__xludf.DUMMYFUNCTION("""COMPUTED_VALUE"""),"NEW WALK IN")</f>
        <v>NEW WALK IN</v>
      </c>
      <c r="S1418" s="1" t="str">
        <f>IFERROR(__xludf.DUMMYFUNCTION("""COMPUTED_VALUE"""),"Yes")</f>
        <v>Yes</v>
      </c>
    </row>
    <row r="1419">
      <c r="A1419" s="2">
        <f>IFERROR(__xludf.DUMMYFUNCTION("""COMPUTED_VALUE"""),45949.55676716435)</f>
        <v>45949.55677</v>
      </c>
      <c r="B1419" s="1" t="str">
        <f>IFERROR(__xludf.DUMMYFUNCTION("""COMPUTED_VALUE"""),"Monica ji")</f>
        <v>Monica ji</v>
      </c>
      <c r="C1419" s="1">
        <f>IFERROR(__xludf.DUMMYFUNCTION("""COMPUTED_VALUE"""),8.44745154E9)</f>
        <v>8447451540</v>
      </c>
      <c r="D1419" s="1">
        <f>IFERROR(__xludf.DUMMYFUNCTION("""COMPUTED_VALUE"""),2.0)</f>
        <v>2</v>
      </c>
      <c r="E1419" s="3">
        <f>IFERROR(__xludf.DUMMYFUNCTION("""COMPUTED_VALUE"""),0.48958333333575865)</f>
        <v>0.4895833333</v>
      </c>
      <c r="F1419" s="1" t="str">
        <f>IFERROR(__xludf.DUMMYFUNCTION("""COMPUTED_VALUE"""),"Silver Items")</f>
        <v>Silver Items</v>
      </c>
      <c r="G1419" s="1"/>
      <c r="H1419" s="1" t="str">
        <f>IFERROR(__xludf.DUMMYFUNCTION("""COMPUTED_VALUE"""),"Silver ring")</f>
        <v>Silver ring</v>
      </c>
      <c r="I1419" s="1"/>
      <c r="J1419" s="1"/>
      <c r="K1419" s="3">
        <f>IFERROR(__xludf.DUMMYFUNCTION("""COMPUTED_VALUE"""),0.5631944444467081)</f>
        <v>0.5631944444</v>
      </c>
      <c r="L1419" s="1" t="str">
        <f>IFERROR(__xludf.DUMMYFUNCTION("""COMPUTED_VALUE"""),"Yes")</f>
        <v>Yes</v>
      </c>
      <c r="M1419" s="1" t="str">
        <f>IFERROR(__xludf.DUMMYFUNCTION("""COMPUTED_VALUE"""),"No")</f>
        <v>No</v>
      </c>
      <c r="N1419" s="1" t="str">
        <f>IFERROR(__xludf.DUMMYFUNCTION("""COMPUTED_VALUE"""),"No")</f>
        <v>No</v>
      </c>
      <c r="O1419" s="1" t="str">
        <f>IFERROR(__xludf.DUMMYFUNCTION("""COMPUTED_VALUE"""),"WA ONLY")</f>
        <v>WA ONLY</v>
      </c>
      <c r="P1419" s="1" t="str">
        <f>IFERROR(__xludf.DUMMYFUNCTION("""COMPUTED_VALUE"""),"Madam")</f>
        <v>Madam</v>
      </c>
      <c r="Q1419" s="1" t="str">
        <f>IFERROR(__xludf.DUMMYFUNCTION("""COMPUTED_VALUE"""),"Yes")</f>
        <v>Yes</v>
      </c>
      <c r="R1419" s="1" t="str">
        <f>IFERROR(__xludf.DUMMYFUNCTION("""COMPUTED_VALUE"""),"OLD")</f>
        <v>OLD</v>
      </c>
      <c r="S1419" s="1" t="str">
        <f>IFERROR(__xludf.DUMMYFUNCTION("""COMPUTED_VALUE"""),"Yes")</f>
        <v>Yes</v>
      </c>
    </row>
    <row r="1420">
      <c r="A1420" s="2">
        <f>IFERROR(__xludf.DUMMYFUNCTION("""COMPUTED_VALUE"""),45949.56217662037)</f>
        <v>45949.56218</v>
      </c>
      <c r="B1420" s="1" t="str">
        <f>IFERROR(__xludf.DUMMYFUNCTION("""COMPUTED_VALUE"""),"Niket ji")</f>
        <v>Niket ji</v>
      </c>
      <c r="C1420" s="1">
        <f>IFERROR(__xludf.DUMMYFUNCTION("""COMPUTED_VALUE"""),9.71108755E9)</f>
        <v>9711087550</v>
      </c>
      <c r="D1420" s="1">
        <f>IFERROR(__xludf.DUMMYFUNCTION("""COMPUTED_VALUE"""),1.0)</f>
        <v>1</v>
      </c>
      <c r="E1420" s="3">
        <f>IFERROR(__xludf.DUMMYFUNCTION("""COMPUTED_VALUE"""),0.5104166666642413)</f>
        <v>0.5104166667</v>
      </c>
      <c r="F1420" s="1" t="str">
        <f>IFERROR(__xludf.DUMMYFUNCTION("""COMPUTED_VALUE"""),"Diamond")</f>
        <v>Diamond</v>
      </c>
      <c r="G1420" s="1"/>
      <c r="H1420" s="1" t="str">
        <f>IFERROR(__xludf.DUMMYFUNCTION("""COMPUTED_VALUE"""),"Silver elephant and articles")</f>
        <v>Silver elephant and articles</v>
      </c>
      <c r="I1420" s="1"/>
      <c r="J1420" s="1"/>
      <c r="K1420" s="3">
        <f>IFERROR(__xludf.DUMMYFUNCTION("""COMPUTED_VALUE"""),0.5520833333357587)</f>
        <v>0.5520833333</v>
      </c>
      <c r="L1420" s="1" t="str">
        <f>IFERROR(__xludf.DUMMYFUNCTION("""COMPUTED_VALUE"""),"Yes")</f>
        <v>Yes</v>
      </c>
      <c r="M1420" s="1" t="str">
        <f>IFERROR(__xludf.DUMMYFUNCTION("""COMPUTED_VALUE"""),"Yes")</f>
        <v>Yes</v>
      </c>
      <c r="N1420" s="1" t="str">
        <f>IFERROR(__xludf.DUMMYFUNCTION("""COMPUTED_VALUE"""),"Yes")</f>
        <v>Yes</v>
      </c>
      <c r="O1420" s="1" t="str">
        <f>IFERROR(__xludf.DUMMYFUNCTION("""COMPUTED_VALUE"""),"WA ONLY")</f>
        <v>WA ONLY</v>
      </c>
      <c r="P1420" s="1" t="str">
        <f>IFERROR(__xludf.DUMMYFUNCTION("""COMPUTED_VALUE"""),"Sir")</f>
        <v>Sir</v>
      </c>
      <c r="Q1420" s="1" t="str">
        <f>IFERROR(__xludf.DUMMYFUNCTION("""COMPUTED_VALUE"""),"No")</f>
        <v>No</v>
      </c>
      <c r="R1420" s="1" t="str">
        <f>IFERROR(__xludf.DUMMYFUNCTION("""COMPUTED_VALUE"""),"NEW WALK IN")</f>
        <v>NEW WALK IN</v>
      </c>
      <c r="S1420" s="1" t="str">
        <f>IFERROR(__xludf.DUMMYFUNCTION("""COMPUTED_VALUE"""),"Yes")</f>
        <v>Yes</v>
      </c>
    </row>
    <row r="1421">
      <c r="A1421" s="2">
        <f>IFERROR(__xludf.DUMMYFUNCTION("""COMPUTED_VALUE"""),45949.563477268515)</f>
        <v>45949.56348</v>
      </c>
      <c r="B1421" s="1" t="str">
        <f>IFERROR(__xludf.DUMMYFUNCTION("""COMPUTED_VALUE"""),"Vikas ji")</f>
        <v>Vikas ji</v>
      </c>
      <c r="C1421" s="1">
        <f>IFERROR(__xludf.DUMMYFUNCTION("""COMPUTED_VALUE"""),9.728504564E9)</f>
        <v>9728504564</v>
      </c>
      <c r="D1421" s="1">
        <f>IFERROR(__xludf.DUMMYFUNCTION("""COMPUTED_VALUE"""),2.0)</f>
        <v>2</v>
      </c>
      <c r="E1421" s="3">
        <f>IFERROR(__xludf.DUMMYFUNCTION("""COMPUTED_VALUE"""),0.5069444444452529)</f>
        <v>0.5069444444</v>
      </c>
      <c r="F1421" s="1" t="str">
        <f>IFERROR(__xludf.DUMMYFUNCTION("""COMPUTED_VALUE"""),"Plain Gold")</f>
        <v>Plain Gold</v>
      </c>
      <c r="G1421" s="1"/>
      <c r="H1421" s="1" t="str">
        <f>IFERROR(__xludf.DUMMYFUNCTION("""COMPUTED_VALUE"""),"Bar 10 g MMTC")</f>
        <v>Bar 10 g MMTC</v>
      </c>
      <c r="I1421" s="1"/>
      <c r="J1421" s="1"/>
      <c r="K1421" s="3">
        <f>IFERROR(__xludf.DUMMYFUNCTION("""COMPUTED_VALUE"""),0.5486111111094942)</f>
        <v>0.5486111111</v>
      </c>
      <c r="L1421" s="1" t="str">
        <f>IFERROR(__xludf.DUMMYFUNCTION("""COMPUTED_VALUE"""),"Yes")</f>
        <v>Yes</v>
      </c>
      <c r="M1421" s="1" t="str">
        <f>IFERROR(__xludf.DUMMYFUNCTION("""COMPUTED_VALUE"""),"Yes")</f>
        <v>Yes</v>
      </c>
      <c r="N1421" s="1" t="str">
        <f>IFERROR(__xludf.DUMMYFUNCTION("""COMPUTED_VALUE"""),"Yes")</f>
        <v>Yes</v>
      </c>
      <c r="O1421" s="1" t="str">
        <f>IFERROR(__xludf.DUMMYFUNCTION("""COMPUTED_VALUE"""),"WA ONLY")</f>
        <v>WA ONLY</v>
      </c>
      <c r="P1421" s="1" t="str">
        <f>IFERROR(__xludf.DUMMYFUNCTION("""COMPUTED_VALUE"""),"Sir")</f>
        <v>Sir</v>
      </c>
      <c r="Q1421" s="1" t="str">
        <f>IFERROR(__xludf.DUMMYFUNCTION("""COMPUTED_VALUE"""),"No")</f>
        <v>No</v>
      </c>
      <c r="R1421" s="1" t="str">
        <f>IFERROR(__xludf.DUMMYFUNCTION("""COMPUTED_VALUE"""),"NEW WALK IN")</f>
        <v>NEW WALK IN</v>
      </c>
      <c r="S1421" s="1" t="str">
        <f>IFERROR(__xludf.DUMMYFUNCTION("""COMPUTED_VALUE"""),"Yes")</f>
        <v>Yes</v>
      </c>
    </row>
    <row r="1422">
      <c r="A1422" s="2">
        <f>IFERROR(__xludf.DUMMYFUNCTION("""COMPUTED_VALUE"""),45949.56468793981)</f>
        <v>45949.56469</v>
      </c>
      <c r="B1422" s="1" t="str">
        <f>IFERROR(__xludf.DUMMYFUNCTION("""COMPUTED_VALUE"""),"Sushil ji")</f>
        <v>Sushil ji</v>
      </c>
      <c r="C1422" s="1">
        <f>IFERROR(__xludf.DUMMYFUNCTION("""COMPUTED_VALUE"""),9.805880792E9)</f>
        <v>9805880792</v>
      </c>
      <c r="D1422" s="1">
        <f>IFERROR(__xludf.DUMMYFUNCTION("""COMPUTED_VALUE"""),4.0)</f>
        <v>4</v>
      </c>
      <c r="E1422" s="3">
        <f>IFERROR(__xludf.DUMMYFUNCTION("""COMPUTED_VALUE"""),0.5694444444452529)</f>
        <v>0.5694444444</v>
      </c>
      <c r="F1422" s="1" t="str">
        <f>IFERROR(__xludf.DUMMYFUNCTION("""COMPUTED_VALUE"""),"Plain Gold")</f>
        <v>Plain Gold</v>
      </c>
      <c r="G1422" s="1"/>
      <c r="H1422" s="1" t="str">
        <f>IFERROR(__xludf.DUMMYFUNCTION("""COMPUTED_VALUE"""),"5 g 3 silver coin")</f>
        <v>5 g 3 silver coin</v>
      </c>
      <c r="I1422" s="1"/>
      <c r="J1422" s="1"/>
      <c r="K1422" s="3">
        <f>IFERROR(__xludf.DUMMYFUNCTION("""COMPUTED_VALUE"""),0.6111111111094942)</f>
        <v>0.6111111111</v>
      </c>
      <c r="L1422" s="1" t="str">
        <f>IFERROR(__xludf.DUMMYFUNCTION("""COMPUTED_VALUE"""),"Yes")</f>
        <v>Yes</v>
      </c>
      <c r="M1422" s="1" t="str">
        <f>IFERROR(__xludf.DUMMYFUNCTION("""COMPUTED_VALUE"""),"Yes")</f>
        <v>Yes</v>
      </c>
      <c r="N1422" s="1" t="str">
        <f>IFERROR(__xludf.DUMMYFUNCTION("""COMPUTED_VALUE"""),"Yes")</f>
        <v>Yes</v>
      </c>
      <c r="O1422" s="1" t="str">
        <f>IFERROR(__xludf.DUMMYFUNCTION("""COMPUTED_VALUE"""),"WA ONLY")</f>
        <v>WA ONLY</v>
      </c>
      <c r="P1422" s="1" t="str">
        <f>IFERROR(__xludf.DUMMYFUNCTION("""COMPUTED_VALUE"""),"Sir")</f>
        <v>Sir</v>
      </c>
      <c r="Q1422" s="1" t="str">
        <f>IFERROR(__xludf.DUMMYFUNCTION("""COMPUTED_VALUE"""),"No")</f>
        <v>No</v>
      </c>
      <c r="R1422" s="1" t="str">
        <f>IFERROR(__xludf.DUMMYFUNCTION("""COMPUTED_VALUE"""),"NEW WALK IN")</f>
        <v>NEW WALK IN</v>
      </c>
      <c r="S1422" s="1" t="str">
        <f>IFERROR(__xludf.DUMMYFUNCTION("""COMPUTED_VALUE"""),"Yes")</f>
        <v>Yes</v>
      </c>
    </row>
    <row r="1423">
      <c r="A1423" s="2">
        <f>IFERROR(__xludf.DUMMYFUNCTION("""COMPUTED_VALUE"""),45949.56596315972)</f>
        <v>45949.56596</v>
      </c>
      <c r="B1423" s="1" t="str">
        <f>IFERROR(__xludf.DUMMYFUNCTION("""COMPUTED_VALUE"""),"Manuj ji")</f>
        <v>Manuj ji</v>
      </c>
      <c r="C1423" s="1">
        <f>IFERROR(__xludf.DUMMYFUNCTION("""COMPUTED_VALUE"""),9.3133147E9)</f>
        <v>9313314700</v>
      </c>
      <c r="D1423" s="1">
        <f>IFERROR(__xludf.DUMMYFUNCTION("""COMPUTED_VALUE"""),1.0)</f>
        <v>1</v>
      </c>
      <c r="E1423" s="3">
        <f>IFERROR(__xludf.DUMMYFUNCTION("""COMPUTED_VALUE"""),0.5208333333357587)</f>
        <v>0.5208333333</v>
      </c>
      <c r="F1423" s="1" t="str">
        <f>IFERROR(__xludf.DUMMYFUNCTION("""COMPUTED_VALUE"""),"Diamond")</f>
        <v>Diamond</v>
      </c>
      <c r="G1423" s="1"/>
      <c r="H1423" s="1" t="str">
        <f>IFERROR(__xludf.DUMMYFUNCTION("""COMPUTED_VALUE"""),"10 g gold coin")</f>
        <v>10 g gold coin</v>
      </c>
      <c r="I1423" s="1"/>
      <c r="J1423" s="1"/>
      <c r="K1423" s="3">
        <f>IFERROR(__xludf.DUMMYFUNCTION("""COMPUTED_VALUE"""),0.6027777777781012)</f>
        <v>0.6027777778</v>
      </c>
      <c r="L1423" s="1" t="str">
        <f>IFERROR(__xludf.DUMMYFUNCTION("""COMPUTED_VALUE"""),"Yes")</f>
        <v>Yes</v>
      </c>
      <c r="M1423" s="1" t="str">
        <f>IFERROR(__xludf.DUMMYFUNCTION("""COMPUTED_VALUE"""),"No")</f>
        <v>No</v>
      </c>
      <c r="N1423" s="1" t="str">
        <f>IFERROR(__xludf.DUMMYFUNCTION("""COMPUTED_VALUE"""),"No")</f>
        <v>No</v>
      </c>
      <c r="O1423" s="1" t="str">
        <f>IFERROR(__xludf.DUMMYFUNCTION("""COMPUTED_VALUE"""),"WA ONLY")</f>
        <v>WA ONLY</v>
      </c>
      <c r="P1423" s="1" t="str">
        <f>IFERROR(__xludf.DUMMYFUNCTION("""COMPUTED_VALUE"""),"Sir")</f>
        <v>Sir</v>
      </c>
      <c r="Q1423" s="1" t="str">
        <f>IFERROR(__xludf.DUMMYFUNCTION("""COMPUTED_VALUE"""),"No")</f>
        <v>No</v>
      </c>
      <c r="R1423" s="1" t="str">
        <f>IFERROR(__xludf.DUMMYFUNCTION("""COMPUTED_VALUE"""),"NEW WALK IN")</f>
        <v>NEW WALK IN</v>
      </c>
      <c r="S1423" s="1" t="str">
        <f>IFERROR(__xludf.DUMMYFUNCTION("""COMPUTED_VALUE"""),"Yes")</f>
        <v>Yes</v>
      </c>
    </row>
    <row r="1424">
      <c r="A1424" s="2">
        <f>IFERROR(__xludf.DUMMYFUNCTION("""COMPUTED_VALUE"""),45949.56700234953)</f>
        <v>45949.567</v>
      </c>
      <c r="B1424" s="1" t="str">
        <f>IFERROR(__xludf.DUMMYFUNCTION("""COMPUTED_VALUE"""),"Uttam ji")</f>
        <v>Uttam ji</v>
      </c>
      <c r="C1424" s="1">
        <f>IFERROR(__xludf.DUMMYFUNCTION("""COMPUTED_VALUE"""),9.810007503E9)</f>
        <v>9810007503</v>
      </c>
      <c r="D1424" s="1">
        <f>IFERROR(__xludf.DUMMYFUNCTION("""COMPUTED_VALUE"""),2.0)</f>
        <v>2</v>
      </c>
      <c r="E1424" s="3">
        <f>IFERROR(__xludf.DUMMYFUNCTION("""COMPUTED_VALUE"""),0.59375)</f>
        <v>0.59375</v>
      </c>
      <c r="F1424" s="1" t="str">
        <f>IFERROR(__xludf.DUMMYFUNCTION("""COMPUTED_VALUE"""),"Diamond")</f>
        <v>Diamond</v>
      </c>
      <c r="G1424" s="1"/>
      <c r="H1424" s="1" t="str">
        <f>IFERROR(__xludf.DUMMYFUNCTION("""COMPUTED_VALUE"""),"Gold chain")</f>
        <v>Gold chain</v>
      </c>
      <c r="I1424" s="1"/>
      <c r="J1424" s="1"/>
      <c r="K1424" s="3">
        <f>IFERROR(__xludf.DUMMYFUNCTION("""COMPUTED_VALUE"""),0.6159722222218988)</f>
        <v>0.6159722222</v>
      </c>
      <c r="L1424" s="1" t="str">
        <f>IFERROR(__xludf.DUMMYFUNCTION("""COMPUTED_VALUE"""),"Yes")</f>
        <v>Yes</v>
      </c>
      <c r="M1424" s="1" t="str">
        <f>IFERROR(__xludf.DUMMYFUNCTION("""COMPUTED_VALUE"""),"No")</f>
        <v>No</v>
      </c>
      <c r="N1424" s="1" t="str">
        <f>IFERROR(__xludf.DUMMYFUNCTION("""COMPUTED_VALUE"""),"No")</f>
        <v>No</v>
      </c>
      <c r="O1424" s="1" t="str">
        <f>IFERROR(__xludf.DUMMYFUNCTION("""COMPUTED_VALUE"""),"WA ONLY")</f>
        <v>WA ONLY</v>
      </c>
      <c r="P1424" s="1" t="str">
        <f>IFERROR(__xludf.DUMMYFUNCTION("""COMPUTED_VALUE"""),"Sir")</f>
        <v>Sir</v>
      </c>
      <c r="Q1424" s="1" t="str">
        <f>IFERROR(__xludf.DUMMYFUNCTION("""COMPUTED_VALUE"""),"No")</f>
        <v>No</v>
      </c>
      <c r="R1424" s="1" t="str">
        <f>IFERROR(__xludf.DUMMYFUNCTION("""COMPUTED_VALUE"""),"OLD")</f>
        <v>OLD</v>
      </c>
      <c r="S1424" s="1" t="str">
        <f>IFERROR(__xludf.DUMMYFUNCTION("""COMPUTED_VALUE"""),"Yes")</f>
        <v>Yes</v>
      </c>
    </row>
    <row r="1425">
      <c r="A1425" s="2">
        <f>IFERROR(__xludf.DUMMYFUNCTION("""COMPUTED_VALUE"""),45949.5710559838)</f>
        <v>45949.57106</v>
      </c>
      <c r="B1425" s="1" t="str">
        <f>IFERROR(__xludf.DUMMYFUNCTION("""COMPUTED_VALUE"""),"Lalit kumar ji")</f>
        <v>Lalit kumar ji</v>
      </c>
      <c r="C1425" s="1">
        <f>IFERROR(__xludf.DUMMYFUNCTION("""COMPUTED_VALUE"""),9.87146801E9)</f>
        <v>9871468010</v>
      </c>
      <c r="D1425" s="1">
        <f>IFERROR(__xludf.DUMMYFUNCTION("""COMPUTED_VALUE"""),1.0)</f>
        <v>1</v>
      </c>
      <c r="E1425" s="3">
        <f>IFERROR(__xludf.DUMMYFUNCTION("""COMPUTED_VALUE"""),0.5833333333357587)</f>
        <v>0.5833333333</v>
      </c>
      <c r="F1425" s="1"/>
      <c r="G1425" s="1"/>
      <c r="H1425" s="1" t="str">
        <f>IFERROR(__xludf.DUMMYFUNCTION("""COMPUTED_VALUE"""),"10 g gold coin")</f>
        <v>10 g gold coin</v>
      </c>
      <c r="I1425" s="1"/>
      <c r="J1425" s="1"/>
      <c r="K1425" s="3">
        <f>IFERROR(__xludf.DUMMYFUNCTION("""COMPUTED_VALUE"""),0.6062499999970896)</f>
        <v>0.60625</v>
      </c>
      <c r="L1425" s="1" t="str">
        <f>IFERROR(__xludf.DUMMYFUNCTION("""COMPUTED_VALUE"""),"Yes")</f>
        <v>Yes</v>
      </c>
      <c r="M1425" s="1" t="str">
        <f>IFERROR(__xludf.DUMMYFUNCTION("""COMPUTED_VALUE"""),"No")</f>
        <v>No</v>
      </c>
      <c r="N1425" s="1" t="str">
        <f>IFERROR(__xludf.DUMMYFUNCTION("""COMPUTED_VALUE"""),"No")</f>
        <v>No</v>
      </c>
      <c r="O1425" s="1" t="str">
        <f>IFERROR(__xludf.DUMMYFUNCTION("""COMPUTED_VALUE"""),"WA ONLY")</f>
        <v>WA ONLY</v>
      </c>
      <c r="P1425" s="1" t="str">
        <f>IFERROR(__xludf.DUMMYFUNCTION("""COMPUTED_VALUE"""),"Sir")</f>
        <v>Sir</v>
      </c>
      <c r="Q1425" s="1" t="str">
        <f>IFERROR(__xludf.DUMMYFUNCTION("""COMPUTED_VALUE"""),"No")</f>
        <v>No</v>
      </c>
      <c r="R1425" s="1" t="str">
        <f>IFERROR(__xludf.DUMMYFUNCTION("""COMPUTED_VALUE"""),"OLD")</f>
        <v>OLD</v>
      </c>
      <c r="S1425" s="1" t="str">
        <f>IFERROR(__xludf.DUMMYFUNCTION("""COMPUTED_VALUE"""),"Yes")</f>
        <v>Yes</v>
      </c>
    </row>
    <row r="1426">
      <c r="A1426" s="2">
        <f>IFERROR(__xludf.DUMMYFUNCTION("""COMPUTED_VALUE"""),45949.57225085648)</f>
        <v>45949.57225</v>
      </c>
      <c r="B1426" s="1" t="str">
        <f>IFERROR(__xludf.DUMMYFUNCTION("""COMPUTED_VALUE"""),"Kapil walia")</f>
        <v>Kapil walia</v>
      </c>
      <c r="C1426" s="1">
        <f>IFERROR(__xludf.DUMMYFUNCTION("""COMPUTED_VALUE"""),9.811117709E9)</f>
        <v>9811117709</v>
      </c>
      <c r="D1426" s="1">
        <f>IFERROR(__xludf.DUMMYFUNCTION("""COMPUTED_VALUE"""),2.0)</f>
        <v>2</v>
      </c>
      <c r="E1426" s="3">
        <f>IFERROR(__xludf.DUMMYFUNCTION("""COMPUTED_VALUE"""),0.6041666666642413)</f>
        <v>0.6041666667</v>
      </c>
      <c r="F1426" s="1" t="str">
        <f>IFERROR(__xludf.DUMMYFUNCTION("""COMPUTED_VALUE"""),"Diamond")</f>
        <v>Diamond</v>
      </c>
      <c r="G1426" s="1"/>
      <c r="H1426" s="1" t="str">
        <f>IFERROR(__xludf.DUMMYFUNCTION("""COMPUTED_VALUE"""),"Gold bar 20 g")</f>
        <v>Gold bar 20 g</v>
      </c>
      <c r="I1426" s="1"/>
      <c r="J1426" s="1"/>
      <c r="K1426" s="3">
        <f>IFERROR(__xludf.DUMMYFUNCTION("""COMPUTED_VALUE"""),0.6270833333328483)</f>
        <v>0.6270833333</v>
      </c>
      <c r="L1426" s="1" t="str">
        <f>IFERROR(__xludf.DUMMYFUNCTION("""COMPUTED_VALUE"""),"Yes")</f>
        <v>Yes</v>
      </c>
      <c r="M1426" s="1" t="str">
        <f>IFERROR(__xludf.DUMMYFUNCTION("""COMPUTED_VALUE"""),"No")</f>
        <v>No</v>
      </c>
      <c r="N1426" s="1" t="str">
        <f>IFERROR(__xludf.DUMMYFUNCTION("""COMPUTED_VALUE"""),"No")</f>
        <v>No</v>
      </c>
      <c r="O1426" s="1" t="str">
        <f>IFERROR(__xludf.DUMMYFUNCTION("""COMPUTED_VALUE"""),"WA ONLY")</f>
        <v>WA ONLY</v>
      </c>
      <c r="P1426" s="1" t="str">
        <f>IFERROR(__xludf.DUMMYFUNCTION("""COMPUTED_VALUE"""),"Sir")</f>
        <v>Sir</v>
      </c>
      <c r="Q1426" s="1" t="str">
        <f>IFERROR(__xludf.DUMMYFUNCTION("""COMPUTED_VALUE"""),"No")</f>
        <v>No</v>
      </c>
      <c r="R1426" s="1" t="str">
        <f>IFERROR(__xludf.DUMMYFUNCTION("""COMPUTED_VALUE"""),"OLD")</f>
        <v>OLD</v>
      </c>
      <c r="S1426" s="1" t="str">
        <f>IFERROR(__xludf.DUMMYFUNCTION("""COMPUTED_VALUE"""),"Yes")</f>
        <v>Yes</v>
      </c>
    </row>
    <row r="1427">
      <c r="A1427" s="2">
        <f>IFERROR(__xludf.DUMMYFUNCTION("""COMPUTED_VALUE"""),45949.57400099537)</f>
        <v>45949.574</v>
      </c>
      <c r="B1427" s="1" t="str">
        <f>IFERROR(__xludf.DUMMYFUNCTION("""COMPUTED_VALUE"""),"Shahista ji")</f>
        <v>Shahista ji</v>
      </c>
      <c r="C1427" s="1">
        <f>IFERROR(__xludf.DUMMYFUNCTION("""COMPUTED_VALUE"""),8.860741616E9)</f>
        <v>8860741616</v>
      </c>
      <c r="D1427" s="1">
        <f>IFERROR(__xludf.DUMMYFUNCTION("""COMPUTED_VALUE"""),1.0)</f>
        <v>1</v>
      </c>
      <c r="E1427" s="3">
        <f>IFERROR(__xludf.DUMMYFUNCTION("""COMPUTED_VALUE"""),0.5833333333357587)</f>
        <v>0.5833333333</v>
      </c>
      <c r="F1427" s="1" t="str">
        <f>IFERROR(__xludf.DUMMYFUNCTION("""COMPUTED_VALUE"""),"Silver Items")</f>
        <v>Silver Items</v>
      </c>
      <c r="G1427" s="1"/>
      <c r="H1427" s="1" t="str">
        <f>IFERROR(__xludf.DUMMYFUNCTION("""COMPUTED_VALUE"""),"Rings")</f>
        <v>Rings</v>
      </c>
      <c r="I1427" s="1"/>
      <c r="J1427" s="1"/>
      <c r="K1427" s="3">
        <f>IFERROR(__xludf.DUMMYFUNCTION("""COMPUTED_VALUE"""),0.6569444444467081)</f>
        <v>0.6569444444</v>
      </c>
      <c r="L1427" s="1" t="str">
        <f>IFERROR(__xludf.DUMMYFUNCTION("""COMPUTED_VALUE"""),"Yes")</f>
        <v>Yes</v>
      </c>
      <c r="M1427" s="1" t="str">
        <f>IFERROR(__xludf.DUMMYFUNCTION("""COMPUTED_VALUE"""),"Already done")</f>
        <v>Already done</v>
      </c>
      <c r="N1427" s="1" t="str">
        <f>IFERROR(__xludf.DUMMYFUNCTION("""COMPUTED_VALUE"""),"Already done")</f>
        <v>Already done</v>
      </c>
      <c r="O1427" s="1" t="str">
        <f>IFERROR(__xludf.DUMMYFUNCTION("""COMPUTED_VALUE"""),"OWNER CONTACT ONLY")</f>
        <v>OWNER CONTACT ONLY</v>
      </c>
      <c r="P1427" s="1" t="str">
        <f>IFERROR(__xludf.DUMMYFUNCTION("""COMPUTED_VALUE"""),"Madam")</f>
        <v>Madam</v>
      </c>
      <c r="Q1427" s="1" t="str">
        <f>IFERROR(__xludf.DUMMYFUNCTION("""COMPUTED_VALUE"""),"No")</f>
        <v>No</v>
      </c>
      <c r="R1427" s="1" t="str">
        <f>IFERROR(__xludf.DUMMYFUNCTION("""COMPUTED_VALUE"""),"OLD")</f>
        <v>OLD</v>
      </c>
      <c r="S1427" s="1" t="str">
        <f>IFERROR(__xludf.DUMMYFUNCTION("""COMPUTED_VALUE"""),"Yes")</f>
        <v>Yes</v>
      </c>
    </row>
    <row r="1428">
      <c r="A1428" s="2">
        <f>IFERROR(__xludf.DUMMYFUNCTION("""COMPUTED_VALUE"""),45949.57530285879)</f>
        <v>45949.5753</v>
      </c>
      <c r="B1428" s="1" t="str">
        <f>IFERROR(__xludf.DUMMYFUNCTION("""COMPUTED_VALUE"""),"Hiraram ji")</f>
        <v>Hiraram ji</v>
      </c>
      <c r="C1428" s="1">
        <f>IFERROR(__xludf.DUMMYFUNCTION("""COMPUTED_VALUE"""),9.818711033E9)</f>
        <v>9818711033</v>
      </c>
      <c r="D1428" s="1">
        <f>IFERROR(__xludf.DUMMYFUNCTION("""COMPUTED_VALUE"""),2.0)</f>
        <v>2</v>
      </c>
      <c r="E1428" s="3">
        <f>IFERROR(__xludf.DUMMYFUNCTION("""COMPUTED_VALUE"""),0.6145833333357587)</f>
        <v>0.6145833333</v>
      </c>
      <c r="F1428" s="1" t="str">
        <f>IFERROR(__xludf.DUMMYFUNCTION("""COMPUTED_VALUE"""),"Plain Gold")</f>
        <v>Plain Gold</v>
      </c>
      <c r="G1428" s="1"/>
      <c r="H1428" s="1" t="str">
        <f>IFERROR(__xludf.DUMMYFUNCTION("""COMPUTED_VALUE"""),"Silver Anklets")</f>
        <v>Silver Anklets</v>
      </c>
      <c r="I1428" s="1"/>
      <c r="J1428" s="1"/>
      <c r="K1428" s="3">
        <f>IFERROR(__xludf.DUMMYFUNCTION("""COMPUTED_VALUE"""),0.6590277777795563)</f>
        <v>0.6590277778</v>
      </c>
      <c r="L1428" s="1" t="str">
        <f>IFERROR(__xludf.DUMMYFUNCTION("""COMPUTED_VALUE"""),"Yes")</f>
        <v>Yes</v>
      </c>
      <c r="M1428" s="1" t="str">
        <f>IFERROR(__xludf.DUMMYFUNCTION("""COMPUTED_VALUE"""),"No")</f>
        <v>No</v>
      </c>
      <c r="N1428" s="1" t="str">
        <f>IFERROR(__xludf.DUMMYFUNCTION("""COMPUTED_VALUE"""),"Yes")</f>
        <v>Yes</v>
      </c>
      <c r="O1428" s="1" t="str">
        <f>IFERROR(__xludf.DUMMYFUNCTION("""COMPUTED_VALUE"""),"WA ONLY")</f>
        <v>WA ONLY</v>
      </c>
      <c r="P1428" s="1" t="str">
        <f>IFERROR(__xludf.DUMMYFUNCTION("""COMPUTED_VALUE"""),"Sir")</f>
        <v>Sir</v>
      </c>
      <c r="Q1428" s="1" t="str">
        <f>IFERROR(__xludf.DUMMYFUNCTION("""COMPUTED_VALUE"""),"No")</f>
        <v>No</v>
      </c>
      <c r="R1428" s="1" t="str">
        <f>IFERROR(__xludf.DUMMYFUNCTION("""COMPUTED_VALUE"""),"OLD")</f>
        <v>OLD</v>
      </c>
      <c r="S1428" s="1" t="str">
        <f>IFERROR(__xludf.DUMMYFUNCTION("""COMPUTED_VALUE"""),"Yes")</f>
        <v>Yes</v>
      </c>
    </row>
    <row r="1429">
      <c r="A1429" s="2">
        <f>IFERROR(__xludf.DUMMYFUNCTION("""COMPUTED_VALUE"""),45949.576551342594)</f>
        <v>45949.57655</v>
      </c>
      <c r="B1429" s="1" t="str">
        <f>IFERROR(__xludf.DUMMYFUNCTION("""COMPUTED_VALUE"""),"Ruchi gupta ji")</f>
        <v>Ruchi gupta ji</v>
      </c>
      <c r="C1429" s="1">
        <f>IFERROR(__xludf.DUMMYFUNCTION("""COMPUTED_VALUE"""),8.368040489E9)</f>
        <v>8368040489</v>
      </c>
      <c r="D1429" s="1">
        <f>IFERROR(__xludf.DUMMYFUNCTION("""COMPUTED_VALUE"""),3.0)</f>
        <v>3</v>
      </c>
      <c r="E1429" s="3">
        <f>IFERROR(__xludf.DUMMYFUNCTION("""COMPUTED_VALUE"""),0.6458333333357587)</f>
        <v>0.6458333333</v>
      </c>
      <c r="F1429" s="1" t="str">
        <f>IFERROR(__xludf.DUMMYFUNCTION("""COMPUTED_VALUE"""),"Silver Items")</f>
        <v>Silver Items</v>
      </c>
      <c r="G1429" s="1"/>
      <c r="H1429" s="1" t="str">
        <f>IFERROR(__xludf.DUMMYFUNCTION("""COMPUTED_VALUE"""),"Exchange ")</f>
        <v>Exchange </v>
      </c>
      <c r="I1429" s="1"/>
      <c r="J1429" s="1"/>
      <c r="K1429" s="3">
        <f>IFERROR(__xludf.DUMMYFUNCTION("""COMPUTED_VALUE"""),0.6687499999970896)</f>
        <v>0.66875</v>
      </c>
      <c r="L1429" s="1" t="str">
        <f>IFERROR(__xludf.DUMMYFUNCTION("""COMPUTED_VALUE"""),"Yes")</f>
        <v>Yes</v>
      </c>
      <c r="M1429" s="1" t="str">
        <f>IFERROR(__xludf.DUMMYFUNCTION("""COMPUTED_VALUE"""),"No")</f>
        <v>No</v>
      </c>
      <c r="N1429" s="1" t="str">
        <f>IFERROR(__xludf.DUMMYFUNCTION("""COMPUTED_VALUE"""),"No")</f>
        <v>No</v>
      </c>
      <c r="O1429" s="1" t="str">
        <f>IFERROR(__xludf.DUMMYFUNCTION("""COMPUTED_VALUE"""),"WA ONLY")</f>
        <v>WA ONLY</v>
      </c>
      <c r="P1429" s="1" t="str">
        <f>IFERROR(__xludf.DUMMYFUNCTION("""COMPUTED_VALUE"""),"Madam")</f>
        <v>Madam</v>
      </c>
      <c r="Q1429" s="1" t="str">
        <f>IFERROR(__xludf.DUMMYFUNCTION("""COMPUTED_VALUE"""),"No")</f>
        <v>No</v>
      </c>
      <c r="R1429" s="1" t="str">
        <f>IFERROR(__xludf.DUMMYFUNCTION("""COMPUTED_VALUE"""),"NEW WALK IN")</f>
        <v>NEW WALK IN</v>
      </c>
      <c r="S1429" s="1" t="str">
        <f>IFERROR(__xludf.DUMMYFUNCTION("""COMPUTED_VALUE"""),"Yes")</f>
        <v>Yes</v>
      </c>
    </row>
    <row r="1430">
      <c r="A1430" s="2">
        <f>IFERROR(__xludf.DUMMYFUNCTION("""COMPUTED_VALUE"""),45949.57845483796)</f>
        <v>45949.57845</v>
      </c>
      <c r="B1430" s="1" t="str">
        <f>IFERROR(__xludf.DUMMYFUNCTION("""COMPUTED_VALUE"""),"Monica ji")</f>
        <v>Monica ji</v>
      </c>
      <c r="C1430" s="1">
        <f>IFERROR(__xludf.DUMMYFUNCTION("""COMPUTED_VALUE"""),9.212399066E9)</f>
        <v>9212399066</v>
      </c>
      <c r="D1430" s="1">
        <f>IFERROR(__xludf.DUMMYFUNCTION("""COMPUTED_VALUE"""),1.0)</f>
        <v>1</v>
      </c>
      <c r="E1430" s="3">
        <f>IFERROR(__xludf.DUMMYFUNCTION("""COMPUTED_VALUE"""),0.6145833333357587)</f>
        <v>0.6145833333</v>
      </c>
      <c r="F1430" s="1" t="str">
        <f>IFERROR(__xludf.DUMMYFUNCTION("""COMPUTED_VALUE"""),"Silver Items")</f>
        <v>Silver Items</v>
      </c>
      <c r="G1430" s="1"/>
      <c r="H1430" s="1" t="str">
        <f>IFERROR(__xludf.DUMMYFUNCTION("""COMPUTED_VALUE"""),"Silver coin")</f>
        <v>Silver coin</v>
      </c>
      <c r="I1430" s="1"/>
      <c r="J1430" s="1"/>
      <c r="K1430" s="3">
        <f>IFERROR(__xludf.DUMMYFUNCTION("""COMPUTED_VALUE"""),0.6666666666642413)</f>
        <v>0.6666666667</v>
      </c>
      <c r="L1430" s="1" t="str">
        <f>IFERROR(__xludf.DUMMYFUNCTION("""COMPUTED_VALUE"""),"Yes")</f>
        <v>Yes</v>
      </c>
      <c r="M1430" s="1" t="str">
        <f>IFERROR(__xludf.DUMMYFUNCTION("""COMPUTED_VALUE"""),"No")</f>
        <v>No</v>
      </c>
      <c r="N1430" s="1" t="str">
        <f>IFERROR(__xludf.DUMMYFUNCTION("""COMPUTED_VALUE"""),"No")</f>
        <v>No</v>
      </c>
      <c r="O1430" s="1" t="str">
        <f>IFERROR(__xludf.DUMMYFUNCTION("""COMPUTED_VALUE"""),"WA ONLY")</f>
        <v>WA ONLY</v>
      </c>
      <c r="P1430" s="1" t="str">
        <f>IFERROR(__xludf.DUMMYFUNCTION("""COMPUTED_VALUE"""),"Madam")</f>
        <v>Madam</v>
      </c>
      <c r="Q1430" s="1" t="str">
        <f>IFERROR(__xludf.DUMMYFUNCTION("""COMPUTED_VALUE"""),"No")</f>
        <v>No</v>
      </c>
      <c r="R1430" s="1" t="str">
        <f>IFERROR(__xludf.DUMMYFUNCTION("""COMPUTED_VALUE"""),"NEW WALK IN")</f>
        <v>NEW WALK IN</v>
      </c>
      <c r="S1430" s="1" t="str">
        <f>IFERROR(__xludf.DUMMYFUNCTION("""COMPUTED_VALUE"""),"Yes")</f>
        <v>Yes</v>
      </c>
    </row>
    <row r="1431">
      <c r="A1431" s="2">
        <f>IFERROR(__xludf.DUMMYFUNCTION("""COMPUTED_VALUE"""),45949.579913113426)</f>
        <v>45949.57991</v>
      </c>
      <c r="B1431" s="1" t="str">
        <f>IFERROR(__xludf.DUMMYFUNCTION("""COMPUTED_VALUE"""),"Kishan patel ji")</f>
        <v>Kishan patel ji</v>
      </c>
      <c r="C1431" s="1">
        <f>IFERROR(__xludf.DUMMYFUNCTION("""COMPUTED_VALUE"""),9.999994422E9)</f>
        <v>9999994422</v>
      </c>
      <c r="D1431" s="1">
        <f>IFERROR(__xludf.DUMMYFUNCTION("""COMPUTED_VALUE"""),1.0)</f>
        <v>1</v>
      </c>
      <c r="E1431" s="3">
        <f>IFERROR(__xludf.DUMMYFUNCTION("""COMPUTED_VALUE"""),0.6708333333372138)</f>
        <v>0.6708333333</v>
      </c>
      <c r="F1431" s="1" t="str">
        <f>IFERROR(__xludf.DUMMYFUNCTION("""COMPUTED_VALUE"""),"Plain Gold")</f>
        <v>Plain Gold</v>
      </c>
      <c r="G1431" s="1"/>
      <c r="H1431" s="1" t="str">
        <f>IFERROR(__xludf.DUMMYFUNCTION("""COMPUTED_VALUE"""),"5 g silver coin")</f>
        <v>5 g silver coin</v>
      </c>
      <c r="I1431" s="1"/>
      <c r="J1431" s="1"/>
      <c r="K1431" s="3">
        <f>IFERROR(__xludf.DUMMYFUNCTION("""COMPUTED_VALUE"""),0.6805555555547471)</f>
        <v>0.6805555556</v>
      </c>
      <c r="L1431" s="1" t="str">
        <f>IFERROR(__xludf.DUMMYFUNCTION("""COMPUTED_VALUE"""),"Yes")</f>
        <v>Yes</v>
      </c>
      <c r="M1431" s="1" t="str">
        <f>IFERROR(__xludf.DUMMYFUNCTION("""COMPUTED_VALUE"""),"No")</f>
        <v>No</v>
      </c>
      <c r="N1431" s="1" t="str">
        <f>IFERROR(__xludf.DUMMYFUNCTION("""COMPUTED_VALUE"""),"No")</f>
        <v>No</v>
      </c>
      <c r="O1431" s="1" t="str">
        <f>IFERROR(__xludf.DUMMYFUNCTION("""COMPUTED_VALUE"""),"WA ONLY")</f>
        <v>WA ONLY</v>
      </c>
      <c r="P1431" s="1" t="str">
        <f>IFERROR(__xludf.DUMMYFUNCTION("""COMPUTED_VALUE"""),"Sir")</f>
        <v>Sir</v>
      </c>
      <c r="Q1431" s="1" t="str">
        <f>IFERROR(__xludf.DUMMYFUNCTION("""COMPUTED_VALUE"""),"No")</f>
        <v>No</v>
      </c>
      <c r="R1431" s="1" t="str">
        <f>IFERROR(__xludf.DUMMYFUNCTION("""COMPUTED_VALUE"""),"NEW WALK IN")</f>
        <v>NEW WALK IN</v>
      </c>
      <c r="S1431" s="1" t="str">
        <f>IFERROR(__xludf.DUMMYFUNCTION("""COMPUTED_VALUE"""),"Yes")</f>
        <v>Yes</v>
      </c>
    </row>
    <row r="1432">
      <c r="A1432" s="2">
        <f>IFERROR(__xludf.DUMMYFUNCTION("""COMPUTED_VALUE"""),45949.58102894676)</f>
        <v>45949.58103</v>
      </c>
      <c r="B1432" s="1" t="str">
        <f>IFERROR(__xludf.DUMMYFUNCTION("""COMPUTED_VALUE"""),"Atin ji")</f>
        <v>Atin ji</v>
      </c>
      <c r="C1432" s="1">
        <f>IFERROR(__xludf.DUMMYFUNCTION("""COMPUTED_VALUE"""),9.870622331E9)</f>
        <v>9870622331</v>
      </c>
      <c r="D1432" s="1">
        <f>IFERROR(__xludf.DUMMYFUNCTION("""COMPUTED_VALUE"""),1.0)</f>
        <v>1</v>
      </c>
      <c r="E1432" s="3">
        <f>IFERROR(__xludf.DUMMYFUNCTION("""COMPUTED_VALUE"""),0.6805555555547471)</f>
        <v>0.6805555556</v>
      </c>
      <c r="F1432" s="1" t="str">
        <f>IFERROR(__xludf.DUMMYFUNCTION("""COMPUTED_VALUE"""),"Silver Items")</f>
        <v>Silver Items</v>
      </c>
      <c r="G1432" s="1"/>
      <c r="H1432" s="1" t="str">
        <f>IFERROR(__xludf.DUMMYFUNCTION("""COMPUTED_VALUE"""),"Silver coin set of 3 and chattr")</f>
        <v>Silver coin set of 3 and chattr</v>
      </c>
      <c r="I1432" s="1"/>
      <c r="J1432" s="1"/>
      <c r="K1432" s="3">
        <f>IFERROR(__xludf.DUMMYFUNCTION("""COMPUTED_VALUE"""),0.6812500000014552)</f>
        <v>0.68125</v>
      </c>
      <c r="L1432" s="1" t="str">
        <f>IFERROR(__xludf.DUMMYFUNCTION("""COMPUTED_VALUE"""),"Yes")</f>
        <v>Yes</v>
      </c>
      <c r="M1432" s="1" t="str">
        <f>IFERROR(__xludf.DUMMYFUNCTION("""COMPUTED_VALUE"""),"Yes")</f>
        <v>Yes</v>
      </c>
      <c r="N1432" s="1" t="str">
        <f>IFERROR(__xludf.DUMMYFUNCTION("""COMPUTED_VALUE"""),"Yes")</f>
        <v>Yes</v>
      </c>
      <c r="O1432" s="1" t="str">
        <f>IFERROR(__xludf.DUMMYFUNCTION("""COMPUTED_VALUE"""),"WA ONLY")</f>
        <v>WA ONLY</v>
      </c>
      <c r="P1432" s="1" t="str">
        <f>IFERROR(__xludf.DUMMYFUNCTION("""COMPUTED_VALUE"""),"Sir")</f>
        <v>Sir</v>
      </c>
      <c r="Q1432" s="1" t="str">
        <f>IFERROR(__xludf.DUMMYFUNCTION("""COMPUTED_VALUE"""),"No")</f>
        <v>No</v>
      </c>
      <c r="R1432" s="1" t="str">
        <f>IFERROR(__xludf.DUMMYFUNCTION("""COMPUTED_VALUE"""),"NEW WALK IN")</f>
        <v>NEW WALK IN</v>
      </c>
      <c r="S1432" s="1" t="str">
        <f>IFERROR(__xludf.DUMMYFUNCTION("""COMPUTED_VALUE"""),"Yes")</f>
        <v>Yes</v>
      </c>
    </row>
    <row r="1433">
      <c r="A1433" s="2">
        <f>IFERROR(__xludf.DUMMYFUNCTION("""COMPUTED_VALUE"""),45949.58239118056)</f>
        <v>45949.58239</v>
      </c>
      <c r="B1433" s="1" t="str">
        <f>IFERROR(__xludf.DUMMYFUNCTION("""COMPUTED_VALUE"""),"Gurinder ji")</f>
        <v>Gurinder ji</v>
      </c>
      <c r="C1433" s="1">
        <f>IFERROR(__xludf.DUMMYFUNCTION("""COMPUTED_VALUE"""),9.873774443E9)</f>
        <v>9873774443</v>
      </c>
      <c r="D1433" s="1">
        <f>IFERROR(__xludf.DUMMYFUNCTION("""COMPUTED_VALUE"""),3.0)</f>
        <v>3</v>
      </c>
      <c r="E1433" s="3">
        <f>IFERROR(__xludf.DUMMYFUNCTION("""COMPUTED_VALUE"""),0.5833333333357587)</f>
        <v>0.5833333333</v>
      </c>
      <c r="F1433" s="1" t="str">
        <f>IFERROR(__xludf.DUMMYFUNCTION("""COMPUTED_VALUE"""),"Plain Gold")</f>
        <v>Plain Gold</v>
      </c>
      <c r="G1433" s="1"/>
      <c r="H1433" s="1" t="str">
        <f>IFERROR(__xludf.DUMMYFUNCTION("""COMPUTED_VALUE"""),"Diamond tops")</f>
        <v>Diamond tops</v>
      </c>
      <c r="I1433" s="1"/>
      <c r="J1433" s="1"/>
      <c r="K1433" s="3">
        <f>IFERROR(__xludf.DUMMYFUNCTION("""COMPUTED_VALUE"""),0.7229166666656965)</f>
        <v>0.7229166667</v>
      </c>
      <c r="L1433" s="1" t="str">
        <f>IFERROR(__xludf.DUMMYFUNCTION("""COMPUTED_VALUE"""),"Yes")</f>
        <v>Yes</v>
      </c>
      <c r="M1433" s="1" t="str">
        <f>IFERROR(__xludf.DUMMYFUNCTION("""COMPUTED_VALUE"""),"Already done ")</f>
        <v>Already done </v>
      </c>
      <c r="N1433" s="1" t="str">
        <f>IFERROR(__xludf.DUMMYFUNCTION("""COMPUTED_VALUE"""),"Already done ")</f>
        <v>Already done </v>
      </c>
      <c r="O1433" s="1" t="str">
        <f>IFERROR(__xludf.DUMMYFUNCTION("""COMPUTED_VALUE"""),"WA ONLY")</f>
        <v>WA ONLY</v>
      </c>
      <c r="P1433" s="1" t="str">
        <f>IFERROR(__xludf.DUMMYFUNCTION("""COMPUTED_VALUE"""),"Sir")</f>
        <v>Sir</v>
      </c>
      <c r="Q1433" s="1" t="str">
        <f>IFERROR(__xludf.DUMMYFUNCTION("""COMPUTED_VALUE"""),"No")</f>
        <v>No</v>
      </c>
      <c r="R1433" s="1" t="str">
        <f>IFERROR(__xludf.DUMMYFUNCTION("""COMPUTED_VALUE"""),"OLD")</f>
        <v>OLD</v>
      </c>
      <c r="S1433" s="1" t="str">
        <f>IFERROR(__xludf.DUMMYFUNCTION("""COMPUTED_VALUE"""),"Yes")</f>
        <v>Yes</v>
      </c>
    </row>
    <row r="1434">
      <c r="A1434" s="2">
        <f>IFERROR(__xludf.DUMMYFUNCTION("""COMPUTED_VALUE"""),45949.58413671296)</f>
        <v>45949.58414</v>
      </c>
      <c r="B1434" s="1" t="str">
        <f>IFERROR(__xludf.DUMMYFUNCTION("""COMPUTED_VALUE"""),"Mukesh bhola ji")</f>
        <v>Mukesh bhola ji</v>
      </c>
      <c r="C1434" s="1">
        <f>IFERROR(__xludf.DUMMYFUNCTION("""COMPUTED_VALUE"""),9.899155625E9)</f>
        <v>9899155625</v>
      </c>
      <c r="D1434" s="1">
        <f>IFERROR(__xludf.DUMMYFUNCTION("""COMPUTED_VALUE"""),1.0)</f>
        <v>1</v>
      </c>
      <c r="E1434" s="3">
        <f>IFERROR(__xludf.DUMMYFUNCTION("""COMPUTED_VALUE"""),0.6979166666642413)</f>
        <v>0.6979166667</v>
      </c>
      <c r="F1434" s="1" t="str">
        <f>IFERROR(__xludf.DUMMYFUNCTION("""COMPUTED_VALUE"""),"Silver Items")</f>
        <v>Silver Items</v>
      </c>
      <c r="G1434" s="1"/>
      <c r="H1434" s="1" t="str">
        <f>IFERROR(__xludf.DUMMYFUNCTION("""COMPUTED_VALUE"""),"10 g coins")</f>
        <v>10 g coins</v>
      </c>
      <c r="I1434" s="1"/>
      <c r="J1434" s="1"/>
      <c r="K1434" s="3">
        <f>IFERROR(__xludf.DUMMYFUNCTION("""COMPUTED_VALUE"""),0.7243055555591127)</f>
        <v>0.7243055556</v>
      </c>
      <c r="L1434" s="1" t="str">
        <f>IFERROR(__xludf.DUMMYFUNCTION("""COMPUTED_VALUE"""),"Yes")</f>
        <v>Yes</v>
      </c>
      <c r="M1434" s="1" t="str">
        <f>IFERROR(__xludf.DUMMYFUNCTION("""COMPUTED_VALUE"""),"Already done")</f>
        <v>Already done</v>
      </c>
      <c r="N1434" s="1" t="str">
        <f>IFERROR(__xludf.DUMMYFUNCTION("""COMPUTED_VALUE"""),"Already done")</f>
        <v>Already done</v>
      </c>
      <c r="O1434" s="1" t="str">
        <f>IFERROR(__xludf.DUMMYFUNCTION("""COMPUTED_VALUE"""),"WA ONLY")</f>
        <v>WA ONLY</v>
      </c>
      <c r="P1434" s="1" t="str">
        <f>IFERROR(__xludf.DUMMYFUNCTION("""COMPUTED_VALUE"""),"Sir")</f>
        <v>Sir</v>
      </c>
      <c r="Q1434" s="1" t="str">
        <f>IFERROR(__xludf.DUMMYFUNCTION("""COMPUTED_VALUE"""),"No")</f>
        <v>No</v>
      </c>
      <c r="R1434" s="1" t="str">
        <f>IFERROR(__xludf.DUMMYFUNCTION("""COMPUTED_VALUE"""),"OLD")</f>
        <v>OLD</v>
      </c>
      <c r="S1434" s="1" t="str">
        <f>IFERROR(__xludf.DUMMYFUNCTION("""COMPUTED_VALUE"""),"Yes")</f>
        <v>Yes</v>
      </c>
    </row>
    <row r="1435">
      <c r="A1435" s="2">
        <f>IFERROR(__xludf.DUMMYFUNCTION("""COMPUTED_VALUE"""),45949.58560170139)</f>
        <v>45949.5856</v>
      </c>
      <c r="B1435" s="1" t="str">
        <f>IFERROR(__xludf.DUMMYFUNCTION("""COMPUTED_VALUE"""),"Sohanlal ji")</f>
        <v>Sohanlal ji</v>
      </c>
      <c r="C1435" s="1">
        <f>IFERROR(__xludf.DUMMYFUNCTION("""COMPUTED_VALUE"""),9.212710152E9)</f>
        <v>9212710152</v>
      </c>
      <c r="D1435" s="1">
        <f>IFERROR(__xludf.DUMMYFUNCTION("""COMPUTED_VALUE"""),2.0)</f>
        <v>2</v>
      </c>
      <c r="E1435" s="3">
        <f>IFERROR(__xludf.DUMMYFUNCTION("""COMPUTED_VALUE"""),0.7083333333357587)</f>
        <v>0.7083333333</v>
      </c>
      <c r="F1435" s="1" t="str">
        <f>IFERROR(__xludf.DUMMYFUNCTION("""COMPUTED_VALUE"""),"Silver Items")</f>
        <v>Silver Items</v>
      </c>
      <c r="G1435" s="1"/>
      <c r="H1435" s="1" t="str">
        <f>IFERROR(__xludf.DUMMYFUNCTION("""COMPUTED_VALUE"""),"Silver coin")</f>
        <v>Silver coin</v>
      </c>
      <c r="I1435" s="1"/>
      <c r="J1435" s="1"/>
      <c r="K1435" s="3">
        <f>IFERROR(__xludf.DUMMYFUNCTION("""COMPUTED_VALUE"""),0.7291666666642413)</f>
        <v>0.7291666667</v>
      </c>
      <c r="L1435" s="1" t="str">
        <f>IFERROR(__xludf.DUMMYFUNCTION("""COMPUTED_VALUE"""),"Yes")</f>
        <v>Yes</v>
      </c>
      <c r="M1435" s="1" t="str">
        <f>IFERROR(__xludf.DUMMYFUNCTION("""COMPUTED_VALUE"""),"Yes")</f>
        <v>Yes</v>
      </c>
      <c r="N1435" s="1" t="str">
        <f>IFERROR(__xludf.DUMMYFUNCTION("""COMPUTED_VALUE"""),"No")</f>
        <v>No</v>
      </c>
      <c r="O1435" s="1" t="str">
        <f>IFERROR(__xludf.DUMMYFUNCTION("""COMPUTED_VALUE"""),"WA ONLY")</f>
        <v>WA ONLY</v>
      </c>
      <c r="P1435" s="1" t="str">
        <f>IFERROR(__xludf.DUMMYFUNCTION("""COMPUTED_VALUE"""),"Sir")</f>
        <v>Sir</v>
      </c>
      <c r="Q1435" s="1" t="str">
        <f>IFERROR(__xludf.DUMMYFUNCTION("""COMPUTED_VALUE"""),"No")</f>
        <v>No</v>
      </c>
      <c r="R1435" s="1" t="str">
        <f>IFERROR(__xludf.DUMMYFUNCTION("""COMPUTED_VALUE"""),"OLD")</f>
        <v>OLD</v>
      </c>
      <c r="S1435" s="1" t="str">
        <f>IFERROR(__xludf.DUMMYFUNCTION("""COMPUTED_VALUE"""),"Yes")</f>
        <v>Yes</v>
      </c>
    </row>
    <row r="1436">
      <c r="A1436" s="2">
        <f>IFERROR(__xludf.DUMMYFUNCTION("""COMPUTED_VALUE"""),45949.587801898146)</f>
        <v>45949.5878</v>
      </c>
      <c r="B1436" s="1" t="str">
        <f>IFERROR(__xludf.DUMMYFUNCTION("""COMPUTED_VALUE"""),"Mridhu ji")</f>
        <v>Mridhu ji</v>
      </c>
      <c r="C1436" s="1">
        <f>IFERROR(__xludf.DUMMYFUNCTION("""COMPUTED_VALUE"""),9.21216052E9)</f>
        <v>9212160520</v>
      </c>
      <c r="D1436" s="1">
        <f>IFERROR(__xludf.DUMMYFUNCTION("""COMPUTED_VALUE"""),3.0)</f>
        <v>3</v>
      </c>
      <c r="E1436" s="3">
        <f>IFERROR(__xludf.DUMMYFUNCTION("""COMPUTED_VALUE"""),0.7291666666642413)</f>
        <v>0.7291666667</v>
      </c>
      <c r="F1436" s="1" t="str">
        <f>IFERROR(__xludf.DUMMYFUNCTION("""COMPUTED_VALUE"""),"Silver Items")</f>
        <v>Silver Items</v>
      </c>
      <c r="G1436" s="1"/>
      <c r="H1436" s="1" t="str">
        <f>IFERROR(__xludf.DUMMYFUNCTION("""COMPUTED_VALUE"""),"10 g silver mmtc coin")</f>
        <v>10 g silver mmtc coin</v>
      </c>
      <c r="I1436" s="1"/>
      <c r="J1436" s="1"/>
      <c r="K1436" s="3">
        <f>IFERROR(__xludf.DUMMYFUNCTION("""COMPUTED_VALUE"""),0.7645833333372138)</f>
        <v>0.7645833333</v>
      </c>
      <c r="L1436" s="1" t="str">
        <f>IFERROR(__xludf.DUMMYFUNCTION("""COMPUTED_VALUE"""),"Yes")</f>
        <v>Yes</v>
      </c>
      <c r="M1436" s="1" t="str">
        <f>IFERROR(__xludf.DUMMYFUNCTION("""COMPUTED_VALUE"""),"Yes")</f>
        <v>Yes</v>
      </c>
      <c r="N1436" s="1" t="str">
        <f>IFERROR(__xludf.DUMMYFUNCTION("""COMPUTED_VALUE"""),"Yes")</f>
        <v>Yes</v>
      </c>
      <c r="O1436" s="1" t="str">
        <f>IFERROR(__xludf.DUMMYFUNCTION("""COMPUTED_VALUE"""),"WA ONLY, OWNER CONTACT ONLY")</f>
        <v>WA ONLY, OWNER CONTACT ONLY</v>
      </c>
      <c r="P1436" s="1" t="str">
        <f>IFERROR(__xludf.DUMMYFUNCTION("""COMPUTED_VALUE"""),"Madam")</f>
        <v>Madam</v>
      </c>
      <c r="Q1436" s="1" t="str">
        <f>IFERROR(__xludf.DUMMYFUNCTION("""COMPUTED_VALUE"""),"No")</f>
        <v>No</v>
      </c>
      <c r="R1436" s="1" t="str">
        <f>IFERROR(__xludf.DUMMYFUNCTION("""COMPUTED_VALUE"""),"OLD")</f>
        <v>OLD</v>
      </c>
      <c r="S1436" s="1" t="str">
        <f>IFERROR(__xludf.DUMMYFUNCTION("""COMPUTED_VALUE"""),"Yes")</f>
        <v>Yes</v>
      </c>
    </row>
    <row r="1437">
      <c r="A1437" s="2">
        <f>IFERROR(__xludf.DUMMYFUNCTION("""COMPUTED_VALUE"""),45949.62883028935)</f>
        <v>45949.62883</v>
      </c>
      <c r="B1437" s="1" t="str">
        <f>IFERROR(__xludf.DUMMYFUNCTION("""COMPUTED_VALUE"""),"Ambika ji")</f>
        <v>Ambika ji</v>
      </c>
      <c r="C1437" s="1">
        <f>IFERROR(__xludf.DUMMYFUNCTION("""COMPUTED_VALUE"""),9.582260719E9)</f>
        <v>9582260719</v>
      </c>
      <c r="D1437" s="1">
        <f>IFERROR(__xludf.DUMMYFUNCTION("""COMPUTED_VALUE"""),1.0)</f>
        <v>1</v>
      </c>
      <c r="E1437" s="3">
        <f>IFERROR(__xludf.DUMMYFUNCTION("""COMPUTED_VALUE"""),0.7708333333357587)</f>
        <v>0.7708333333</v>
      </c>
      <c r="F1437" s="1" t="str">
        <f>IFERROR(__xludf.DUMMYFUNCTION("""COMPUTED_VALUE"""),"Silver Items")</f>
        <v>Silver Items</v>
      </c>
      <c r="G1437" s="1"/>
      <c r="H1437" s="1" t="str">
        <f>IFERROR(__xludf.DUMMYFUNCTION("""COMPUTED_VALUE"""),"Pairo ke kade elephants ")</f>
        <v>Pairo ke kade elephants </v>
      </c>
      <c r="I1437" s="1"/>
      <c r="J1437" s="1"/>
      <c r="K1437" s="3">
        <f>IFERROR(__xludf.DUMMYFUNCTION("""COMPUTED_VALUE"""),0.8333333333357587)</f>
        <v>0.8333333333</v>
      </c>
      <c r="L1437" s="1" t="str">
        <f>IFERROR(__xludf.DUMMYFUNCTION("""COMPUTED_VALUE"""),"Yes")</f>
        <v>Yes</v>
      </c>
      <c r="M1437" s="1" t="str">
        <f>IFERROR(__xludf.DUMMYFUNCTION("""COMPUTED_VALUE"""),"No")</f>
        <v>No</v>
      </c>
      <c r="N1437" s="1" t="str">
        <f>IFERROR(__xludf.DUMMYFUNCTION("""COMPUTED_VALUE"""),"No")</f>
        <v>No</v>
      </c>
      <c r="O1437" s="1" t="str">
        <f>IFERROR(__xludf.DUMMYFUNCTION("""COMPUTED_VALUE"""),"WA ONLY")</f>
        <v>WA ONLY</v>
      </c>
      <c r="P1437" s="1" t="str">
        <f>IFERROR(__xludf.DUMMYFUNCTION("""COMPUTED_VALUE"""),"Madam")</f>
        <v>Madam</v>
      </c>
      <c r="Q1437" s="1" t="str">
        <f>IFERROR(__xludf.DUMMYFUNCTION("""COMPUTED_VALUE"""),"No")</f>
        <v>No</v>
      </c>
      <c r="R1437" s="1" t="str">
        <f>IFERROR(__xludf.DUMMYFUNCTION("""COMPUTED_VALUE"""),"OLD")</f>
        <v>OLD</v>
      </c>
      <c r="S1437" s="1" t="str">
        <f>IFERROR(__xludf.DUMMYFUNCTION("""COMPUTED_VALUE"""),"Yes")</f>
        <v>Yes</v>
      </c>
    </row>
    <row r="1438">
      <c r="A1438" s="2">
        <f>IFERROR(__xludf.DUMMYFUNCTION("""COMPUTED_VALUE"""),45949.636453495375)</f>
        <v>45949.63645</v>
      </c>
      <c r="B1438" s="1" t="str">
        <f>IFERROR(__xludf.DUMMYFUNCTION("""COMPUTED_VALUE"""),"Parin kalra")</f>
        <v>Parin kalra</v>
      </c>
      <c r="C1438" s="1">
        <f>IFERROR(__xludf.DUMMYFUNCTION("""COMPUTED_VALUE"""),9.891583223E9)</f>
        <v>9891583223</v>
      </c>
      <c r="D1438" s="1">
        <f>IFERROR(__xludf.DUMMYFUNCTION("""COMPUTED_VALUE"""),1.0)</f>
        <v>1</v>
      </c>
      <c r="E1438" s="3">
        <f>IFERROR(__xludf.DUMMYFUNCTION("""COMPUTED_VALUE"""),0.8125)</f>
        <v>0.8125</v>
      </c>
      <c r="F1438" s="1" t="str">
        <f>IFERROR(__xludf.DUMMYFUNCTION("""COMPUTED_VALUE"""),"Plain Gold")</f>
        <v>Plain Gold</v>
      </c>
      <c r="G1438" s="1"/>
      <c r="H1438" s="1" t="str">
        <f>IFERROR(__xludf.DUMMYFUNCTION("""COMPUTED_VALUE"""),"Silver bar")</f>
        <v>Silver bar</v>
      </c>
      <c r="I1438" s="1"/>
      <c r="J1438" s="1"/>
      <c r="K1438" s="3">
        <f>IFERROR(__xludf.DUMMYFUNCTION("""COMPUTED_VALUE"""),0.8333333333357587)</f>
        <v>0.8333333333</v>
      </c>
      <c r="L1438" s="1" t="str">
        <f>IFERROR(__xludf.DUMMYFUNCTION("""COMPUTED_VALUE"""),"Yes")</f>
        <v>Yes</v>
      </c>
      <c r="M1438" s="1" t="str">
        <f>IFERROR(__xludf.DUMMYFUNCTION("""COMPUTED_VALUE"""),"No")</f>
        <v>No</v>
      </c>
      <c r="N1438" s="1" t="str">
        <f>IFERROR(__xludf.DUMMYFUNCTION("""COMPUTED_VALUE"""),"No")</f>
        <v>No</v>
      </c>
      <c r="O1438" s="1" t="str">
        <f>IFERROR(__xludf.DUMMYFUNCTION("""COMPUTED_VALUE"""),"WA ONLY")</f>
        <v>WA ONLY</v>
      </c>
      <c r="P1438" s="1" t="str">
        <f>IFERROR(__xludf.DUMMYFUNCTION("""COMPUTED_VALUE"""),"Sir")</f>
        <v>Sir</v>
      </c>
      <c r="Q1438" s="1" t="str">
        <f>IFERROR(__xludf.DUMMYFUNCTION("""COMPUTED_VALUE"""),"No")</f>
        <v>No</v>
      </c>
      <c r="R1438" s="1" t="str">
        <f>IFERROR(__xludf.DUMMYFUNCTION("""COMPUTED_VALUE"""),"NEW WALK IN")</f>
        <v>NEW WALK IN</v>
      </c>
      <c r="S1438" s="1" t="str">
        <f>IFERROR(__xludf.DUMMYFUNCTION("""COMPUTED_VALUE"""),"Yes")</f>
        <v>Yes</v>
      </c>
    </row>
    <row r="1439">
      <c r="A1439" s="2">
        <f>IFERROR(__xludf.DUMMYFUNCTION("""COMPUTED_VALUE"""),45949.64813184028)</f>
        <v>45949.64813</v>
      </c>
      <c r="B1439" s="1" t="str">
        <f>IFERROR(__xludf.DUMMYFUNCTION("""COMPUTED_VALUE"""),"Rahul")</f>
        <v>Rahul</v>
      </c>
      <c r="C1439" s="1">
        <f>IFERROR(__xludf.DUMMYFUNCTION("""COMPUTED_VALUE"""),8.70033597E9)</f>
        <v>8700335970</v>
      </c>
      <c r="D1439" s="1">
        <f>IFERROR(__xludf.DUMMYFUNCTION("""COMPUTED_VALUE"""),1.0)</f>
        <v>1</v>
      </c>
      <c r="E1439" s="3">
        <f>IFERROR(__xludf.DUMMYFUNCTION("""COMPUTED_VALUE"""),0.8020833333357587)</f>
        <v>0.8020833333</v>
      </c>
      <c r="F1439" s="1" t="str">
        <f>IFERROR(__xludf.DUMMYFUNCTION("""COMPUTED_VALUE"""),"Silver Items")</f>
        <v>Silver Items</v>
      </c>
      <c r="G1439" s="1"/>
      <c r="H1439" s="1" t="str">
        <f>IFERROR(__xludf.DUMMYFUNCTION("""COMPUTED_VALUE"""),"Silver coin")</f>
        <v>Silver coin</v>
      </c>
      <c r="I1439" s="1"/>
      <c r="J1439" s="1"/>
      <c r="K1439" s="3">
        <f>IFERROR(__xludf.DUMMYFUNCTION("""COMPUTED_VALUE"""),0.8333333333357587)</f>
        <v>0.8333333333</v>
      </c>
      <c r="L1439" s="1" t="str">
        <f>IFERROR(__xludf.DUMMYFUNCTION("""COMPUTED_VALUE"""),"Yes")</f>
        <v>Yes</v>
      </c>
      <c r="M1439" s="1" t="str">
        <f>IFERROR(__xludf.DUMMYFUNCTION("""COMPUTED_VALUE"""),"Already done")</f>
        <v>Already done</v>
      </c>
      <c r="N1439" s="1" t="str">
        <f>IFERROR(__xludf.DUMMYFUNCTION("""COMPUTED_VALUE"""),"No")</f>
        <v>No</v>
      </c>
      <c r="O1439" s="1" t="str">
        <f>IFERROR(__xludf.DUMMYFUNCTION("""COMPUTED_VALUE"""),"WA ONLY")</f>
        <v>WA ONLY</v>
      </c>
      <c r="P1439" s="1" t="str">
        <f>IFERROR(__xludf.DUMMYFUNCTION("""COMPUTED_VALUE"""),"Sir")</f>
        <v>Sir</v>
      </c>
      <c r="Q1439" s="1" t="str">
        <f>IFERROR(__xludf.DUMMYFUNCTION("""COMPUTED_VALUE"""),"No")</f>
        <v>No</v>
      </c>
      <c r="R1439" s="1" t="str">
        <f>IFERROR(__xludf.DUMMYFUNCTION("""COMPUTED_VALUE"""),"NEW WALK IN")</f>
        <v>NEW WALK IN</v>
      </c>
      <c r="S1439" s="1" t="str">
        <f>IFERROR(__xludf.DUMMYFUNCTION("""COMPUTED_VALUE"""),"Yes")</f>
        <v>Yes</v>
      </c>
    </row>
    <row r="1440">
      <c r="A1440" s="2">
        <f>IFERROR(__xludf.DUMMYFUNCTION("""COMPUTED_VALUE"""),45949.649686226854)</f>
        <v>45949.64969</v>
      </c>
      <c r="B1440" s="1" t="str">
        <f>IFERROR(__xludf.DUMMYFUNCTION("""COMPUTED_VALUE"""),"Kulneet ji")</f>
        <v>Kulneet ji</v>
      </c>
      <c r="C1440" s="1">
        <f>IFERROR(__xludf.DUMMYFUNCTION("""COMPUTED_VALUE"""),8.826733366E9)</f>
        <v>8826733366</v>
      </c>
      <c r="D1440" s="1">
        <f>IFERROR(__xludf.DUMMYFUNCTION("""COMPUTED_VALUE"""),1.0)</f>
        <v>1</v>
      </c>
      <c r="E1440" s="3">
        <f>IFERROR(__xludf.DUMMYFUNCTION("""COMPUTED_VALUE"""),0.8222222222248092)</f>
        <v>0.8222222222</v>
      </c>
      <c r="F1440" s="1" t="str">
        <f>IFERROR(__xludf.DUMMYFUNCTION("""COMPUTED_VALUE"""),"Silver Items")</f>
        <v>Silver Items</v>
      </c>
      <c r="G1440" s="1"/>
      <c r="H1440" s="1" t="str">
        <f>IFERROR(__xludf.DUMMYFUNCTION("""COMPUTED_VALUE"""),"Silver coin")</f>
        <v>Silver coin</v>
      </c>
      <c r="I1440" s="1"/>
      <c r="J1440" s="1"/>
      <c r="K1440" s="3">
        <f>IFERROR(__xludf.DUMMYFUNCTION("""COMPUTED_VALUE"""),0.827777777776646)</f>
        <v>0.8277777778</v>
      </c>
      <c r="L1440" s="1" t="str">
        <f>IFERROR(__xludf.DUMMYFUNCTION("""COMPUTED_VALUE"""),"Yes")</f>
        <v>Yes</v>
      </c>
      <c r="M1440" s="1" t="str">
        <f>IFERROR(__xludf.DUMMYFUNCTION("""COMPUTED_VALUE"""),"No")</f>
        <v>No</v>
      </c>
      <c r="N1440" s="1" t="str">
        <f>IFERROR(__xludf.DUMMYFUNCTION("""COMPUTED_VALUE"""),"No")</f>
        <v>No</v>
      </c>
      <c r="O1440" s="1" t="str">
        <f>IFERROR(__xludf.DUMMYFUNCTION("""COMPUTED_VALUE"""),"WA ONLY")</f>
        <v>WA ONLY</v>
      </c>
      <c r="P1440" s="1" t="str">
        <f>IFERROR(__xludf.DUMMYFUNCTION("""COMPUTED_VALUE"""),"Madam")</f>
        <v>Madam</v>
      </c>
      <c r="Q1440" s="1" t="str">
        <f>IFERROR(__xludf.DUMMYFUNCTION("""COMPUTED_VALUE"""),"No")</f>
        <v>No</v>
      </c>
      <c r="R1440" s="1" t="str">
        <f>IFERROR(__xludf.DUMMYFUNCTION("""COMPUTED_VALUE"""),"NEW WALK IN")</f>
        <v>NEW WALK IN</v>
      </c>
      <c r="S1440" s="1" t="str">
        <f>IFERROR(__xludf.DUMMYFUNCTION("""COMPUTED_VALUE"""),"Yes")</f>
        <v>Yes</v>
      </c>
    </row>
    <row r="1441">
      <c r="A1441" s="2">
        <f>IFERROR(__xludf.DUMMYFUNCTION("""COMPUTED_VALUE"""),45949.71885628472)</f>
        <v>45949.71886</v>
      </c>
      <c r="B1441" s="1" t="str">
        <f>IFERROR(__xludf.DUMMYFUNCTION("""COMPUTED_VALUE"""),"Sanjay ji")</f>
        <v>Sanjay ji</v>
      </c>
      <c r="C1441" s="1">
        <f>IFERROR(__xludf.DUMMYFUNCTION("""COMPUTED_VALUE"""),8.800792934E9)</f>
        <v>8800792934</v>
      </c>
      <c r="D1441" s="1">
        <f>IFERROR(__xludf.DUMMYFUNCTION("""COMPUTED_VALUE"""),1.0)</f>
        <v>1</v>
      </c>
      <c r="E1441" s="3">
        <f>IFERROR(__xludf.DUMMYFUNCTION("""COMPUTED_VALUE"""),0.8125)</f>
        <v>0.8125</v>
      </c>
      <c r="F1441" s="1" t="str">
        <f>IFERROR(__xludf.DUMMYFUNCTION("""COMPUTED_VALUE"""),"Silver Items")</f>
        <v>Silver Items</v>
      </c>
      <c r="G1441" s="1"/>
      <c r="H1441" s="1" t="str">
        <f>IFERROR(__xludf.DUMMYFUNCTION("""COMPUTED_VALUE"""),"Silver coin")</f>
        <v>Silver coin</v>
      </c>
      <c r="I1441" s="1"/>
      <c r="J1441" s="1"/>
      <c r="K1441" s="3">
        <f>IFERROR(__xludf.DUMMYFUNCTION("""COMPUTED_VALUE"""),0.8263888888905058)</f>
        <v>0.8263888889</v>
      </c>
      <c r="L1441" s="1" t="str">
        <f>IFERROR(__xludf.DUMMYFUNCTION("""COMPUTED_VALUE"""),"Yes")</f>
        <v>Yes</v>
      </c>
      <c r="M1441" s="1" t="str">
        <f>IFERROR(__xludf.DUMMYFUNCTION("""COMPUTED_VALUE"""),"Yes")</f>
        <v>Yes</v>
      </c>
      <c r="N1441" s="1" t="str">
        <f>IFERROR(__xludf.DUMMYFUNCTION("""COMPUTED_VALUE"""),"Yes")</f>
        <v>Yes</v>
      </c>
      <c r="O1441" s="1" t="str">
        <f>IFERROR(__xludf.DUMMYFUNCTION("""COMPUTED_VALUE"""),"WA ONLY")</f>
        <v>WA ONLY</v>
      </c>
      <c r="P1441" s="1" t="str">
        <f>IFERROR(__xludf.DUMMYFUNCTION("""COMPUTED_VALUE"""),"Sir")</f>
        <v>Sir</v>
      </c>
      <c r="Q1441" s="1" t="str">
        <f>IFERROR(__xludf.DUMMYFUNCTION("""COMPUTED_VALUE"""),"No")</f>
        <v>No</v>
      </c>
      <c r="R1441" s="1" t="str">
        <f>IFERROR(__xludf.DUMMYFUNCTION("""COMPUTED_VALUE"""),"NEW WALK IN")</f>
        <v>NEW WALK IN</v>
      </c>
      <c r="S1441" s="1" t="str">
        <f>IFERROR(__xludf.DUMMYFUNCTION("""COMPUTED_VALUE"""),"Yes")</f>
        <v>Yes</v>
      </c>
    </row>
    <row r="1442">
      <c r="A1442" s="2">
        <f>IFERROR(__xludf.DUMMYFUNCTION("""COMPUTED_VALUE"""),45949.72060042824)</f>
        <v>45949.7206</v>
      </c>
      <c r="B1442" s="1" t="str">
        <f>IFERROR(__xludf.DUMMYFUNCTION("""COMPUTED_VALUE"""),"Sakshi jha ji")</f>
        <v>Sakshi jha ji</v>
      </c>
      <c r="C1442" s="1">
        <f>IFERROR(__xludf.DUMMYFUNCTION("""COMPUTED_VALUE"""),9.35430439E9)</f>
        <v>9354304390</v>
      </c>
      <c r="D1442" s="1">
        <f>IFERROR(__xludf.DUMMYFUNCTION("""COMPUTED_VALUE"""),3.0)</f>
        <v>3</v>
      </c>
      <c r="E1442" s="3">
        <f>IFERROR(__xludf.DUMMYFUNCTION("""COMPUTED_VALUE"""),0.8645833333357587)</f>
        <v>0.8645833333</v>
      </c>
      <c r="F1442" s="1" t="str">
        <f>IFERROR(__xludf.DUMMYFUNCTION("""COMPUTED_VALUE"""),"Silver Items")</f>
        <v>Silver Items</v>
      </c>
      <c r="G1442" s="1"/>
      <c r="H1442" s="1" t="str">
        <f>IFERROR(__xludf.DUMMYFUNCTION("""COMPUTED_VALUE"""),"Kamarband")</f>
        <v>Kamarband</v>
      </c>
      <c r="I1442" s="1"/>
      <c r="J1442" s="1"/>
      <c r="K1442" s="3">
        <f>IFERROR(__xludf.DUMMYFUNCTION("""COMPUTED_VALUE"""),0.8854166666642413)</f>
        <v>0.8854166667</v>
      </c>
      <c r="L1442" s="1" t="str">
        <f>IFERROR(__xludf.DUMMYFUNCTION("""COMPUTED_VALUE"""),"No")</f>
        <v>No</v>
      </c>
      <c r="M1442" s="1" t="str">
        <f>IFERROR(__xludf.DUMMYFUNCTION("""COMPUTED_VALUE"""),"No")</f>
        <v>No</v>
      </c>
      <c r="N1442" s="1" t="str">
        <f>IFERROR(__xludf.DUMMYFUNCTION("""COMPUTED_VALUE"""),"No")</f>
        <v>No</v>
      </c>
      <c r="O1442" s="1" t="str">
        <f>IFERROR(__xludf.DUMMYFUNCTION("""COMPUTED_VALUE"""),"WA ONLY")</f>
        <v>WA ONLY</v>
      </c>
      <c r="P1442" s="1" t="str">
        <f>IFERROR(__xludf.DUMMYFUNCTION("""COMPUTED_VALUE"""),"Madam")</f>
        <v>Madam</v>
      </c>
      <c r="Q1442" s="1" t="str">
        <f>IFERROR(__xludf.DUMMYFUNCTION("""COMPUTED_VALUE"""),"No")</f>
        <v>No</v>
      </c>
      <c r="R1442" s="1" t="str">
        <f>IFERROR(__xludf.DUMMYFUNCTION("""COMPUTED_VALUE"""),"NEW WALK IN")</f>
        <v>NEW WALK IN</v>
      </c>
      <c r="S1442" s="1" t="str">
        <f>IFERROR(__xludf.DUMMYFUNCTION("""COMPUTED_VALUE"""),"No")</f>
        <v>No</v>
      </c>
    </row>
    <row r="1443">
      <c r="A1443" s="2">
        <f>IFERROR(__xludf.DUMMYFUNCTION("""COMPUTED_VALUE"""),45949.7222896412)</f>
        <v>45949.72229</v>
      </c>
      <c r="B1443" s="1" t="str">
        <f>IFERROR(__xludf.DUMMYFUNCTION("""COMPUTED_VALUE"""),"Muskaan gupta")</f>
        <v>Muskaan gupta</v>
      </c>
      <c r="C1443" s="1">
        <f>IFERROR(__xludf.DUMMYFUNCTION("""COMPUTED_VALUE"""),9.87195766E9)</f>
        <v>9871957660</v>
      </c>
      <c r="D1443" s="1">
        <f>IFERROR(__xludf.DUMMYFUNCTION("""COMPUTED_VALUE"""),1.0)</f>
        <v>1</v>
      </c>
      <c r="E1443" s="3">
        <f>IFERROR(__xludf.DUMMYFUNCTION("""COMPUTED_VALUE"""),0.8645833333357587)</f>
        <v>0.8645833333</v>
      </c>
      <c r="F1443" s="1" t="str">
        <f>IFERROR(__xludf.DUMMYFUNCTION("""COMPUTED_VALUE"""),"Plain Gold")</f>
        <v>Plain Gold</v>
      </c>
      <c r="G1443" s="1"/>
      <c r="H1443" s="1" t="str">
        <f>IFERROR(__xludf.DUMMYFUNCTION("""COMPUTED_VALUE"""),"Raw gold")</f>
        <v>Raw gold</v>
      </c>
      <c r="I1443" s="1"/>
      <c r="J1443" s="1"/>
      <c r="K1443" s="3">
        <f>IFERROR(__xludf.DUMMYFUNCTION("""COMPUTED_VALUE"""),0.9131944444452529)</f>
        <v>0.9131944444</v>
      </c>
      <c r="L1443" s="1" t="str">
        <f>IFERROR(__xludf.DUMMYFUNCTION("""COMPUTED_VALUE"""),"Yes")</f>
        <v>Yes</v>
      </c>
      <c r="M1443" s="1" t="str">
        <f>IFERROR(__xludf.DUMMYFUNCTION("""COMPUTED_VALUE"""),"Already done ")</f>
        <v>Already done </v>
      </c>
      <c r="N1443" s="1" t="str">
        <f>IFERROR(__xludf.DUMMYFUNCTION("""COMPUTED_VALUE"""),"Already done ")</f>
        <v>Already done </v>
      </c>
      <c r="O1443" s="1" t="str">
        <f>IFERROR(__xludf.DUMMYFUNCTION("""COMPUTED_VALUE"""),"WA ONLY")</f>
        <v>WA ONLY</v>
      </c>
      <c r="P1443" s="1" t="str">
        <f>IFERROR(__xludf.DUMMYFUNCTION("""COMPUTED_VALUE"""),"Madam")</f>
        <v>Madam</v>
      </c>
      <c r="Q1443" s="1" t="str">
        <f>IFERROR(__xludf.DUMMYFUNCTION("""COMPUTED_VALUE"""),"No")</f>
        <v>No</v>
      </c>
      <c r="R1443" s="1" t="str">
        <f>IFERROR(__xludf.DUMMYFUNCTION("""COMPUTED_VALUE"""),"OLD")</f>
        <v>OLD</v>
      </c>
      <c r="S1443" s="1" t="str">
        <f>IFERROR(__xludf.DUMMYFUNCTION("""COMPUTED_VALUE"""),"Yes")</f>
        <v>Yes</v>
      </c>
    </row>
    <row r="1444">
      <c r="A1444" s="2">
        <f>IFERROR(__xludf.DUMMYFUNCTION("""COMPUTED_VALUE"""),45949.72337133102)</f>
        <v>45949.72337</v>
      </c>
      <c r="B1444" s="1" t="str">
        <f>IFERROR(__xludf.DUMMYFUNCTION("""COMPUTED_VALUE"""),"Sia")</f>
        <v>Sia</v>
      </c>
      <c r="C1444" s="1">
        <f>IFERROR(__xludf.DUMMYFUNCTION("""COMPUTED_VALUE"""),8.810668639E9)</f>
        <v>8810668639</v>
      </c>
      <c r="D1444" s="1">
        <f>IFERROR(__xludf.DUMMYFUNCTION("""COMPUTED_VALUE"""),2.0)</f>
        <v>2</v>
      </c>
      <c r="E1444" s="3">
        <f>IFERROR(__xludf.DUMMYFUNCTION("""COMPUTED_VALUE"""),0.8958333333357587)</f>
        <v>0.8958333333</v>
      </c>
      <c r="F1444" s="1" t="str">
        <f>IFERROR(__xludf.DUMMYFUNCTION("""COMPUTED_VALUE"""),"Silver Items")</f>
        <v>Silver Items</v>
      </c>
      <c r="G1444" s="1"/>
      <c r="H1444" s="1" t="str">
        <f>IFERROR(__xludf.DUMMYFUNCTION("""COMPUTED_VALUE"""),"Silver chain")</f>
        <v>Silver chain</v>
      </c>
      <c r="I1444" s="1"/>
      <c r="J1444" s="1"/>
      <c r="K1444" s="3">
        <f>IFERROR(__xludf.DUMMYFUNCTION("""COMPUTED_VALUE"""),0.4326388888875954)</f>
        <v>0.4326388889</v>
      </c>
      <c r="L1444" s="1" t="str">
        <f>IFERROR(__xludf.DUMMYFUNCTION("""COMPUTED_VALUE"""),"Yes")</f>
        <v>Yes</v>
      </c>
      <c r="M1444" s="1" t="str">
        <f>IFERROR(__xludf.DUMMYFUNCTION("""COMPUTED_VALUE"""),"Yes")</f>
        <v>Yes</v>
      </c>
      <c r="N1444" s="1" t="str">
        <f>IFERROR(__xludf.DUMMYFUNCTION("""COMPUTED_VALUE"""),"Yes")</f>
        <v>Yes</v>
      </c>
      <c r="O1444" s="1" t="str">
        <f>IFERROR(__xludf.DUMMYFUNCTION("""COMPUTED_VALUE"""),"WA ONLY")</f>
        <v>WA ONLY</v>
      </c>
      <c r="P1444" s="1" t="str">
        <f>IFERROR(__xludf.DUMMYFUNCTION("""COMPUTED_VALUE"""),"Madam")</f>
        <v>Madam</v>
      </c>
      <c r="Q1444" s="1" t="str">
        <f>IFERROR(__xludf.DUMMYFUNCTION("""COMPUTED_VALUE"""),"No")</f>
        <v>No</v>
      </c>
      <c r="R1444" s="1" t="str">
        <f>IFERROR(__xludf.DUMMYFUNCTION("""COMPUTED_VALUE"""),"NEW WALK IN")</f>
        <v>NEW WALK IN</v>
      </c>
      <c r="S1444" s="1" t="str">
        <f>IFERROR(__xludf.DUMMYFUNCTION("""COMPUTED_VALUE"""),"Yes")</f>
        <v>Yes</v>
      </c>
    </row>
    <row r="1445">
      <c r="A1445" s="2">
        <f>IFERROR(__xludf.DUMMYFUNCTION("""COMPUTED_VALUE"""),45949.73616513889)</f>
        <v>45949.73617</v>
      </c>
      <c r="B1445" s="1" t="str">
        <f>IFERROR(__xludf.DUMMYFUNCTION("""COMPUTED_VALUE"""),"Dharamveer ji")</f>
        <v>Dharamveer ji</v>
      </c>
      <c r="C1445" s="1">
        <f>IFERROR(__xludf.DUMMYFUNCTION("""COMPUTED_VALUE"""),7.428676583E9)</f>
        <v>7428676583</v>
      </c>
      <c r="D1445" s="1">
        <f>IFERROR(__xludf.DUMMYFUNCTION("""COMPUTED_VALUE"""),2.0)</f>
        <v>2</v>
      </c>
      <c r="E1445" s="3">
        <f>IFERROR(__xludf.DUMMYFUNCTION("""COMPUTED_VALUE"""),0.90625)</f>
        <v>0.90625</v>
      </c>
      <c r="F1445" s="1" t="str">
        <f>IFERROR(__xludf.DUMMYFUNCTION("""COMPUTED_VALUE"""),"Silver Items")</f>
        <v>Silver Items</v>
      </c>
      <c r="G1445" s="1"/>
      <c r="H1445" s="1" t="str">
        <f>IFERROR(__xludf.DUMMYFUNCTION("""COMPUTED_VALUE"""),"Kachua ring")</f>
        <v>Kachua ring</v>
      </c>
      <c r="I1445" s="1"/>
      <c r="J1445" s="1"/>
      <c r="K1445" s="3">
        <f>IFERROR(__xludf.DUMMYFUNCTION("""COMPUTED_VALUE"""),0.9131944444452529)</f>
        <v>0.9131944444</v>
      </c>
      <c r="L1445" s="1" t="str">
        <f>IFERROR(__xludf.DUMMYFUNCTION("""COMPUTED_VALUE"""),"Yes")</f>
        <v>Yes</v>
      </c>
      <c r="M1445" s="1" t="str">
        <f>IFERROR(__xludf.DUMMYFUNCTION("""COMPUTED_VALUE"""),"No")</f>
        <v>No</v>
      </c>
      <c r="N1445" s="1" t="str">
        <f>IFERROR(__xludf.DUMMYFUNCTION("""COMPUTED_VALUE"""),"No")</f>
        <v>No</v>
      </c>
      <c r="O1445" s="1" t="str">
        <f>IFERROR(__xludf.DUMMYFUNCTION("""COMPUTED_VALUE"""),"WA ONLY")</f>
        <v>WA ONLY</v>
      </c>
      <c r="P1445" s="1" t="str">
        <f>IFERROR(__xludf.DUMMYFUNCTION("""COMPUTED_VALUE"""),"Sir")</f>
        <v>Sir</v>
      </c>
      <c r="Q1445" s="1" t="str">
        <f>IFERROR(__xludf.DUMMYFUNCTION("""COMPUTED_VALUE"""),"No")</f>
        <v>No</v>
      </c>
      <c r="R1445" s="1" t="str">
        <f>IFERROR(__xludf.DUMMYFUNCTION("""COMPUTED_VALUE"""),"NEW WALK IN")</f>
        <v>NEW WALK IN</v>
      </c>
      <c r="S1445" s="1" t="str">
        <f>IFERROR(__xludf.DUMMYFUNCTION("""COMPUTED_VALUE"""),"Yes")</f>
        <v>Yes</v>
      </c>
    </row>
    <row r="1446">
      <c r="A1446" s="2">
        <f>IFERROR(__xludf.DUMMYFUNCTION("""COMPUTED_VALUE"""),45949.7394069213)</f>
        <v>45949.73941</v>
      </c>
      <c r="B1446" s="1" t="str">
        <f>IFERROR(__xludf.DUMMYFUNCTION("""COMPUTED_VALUE"""),"Vikas ji")</f>
        <v>Vikas ji</v>
      </c>
      <c r="C1446" s="1">
        <f>IFERROR(__xludf.DUMMYFUNCTION("""COMPUTED_VALUE"""),9.560193569E9)</f>
        <v>9560193569</v>
      </c>
      <c r="D1446" s="1">
        <f>IFERROR(__xludf.DUMMYFUNCTION("""COMPUTED_VALUE"""),1.0)</f>
        <v>1</v>
      </c>
      <c r="E1446" s="3">
        <f>IFERROR(__xludf.DUMMYFUNCTION("""COMPUTED_VALUE"""),0.875)</f>
        <v>0.875</v>
      </c>
      <c r="F1446" s="1" t="str">
        <f>IFERROR(__xludf.DUMMYFUNCTION("""COMPUTED_VALUE"""),"Plain Gold")</f>
        <v>Plain Gold</v>
      </c>
      <c r="G1446" s="1"/>
      <c r="H1446" s="1" t="str">
        <f>IFERROR(__xludf.DUMMYFUNCTION("""COMPUTED_VALUE"""),"10 gold coin")</f>
        <v>10 gold coin</v>
      </c>
      <c r="I1446" s="1"/>
      <c r="J1446" s="1"/>
      <c r="K1446" s="3">
        <f>IFERROR(__xludf.DUMMYFUNCTION("""COMPUTED_VALUE"""),0.9118055555591127)</f>
        <v>0.9118055556</v>
      </c>
      <c r="L1446" s="1" t="str">
        <f>IFERROR(__xludf.DUMMYFUNCTION("""COMPUTED_VALUE"""),"Yes")</f>
        <v>Yes</v>
      </c>
      <c r="M1446" s="1" t="str">
        <f>IFERROR(__xludf.DUMMYFUNCTION("""COMPUTED_VALUE"""),"No")</f>
        <v>No</v>
      </c>
      <c r="N1446" s="1" t="str">
        <f>IFERROR(__xludf.DUMMYFUNCTION("""COMPUTED_VALUE"""),"No")</f>
        <v>No</v>
      </c>
      <c r="O1446" s="1" t="str">
        <f>IFERROR(__xludf.DUMMYFUNCTION("""COMPUTED_VALUE"""),"WA ONLY")</f>
        <v>WA ONLY</v>
      </c>
      <c r="P1446" s="1" t="str">
        <f>IFERROR(__xludf.DUMMYFUNCTION("""COMPUTED_VALUE"""),"Sir")</f>
        <v>Sir</v>
      </c>
      <c r="Q1446" s="1" t="str">
        <f>IFERROR(__xludf.DUMMYFUNCTION("""COMPUTED_VALUE"""),"Yes")</f>
        <v>Yes</v>
      </c>
      <c r="R1446" s="1" t="str">
        <f>IFERROR(__xludf.DUMMYFUNCTION("""COMPUTED_VALUE"""),"NEW WALK IN")</f>
        <v>NEW WALK IN</v>
      </c>
      <c r="S1446" s="1" t="str">
        <f>IFERROR(__xludf.DUMMYFUNCTION("""COMPUTED_VALUE"""),"Yes")</f>
        <v>Yes</v>
      </c>
    </row>
    <row r="1447">
      <c r="A1447" s="2">
        <f>IFERROR(__xludf.DUMMYFUNCTION("""COMPUTED_VALUE"""),45949.74033944444)</f>
        <v>45949.74034</v>
      </c>
      <c r="B1447" s="1" t="str">
        <f>IFERROR(__xludf.DUMMYFUNCTION("""COMPUTED_VALUE"""),"Vikas dubey ji")</f>
        <v>Vikas dubey ji</v>
      </c>
      <c r="C1447" s="1">
        <f>IFERROR(__xludf.DUMMYFUNCTION("""COMPUTED_VALUE"""),8.826202484E9)</f>
        <v>8826202484</v>
      </c>
      <c r="D1447" s="1">
        <f>IFERROR(__xludf.DUMMYFUNCTION("""COMPUTED_VALUE"""),1.0)</f>
        <v>1</v>
      </c>
      <c r="E1447" s="3">
        <f>IFERROR(__xludf.DUMMYFUNCTION("""COMPUTED_VALUE"""),0.8854166666642413)</f>
        <v>0.8854166667</v>
      </c>
      <c r="F1447" s="1" t="str">
        <f>IFERROR(__xludf.DUMMYFUNCTION("""COMPUTED_VALUE"""),"Silver Items")</f>
        <v>Silver Items</v>
      </c>
      <c r="G1447" s="1"/>
      <c r="H1447" s="1" t="str">
        <f>IFERROR(__xludf.DUMMYFUNCTION("""COMPUTED_VALUE"""),"2 chutki")</f>
        <v>2 chutki</v>
      </c>
      <c r="I1447" s="1"/>
      <c r="J1447" s="1"/>
      <c r="K1447" s="3">
        <f>IFERROR(__xludf.DUMMYFUNCTION("""COMPUTED_VALUE"""),0.42361111110949423)</f>
        <v>0.4236111111</v>
      </c>
      <c r="L1447" s="1" t="str">
        <f>IFERROR(__xludf.DUMMYFUNCTION("""COMPUTED_VALUE"""),"Yes")</f>
        <v>Yes</v>
      </c>
      <c r="M1447" s="1" t="str">
        <f>IFERROR(__xludf.DUMMYFUNCTION("""COMPUTED_VALUE"""),"No")</f>
        <v>No</v>
      </c>
      <c r="N1447" s="1" t="str">
        <f>IFERROR(__xludf.DUMMYFUNCTION("""COMPUTED_VALUE"""),"No")</f>
        <v>No</v>
      </c>
      <c r="O1447" s="1" t="str">
        <f>IFERROR(__xludf.DUMMYFUNCTION("""COMPUTED_VALUE"""),"WA ONLY")</f>
        <v>WA ONLY</v>
      </c>
      <c r="P1447" s="1" t="str">
        <f>IFERROR(__xludf.DUMMYFUNCTION("""COMPUTED_VALUE"""),"Sir")</f>
        <v>Sir</v>
      </c>
      <c r="Q1447" s="1" t="str">
        <f>IFERROR(__xludf.DUMMYFUNCTION("""COMPUTED_VALUE"""),"No")</f>
        <v>No</v>
      </c>
      <c r="R1447" s="1" t="str">
        <f>IFERROR(__xludf.DUMMYFUNCTION("""COMPUTED_VALUE"""),"NEW WALK IN")</f>
        <v>NEW WALK IN</v>
      </c>
      <c r="S1447" s="1" t="str">
        <f>IFERROR(__xludf.DUMMYFUNCTION("""COMPUTED_VALUE"""),"Yes")</f>
        <v>Yes</v>
      </c>
    </row>
    <row r="1448">
      <c r="A1448" s="2">
        <f>IFERROR(__xludf.DUMMYFUNCTION("""COMPUTED_VALUE"""),45954.67403576389)</f>
        <v>45954.67404</v>
      </c>
      <c r="B1448" s="1" t="str">
        <f>IFERROR(__xludf.DUMMYFUNCTION("""COMPUTED_VALUE"""),"Vijender ji")</f>
        <v>Vijender ji</v>
      </c>
      <c r="C1448" s="1">
        <f>IFERROR(__xludf.DUMMYFUNCTION("""COMPUTED_VALUE"""),9.01324446E9)</f>
        <v>9013244460</v>
      </c>
      <c r="D1448" s="1">
        <f>IFERROR(__xludf.DUMMYFUNCTION("""COMPUTED_VALUE"""),1.0)</f>
        <v>1</v>
      </c>
      <c r="E1448" s="3">
        <f>IFERROR(__xludf.DUMMYFUNCTION("""COMPUTED_VALUE"""),0.5416666666642413)</f>
        <v>0.5416666667</v>
      </c>
      <c r="F1448" s="1" t="str">
        <f>IFERROR(__xludf.DUMMYFUNCTION("""COMPUTED_VALUE"""),"Diamond")</f>
        <v>Diamond</v>
      </c>
      <c r="G1448" s="1"/>
      <c r="H1448" s="1" t="str">
        <f>IFERROR(__xludf.DUMMYFUNCTION("""COMPUTED_VALUE"""),"10 gm silver coin 1 gm gold")</f>
        <v>10 gm silver coin 1 gm gold</v>
      </c>
      <c r="I1448" s="1"/>
      <c r="J1448" s="1"/>
      <c r="K1448" s="3">
        <f>IFERROR(__xludf.DUMMYFUNCTION("""COMPUTED_VALUE"""),0.5611111111065838)</f>
        <v>0.5611111111</v>
      </c>
      <c r="L1448" s="1" t="str">
        <f>IFERROR(__xludf.DUMMYFUNCTION("""COMPUTED_VALUE"""),"No")</f>
        <v>No</v>
      </c>
      <c r="M1448" s="1" t="str">
        <f>IFERROR(__xludf.DUMMYFUNCTION("""COMPUTED_VALUE"""),"Yes")</f>
        <v>Yes</v>
      </c>
      <c r="N1448" s="1" t="str">
        <f>IFERROR(__xludf.DUMMYFUNCTION("""COMPUTED_VALUE"""),"No")</f>
        <v>No</v>
      </c>
      <c r="O1448" s="1" t="str">
        <f>IFERROR(__xludf.DUMMYFUNCTION("""COMPUTED_VALUE"""),"WA ONLY")</f>
        <v>WA ONLY</v>
      </c>
      <c r="P1448" s="1" t="str">
        <f>IFERROR(__xludf.DUMMYFUNCTION("""COMPUTED_VALUE"""),"Sir")</f>
        <v>Sir</v>
      </c>
      <c r="Q1448" s="1" t="str">
        <f>IFERROR(__xludf.DUMMYFUNCTION("""COMPUTED_VALUE"""),"No")</f>
        <v>No</v>
      </c>
      <c r="R1448" s="1" t="str">
        <f>IFERROR(__xludf.DUMMYFUNCTION("""COMPUTED_VALUE"""),"NEW WALK IN")</f>
        <v>NEW WALK IN</v>
      </c>
      <c r="S1448" s="1" t="str">
        <f>IFERROR(__xludf.DUMMYFUNCTION("""COMPUTED_VALUE"""),"Yes")</f>
        <v>Yes</v>
      </c>
    </row>
    <row r="1449">
      <c r="A1449" s="2">
        <f>IFERROR(__xludf.DUMMYFUNCTION("""COMPUTED_VALUE"""),45954.67905020833)</f>
        <v>45954.67905</v>
      </c>
      <c r="B1449" s="1" t="str">
        <f>IFERROR(__xludf.DUMMYFUNCTION("""COMPUTED_VALUE"""),"Soumitra ji")</f>
        <v>Soumitra ji</v>
      </c>
      <c r="C1449" s="1">
        <f>IFERROR(__xludf.DUMMYFUNCTION("""COMPUTED_VALUE"""),8.010808615E9)</f>
        <v>8010808615</v>
      </c>
      <c r="D1449" s="1">
        <f>IFERROR(__xludf.DUMMYFUNCTION("""COMPUTED_VALUE"""),1.0)</f>
        <v>1</v>
      </c>
      <c r="E1449" s="3">
        <f>IFERROR(__xludf.DUMMYFUNCTION("""COMPUTED_VALUE"""),0.6388888888905058)</f>
        <v>0.6388888889</v>
      </c>
      <c r="F1449" s="1" t="str">
        <f>IFERROR(__xludf.DUMMYFUNCTION("""COMPUTED_VALUE"""),"Silver Items")</f>
        <v>Silver Items</v>
      </c>
      <c r="G1449" s="1"/>
      <c r="H1449" s="1" t="str">
        <f>IFERROR(__xludf.DUMMYFUNCTION("""COMPUTED_VALUE"""),"Silver 10 gm coin")</f>
        <v>Silver 10 gm coin</v>
      </c>
      <c r="I1449" s="1"/>
      <c r="J1449" s="1"/>
      <c r="K1449" s="3">
        <f>IFERROR(__xludf.DUMMYFUNCTION("""COMPUTED_VALUE"""),0.6770833333357587)</f>
        <v>0.6770833333</v>
      </c>
      <c r="L1449" s="1" t="str">
        <f>IFERROR(__xludf.DUMMYFUNCTION("""COMPUTED_VALUE"""),"No")</f>
        <v>No</v>
      </c>
      <c r="M1449" s="1" t="str">
        <f>IFERROR(__xludf.DUMMYFUNCTION("""COMPUTED_VALUE"""),"No")</f>
        <v>No</v>
      </c>
      <c r="N1449" s="1" t="str">
        <f>IFERROR(__xludf.DUMMYFUNCTION("""COMPUTED_VALUE"""),"No")</f>
        <v>No</v>
      </c>
      <c r="O1449" s="1" t="str">
        <f>IFERROR(__xludf.DUMMYFUNCTION("""COMPUTED_VALUE"""),"WA ONLY")</f>
        <v>WA ONLY</v>
      </c>
      <c r="P1449" s="1" t="str">
        <f>IFERROR(__xludf.DUMMYFUNCTION("""COMPUTED_VALUE"""),"Sir")</f>
        <v>Sir</v>
      </c>
      <c r="Q1449" s="1" t="str">
        <f>IFERROR(__xludf.DUMMYFUNCTION("""COMPUTED_VALUE"""),"No")</f>
        <v>No</v>
      </c>
      <c r="R1449" s="1" t="str">
        <f>IFERROR(__xludf.DUMMYFUNCTION("""COMPUTED_VALUE"""),"NEW WALK IN")</f>
        <v>NEW WALK IN</v>
      </c>
      <c r="S1449" s="1" t="str">
        <f>IFERROR(__xludf.DUMMYFUNCTION("""COMPUTED_VALUE"""),"Yes")</f>
        <v>Yes</v>
      </c>
    </row>
    <row r="1450">
      <c r="A1450" s="2">
        <f>IFERROR(__xludf.DUMMYFUNCTION("""COMPUTED_VALUE"""),45954.68096570602)</f>
        <v>45954.68097</v>
      </c>
      <c r="B1450" s="1" t="str">
        <f>IFERROR(__xludf.DUMMYFUNCTION("""COMPUTED_VALUE"""),"Hema ji")</f>
        <v>Hema ji</v>
      </c>
      <c r="C1450" s="1">
        <f>IFERROR(__xludf.DUMMYFUNCTION("""COMPUTED_VALUE"""),9.891999306E9)</f>
        <v>9891999306</v>
      </c>
      <c r="D1450" s="1">
        <f>IFERROR(__xludf.DUMMYFUNCTION("""COMPUTED_VALUE"""),2.0)</f>
        <v>2</v>
      </c>
      <c r="E1450" s="3">
        <f>IFERROR(__xludf.DUMMYFUNCTION("""COMPUTED_VALUE"""),0.6354166666642413)</f>
        <v>0.6354166667</v>
      </c>
      <c r="F1450" s="1" t="str">
        <f>IFERROR(__xludf.DUMMYFUNCTION("""COMPUTED_VALUE"""),"Plain Gold")</f>
        <v>Plain Gold</v>
      </c>
      <c r="G1450" s="1"/>
      <c r="H1450" s="1" t="str">
        <f>IFERROR(__xludf.DUMMYFUNCTION("""COMPUTED_VALUE"""),"Gold coin")</f>
        <v>Gold coin</v>
      </c>
      <c r="I1450" s="1"/>
      <c r="J1450" s="1"/>
      <c r="K1450" s="3">
        <f>IFERROR(__xludf.DUMMYFUNCTION("""COMPUTED_VALUE"""),0.6652777777781012)</f>
        <v>0.6652777778</v>
      </c>
      <c r="L1450" s="1" t="str">
        <f>IFERROR(__xludf.DUMMYFUNCTION("""COMPUTED_VALUE"""),"Yes")</f>
        <v>Yes</v>
      </c>
      <c r="M1450" s="1" t="str">
        <f>IFERROR(__xludf.DUMMYFUNCTION("""COMPUTED_VALUE"""),"No")</f>
        <v>No</v>
      </c>
      <c r="N1450" s="1" t="str">
        <f>IFERROR(__xludf.DUMMYFUNCTION("""COMPUTED_VALUE"""),"No")</f>
        <v>No</v>
      </c>
      <c r="O1450" s="1" t="str">
        <f>IFERROR(__xludf.DUMMYFUNCTION("""COMPUTED_VALUE"""),"WA ONLY, OWNER CONTACT ONLY")</f>
        <v>WA ONLY, OWNER CONTACT ONLY</v>
      </c>
      <c r="P1450" s="1" t="str">
        <f>IFERROR(__xludf.DUMMYFUNCTION("""COMPUTED_VALUE"""),"Madam")</f>
        <v>Madam</v>
      </c>
      <c r="Q1450" s="1" t="str">
        <f>IFERROR(__xludf.DUMMYFUNCTION("""COMPUTED_VALUE"""),"No")</f>
        <v>No</v>
      </c>
      <c r="R1450" s="1" t="str">
        <f>IFERROR(__xludf.DUMMYFUNCTION("""COMPUTED_VALUE"""),"OLD")</f>
        <v>OLD</v>
      </c>
      <c r="S1450" s="1" t="str">
        <f>IFERROR(__xludf.DUMMYFUNCTION("""COMPUTED_VALUE"""),"Yes")</f>
        <v>Yes</v>
      </c>
    </row>
    <row r="1451">
      <c r="A1451" s="2">
        <f>IFERROR(__xludf.DUMMYFUNCTION("""COMPUTED_VALUE"""),45954.68346597222)</f>
        <v>45954.68347</v>
      </c>
      <c r="B1451" s="1" t="str">
        <f>IFERROR(__xludf.DUMMYFUNCTION("""COMPUTED_VALUE"""),"Divya mam")</f>
        <v>Divya mam</v>
      </c>
      <c r="C1451" s="1">
        <f>IFERROR(__xludf.DUMMYFUNCTION("""COMPUTED_VALUE"""),9.717661183E9)</f>
        <v>9717661183</v>
      </c>
      <c r="D1451" s="1">
        <f>IFERROR(__xludf.DUMMYFUNCTION("""COMPUTED_VALUE"""),4.0)</f>
        <v>4</v>
      </c>
      <c r="E1451" s="3">
        <f>IFERROR(__xludf.DUMMYFUNCTION("""COMPUTED_VALUE"""),0.6465277777751908)</f>
        <v>0.6465277778</v>
      </c>
      <c r="F1451" s="1" t="str">
        <f>IFERROR(__xludf.DUMMYFUNCTION("""COMPUTED_VALUE"""),"Diamond")</f>
        <v>Diamond</v>
      </c>
      <c r="G1451" s="1"/>
      <c r="H1451" s="1" t="str">
        <f>IFERROR(__xludf.DUMMYFUNCTION("""COMPUTED_VALUE"""),"Diamond ring")</f>
        <v>Diamond ring</v>
      </c>
      <c r="I1451" s="1"/>
      <c r="J1451" s="1"/>
      <c r="K1451" s="3">
        <f>IFERROR(__xludf.DUMMYFUNCTION("""COMPUTED_VALUE"""),0.6993055555576575)</f>
        <v>0.6993055556</v>
      </c>
      <c r="L1451" s="1" t="str">
        <f>IFERROR(__xludf.DUMMYFUNCTION("""COMPUTED_VALUE"""),"Yes")</f>
        <v>Yes</v>
      </c>
      <c r="M1451" s="1" t="str">
        <f>IFERROR(__xludf.DUMMYFUNCTION("""COMPUTED_VALUE"""),"Yes")</f>
        <v>Yes</v>
      </c>
      <c r="N1451" s="1" t="str">
        <f>IFERROR(__xludf.DUMMYFUNCTION("""COMPUTED_VALUE"""),"Yes")</f>
        <v>Yes</v>
      </c>
      <c r="O1451" s="1" t="str">
        <f>IFERROR(__xludf.DUMMYFUNCTION("""COMPUTED_VALUE"""),"WA ONLY")</f>
        <v>WA ONLY</v>
      </c>
      <c r="P1451" s="1" t="str">
        <f>IFERROR(__xludf.DUMMYFUNCTION("""COMPUTED_VALUE"""),"Sir")</f>
        <v>Sir</v>
      </c>
      <c r="Q1451" s="1" t="str">
        <f>IFERROR(__xludf.DUMMYFUNCTION("""COMPUTED_VALUE"""),"No")</f>
        <v>No</v>
      </c>
      <c r="R1451" s="1" t="str">
        <f>IFERROR(__xludf.DUMMYFUNCTION("""COMPUTED_VALUE"""),"NEW WALK IN")</f>
        <v>NEW WALK IN</v>
      </c>
      <c r="S1451" s="1" t="str">
        <f>IFERROR(__xludf.DUMMYFUNCTION("""COMPUTED_VALUE"""),"Yes")</f>
        <v>Yes</v>
      </c>
    </row>
    <row r="1452">
      <c r="A1452" s="2">
        <f>IFERROR(__xludf.DUMMYFUNCTION("""COMPUTED_VALUE"""),45954.68555100694)</f>
        <v>45954.68555</v>
      </c>
      <c r="B1452" s="1" t="str">
        <f>IFERROR(__xludf.DUMMYFUNCTION("""COMPUTED_VALUE"""),"Arun kumar")</f>
        <v>Arun kumar</v>
      </c>
      <c r="C1452" s="1">
        <f>IFERROR(__xludf.DUMMYFUNCTION("""COMPUTED_VALUE"""),9.71743474E9)</f>
        <v>9717434740</v>
      </c>
      <c r="D1452" s="1">
        <f>IFERROR(__xludf.DUMMYFUNCTION("""COMPUTED_VALUE"""),2.0)</f>
        <v>2</v>
      </c>
      <c r="E1452" s="3">
        <f>IFERROR(__xludf.DUMMYFUNCTION("""COMPUTED_VALUE"""),0.6465277777751908)</f>
        <v>0.6465277778</v>
      </c>
      <c r="F1452" s="1" t="str">
        <f>IFERROR(__xludf.DUMMYFUNCTION("""COMPUTED_VALUE"""),"Plain Gold")</f>
        <v>Plain Gold</v>
      </c>
      <c r="G1452" s="1"/>
      <c r="H1452" s="1" t="str">
        <f>IFERROR(__xludf.DUMMYFUNCTION("""COMPUTED_VALUE"""),"Chain gold")</f>
        <v>Chain gold</v>
      </c>
      <c r="I1452" s="1"/>
      <c r="J1452" s="1"/>
      <c r="K1452" s="3">
        <f>IFERROR(__xludf.DUMMYFUNCTION("""COMPUTED_VALUE"""),0.7125000000014552)</f>
        <v>0.7125</v>
      </c>
      <c r="L1452" s="1" t="str">
        <f>IFERROR(__xludf.DUMMYFUNCTION("""COMPUTED_VALUE"""),"No")</f>
        <v>No</v>
      </c>
      <c r="M1452" s="1" t="str">
        <f>IFERROR(__xludf.DUMMYFUNCTION("""COMPUTED_VALUE"""),"Yes")</f>
        <v>Yes</v>
      </c>
      <c r="N1452" s="1" t="str">
        <f>IFERROR(__xludf.DUMMYFUNCTION("""COMPUTED_VALUE"""),"No")</f>
        <v>No</v>
      </c>
      <c r="O1452" s="1" t="str">
        <f>IFERROR(__xludf.DUMMYFUNCTION("""COMPUTED_VALUE"""),"WA ONLY")</f>
        <v>WA ONLY</v>
      </c>
      <c r="P1452" s="1" t="str">
        <f>IFERROR(__xludf.DUMMYFUNCTION("""COMPUTED_VALUE"""),"Sir")</f>
        <v>Sir</v>
      </c>
      <c r="Q1452" s="1" t="str">
        <f>IFERROR(__xludf.DUMMYFUNCTION("""COMPUTED_VALUE"""),"No")</f>
        <v>No</v>
      </c>
      <c r="R1452" s="1" t="str">
        <f>IFERROR(__xludf.DUMMYFUNCTION("""COMPUTED_VALUE"""),"OLD")</f>
        <v>OLD</v>
      </c>
      <c r="S1452" s="1" t="str">
        <f>IFERROR(__xludf.DUMMYFUNCTION("""COMPUTED_VALUE"""),"Yes")</f>
        <v>Yes</v>
      </c>
    </row>
    <row r="1453">
      <c r="A1453" s="2">
        <f>IFERROR(__xludf.DUMMYFUNCTION("""COMPUTED_VALUE"""),45954.686950497686)</f>
        <v>45954.68695</v>
      </c>
      <c r="B1453" s="1" t="str">
        <f>IFERROR(__xludf.DUMMYFUNCTION("""COMPUTED_VALUE"""),"Madhavi ji")</f>
        <v>Madhavi ji</v>
      </c>
      <c r="C1453" s="1">
        <f>IFERROR(__xludf.DUMMYFUNCTION("""COMPUTED_VALUE"""),9.911815367E9)</f>
        <v>9911815367</v>
      </c>
      <c r="D1453" s="1">
        <f>IFERROR(__xludf.DUMMYFUNCTION("""COMPUTED_VALUE"""),1.0)</f>
        <v>1</v>
      </c>
      <c r="E1453" s="3">
        <f>IFERROR(__xludf.DUMMYFUNCTION("""COMPUTED_VALUE"""),0.6666666666642413)</f>
        <v>0.6666666667</v>
      </c>
      <c r="F1453" s="1" t="str">
        <f>IFERROR(__xludf.DUMMYFUNCTION("""COMPUTED_VALUE"""),"Plain Gold")</f>
        <v>Plain Gold</v>
      </c>
      <c r="G1453" s="1"/>
      <c r="H1453" s="1" t="str">
        <f>IFERROR(__xludf.DUMMYFUNCTION("""COMPUTED_VALUE"""),"Macchali and coin silver")</f>
        <v>Macchali and coin silver</v>
      </c>
      <c r="I1453" s="1"/>
      <c r="J1453" s="1"/>
      <c r="K1453" s="3">
        <f>IFERROR(__xludf.DUMMYFUNCTION("""COMPUTED_VALUE"""),0.7326388888905058)</f>
        <v>0.7326388889</v>
      </c>
      <c r="L1453" s="1" t="str">
        <f>IFERROR(__xludf.DUMMYFUNCTION("""COMPUTED_VALUE"""),"No")</f>
        <v>No</v>
      </c>
      <c r="M1453" s="1" t="str">
        <f>IFERROR(__xludf.DUMMYFUNCTION("""COMPUTED_VALUE"""),"Yes")</f>
        <v>Yes</v>
      </c>
      <c r="N1453" s="1" t="str">
        <f>IFERROR(__xludf.DUMMYFUNCTION("""COMPUTED_VALUE"""),"No")</f>
        <v>No</v>
      </c>
      <c r="O1453" s="1" t="str">
        <f>IFERROR(__xludf.DUMMYFUNCTION("""COMPUTED_VALUE"""),"WA ONLY, OWNER CONTACT ONLY")</f>
        <v>WA ONLY, OWNER CONTACT ONLY</v>
      </c>
      <c r="P1453" s="1" t="str">
        <f>IFERROR(__xludf.DUMMYFUNCTION("""COMPUTED_VALUE"""),"Madam")</f>
        <v>Madam</v>
      </c>
      <c r="Q1453" s="1" t="str">
        <f>IFERROR(__xludf.DUMMYFUNCTION("""COMPUTED_VALUE"""),"No")</f>
        <v>No</v>
      </c>
      <c r="R1453" s="1" t="str">
        <f>IFERROR(__xludf.DUMMYFUNCTION("""COMPUTED_VALUE"""),"NEW WALK IN")</f>
        <v>NEW WALK IN</v>
      </c>
      <c r="S1453" s="1" t="str">
        <f>IFERROR(__xludf.DUMMYFUNCTION("""COMPUTED_VALUE"""),"Yes")</f>
        <v>Yes</v>
      </c>
    </row>
    <row r="1454">
      <c r="A1454" s="2">
        <f>IFERROR(__xludf.DUMMYFUNCTION("""COMPUTED_VALUE"""),45954.68836155093)</f>
        <v>45954.68836</v>
      </c>
      <c r="B1454" s="1" t="str">
        <f>IFERROR(__xludf.DUMMYFUNCTION("""COMPUTED_VALUE"""),"Nikhil ji")</f>
        <v>Nikhil ji</v>
      </c>
      <c r="C1454" s="1">
        <f>IFERROR(__xludf.DUMMYFUNCTION("""COMPUTED_VALUE"""),9.654195549E9)</f>
        <v>9654195549</v>
      </c>
      <c r="D1454" s="1">
        <f>IFERROR(__xludf.DUMMYFUNCTION("""COMPUTED_VALUE"""),1.0)</f>
        <v>1</v>
      </c>
      <c r="E1454" s="3">
        <f>IFERROR(__xludf.DUMMYFUNCTION("""COMPUTED_VALUE"""),0.6847222222204437)</f>
        <v>0.6847222222</v>
      </c>
      <c r="F1454" s="1"/>
      <c r="G1454" s="1"/>
      <c r="H1454" s="1" t="str">
        <f>IFERROR(__xludf.DUMMYFUNCTION("""COMPUTED_VALUE"""),"Silver coin")</f>
        <v>Silver coin</v>
      </c>
      <c r="I1454" s="1"/>
      <c r="J1454" s="1"/>
      <c r="K1454" s="3">
        <f>IFERROR(__xludf.DUMMYFUNCTION("""COMPUTED_VALUE"""),0.8020833333357587)</f>
        <v>0.8020833333</v>
      </c>
      <c r="L1454" s="1" t="str">
        <f>IFERROR(__xludf.DUMMYFUNCTION("""COMPUTED_VALUE"""),"Yes")</f>
        <v>Yes</v>
      </c>
      <c r="M1454" s="1" t="str">
        <f>IFERROR(__xludf.DUMMYFUNCTION("""COMPUTED_VALUE"""),"Already done ")</f>
        <v>Already done </v>
      </c>
      <c r="N1454" s="1" t="str">
        <f>IFERROR(__xludf.DUMMYFUNCTION("""COMPUTED_VALUE"""),"Already done ")</f>
        <v>Already done </v>
      </c>
      <c r="O1454" s="1" t="str">
        <f>IFERROR(__xludf.DUMMYFUNCTION("""COMPUTED_VALUE"""),"WA ONLY, OWNER CONTACT ONLY")</f>
        <v>WA ONLY, OWNER CONTACT ONLY</v>
      </c>
      <c r="P1454" s="1" t="str">
        <f>IFERROR(__xludf.DUMMYFUNCTION("""COMPUTED_VALUE"""),"Sir")</f>
        <v>Sir</v>
      </c>
      <c r="Q1454" s="1" t="str">
        <f>IFERROR(__xludf.DUMMYFUNCTION("""COMPUTED_VALUE"""),"Yes")</f>
        <v>Yes</v>
      </c>
      <c r="R1454" s="1" t="str">
        <f>IFERROR(__xludf.DUMMYFUNCTION("""COMPUTED_VALUE"""),"OLD")</f>
        <v>OLD</v>
      </c>
      <c r="S1454" s="1" t="str">
        <f>IFERROR(__xludf.DUMMYFUNCTION("""COMPUTED_VALUE"""),"Yes")</f>
        <v>Yes</v>
      </c>
    </row>
    <row r="1455">
      <c r="A1455" s="2">
        <f>IFERROR(__xludf.DUMMYFUNCTION("""COMPUTED_VALUE"""),45955.55260329861)</f>
        <v>45955.5526</v>
      </c>
      <c r="B1455" s="1" t="str">
        <f>IFERROR(__xludf.DUMMYFUNCTION("""COMPUTED_VALUE"""),"Shilpi ji")</f>
        <v>Shilpi ji</v>
      </c>
      <c r="C1455" s="1">
        <f>IFERROR(__xludf.DUMMYFUNCTION("""COMPUTED_VALUE"""),9.89999207E9)</f>
        <v>9899992070</v>
      </c>
      <c r="D1455" s="1">
        <f>IFERROR(__xludf.DUMMYFUNCTION("""COMPUTED_VALUE"""),1.0)</f>
        <v>1</v>
      </c>
      <c r="E1455" s="3">
        <f>IFERROR(__xludf.DUMMYFUNCTION("""COMPUTED_VALUE"""),0.6201388888875954)</f>
        <v>0.6201388889</v>
      </c>
      <c r="F1455" s="1" t="str">
        <f>IFERROR(__xludf.DUMMYFUNCTION("""COMPUTED_VALUE"""),"Silver Items")</f>
        <v>Silver Items</v>
      </c>
      <c r="G1455" s="1"/>
      <c r="H1455" s="1"/>
      <c r="I1455" s="1"/>
      <c r="J1455" s="1"/>
      <c r="K1455" s="3">
        <f>IFERROR(__xludf.DUMMYFUNCTION("""COMPUTED_VALUE"""),0.640277777776646)</f>
        <v>0.6402777778</v>
      </c>
      <c r="L1455" s="1" t="str">
        <f>IFERROR(__xludf.DUMMYFUNCTION("""COMPUTED_VALUE"""),"No")</f>
        <v>No</v>
      </c>
      <c r="M1455" s="1" t="str">
        <f>IFERROR(__xludf.DUMMYFUNCTION("""COMPUTED_VALUE"""),"No")</f>
        <v>No</v>
      </c>
      <c r="N1455" s="1" t="str">
        <f>IFERROR(__xludf.DUMMYFUNCTION("""COMPUTED_VALUE"""),"No")</f>
        <v>No</v>
      </c>
      <c r="O1455" s="1" t="str">
        <f>IFERROR(__xludf.DUMMYFUNCTION("""COMPUTED_VALUE"""),"WA ONLY")</f>
        <v>WA ONLY</v>
      </c>
      <c r="P1455" s="1" t="str">
        <f>IFERROR(__xludf.DUMMYFUNCTION("""COMPUTED_VALUE"""),"Madam")</f>
        <v>Madam</v>
      </c>
      <c r="Q1455" s="1" t="str">
        <f>IFERROR(__xludf.DUMMYFUNCTION("""COMPUTED_VALUE"""),"No")</f>
        <v>No</v>
      </c>
      <c r="R1455" s="1" t="str">
        <f>IFERROR(__xludf.DUMMYFUNCTION("""COMPUTED_VALUE"""),"NEW WALK IN")</f>
        <v>NEW WALK IN</v>
      </c>
      <c r="S1455" s="1" t="str">
        <f>IFERROR(__xludf.DUMMYFUNCTION("""COMPUTED_VALUE"""),"Yes")</f>
        <v>Yes</v>
      </c>
    </row>
    <row r="1456">
      <c r="A1456" s="2">
        <f>IFERROR(__xludf.DUMMYFUNCTION("""COMPUTED_VALUE"""),45955.55569842593)</f>
        <v>45955.5557</v>
      </c>
      <c r="B1456" s="1" t="str">
        <f>IFERROR(__xludf.DUMMYFUNCTION("""COMPUTED_VALUE"""),"Sanju ji")</f>
        <v>Sanju ji</v>
      </c>
      <c r="C1456" s="1">
        <f>IFERROR(__xludf.DUMMYFUNCTION("""COMPUTED_VALUE"""),9.818173312E9)</f>
        <v>9818173312</v>
      </c>
      <c r="D1456" s="1">
        <f>IFERROR(__xludf.DUMMYFUNCTION("""COMPUTED_VALUE"""),4.0)</f>
        <v>4</v>
      </c>
      <c r="E1456" s="3">
        <f>IFERROR(__xludf.DUMMYFUNCTION("""COMPUTED_VALUE"""),0.6270833333328483)</f>
        <v>0.6270833333</v>
      </c>
      <c r="F1456" s="1" t="str">
        <f>IFERROR(__xludf.DUMMYFUNCTION("""COMPUTED_VALUE"""),"Plain Gold")</f>
        <v>Plain Gold</v>
      </c>
      <c r="G1456" s="1" t="str">
        <f>IFERROR(__xludf.DUMMYFUNCTION("""COMPUTED_VALUE"""),"Pooja")</f>
        <v>Pooja</v>
      </c>
      <c r="H1456" s="1" t="str">
        <f>IFERROR(__xludf.DUMMYFUNCTION("""COMPUTED_VALUE"""),"Pendent ")</f>
        <v>Pendent </v>
      </c>
      <c r="I1456" s="1"/>
      <c r="J1456" s="1"/>
      <c r="K1456" s="3">
        <f>IFERROR(__xludf.DUMMYFUNCTION("""COMPUTED_VALUE"""),0.7083333333357587)</f>
        <v>0.7083333333</v>
      </c>
      <c r="L1456" s="1" t="str">
        <f>IFERROR(__xludf.DUMMYFUNCTION("""COMPUTED_VALUE"""),"No")</f>
        <v>No</v>
      </c>
      <c r="M1456" s="1" t="str">
        <f>IFERROR(__xludf.DUMMYFUNCTION("""COMPUTED_VALUE"""),"Yes")</f>
        <v>Yes</v>
      </c>
      <c r="N1456" s="1" t="str">
        <f>IFERROR(__xludf.DUMMYFUNCTION("""COMPUTED_VALUE"""),"Yes")</f>
        <v>Yes</v>
      </c>
      <c r="O1456" s="1" t="str">
        <f>IFERROR(__xludf.DUMMYFUNCTION("""COMPUTED_VALUE"""),"WA ONLY")</f>
        <v>WA ONLY</v>
      </c>
      <c r="P1456" s="1" t="str">
        <f>IFERROR(__xludf.DUMMYFUNCTION("""COMPUTED_VALUE"""),"Madam")</f>
        <v>Madam</v>
      </c>
      <c r="Q1456" s="1" t="str">
        <f>IFERROR(__xludf.DUMMYFUNCTION("""COMPUTED_VALUE"""),"No")</f>
        <v>No</v>
      </c>
      <c r="R1456" s="1" t="str">
        <f>IFERROR(__xludf.DUMMYFUNCTION("""COMPUTED_VALUE"""),"NEW WALK IN")</f>
        <v>NEW WALK IN</v>
      </c>
      <c r="S1456" s="1" t="str">
        <f>IFERROR(__xludf.DUMMYFUNCTION("""COMPUTED_VALUE"""),"Yes")</f>
        <v>Yes</v>
      </c>
    </row>
    <row r="1457">
      <c r="A1457" s="2">
        <f>IFERROR(__xludf.DUMMYFUNCTION("""COMPUTED_VALUE"""),45955.561043877315)</f>
        <v>45955.56104</v>
      </c>
      <c r="B1457" s="1" t="str">
        <f>IFERROR(__xludf.DUMMYFUNCTION("""COMPUTED_VALUE"""),"Sahil ji")</f>
        <v>Sahil ji</v>
      </c>
      <c r="C1457" s="1">
        <f>IFERROR(__xludf.DUMMYFUNCTION("""COMPUTED_VALUE"""),8.860285011E9)</f>
        <v>8860285011</v>
      </c>
      <c r="D1457" s="1">
        <f>IFERROR(__xludf.DUMMYFUNCTION("""COMPUTED_VALUE"""),1.0)</f>
        <v>1</v>
      </c>
      <c r="E1457" s="3">
        <f>IFERROR(__xludf.DUMMYFUNCTION("""COMPUTED_VALUE"""),0.6944444444452529)</f>
        <v>0.6944444444</v>
      </c>
      <c r="F1457" s="1" t="str">
        <f>IFERROR(__xludf.DUMMYFUNCTION("""COMPUTED_VALUE"""),"Silver Items")</f>
        <v>Silver Items</v>
      </c>
      <c r="G1457" s="1"/>
      <c r="H1457" s="1" t="str">
        <f>IFERROR(__xludf.DUMMYFUNCTION("""COMPUTED_VALUE"""),"50 gm silver coin")</f>
        <v>50 gm silver coin</v>
      </c>
      <c r="I1457" s="1" t="str">
        <f>IFERROR(__xludf.DUMMYFUNCTION("""COMPUTED_VALUE"""),"Needed a gold polish one")</f>
        <v>Needed a gold polish one</v>
      </c>
      <c r="J1457" s="1"/>
      <c r="K1457" s="3">
        <f>IFERROR(__xludf.DUMMYFUNCTION("""COMPUTED_VALUE"""),0.6979166666642413)</f>
        <v>0.6979166667</v>
      </c>
      <c r="L1457" s="1" t="str">
        <f>IFERROR(__xludf.DUMMYFUNCTION("""COMPUTED_VALUE"""),"No")</f>
        <v>No</v>
      </c>
      <c r="M1457" s="1" t="str">
        <f>IFERROR(__xludf.DUMMYFUNCTION("""COMPUTED_VALUE"""),"No")</f>
        <v>No</v>
      </c>
      <c r="N1457" s="1" t="str">
        <f>IFERROR(__xludf.DUMMYFUNCTION("""COMPUTED_VALUE"""),"No")</f>
        <v>No</v>
      </c>
      <c r="O1457" s="1" t="str">
        <f>IFERROR(__xludf.DUMMYFUNCTION("""COMPUTED_VALUE"""),"WA ONLY")</f>
        <v>WA ONLY</v>
      </c>
      <c r="P1457" s="1" t="str">
        <f>IFERROR(__xludf.DUMMYFUNCTION("""COMPUTED_VALUE"""),"Sir")</f>
        <v>Sir</v>
      </c>
      <c r="Q1457" s="1" t="str">
        <f>IFERROR(__xludf.DUMMYFUNCTION("""COMPUTED_VALUE"""),"No")</f>
        <v>No</v>
      </c>
      <c r="R1457" s="1" t="str">
        <f>IFERROR(__xludf.DUMMYFUNCTION("""COMPUTED_VALUE"""),"NEW WALK IN")</f>
        <v>NEW WALK IN</v>
      </c>
      <c r="S1457" s="1" t="str">
        <f>IFERROR(__xludf.DUMMYFUNCTION("""COMPUTED_VALUE"""),"No")</f>
        <v>No</v>
      </c>
    </row>
    <row r="1458">
      <c r="A1458" s="2">
        <f>IFERROR(__xludf.DUMMYFUNCTION("""COMPUTED_VALUE"""),45956.74068754629)</f>
        <v>45956.74069</v>
      </c>
      <c r="B1458" s="1" t="str">
        <f>IFERROR(__xludf.DUMMYFUNCTION("""COMPUTED_VALUE"""),"Shonali ji")</f>
        <v>Shonali ji</v>
      </c>
      <c r="C1458" s="1">
        <f>IFERROR(__xludf.DUMMYFUNCTION("""COMPUTED_VALUE"""),7.757022573E9)</f>
        <v>7757022573</v>
      </c>
      <c r="D1458" s="1">
        <f>IFERROR(__xludf.DUMMYFUNCTION("""COMPUTED_VALUE"""),2.0)</f>
        <v>2</v>
      </c>
      <c r="E1458" s="3">
        <f>IFERROR(__xludf.DUMMYFUNCTION("""COMPUTED_VALUE"""),0.5138888888905058)</f>
        <v>0.5138888889</v>
      </c>
      <c r="F1458" s="1" t="str">
        <f>IFERROR(__xludf.DUMMYFUNCTION("""COMPUTED_VALUE"""),"Diamond")</f>
        <v>Diamond</v>
      </c>
      <c r="G1458" s="1" t="str">
        <f>IFERROR(__xludf.DUMMYFUNCTION("""COMPUTED_VALUE"""),"Pooja")</f>
        <v>Pooja</v>
      </c>
      <c r="H1458" s="1" t="str">
        <f>IFERROR(__xludf.DUMMYFUNCTION("""COMPUTED_VALUE"""),"Diamond and gold ring silver polki set")</f>
        <v>Diamond and gold ring silver polki set</v>
      </c>
      <c r="I1458" s="1"/>
      <c r="J1458" s="1"/>
      <c r="K1458" s="3">
        <f>IFERROR(__xludf.DUMMYFUNCTION("""COMPUTED_VALUE"""),0.5743055555576575)</f>
        <v>0.5743055556</v>
      </c>
      <c r="L1458" s="1" t="str">
        <f>IFERROR(__xludf.DUMMYFUNCTION("""COMPUTED_VALUE"""),"Yes")</f>
        <v>Yes</v>
      </c>
      <c r="M1458" s="1" t="str">
        <f>IFERROR(__xludf.DUMMYFUNCTION("""COMPUTED_VALUE"""),"Yes")</f>
        <v>Yes</v>
      </c>
      <c r="N1458" s="1" t="str">
        <f>IFERROR(__xludf.DUMMYFUNCTION("""COMPUTED_VALUE"""),"No")</f>
        <v>No</v>
      </c>
      <c r="O1458" s="1" t="str">
        <f>IFERROR(__xludf.DUMMYFUNCTION("""COMPUTED_VALUE"""),"WA ONLY")</f>
        <v>WA ONLY</v>
      </c>
      <c r="P1458" s="1" t="str">
        <f>IFERROR(__xludf.DUMMYFUNCTION("""COMPUTED_VALUE"""),"Madam")</f>
        <v>Madam</v>
      </c>
      <c r="Q1458" s="1" t="str">
        <f>IFERROR(__xludf.DUMMYFUNCTION("""COMPUTED_VALUE"""),"No")</f>
        <v>No</v>
      </c>
      <c r="R1458" s="1" t="str">
        <f>IFERROR(__xludf.DUMMYFUNCTION("""COMPUTED_VALUE"""),"NEW WALK IN")</f>
        <v>NEW WALK IN</v>
      </c>
      <c r="S1458" s="1" t="str">
        <f>IFERROR(__xludf.DUMMYFUNCTION("""COMPUTED_VALUE"""),"Yes")</f>
        <v>Yes</v>
      </c>
    </row>
    <row r="1459">
      <c r="A1459" s="2">
        <f>IFERROR(__xludf.DUMMYFUNCTION("""COMPUTED_VALUE"""),45956.74193232639)</f>
        <v>45956.74193</v>
      </c>
      <c r="B1459" s="1" t="str">
        <f>IFERROR(__xludf.DUMMYFUNCTION("""COMPUTED_VALUE"""),"Komal ji")</f>
        <v>Komal ji</v>
      </c>
      <c r="C1459" s="1">
        <f>IFERROR(__xludf.DUMMYFUNCTION("""COMPUTED_VALUE"""),9.289831565E9)</f>
        <v>9289831565</v>
      </c>
      <c r="D1459" s="1">
        <f>IFERROR(__xludf.DUMMYFUNCTION("""COMPUTED_VALUE"""),2.0)</f>
        <v>2</v>
      </c>
      <c r="E1459" s="3">
        <f>IFERROR(__xludf.DUMMYFUNCTION("""COMPUTED_VALUE"""),0.5625)</f>
        <v>0.5625</v>
      </c>
      <c r="F1459" s="1" t="str">
        <f>IFERROR(__xludf.DUMMYFUNCTION("""COMPUTED_VALUE"""),"Plain Gold")</f>
        <v>Plain Gold</v>
      </c>
      <c r="G1459" s="1"/>
      <c r="H1459" s="1" t="str">
        <f>IFERROR(__xludf.DUMMYFUNCTION("""COMPUTED_VALUE"""),"Gold coin silver coin")</f>
        <v>Gold coin silver coin</v>
      </c>
      <c r="I1459" s="1"/>
      <c r="J1459" s="1"/>
      <c r="K1459" s="3">
        <f>IFERROR(__xludf.DUMMYFUNCTION("""COMPUTED_VALUE"""),0.5902777777810115)</f>
        <v>0.5902777778</v>
      </c>
      <c r="L1459" s="1" t="str">
        <f>IFERROR(__xludf.DUMMYFUNCTION("""COMPUTED_VALUE"""),"Yes")</f>
        <v>Yes</v>
      </c>
      <c r="M1459" s="1" t="str">
        <f>IFERROR(__xludf.DUMMYFUNCTION("""COMPUTED_VALUE"""),"Yes")</f>
        <v>Yes</v>
      </c>
      <c r="N1459" s="1" t="str">
        <f>IFERROR(__xludf.DUMMYFUNCTION("""COMPUTED_VALUE"""),"No")</f>
        <v>No</v>
      </c>
      <c r="O1459" s="1" t="str">
        <f>IFERROR(__xludf.DUMMYFUNCTION("""COMPUTED_VALUE"""),"WA ONLY")</f>
        <v>WA ONLY</v>
      </c>
      <c r="P1459" s="1" t="str">
        <f>IFERROR(__xludf.DUMMYFUNCTION("""COMPUTED_VALUE"""),"Madam")</f>
        <v>Madam</v>
      </c>
      <c r="Q1459" s="1" t="str">
        <f>IFERROR(__xludf.DUMMYFUNCTION("""COMPUTED_VALUE"""),"No")</f>
        <v>No</v>
      </c>
      <c r="R1459" s="1" t="str">
        <f>IFERROR(__xludf.DUMMYFUNCTION("""COMPUTED_VALUE"""),"NEW WALK IN")</f>
        <v>NEW WALK IN</v>
      </c>
      <c r="S1459" s="1" t="str">
        <f>IFERROR(__xludf.DUMMYFUNCTION("""COMPUTED_VALUE"""),"Yes")</f>
        <v>Yes</v>
      </c>
    </row>
    <row r="1460">
      <c r="A1460" s="2">
        <f>IFERROR(__xludf.DUMMYFUNCTION("""COMPUTED_VALUE"""),45956.74312708333)</f>
        <v>45956.74313</v>
      </c>
      <c r="B1460" s="1" t="str">
        <f>IFERROR(__xludf.DUMMYFUNCTION("""COMPUTED_VALUE"""),"Ujjwal")</f>
        <v>Ujjwal</v>
      </c>
      <c r="C1460" s="1">
        <f>IFERROR(__xludf.DUMMYFUNCTION("""COMPUTED_VALUE"""),8.081226476E9)</f>
        <v>8081226476</v>
      </c>
      <c r="D1460" s="1">
        <f>IFERROR(__xludf.DUMMYFUNCTION("""COMPUTED_VALUE"""),1.0)</f>
        <v>1</v>
      </c>
      <c r="E1460" s="3">
        <f>IFERROR(__xludf.DUMMYFUNCTION("""COMPUTED_VALUE"""),0.5833333333357587)</f>
        <v>0.5833333333</v>
      </c>
      <c r="F1460" s="1" t="str">
        <f>IFERROR(__xludf.DUMMYFUNCTION("""COMPUTED_VALUE"""),"Diamond")</f>
        <v>Diamond</v>
      </c>
      <c r="G1460" s="1"/>
      <c r="H1460" s="1" t="str">
        <f>IFERROR(__xludf.DUMMYFUNCTION("""COMPUTED_VALUE"""),"Diamond set")</f>
        <v>Diamond set</v>
      </c>
      <c r="I1460" s="1" t="str">
        <f>IFERROR(__xludf.DUMMYFUNCTION("""COMPUTED_VALUE"""),"Visit Again in 1 Month")</f>
        <v>Visit Again in 1 Month</v>
      </c>
      <c r="J1460" s="1"/>
      <c r="K1460" s="3">
        <f>IFERROR(__xludf.DUMMYFUNCTION("""COMPUTED_VALUE"""),0.6152777777751908)</f>
        <v>0.6152777778</v>
      </c>
      <c r="L1460" s="1" t="str">
        <f>IFERROR(__xludf.DUMMYFUNCTION("""COMPUTED_VALUE"""),"No")</f>
        <v>No</v>
      </c>
      <c r="M1460" s="1" t="str">
        <f>IFERROR(__xludf.DUMMYFUNCTION("""COMPUTED_VALUE"""),"No")</f>
        <v>No</v>
      </c>
      <c r="N1460" s="1" t="str">
        <f>IFERROR(__xludf.DUMMYFUNCTION("""COMPUTED_VALUE"""),"No")</f>
        <v>No</v>
      </c>
      <c r="O1460" s="1" t="str">
        <f>IFERROR(__xludf.DUMMYFUNCTION("""COMPUTED_VALUE"""),"WA ONLY")</f>
        <v>WA ONLY</v>
      </c>
      <c r="P1460" s="1" t="str">
        <f>IFERROR(__xludf.DUMMYFUNCTION("""COMPUTED_VALUE"""),"Sir")</f>
        <v>Sir</v>
      </c>
      <c r="Q1460" s="1" t="str">
        <f>IFERROR(__xludf.DUMMYFUNCTION("""COMPUTED_VALUE"""),"No")</f>
        <v>No</v>
      </c>
      <c r="R1460" s="1" t="str">
        <f>IFERROR(__xludf.DUMMYFUNCTION("""COMPUTED_VALUE"""),"NEW WALK IN")</f>
        <v>NEW WALK IN</v>
      </c>
      <c r="S1460" s="1" t="str">
        <f>IFERROR(__xludf.DUMMYFUNCTION("""COMPUTED_VALUE"""),"No")</f>
        <v>No</v>
      </c>
    </row>
    <row r="1461">
      <c r="A1461" s="2">
        <f>IFERROR(__xludf.DUMMYFUNCTION("""COMPUTED_VALUE"""),45956.74580657408)</f>
        <v>45956.74581</v>
      </c>
      <c r="B1461" s="1" t="str">
        <f>IFERROR(__xludf.DUMMYFUNCTION("""COMPUTED_VALUE"""),"S.k Mehta")</f>
        <v>S.k Mehta</v>
      </c>
      <c r="C1461" s="1">
        <f>IFERROR(__xludf.DUMMYFUNCTION("""COMPUTED_VALUE"""),8.105988005E9)</f>
        <v>8105988005</v>
      </c>
      <c r="D1461" s="1">
        <f>IFERROR(__xludf.DUMMYFUNCTION("""COMPUTED_VALUE"""),3.0)</f>
        <v>3</v>
      </c>
      <c r="E1461" s="3">
        <f>IFERROR(__xludf.DUMMYFUNCTION("""COMPUTED_VALUE"""),0.7013888888905058)</f>
        <v>0.7013888889</v>
      </c>
      <c r="F1461" s="1" t="str">
        <f>IFERROR(__xludf.DUMMYFUNCTION("""COMPUTED_VALUE"""),"Plain Gold")</f>
        <v>Plain Gold</v>
      </c>
      <c r="G1461" s="1"/>
      <c r="H1461" s="1" t="str">
        <f>IFERROR(__xludf.DUMMYFUNCTION("""COMPUTED_VALUE"""),"Gold earrings ")</f>
        <v>Gold earrings </v>
      </c>
      <c r="I1461" s="1"/>
      <c r="J1461" s="1"/>
      <c r="K1461" s="3">
        <f>IFERROR(__xludf.DUMMYFUNCTION("""COMPUTED_VALUE"""),0.75)</f>
        <v>0.75</v>
      </c>
      <c r="L1461" s="1" t="str">
        <f>IFERROR(__xludf.DUMMYFUNCTION("""COMPUTED_VALUE"""),"Yes")</f>
        <v>Yes</v>
      </c>
      <c r="M1461" s="1" t="str">
        <f>IFERROR(__xludf.DUMMYFUNCTION("""COMPUTED_VALUE"""),"Already done ")</f>
        <v>Already done </v>
      </c>
      <c r="N1461" s="1" t="str">
        <f>IFERROR(__xludf.DUMMYFUNCTION("""COMPUTED_VALUE"""),"Already done ")</f>
        <v>Already done </v>
      </c>
      <c r="O1461" s="1" t="str">
        <f>IFERROR(__xludf.DUMMYFUNCTION("""COMPUTED_VALUE"""),"WA ONLY, OWNER CONTACT ONLY")</f>
        <v>WA ONLY, OWNER CONTACT ONLY</v>
      </c>
      <c r="P1461" s="1" t="str">
        <f>IFERROR(__xludf.DUMMYFUNCTION("""COMPUTED_VALUE"""),"Sir")</f>
        <v>Sir</v>
      </c>
      <c r="Q1461" s="1" t="str">
        <f>IFERROR(__xludf.DUMMYFUNCTION("""COMPUTED_VALUE"""),"No")</f>
        <v>No</v>
      </c>
      <c r="R1461" s="1" t="str">
        <f>IFERROR(__xludf.DUMMYFUNCTION("""COMPUTED_VALUE"""),"OLD")</f>
        <v>OLD</v>
      </c>
      <c r="S1461" s="1" t="str">
        <f>IFERROR(__xludf.DUMMYFUNCTION("""COMPUTED_VALUE"""),"Yes")</f>
        <v>Yes</v>
      </c>
    </row>
    <row r="1462">
      <c r="A1462" s="2">
        <f>IFERROR(__xludf.DUMMYFUNCTION("""COMPUTED_VALUE"""),45956.74690271991)</f>
        <v>45956.7469</v>
      </c>
      <c r="B1462" s="1" t="str">
        <f>IFERROR(__xludf.DUMMYFUNCTION("""COMPUTED_VALUE"""),"Priyal ji")</f>
        <v>Priyal ji</v>
      </c>
      <c r="C1462" s="1">
        <f>IFERROR(__xludf.DUMMYFUNCTION("""COMPUTED_VALUE"""),9.910925269E9)</f>
        <v>9910925269</v>
      </c>
      <c r="D1462" s="1">
        <f>IFERROR(__xludf.DUMMYFUNCTION("""COMPUTED_VALUE"""),2.0)</f>
        <v>2</v>
      </c>
      <c r="E1462" s="3">
        <f>IFERROR(__xludf.DUMMYFUNCTION("""COMPUTED_VALUE"""),0.71875)</f>
        <v>0.71875</v>
      </c>
      <c r="F1462" s="1"/>
      <c r="G1462" s="1"/>
      <c r="H1462" s="1" t="str">
        <f>IFERROR(__xludf.DUMMYFUNCTION("""COMPUTED_VALUE"""),"Earrings ")</f>
        <v>Earrings </v>
      </c>
      <c r="I1462" s="1"/>
      <c r="J1462" s="1"/>
      <c r="K1462" s="3">
        <f>IFERROR(__xludf.DUMMYFUNCTION("""COMPUTED_VALUE"""),0.8159722222189885)</f>
        <v>0.8159722222</v>
      </c>
      <c r="L1462" s="1" t="str">
        <f>IFERROR(__xludf.DUMMYFUNCTION("""COMPUTED_VALUE"""),"No")</f>
        <v>No</v>
      </c>
      <c r="M1462" s="1" t="str">
        <f>IFERROR(__xludf.DUMMYFUNCTION("""COMPUTED_VALUE"""),"No")</f>
        <v>No</v>
      </c>
      <c r="N1462" s="1" t="str">
        <f>IFERROR(__xludf.DUMMYFUNCTION("""COMPUTED_VALUE"""),"No")</f>
        <v>No</v>
      </c>
      <c r="O1462" s="1" t="str">
        <f>IFERROR(__xludf.DUMMYFUNCTION("""COMPUTED_VALUE"""),"WA ONLY")</f>
        <v>WA ONLY</v>
      </c>
      <c r="P1462" s="1" t="str">
        <f>IFERROR(__xludf.DUMMYFUNCTION("""COMPUTED_VALUE"""),"Madam")</f>
        <v>Madam</v>
      </c>
      <c r="Q1462" s="1" t="str">
        <f>IFERROR(__xludf.DUMMYFUNCTION("""COMPUTED_VALUE"""),"No")</f>
        <v>No</v>
      </c>
      <c r="R1462" s="1" t="str">
        <f>IFERROR(__xludf.DUMMYFUNCTION("""COMPUTED_VALUE"""),"NEW WALK IN")</f>
        <v>NEW WALK IN</v>
      </c>
      <c r="S1462" s="1" t="str">
        <f>IFERROR(__xludf.DUMMYFUNCTION("""COMPUTED_VALUE"""),"Yes")</f>
        <v>Yes</v>
      </c>
    </row>
    <row r="1463">
      <c r="A1463" s="2">
        <f>IFERROR(__xludf.DUMMYFUNCTION("""COMPUTED_VALUE"""),45956.74868609954)</f>
        <v>45956.74869</v>
      </c>
      <c r="B1463" s="1" t="str">
        <f>IFERROR(__xludf.DUMMYFUNCTION("""COMPUTED_VALUE"""),"Aman ji")</f>
        <v>Aman ji</v>
      </c>
      <c r="C1463" s="1">
        <f>IFERROR(__xludf.DUMMYFUNCTION("""COMPUTED_VALUE"""),9.811646101E9)</f>
        <v>9811646101</v>
      </c>
      <c r="D1463" s="1">
        <f>IFERROR(__xludf.DUMMYFUNCTION("""COMPUTED_VALUE"""),2.0)</f>
        <v>2</v>
      </c>
      <c r="E1463" s="3">
        <f>IFERROR(__xludf.DUMMYFUNCTION("""COMPUTED_VALUE"""),0.7951388888905058)</f>
        <v>0.7951388889</v>
      </c>
      <c r="F1463" s="1" t="str">
        <f>IFERROR(__xludf.DUMMYFUNCTION("""COMPUTED_VALUE"""),"Diamond")</f>
        <v>Diamond</v>
      </c>
      <c r="G1463" s="1" t="str">
        <f>IFERROR(__xludf.DUMMYFUNCTION("""COMPUTED_VALUE"""),"Pooja")</f>
        <v>Pooja</v>
      </c>
      <c r="H1463" s="1" t="str">
        <f>IFERROR(__xludf.DUMMYFUNCTION("""COMPUTED_VALUE"""),"Studs")</f>
        <v>Studs</v>
      </c>
      <c r="I1463" s="1" t="str">
        <f>IFERROR(__xludf.DUMMYFUNCTION("""COMPUTED_VALUE"""),"Gave an order")</f>
        <v>Gave an order</v>
      </c>
      <c r="J1463" s="1"/>
      <c r="K1463" s="3">
        <f>IFERROR(__xludf.DUMMYFUNCTION("""COMPUTED_VALUE"""),0.8333333333357587)</f>
        <v>0.8333333333</v>
      </c>
      <c r="L1463" s="1" t="str">
        <f>IFERROR(__xludf.DUMMYFUNCTION("""COMPUTED_VALUE"""),"No")</f>
        <v>No</v>
      </c>
      <c r="M1463" s="1" t="str">
        <f>IFERROR(__xludf.DUMMYFUNCTION("""COMPUTED_VALUE"""),"No")</f>
        <v>No</v>
      </c>
      <c r="N1463" s="1" t="str">
        <f>IFERROR(__xludf.DUMMYFUNCTION("""COMPUTED_VALUE"""),"No")</f>
        <v>No</v>
      </c>
      <c r="O1463" s="1" t="str">
        <f>IFERROR(__xludf.DUMMYFUNCTION("""COMPUTED_VALUE"""),"WA ONLY")</f>
        <v>WA ONLY</v>
      </c>
      <c r="P1463" s="1" t="str">
        <f>IFERROR(__xludf.DUMMYFUNCTION("""COMPUTED_VALUE"""),"Sir")</f>
        <v>Sir</v>
      </c>
      <c r="Q1463" s="1" t="str">
        <f>IFERROR(__xludf.DUMMYFUNCTION("""COMPUTED_VALUE"""),"No")</f>
        <v>No</v>
      </c>
      <c r="R1463" s="1" t="str">
        <f>IFERROR(__xludf.DUMMYFUNCTION("""COMPUTED_VALUE"""),"OLD")</f>
        <v>OLD</v>
      </c>
      <c r="S1463" s="1" t="str">
        <f>IFERROR(__xludf.DUMMYFUNCTION("""COMPUTED_VALUE"""),"No")</f>
        <v>No</v>
      </c>
    </row>
    <row r="1464">
      <c r="A1464" s="2">
        <f>IFERROR(__xludf.DUMMYFUNCTION("""COMPUTED_VALUE"""),45958.53019733797)</f>
        <v>45958.5302</v>
      </c>
      <c r="B1464" s="1" t="str">
        <f>IFERROR(__xludf.DUMMYFUNCTION("""COMPUTED_VALUE"""),"Seema ji")</f>
        <v>Seema ji</v>
      </c>
      <c r="C1464" s="1">
        <f>IFERROR(__xludf.DUMMYFUNCTION("""COMPUTED_VALUE"""),9.810413272E9)</f>
        <v>9810413272</v>
      </c>
      <c r="D1464" s="1">
        <f>IFERROR(__xludf.DUMMYFUNCTION("""COMPUTED_VALUE"""),2.0)</f>
        <v>2</v>
      </c>
      <c r="E1464" s="3">
        <f>IFERROR(__xludf.DUMMYFUNCTION("""COMPUTED_VALUE"""),0.5069444444452529)</f>
        <v>0.5069444444</v>
      </c>
      <c r="F1464" s="1" t="str">
        <f>IFERROR(__xludf.DUMMYFUNCTION("""COMPUTED_VALUE"""),"Diamond")</f>
        <v>Diamond</v>
      </c>
      <c r="G1464" s="1"/>
      <c r="H1464" s="1" t="str">
        <f>IFERROR(__xludf.DUMMYFUNCTION("""COMPUTED_VALUE"""),"Silver items")</f>
        <v>Silver items</v>
      </c>
      <c r="I1464" s="1"/>
      <c r="J1464" s="1"/>
      <c r="K1464" s="3">
        <f>IFERROR(__xludf.DUMMYFUNCTION("""COMPUTED_VALUE"""),0.6284722222189885)</f>
        <v>0.6284722222</v>
      </c>
      <c r="L1464" s="1" t="str">
        <f>IFERROR(__xludf.DUMMYFUNCTION("""COMPUTED_VALUE"""),"Yes")</f>
        <v>Yes</v>
      </c>
      <c r="M1464" s="1" t="str">
        <f>IFERROR(__xludf.DUMMYFUNCTION("""COMPUTED_VALUE"""),"Yes")</f>
        <v>Yes</v>
      </c>
      <c r="N1464" s="1" t="str">
        <f>IFERROR(__xludf.DUMMYFUNCTION("""COMPUTED_VALUE"""),"No")</f>
        <v>No</v>
      </c>
      <c r="O1464" s="1" t="str">
        <f>IFERROR(__xludf.DUMMYFUNCTION("""COMPUTED_VALUE"""),"WA ONLY")</f>
        <v>WA ONLY</v>
      </c>
      <c r="P1464" s="1"/>
      <c r="Q1464" s="1" t="str">
        <f>IFERROR(__xludf.DUMMYFUNCTION("""COMPUTED_VALUE"""),"No")</f>
        <v>No</v>
      </c>
      <c r="R1464" s="1" t="str">
        <f>IFERROR(__xludf.DUMMYFUNCTION("""COMPUTED_VALUE"""),"OLD")</f>
        <v>OLD</v>
      </c>
      <c r="S1464" s="1" t="str">
        <f>IFERROR(__xludf.DUMMYFUNCTION("""COMPUTED_VALUE"""),"Yes")</f>
        <v>Yes</v>
      </c>
    </row>
    <row r="1465">
      <c r="A1465" s="2">
        <f>IFERROR(__xludf.DUMMYFUNCTION("""COMPUTED_VALUE"""),45958.53135146991)</f>
        <v>45958.53135</v>
      </c>
      <c r="B1465" s="1" t="str">
        <f>IFERROR(__xludf.DUMMYFUNCTION("""COMPUTED_VALUE"""),"Pratibha ji")</f>
        <v>Pratibha ji</v>
      </c>
      <c r="C1465" s="1">
        <f>IFERROR(__xludf.DUMMYFUNCTION("""COMPUTED_VALUE"""),8.076374848E9)</f>
        <v>8076374848</v>
      </c>
      <c r="D1465" s="1">
        <f>IFERROR(__xludf.DUMMYFUNCTION("""COMPUTED_VALUE"""),1.0)</f>
        <v>1</v>
      </c>
      <c r="E1465" s="3">
        <f>IFERROR(__xludf.DUMMYFUNCTION("""COMPUTED_VALUE"""),0.5416666666642413)</f>
        <v>0.5416666667</v>
      </c>
      <c r="F1465" s="1" t="str">
        <f>IFERROR(__xludf.DUMMYFUNCTION("""COMPUTED_VALUE"""),"Silver Items")</f>
        <v>Silver Items</v>
      </c>
      <c r="G1465" s="1"/>
      <c r="H1465" s="1" t="str">
        <f>IFERROR(__xludf.DUMMYFUNCTION("""COMPUTED_VALUE"""),"Set tops silver bracelets ")</f>
        <v>Set tops silver bracelets </v>
      </c>
      <c r="I1465" s="1"/>
      <c r="J1465" s="1"/>
      <c r="K1465" s="3">
        <f>IFERROR(__xludf.DUMMYFUNCTION("""COMPUTED_VALUE"""),0.5833333333357587)</f>
        <v>0.5833333333</v>
      </c>
      <c r="L1465" s="1" t="str">
        <f>IFERROR(__xludf.DUMMYFUNCTION("""COMPUTED_VALUE"""),"Yes")</f>
        <v>Yes</v>
      </c>
      <c r="M1465" s="1" t="str">
        <f>IFERROR(__xludf.DUMMYFUNCTION("""COMPUTED_VALUE"""),"No")</f>
        <v>No</v>
      </c>
      <c r="N1465" s="1" t="str">
        <f>IFERROR(__xludf.DUMMYFUNCTION("""COMPUTED_VALUE"""),"No")</f>
        <v>No</v>
      </c>
      <c r="O1465" s="1" t="str">
        <f>IFERROR(__xludf.DUMMYFUNCTION("""COMPUTED_VALUE"""),"OWNER CONTACT ONLY")</f>
        <v>OWNER CONTACT ONLY</v>
      </c>
      <c r="P1465" s="1" t="str">
        <f>IFERROR(__xludf.DUMMYFUNCTION("""COMPUTED_VALUE"""),"Madam")</f>
        <v>Madam</v>
      </c>
      <c r="Q1465" s="1" t="str">
        <f>IFERROR(__xludf.DUMMYFUNCTION("""COMPUTED_VALUE"""),"No")</f>
        <v>No</v>
      </c>
      <c r="R1465" s="1" t="str">
        <f>IFERROR(__xludf.DUMMYFUNCTION("""COMPUTED_VALUE"""),"OLD")</f>
        <v>OLD</v>
      </c>
      <c r="S1465" s="1" t="str">
        <f>IFERROR(__xludf.DUMMYFUNCTION("""COMPUTED_VALUE"""),"Yes")</f>
        <v>Yes</v>
      </c>
    </row>
    <row r="1466">
      <c r="A1466" s="2">
        <f>IFERROR(__xludf.DUMMYFUNCTION("""COMPUTED_VALUE"""),45958.53338083334)</f>
        <v>45958.53338</v>
      </c>
      <c r="B1466" s="1" t="str">
        <f>IFERROR(__xludf.DUMMYFUNCTION("""COMPUTED_VALUE"""),"Laxmi ji")</f>
        <v>Laxmi ji</v>
      </c>
      <c r="C1466" s="1">
        <f>IFERROR(__xludf.DUMMYFUNCTION("""COMPUTED_VALUE"""),8.000813156E9)</f>
        <v>8000813156</v>
      </c>
      <c r="D1466" s="1">
        <f>IFERROR(__xludf.DUMMYFUNCTION("""COMPUTED_VALUE"""),4.0)</f>
        <v>4</v>
      </c>
      <c r="E1466" s="3">
        <f>IFERROR(__xludf.DUMMYFUNCTION("""COMPUTED_VALUE"""),0.6354166666642413)</f>
        <v>0.6354166667</v>
      </c>
      <c r="F1466" s="1" t="str">
        <f>IFERROR(__xludf.DUMMYFUNCTION("""COMPUTED_VALUE"""),"Silver Items")</f>
        <v>Silver Items</v>
      </c>
      <c r="G1466" s="1"/>
      <c r="H1466" s="1" t="str">
        <f>IFERROR(__xludf.DUMMYFUNCTION("""COMPUTED_VALUE"""),"Kamarband bichiya anklets")</f>
        <v>Kamarband bichiya anklets</v>
      </c>
      <c r="I1466" s="1"/>
      <c r="J1466" s="1"/>
      <c r="K1466" s="3">
        <f>IFERROR(__xludf.DUMMYFUNCTION("""COMPUTED_VALUE"""),0.6875)</f>
        <v>0.6875</v>
      </c>
      <c r="L1466" s="1" t="str">
        <f>IFERROR(__xludf.DUMMYFUNCTION("""COMPUTED_VALUE"""),"Yes")</f>
        <v>Yes</v>
      </c>
      <c r="M1466" s="1" t="str">
        <f>IFERROR(__xludf.DUMMYFUNCTION("""COMPUTED_VALUE"""),"Yes")</f>
        <v>Yes</v>
      </c>
      <c r="N1466" s="1" t="str">
        <f>IFERROR(__xludf.DUMMYFUNCTION("""COMPUTED_VALUE"""),"Yes")</f>
        <v>Yes</v>
      </c>
      <c r="O1466" s="1" t="str">
        <f>IFERROR(__xludf.DUMMYFUNCTION("""COMPUTED_VALUE"""),"WA ONLY")</f>
        <v>WA ONLY</v>
      </c>
      <c r="P1466" s="1" t="str">
        <f>IFERROR(__xludf.DUMMYFUNCTION("""COMPUTED_VALUE"""),"Madam")</f>
        <v>Madam</v>
      </c>
      <c r="Q1466" s="1" t="str">
        <f>IFERROR(__xludf.DUMMYFUNCTION("""COMPUTED_VALUE"""),"No")</f>
        <v>No</v>
      </c>
      <c r="R1466" s="1" t="str">
        <f>IFERROR(__xludf.DUMMYFUNCTION("""COMPUTED_VALUE"""),"NEW WALK IN")</f>
        <v>NEW WALK IN</v>
      </c>
      <c r="S1466" s="1" t="str">
        <f>IFERROR(__xludf.DUMMYFUNCTION("""COMPUTED_VALUE"""),"Yes")</f>
        <v>Yes</v>
      </c>
    </row>
    <row r="1467">
      <c r="A1467" s="2">
        <f>IFERROR(__xludf.DUMMYFUNCTION("""COMPUTED_VALUE"""),45959.600552083335)</f>
        <v>45959.60055</v>
      </c>
      <c r="B1467" s="1" t="str">
        <f>IFERROR(__xludf.DUMMYFUNCTION("""COMPUTED_VALUE"""),"Charu gaur")</f>
        <v>Charu gaur</v>
      </c>
      <c r="C1467" s="1">
        <f>IFERROR(__xludf.DUMMYFUNCTION("""COMPUTED_VALUE"""),9.871089414E9)</f>
        <v>9871089414</v>
      </c>
      <c r="D1467" s="1">
        <f>IFERROR(__xludf.DUMMYFUNCTION("""COMPUTED_VALUE"""),1.0)</f>
        <v>1</v>
      </c>
      <c r="E1467" s="3">
        <f>IFERROR(__xludf.DUMMYFUNCTION("""COMPUTED_VALUE"""),0.5208333333357587)</f>
        <v>0.5208333333</v>
      </c>
      <c r="F1467" s="1" t="str">
        <f>IFERROR(__xludf.DUMMYFUNCTION("""COMPUTED_VALUE"""),"Silver Items")</f>
        <v>Silver Items</v>
      </c>
      <c r="G1467" s="1"/>
      <c r="H1467" s="1" t="str">
        <f>IFERROR(__xludf.DUMMYFUNCTION("""COMPUTED_VALUE"""),"Sets kamar band")</f>
        <v>Sets kamar band</v>
      </c>
      <c r="I1467" s="1"/>
      <c r="J1467" s="1"/>
      <c r="K1467" s="3">
        <f>IFERROR(__xludf.DUMMYFUNCTION("""COMPUTED_VALUE"""),0.6395833333372138)</f>
        <v>0.6395833333</v>
      </c>
      <c r="L1467" s="1" t="str">
        <f>IFERROR(__xludf.DUMMYFUNCTION("""COMPUTED_VALUE"""),"Yes")</f>
        <v>Yes</v>
      </c>
      <c r="M1467" s="1" t="str">
        <f>IFERROR(__xludf.DUMMYFUNCTION("""COMPUTED_VALUE"""),"No")</f>
        <v>No</v>
      </c>
      <c r="N1467" s="1" t="str">
        <f>IFERROR(__xludf.DUMMYFUNCTION("""COMPUTED_VALUE"""),"Yes")</f>
        <v>Yes</v>
      </c>
      <c r="O1467" s="1" t="str">
        <f>IFERROR(__xludf.DUMMYFUNCTION("""COMPUTED_VALUE"""),"WA ONLY, OWNER CONTACT ONLY")</f>
        <v>WA ONLY, OWNER CONTACT ONLY</v>
      </c>
      <c r="P1467" s="1" t="str">
        <f>IFERROR(__xludf.DUMMYFUNCTION("""COMPUTED_VALUE"""),"Madam")</f>
        <v>Madam</v>
      </c>
      <c r="Q1467" s="1" t="str">
        <f>IFERROR(__xludf.DUMMYFUNCTION("""COMPUTED_VALUE"""),"Yes")</f>
        <v>Yes</v>
      </c>
      <c r="R1467" s="1"/>
      <c r="S1467" s="1" t="str">
        <f>IFERROR(__xludf.DUMMYFUNCTION("""COMPUTED_VALUE"""),"Yes")</f>
        <v>Yes</v>
      </c>
    </row>
    <row r="1468">
      <c r="A1468" s="2">
        <f>IFERROR(__xludf.DUMMYFUNCTION("""COMPUTED_VALUE"""),45959.601576099536)</f>
        <v>45959.60158</v>
      </c>
      <c r="B1468" s="1" t="str">
        <f>IFERROR(__xludf.DUMMYFUNCTION("""COMPUTED_VALUE"""),"Aly ji")</f>
        <v>Aly ji</v>
      </c>
      <c r="C1468" s="1">
        <f>IFERROR(__xludf.DUMMYFUNCTION("""COMPUTED_VALUE"""),8.014541403E9)</f>
        <v>8014541403</v>
      </c>
      <c r="D1468" s="1">
        <f>IFERROR(__xludf.DUMMYFUNCTION("""COMPUTED_VALUE"""),3.0)</f>
        <v>3</v>
      </c>
      <c r="E1468" s="3">
        <f>IFERROR(__xludf.DUMMYFUNCTION("""COMPUTED_VALUE"""),0.5520833333357587)</f>
        <v>0.5520833333</v>
      </c>
      <c r="F1468" s="1" t="str">
        <f>IFERROR(__xludf.DUMMYFUNCTION("""COMPUTED_VALUE"""),"Plain Gold")</f>
        <v>Plain Gold</v>
      </c>
      <c r="G1468" s="1" t="str">
        <f>IFERROR(__xludf.DUMMYFUNCTION("""COMPUTED_VALUE"""),"Pooja")</f>
        <v>Pooja</v>
      </c>
      <c r="H1468" s="1" t="str">
        <f>IFERROR(__xludf.DUMMYFUNCTION("""COMPUTED_VALUE"""),"Ring")</f>
        <v>Ring</v>
      </c>
      <c r="I1468" s="1" t="str">
        <f>IFERROR(__xludf.DUMMYFUNCTION("""COMPUTED_VALUE"""),"Designs Not Liked")</f>
        <v>Designs Not Liked</v>
      </c>
      <c r="J1468" s="1"/>
      <c r="K1468" s="3">
        <f>IFERROR(__xludf.DUMMYFUNCTION("""COMPUTED_VALUE"""),0.5666666666656965)</f>
        <v>0.5666666667</v>
      </c>
      <c r="L1468" s="1" t="str">
        <f>IFERROR(__xludf.DUMMYFUNCTION("""COMPUTED_VALUE"""),"No")</f>
        <v>No</v>
      </c>
      <c r="M1468" s="1" t="str">
        <f>IFERROR(__xludf.DUMMYFUNCTION("""COMPUTED_VALUE"""),"No")</f>
        <v>No</v>
      </c>
      <c r="N1468" s="1" t="str">
        <f>IFERROR(__xludf.DUMMYFUNCTION("""COMPUTED_VALUE"""),"No")</f>
        <v>No</v>
      </c>
      <c r="O1468" s="1" t="str">
        <f>IFERROR(__xludf.DUMMYFUNCTION("""COMPUTED_VALUE"""),"WA ONLY")</f>
        <v>WA ONLY</v>
      </c>
      <c r="P1468" s="1" t="str">
        <f>IFERROR(__xludf.DUMMYFUNCTION("""COMPUTED_VALUE"""),"Madam")</f>
        <v>Madam</v>
      </c>
      <c r="Q1468" s="1" t="str">
        <f>IFERROR(__xludf.DUMMYFUNCTION("""COMPUTED_VALUE"""),"No")</f>
        <v>No</v>
      </c>
      <c r="R1468" s="1" t="str">
        <f>IFERROR(__xludf.DUMMYFUNCTION("""COMPUTED_VALUE"""),"NEW WALK IN")</f>
        <v>NEW WALK IN</v>
      </c>
      <c r="S1468" s="1" t="str">
        <f>IFERROR(__xludf.DUMMYFUNCTION("""COMPUTED_VALUE"""),"No")</f>
        <v>No</v>
      </c>
    </row>
    <row r="1469">
      <c r="A1469" s="2">
        <f>IFERROR(__xludf.DUMMYFUNCTION("""COMPUTED_VALUE"""),45959.602924606486)</f>
        <v>45959.60292</v>
      </c>
      <c r="B1469" s="1" t="str">
        <f>IFERROR(__xludf.DUMMYFUNCTION("""COMPUTED_VALUE"""),"Dinesh ji")</f>
        <v>Dinesh ji</v>
      </c>
      <c r="C1469" s="1">
        <f>IFERROR(__xludf.DUMMYFUNCTION("""COMPUTED_VALUE"""),9.958275105E9)</f>
        <v>9958275105</v>
      </c>
      <c r="D1469" s="1">
        <f>IFERROR(__xludf.DUMMYFUNCTION("""COMPUTED_VALUE"""),2.0)</f>
        <v>2</v>
      </c>
      <c r="E1469" s="3">
        <f>IFERROR(__xludf.DUMMYFUNCTION("""COMPUTED_VALUE"""),0.5555555555547471)</f>
        <v>0.5555555556</v>
      </c>
      <c r="F1469" s="1" t="str">
        <f>IFERROR(__xludf.DUMMYFUNCTION("""COMPUTED_VALUE"""),"Diamond")</f>
        <v>Diamond</v>
      </c>
      <c r="G1469" s="1"/>
      <c r="H1469" s="1" t="str">
        <f>IFERROR(__xludf.DUMMYFUNCTION("""COMPUTED_VALUE"""),"Here to exchange ")</f>
        <v>Here to exchange </v>
      </c>
      <c r="I1469" s="1"/>
      <c r="J1469" s="1"/>
      <c r="K1469" s="3">
        <f>IFERROR(__xludf.DUMMYFUNCTION("""COMPUTED_VALUE"""),0.5743055555576575)</f>
        <v>0.5743055556</v>
      </c>
      <c r="L1469" s="1" t="str">
        <f>IFERROR(__xludf.DUMMYFUNCTION("""COMPUTED_VALUE"""),"No")</f>
        <v>No</v>
      </c>
      <c r="M1469" s="1" t="str">
        <f>IFERROR(__xludf.DUMMYFUNCTION("""COMPUTED_VALUE"""),"No")</f>
        <v>No</v>
      </c>
      <c r="N1469" s="1" t="str">
        <f>IFERROR(__xludf.DUMMYFUNCTION("""COMPUTED_VALUE"""),"No")</f>
        <v>No</v>
      </c>
      <c r="O1469" s="1" t="str">
        <f>IFERROR(__xludf.DUMMYFUNCTION("""COMPUTED_VALUE"""),"WA ONLY")</f>
        <v>WA ONLY</v>
      </c>
      <c r="P1469" s="1" t="str">
        <f>IFERROR(__xludf.DUMMYFUNCTION("""COMPUTED_VALUE"""),"Sir")</f>
        <v>Sir</v>
      </c>
      <c r="Q1469" s="1" t="str">
        <f>IFERROR(__xludf.DUMMYFUNCTION("""COMPUTED_VALUE"""),"No")</f>
        <v>No</v>
      </c>
      <c r="R1469" s="1" t="str">
        <f>IFERROR(__xludf.DUMMYFUNCTION("""COMPUTED_VALUE"""),"NEW WALK IN")</f>
        <v>NEW WALK IN</v>
      </c>
      <c r="S1469" s="1" t="str">
        <f>IFERROR(__xludf.DUMMYFUNCTION("""COMPUTED_VALUE"""),"No")</f>
        <v>No</v>
      </c>
    </row>
    <row r="1470">
      <c r="A1470" s="2">
        <f>IFERROR(__xludf.DUMMYFUNCTION("""COMPUTED_VALUE"""),45959.60399454861)</f>
        <v>45959.60399</v>
      </c>
      <c r="B1470" s="1" t="str">
        <f>IFERROR(__xludf.DUMMYFUNCTION("""COMPUTED_VALUE"""),"Sharad ji")</f>
        <v>Sharad ji</v>
      </c>
      <c r="C1470" s="1">
        <f>IFERROR(__xludf.DUMMYFUNCTION("""COMPUTED_VALUE"""),9.8102632E9)</f>
        <v>9810263200</v>
      </c>
      <c r="D1470" s="1">
        <f>IFERROR(__xludf.DUMMYFUNCTION("""COMPUTED_VALUE"""),3.0)</f>
        <v>3</v>
      </c>
      <c r="E1470" s="3">
        <f>IFERROR(__xludf.DUMMYFUNCTION("""COMPUTED_VALUE"""),0.65625)</f>
        <v>0.65625</v>
      </c>
      <c r="F1470" s="1" t="str">
        <f>IFERROR(__xludf.DUMMYFUNCTION("""COMPUTED_VALUE"""),"Diamond")</f>
        <v>Diamond</v>
      </c>
      <c r="G1470" s="1"/>
      <c r="H1470" s="1" t="str">
        <f>IFERROR(__xludf.DUMMYFUNCTION("""COMPUTED_VALUE"""),"Diamond ring")</f>
        <v>Diamond ring</v>
      </c>
      <c r="I1470" s="1" t="str">
        <f>IFERROR(__xludf.DUMMYFUNCTION("""COMPUTED_VALUE"""),"Pick up Order")</f>
        <v>Pick up Order</v>
      </c>
      <c r="J1470" s="1"/>
      <c r="K1470" s="3">
        <f>IFERROR(__xludf.DUMMYFUNCTION("""COMPUTED_VALUE"""),0.6916666666656965)</f>
        <v>0.6916666667</v>
      </c>
      <c r="L1470" s="1" t="str">
        <f>IFERROR(__xludf.DUMMYFUNCTION("""COMPUTED_VALUE"""),"Yes")</f>
        <v>Yes</v>
      </c>
      <c r="M1470" s="1" t="str">
        <f>IFERROR(__xludf.DUMMYFUNCTION("""COMPUTED_VALUE"""),"Already done")</f>
        <v>Already done</v>
      </c>
      <c r="N1470" s="1" t="str">
        <f>IFERROR(__xludf.DUMMYFUNCTION("""COMPUTED_VALUE"""),"Already done ")</f>
        <v>Already done </v>
      </c>
      <c r="O1470" s="1" t="str">
        <f>IFERROR(__xludf.DUMMYFUNCTION("""COMPUTED_VALUE"""),"WA ONLY")</f>
        <v>WA ONLY</v>
      </c>
      <c r="P1470" s="1" t="str">
        <f>IFERROR(__xludf.DUMMYFUNCTION("""COMPUTED_VALUE"""),"Sir")</f>
        <v>Sir</v>
      </c>
      <c r="Q1470" s="1" t="str">
        <f>IFERROR(__xludf.DUMMYFUNCTION("""COMPUTED_VALUE"""),"No")</f>
        <v>No</v>
      </c>
      <c r="R1470" s="1" t="str">
        <f>IFERROR(__xludf.DUMMYFUNCTION("""COMPUTED_VALUE"""),"OLD")</f>
        <v>OLD</v>
      </c>
      <c r="S1470" s="1" t="str">
        <f>IFERROR(__xludf.DUMMYFUNCTION("""COMPUTED_VALUE"""),"No")</f>
        <v>No</v>
      </c>
    </row>
    <row r="1471">
      <c r="A1471" s="2">
        <f>IFERROR(__xludf.DUMMYFUNCTION("""COMPUTED_VALUE"""),45959.60524935185)</f>
        <v>45959.60525</v>
      </c>
      <c r="B1471" s="1" t="str">
        <f>IFERROR(__xludf.DUMMYFUNCTION("""COMPUTED_VALUE"""),"Mamta ji")</f>
        <v>Mamta ji</v>
      </c>
      <c r="C1471" s="1">
        <f>IFERROR(__xludf.DUMMYFUNCTION("""COMPUTED_VALUE"""),9.582159548E9)</f>
        <v>9582159548</v>
      </c>
      <c r="D1471" s="1">
        <f>IFERROR(__xludf.DUMMYFUNCTION("""COMPUTED_VALUE"""),2.0)</f>
        <v>2</v>
      </c>
      <c r="E1471" s="3">
        <f>IFERROR(__xludf.DUMMYFUNCTION("""COMPUTED_VALUE"""),0.6354166666642413)</f>
        <v>0.6354166667</v>
      </c>
      <c r="F1471" s="1" t="str">
        <f>IFERROR(__xludf.DUMMYFUNCTION("""COMPUTED_VALUE"""),"Plain Gold")</f>
        <v>Plain Gold</v>
      </c>
      <c r="G1471" s="1" t="str">
        <f>IFERROR(__xludf.DUMMYFUNCTION("""COMPUTED_VALUE"""),"Pooja")</f>
        <v>Pooja</v>
      </c>
      <c r="H1471" s="1" t="str">
        <f>IFERROR(__xludf.DUMMYFUNCTION("""COMPUTED_VALUE"""),"Diamond ring")</f>
        <v>Diamond ring</v>
      </c>
      <c r="I1471" s="1"/>
      <c r="J1471" s="1"/>
      <c r="K1471" s="3">
        <f>IFERROR(__xludf.DUMMYFUNCTION("""COMPUTED_VALUE"""),0.71875)</f>
        <v>0.71875</v>
      </c>
      <c r="L1471" s="1" t="str">
        <f>IFERROR(__xludf.DUMMYFUNCTION("""COMPUTED_VALUE"""),"No")</f>
        <v>No</v>
      </c>
      <c r="M1471" s="1" t="str">
        <f>IFERROR(__xludf.DUMMYFUNCTION("""COMPUTED_VALUE"""),"Yes")</f>
        <v>Yes</v>
      </c>
      <c r="N1471" s="1" t="str">
        <f>IFERROR(__xludf.DUMMYFUNCTION("""COMPUTED_VALUE"""),"No")</f>
        <v>No</v>
      </c>
      <c r="O1471" s="1" t="str">
        <f>IFERROR(__xludf.DUMMYFUNCTION("""COMPUTED_VALUE"""),"WA ONLY, OWNER CONTACT ONLY")</f>
        <v>WA ONLY, OWNER CONTACT ONLY</v>
      </c>
      <c r="P1471" s="1" t="str">
        <f>IFERROR(__xludf.DUMMYFUNCTION("""COMPUTED_VALUE"""),"Madam")</f>
        <v>Madam</v>
      </c>
      <c r="Q1471" s="1" t="str">
        <f>IFERROR(__xludf.DUMMYFUNCTION("""COMPUTED_VALUE"""),"No")</f>
        <v>No</v>
      </c>
      <c r="R1471" s="1" t="str">
        <f>IFERROR(__xludf.DUMMYFUNCTION("""COMPUTED_VALUE"""),"OLD")</f>
        <v>OLD</v>
      </c>
      <c r="S1471" s="1" t="str">
        <f>IFERROR(__xludf.DUMMYFUNCTION("""COMPUTED_VALUE"""),"Yes")</f>
        <v>Yes</v>
      </c>
    </row>
    <row r="1472">
      <c r="A1472" s="2">
        <f>IFERROR(__xludf.DUMMYFUNCTION("""COMPUTED_VALUE"""),45959.606429374995)</f>
        <v>45959.60643</v>
      </c>
      <c r="B1472" s="1" t="str">
        <f>IFERROR(__xludf.DUMMYFUNCTION("""COMPUTED_VALUE"""),"Kajal ji")</f>
        <v>Kajal ji</v>
      </c>
      <c r="C1472" s="1">
        <f>IFERROR(__xludf.DUMMYFUNCTION("""COMPUTED_VALUE"""),8.527162516E9)</f>
        <v>8527162516</v>
      </c>
      <c r="D1472" s="1">
        <f>IFERROR(__xludf.DUMMYFUNCTION("""COMPUTED_VALUE"""),2.0)</f>
        <v>2</v>
      </c>
      <c r="E1472" s="3">
        <f>IFERROR(__xludf.DUMMYFUNCTION("""COMPUTED_VALUE"""),0.7291666666642413)</f>
        <v>0.7291666667</v>
      </c>
      <c r="F1472" s="1" t="str">
        <f>IFERROR(__xludf.DUMMYFUNCTION("""COMPUTED_VALUE"""),"Silver Items")</f>
        <v>Silver Items</v>
      </c>
      <c r="G1472" s="1"/>
      <c r="H1472" s="1" t="str">
        <f>IFERROR(__xludf.DUMMYFUNCTION("""COMPUTED_VALUE"""),"Gold studs")</f>
        <v>Gold studs</v>
      </c>
      <c r="I1472" s="1"/>
      <c r="J1472" s="1"/>
      <c r="K1472" s="3">
        <f>IFERROR(__xludf.DUMMYFUNCTION("""COMPUTED_VALUE"""),0.75)</f>
        <v>0.75</v>
      </c>
      <c r="L1472" s="1" t="str">
        <f>IFERROR(__xludf.DUMMYFUNCTION("""COMPUTED_VALUE"""),"No")</f>
        <v>No</v>
      </c>
      <c r="M1472" s="1" t="str">
        <f>IFERROR(__xludf.DUMMYFUNCTION("""COMPUTED_VALUE"""),"No")</f>
        <v>No</v>
      </c>
      <c r="N1472" s="1" t="str">
        <f>IFERROR(__xludf.DUMMYFUNCTION("""COMPUTED_VALUE"""),"No")</f>
        <v>No</v>
      </c>
      <c r="O1472" s="1" t="str">
        <f>IFERROR(__xludf.DUMMYFUNCTION("""COMPUTED_VALUE"""),"WA ONLY")</f>
        <v>WA ONLY</v>
      </c>
      <c r="P1472" s="1" t="str">
        <f>IFERROR(__xludf.DUMMYFUNCTION("""COMPUTED_VALUE"""),"Madam")</f>
        <v>Madam</v>
      </c>
      <c r="Q1472" s="1" t="str">
        <f>IFERROR(__xludf.DUMMYFUNCTION("""COMPUTED_VALUE"""),"No")</f>
        <v>No</v>
      </c>
      <c r="R1472" s="1" t="str">
        <f>IFERROR(__xludf.DUMMYFUNCTION("""COMPUTED_VALUE"""),"OLD")</f>
        <v>OLD</v>
      </c>
      <c r="S1472" s="1" t="str">
        <f>IFERROR(__xludf.DUMMYFUNCTION("""COMPUTED_VALUE"""),"Yes")</f>
        <v>Yes</v>
      </c>
    </row>
    <row r="1473">
      <c r="A1473" s="2">
        <f>IFERROR(__xludf.DUMMYFUNCTION("""COMPUTED_VALUE"""),45959.6102159838)</f>
        <v>45959.61022</v>
      </c>
      <c r="B1473" s="1" t="str">
        <f>IFERROR(__xludf.DUMMYFUNCTION("""COMPUTED_VALUE"""),"Rekha ji")</f>
        <v>Rekha ji</v>
      </c>
      <c r="C1473" s="1">
        <f>IFERROR(__xludf.DUMMYFUNCTION("""COMPUTED_VALUE"""),9.311163493E9)</f>
        <v>9311163493</v>
      </c>
      <c r="D1473" s="1">
        <f>IFERROR(__xludf.DUMMYFUNCTION("""COMPUTED_VALUE"""),2.0)</f>
        <v>2</v>
      </c>
      <c r="E1473" s="3">
        <f>IFERROR(__xludf.DUMMYFUNCTION("""COMPUTED_VALUE"""),0.7638888888905058)</f>
        <v>0.7638888889</v>
      </c>
      <c r="F1473" s="1" t="str">
        <f>IFERROR(__xludf.DUMMYFUNCTION("""COMPUTED_VALUE"""),"Plain Gold")</f>
        <v>Plain Gold</v>
      </c>
      <c r="G1473" s="1"/>
      <c r="H1473" s="1" t="str">
        <f>IFERROR(__xludf.DUMMYFUNCTION("""COMPUTED_VALUE"""),"Nath and sets")</f>
        <v>Nath and sets</v>
      </c>
      <c r="I1473" s="1"/>
      <c r="J1473" s="1"/>
      <c r="K1473" s="3">
        <f>IFERROR(__xludf.DUMMYFUNCTION("""COMPUTED_VALUE"""),0.7916666666642413)</f>
        <v>0.7916666667</v>
      </c>
      <c r="L1473" s="1" t="str">
        <f>IFERROR(__xludf.DUMMYFUNCTION("""COMPUTED_VALUE"""),"No")</f>
        <v>No</v>
      </c>
      <c r="M1473" s="1" t="str">
        <f>IFERROR(__xludf.DUMMYFUNCTION("""COMPUTED_VALUE"""),"No")</f>
        <v>No</v>
      </c>
      <c r="N1473" s="1" t="str">
        <f>IFERROR(__xludf.DUMMYFUNCTION("""COMPUTED_VALUE"""),"No")</f>
        <v>No</v>
      </c>
      <c r="O1473" s="1" t="str">
        <f>IFERROR(__xludf.DUMMYFUNCTION("""COMPUTED_VALUE"""),"WA ONLY")</f>
        <v>WA ONLY</v>
      </c>
      <c r="P1473" s="1" t="str">
        <f>IFERROR(__xludf.DUMMYFUNCTION("""COMPUTED_VALUE"""),"Madam")</f>
        <v>Madam</v>
      </c>
      <c r="Q1473" s="1" t="str">
        <f>IFERROR(__xludf.DUMMYFUNCTION("""COMPUTED_VALUE"""),"Yes")</f>
        <v>Yes</v>
      </c>
      <c r="R1473" s="1" t="str">
        <f>IFERROR(__xludf.DUMMYFUNCTION("""COMPUTED_VALUE"""),"OLD")</f>
        <v>OLD</v>
      </c>
      <c r="S1473" s="1" t="str">
        <f>IFERROR(__xludf.DUMMYFUNCTION("""COMPUTED_VALUE"""),"Yes")</f>
        <v>Yes</v>
      </c>
    </row>
    <row r="1474">
      <c r="A1474" s="2">
        <f>IFERROR(__xludf.DUMMYFUNCTION("""COMPUTED_VALUE"""),45959.61124550926)</f>
        <v>45959.61125</v>
      </c>
      <c r="B1474" s="1" t="str">
        <f>IFERROR(__xludf.DUMMYFUNCTION("""COMPUTED_VALUE"""),"Vivek ji")</f>
        <v>Vivek ji</v>
      </c>
      <c r="C1474" s="1">
        <f>IFERROR(__xludf.DUMMYFUNCTION("""COMPUTED_VALUE"""),9.336112838E9)</f>
        <v>9336112838</v>
      </c>
      <c r="D1474" s="1">
        <f>IFERROR(__xludf.DUMMYFUNCTION("""COMPUTED_VALUE"""),2.0)</f>
        <v>2</v>
      </c>
      <c r="E1474" s="3">
        <f>IFERROR(__xludf.DUMMYFUNCTION("""COMPUTED_VALUE"""),0.7708333333357587)</f>
        <v>0.7708333333</v>
      </c>
      <c r="F1474" s="1" t="str">
        <f>IFERROR(__xludf.DUMMYFUNCTION("""COMPUTED_VALUE"""),"Diamond")</f>
        <v>Diamond</v>
      </c>
      <c r="G1474" s="1" t="str">
        <f>IFERROR(__xludf.DUMMYFUNCTION("""COMPUTED_VALUE"""),"Pooja")</f>
        <v>Pooja</v>
      </c>
      <c r="H1474" s="1" t="str">
        <f>IFERROR(__xludf.DUMMYFUNCTION("""COMPUTED_VALUE"""),"Rings")</f>
        <v>Rings</v>
      </c>
      <c r="I1474" s="1"/>
      <c r="J1474" s="1"/>
      <c r="K1474" s="3">
        <f>IFERROR(__xludf.DUMMYFUNCTION("""COMPUTED_VALUE"""),0.7937499999970896)</f>
        <v>0.79375</v>
      </c>
      <c r="L1474" s="1" t="str">
        <f>IFERROR(__xludf.DUMMYFUNCTION("""COMPUTED_VALUE"""),"Yes")</f>
        <v>Yes</v>
      </c>
      <c r="M1474" s="1" t="str">
        <f>IFERROR(__xludf.DUMMYFUNCTION("""COMPUTED_VALUE"""),"No")</f>
        <v>No</v>
      </c>
      <c r="N1474" s="1" t="str">
        <f>IFERROR(__xludf.DUMMYFUNCTION("""COMPUTED_VALUE"""),"No")</f>
        <v>No</v>
      </c>
      <c r="O1474" s="1" t="str">
        <f>IFERROR(__xludf.DUMMYFUNCTION("""COMPUTED_VALUE"""),"WA ONLY")</f>
        <v>WA ONLY</v>
      </c>
      <c r="P1474" s="1" t="str">
        <f>IFERROR(__xludf.DUMMYFUNCTION("""COMPUTED_VALUE"""),"Sir")</f>
        <v>Sir</v>
      </c>
      <c r="Q1474" s="1" t="str">
        <f>IFERROR(__xludf.DUMMYFUNCTION("""COMPUTED_VALUE"""),"No")</f>
        <v>No</v>
      </c>
      <c r="R1474" s="1" t="str">
        <f>IFERROR(__xludf.DUMMYFUNCTION("""COMPUTED_VALUE"""),"OLD")</f>
        <v>OLD</v>
      </c>
      <c r="S1474" s="1" t="str">
        <f>IFERROR(__xludf.DUMMYFUNCTION("""COMPUTED_VALUE"""),"Yes")</f>
        <v>Yes</v>
      </c>
    </row>
    <row r="1475">
      <c r="A1475" s="2">
        <f>IFERROR(__xludf.DUMMYFUNCTION("""COMPUTED_VALUE"""),45959.61243390046)</f>
        <v>45959.61243</v>
      </c>
      <c r="B1475" s="1" t="str">
        <f>IFERROR(__xludf.DUMMYFUNCTION("""COMPUTED_VALUE"""),"Anita ji")</f>
        <v>Anita ji</v>
      </c>
      <c r="C1475" s="1">
        <f>IFERROR(__xludf.DUMMYFUNCTION("""COMPUTED_VALUE"""),9.810080903E9)</f>
        <v>9810080903</v>
      </c>
      <c r="D1475" s="1">
        <f>IFERROR(__xludf.DUMMYFUNCTION("""COMPUTED_VALUE"""),3.0)</f>
        <v>3</v>
      </c>
      <c r="E1475" s="3">
        <f>IFERROR(__xludf.DUMMYFUNCTION("""COMPUTED_VALUE"""),0.7958333333372138)</f>
        <v>0.7958333333</v>
      </c>
      <c r="F1475" s="1" t="str">
        <f>IFERROR(__xludf.DUMMYFUNCTION("""COMPUTED_VALUE"""),"Diamond")</f>
        <v>Diamond</v>
      </c>
      <c r="G1475" s="1"/>
      <c r="H1475" s="1" t="str">
        <f>IFERROR(__xludf.DUMMYFUNCTION("""COMPUTED_VALUE"""),"Ring for female")</f>
        <v>Ring for female</v>
      </c>
      <c r="I1475" s="1" t="str">
        <f>IFERROR(__xludf.DUMMYFUNCTION("""COMPUTED_VALUE"""),"Visit Again in 1 Month")</f>
        <v>Visit Again in 1 Month</v>
      </c>
      <c r="J1475" s="1"/>
      <c r="K1475" s="3">
        <f>IFERROR(__xludf.DUMMYFUNCTION("""COMPUTED_VALUE"""),0.8159722222189885)</f>
        <v>0.8159722222</v>
      </c>
      <c r="L1475" s="1" t="str">
        <f>IFERROR(__xludf.DUMMYFUNCTION("""COMPUTED_VALUE"""),"No")</f>
        <v>No</v>
      </c>
      <c r="M1475" s="1" t="str">
        <f>IFERROR(__xludf.DUMMYFUNCTION("""COMPUTED_VALUE"""),"No")</f>
        <v>No</v>
      </c>
      <c r="N1475" s="1" t="str">
        <f>IFERROR(__xludf.DUMMYFUNCTION("""COMPUTED_VALUE"""),"No")</f>
        <v>No</v>
      </c>
      <c r="O1475" s="1" t="str">
        <f>IFERROR(__xludf.DUMMYFUNCTION("""COMPUTED_VALUE"""),"WA ONLY")</f>
        <v>WA ONLY</v>
      </c>
      <c r="P1475" s="1" t="str">
        <f>IFERROR(__xludf.DUMMYFUNCTION("""COMPUTED_VALUE"""),"Madam")</f>
        <v>Madam</v>
      </c>
      <c r="Q1475" s="1" t="str">
        <f>IFERROR(__xludf.DUMMYFUNCTION("""COMPUTED_VALUE"""),"No")</f>
        <v>No</v>
      </c>
      <c r="R1475" s="1" t="str">
        <f>IFERROR(__xludf.DUMMYFUNCTION("""COMPUTED_VALUE"""),"NEW WALK IN")</f>
        <v>NEW WALK IN</v>
      </c>
      <c r="S1475" s="1" t="str">
        <f>IFERROR(__xludf.DUMMYFUNCTION("""COMPUTED_VALUE"""),"No")</f>
        <v>No</v>
      </c>
    </row>
    <row r="1476">
      <c r="A1476" s="2">
        <f>IFERROR(__xludf.DUMMYFUNCTION("""COMPUTED_VALUE"""),45960.54940350694)</f>
        <v>45960.5494</v>
      </c>
      <c r="B1476" s="1" t="str">
        <f>IFERROR(__xludf.DUMMYFUNCTION("""COMPUTED_VALUE"""),"Arushi ji")</f>
        <v>Arushi ji</v>
      </c>
      <c r="C1476" s="1">
        <f>IFERROR(__xludf.DUMMYFUNCTION("""COMPUTED_VALUE"""),9.873944034E9)</f>
        <v>9873944034</v>
      </c>
      <c r="D1476" s="1">
        <f>IFERROR(__xludf.DUMMYFUNCTION("""COMPUTED_VALUE"""),2.0)</f>
        <v>2</v>
      </c>
      <c r="E1476" s="3">
        <f>IFERROR(__xludf.DUMMYFUNCTION("""COMPUTED_VALUE"""),0.6111111111094942)</f>
        <v>0.6111111111</v>
      </c>
      <c r="F1476" s="1" t="str">
        <f>IFERROR(__xludf.DUMMYFUNCTION("""COMPUTED_VALUE"""),"Diamond")</f>
        <v>Diamond</v>
      </c>
      <c r="G1476" s="1"/>
      <c r="H1476" s="1" t="str">
        <f>IFERROR(__xludf.DUMMYFUNCTION("""COMPUTED_VALUE"""),"Ring")</f>
        <v>Ring</v>
      </c>
      <c r="I1476" s="1" t="str">
        <f>IFERROR(__xludf.DUMMYFUNCTION("""COMPUTED_VALUE"""),"Will come back in 10 mins which they didn't ")</f>
        <v>Will come back in 10 mins which they didn't </v>
      </c>
      <c r="J1476" s="1"/>
      <c r="K1476" s="3">
        <f>IFERROR(__xludf.DUMMYFUNCTION("""COMPUTED_VALUE"""),0.6354166666642413)</f>
        <v>0.6354166667</v>
      </c>
      <c r="L1476" s="1" t="str">
        <f>IFERROR(__xludf.DUMMYFUNCTION("""COMPUTED_VALUE"""),"No")</f>
        <v>No</v>
      </c>
      <c r="M1476" s="1" t="str">
        <f>IFERROR(__xludf.DUMMYFUNCTION("""COMPUTED_VALUE"""),"No")</f>
        <v>No</v>
      </c>
      <c r="N1476" s="1" t="str">
        <f>IFERROR(__xludf.DUMMYFUNCTION("""COMPUTED_VALUE"""),"No")</f>
        <v>No</v>
      </c>
      <c r="O1476" s="1" t="str">
        <f>IFERROR(__xludf.DUMMYFUNCTION("""COMPUTED_VALUE"""),"WA ONLY")</f>
        <v>WA ONLY</v>
      </c>
      <c r="P1476" s="1" t="str">
        <f>IFERROR(__xludf.DUMMYFUNCTION("""COMPUTED_VALUE"""),"Madam")</f>
        <v>Madam</v>
      </c>
      <c r="Q1476" s="1" t="str">
        <f>IFERROR(__xludf.DUMMYFUNCTION("""COMPUTED_VALUE"""),"No")</f>
        <v>No</v>
      </c>
      <c r="R1476" s="1" t="str">
        <f>IFERROR(__xludf.DUMMYFUNCTION("""COMPUTED_VALUE"""),"OLD")</f>
        <v>OLD</v>
      </c>
      <c r="S1476" s="1" t="str">
        <f>IFERROR(__xludf.DUMMYFUNCTION("""COMPUTED_VALUE"""),"No")</f>
        <v>No</v>
      </c>
    </row>
    <row r="1477">
      <c r="A1477" s="2">
        <f>IFERROR(__xludf.DUMMYFUNCTION("""COMPUTED_VALUE"""),45960.55040854166)</f>
        <v>45960.55041</v>
      </c>
      <c r="B1477" s="1" t="str">
        <f>IFERROR(__xludf.DUMMYFUNCTION("""COMPUTED_VALUE"""),"Dinesh ji")</f>
        <v>Dinesh ji</v>
      </c>
      <c r="C1477" s="1">
        <f>IFERROR(__xludf.DUMMYFUNCTION("""COMPUTED_VALUE"""),9.958275105E9)</f>
        <v>9958275105</v>
      </c>
      <c r="D1477" s="1">
        <f>IFERROR(__xludf.DUMMYFUNCTION("""COMPUTED_VALUE"""),2.0)</f>
        <v>2</v>
      </c>
      <c r="E1477" s="3">
        <f>IFERROR(__xludf.DUMMYFUNCTION("""COMPUTED_VALUE"""),0.65625)</f>
        <v>0.65625</v>
      </c>
      <c r="F1477" s="1" t="str">
        <f>IFERROR(__xludf.DUMMYFUNCTION("""COMPUTED_VALUE"""),"Diamond")</f>
        <v>Diamond</v>
      </c>
      <c r="G1477" s="1"/>
      <c r="H1477" s="1" t="str">
        <f>IFERROR(__xludf.DUMMYFUNCTION("""COMPUTED_VALUE"""),"Exchange of a gold jewellery ")</f>
        <v>Exchange of a gold jewellery </v>
      </c>
      <c r="I1477" s="1" t="str">
        <f>IFERROR(__xludf.DUMMYFUNCTION("""COMPUTED_VALUE"""),"Visit Again in 1 Month")</f>
        <v>Visit Again in 1 Month</v>
      </c>
      <c r="J1477" s="1"/>
      <c r="K1477" s="3">
        <f>IFERROR(__xludf.DUMMYFUNCTION("""COMPUTED_VALUE"""),0.6923611111124046)</f>
        <v>0.6923611111</v>
      </c>
      <c r="L1477" s="1"/>
      <c r="M1477" s="1" t="str">
        <f>IFERROR(__xludf.DUMMYFUNCTION("""COMPUTED_VALUE"""),"No")</f>
        <v>No</v>
      </c>
      <c r="N1477" s="1" t="str">
        <f>IFERROR(__xludf.DUMMYFUNCTION("""COMPUTED_VALUE"""),"No")</f>
        <v>No</v>
      </c>
      <c r="O1477" s="1" t="str">
        <f>IFERROR(__xludf.DUMMYFUNCTION("""COMPUTED_VALUE"""),"WA ONLY")</f>
        <v>WA ONLY</v>
      </c>
      <c r="P1477" s="1" t="str">
        <f>IFERROR(__xludf.DUMMYFUNCTION("""COMPUTED_VALUE"""),"Sir")</f>
        <v>Sir</v>
      </c>
      <c r="Q1477" s="1" t="str">
        <f>IFERROR(__xludf.DUMMYFUNCTION("""COMPUTED_VALUE"""),"No")</f>
        <v>No</v>
      </c>
      <c r="R1477" s="1" t="str">
        <f>IFERROR(__xludf.DUMMYFUNCTION("""COMPUTED_VALUE"""),"NEW WALK IN")</f>
        <v>NEW WALK IN</v>
      </c>
      <c r="S1477" s="1" t="str">
        <f>IFERROR(__xludf.DUMMYFUNCTION("""COMPUTED_VALUE"""),"No")</f>
        <v>No</v>
      </c>
    </row>
    <row r="1478">
      <c r="A1478" s="2">
        <f>IFERROR(__xludf.DUMMYFUNCTION("""COMPUTED_VALUE"""),45960.55225140046)</f>
        <v>45960.55225</v>
      </c>
      <c r="B1478" s="1" t="str">
        <f>IFERROR(__xludf.DUMMYFUNCTION("""COMPUTED_VALUE"""),"Zuhaid ji")</f>
        <v>Zuhaid ji</v>
      </c>
      <c r="C1478" s="1">
        <f>IFERROR(__xludf.DUMMYFUNCTION("""COMPUTED_VALUE"""),8.851106251E9)</f>
        <v>8851106251</v>
      </c>
      <c r="D1478" s="1">
        <f>IFERROR(__xludf.DUMMYFUNCTION("""COMPUTED_VALUE"""),2.0)</f>
        <v>2</v>
      </c>
      <c r="E1478" s="3">
        <f>IFERROR(__xludf.DUMMYFUNCTION("""COMPUTED_VALUE"""),0.6895833333328483)</f>
        <v>0.6895833333</v>
      </c>
      <c r="F1478" s="1" t="str">
        <f>IFERROR(__xludf.DUMMYFUNCTION("""COMPUTED_VALUE"""),"Silver Items")</f>
        <v>Silver Items</v>
      </c>
      <c r="G1478" s="1" t="str">
        <f>IFERROR(__xludf.DUMMYFUNCTION("""COMPUTED_VALUE"""),"Pooja")</f>
        <v>Pooja</v>
      </c>
      <c r="H1478" s="1" t="str">
        <f>IFERROR(__xludf.DUMMYFUNCTION("""COMPUTED_VALUE"""),"Chain")</f>
        <v>Chain</v>
      </c>
      <c r="I1478" s="1"/>
      <c r="J1478" s="1"/>
      <c r="K1478" s="3">
        <f>IFERROR(__xludf.DUMMYFUNCTION("""COMPUTED_VALUE"""),0.7083333333357587)</f>
        <v>0.7083333333</v>
      </c>
      <c r="L1478" s="1" t="str">
        <f>IFERROR(__xludf.DUMMYFUNCTION("""COMPUTED_VALUE"""),"Yes")</f>
        <v>Yes</v>
      </c>
      <c r="M1478" s="1" t="str">
        <f>IFERROR(__xludf.DUMMYFUNCTION("""COMPUTED_VALUE"""),"Yes")</f>
        <v>Yes</v>
      </c>
      <c r="N1478" s="1" t="str">
        <f>IFERROR(__xludf.DUMMYFUNCTION("""COMPUTED_VALUE"""),"Yes")</f>
        <v>Yes</v>
      </c>
      <c r="O1478" s="1" t="str">
        <f>IFERROR(__xludf.DUMMYFUNCTION("""COMPUTED_VALUE"""),"WA ONLY")</f>
        <v>WA ONLY</v>
      </c>
      <c r="P1478" s="1" t="str">
        <f>IFERROR(__xludf.DUMMYFUNCTION("""COMPUTED_VALUE"""),"Sir")</f>
        <v>Sir</v>
      </c>
      <c r="Q1478" s="1" t="str">
        <f>IFERROR(__xludf.DUMMYFUNCTION("""COMPUTED_VALUE"""),"No")</f>
        <v>No</v>
      </c>
      <c r="R1478" s="1" t="str">
        <f>IFERROR(__xludf.DUMMYFUNCTION("""COMPUTED_VALUE"""),"NEW WALK IN")</f>
        <v>NEW WALK IN</v>
      </c>
      <c r="S1478" s="1" t="str">
        <f>IFERROR(__xludf.DUMMYFUNCTION("""COMPUTED_VALUE"""),"Yes")</f>
        <v>Yes</v>
      </c>
    </row>
    <row r="1479">
      <c r="A1479" s="2">
        <f>IFERROR(__xludf.DUMMYFUNCTION("""COMPUTED_VALUE"""),45960.55323689815)</f>
        <v>45960.55324</v>
      </c>
      <c r="B1479" s="1" t="str">
        <f>IFERROR(__xludf.DUMMYFUNCTION("""COMPUTED_VALUE"""),"Shaniya ji")</f>
        <v>Shaniya ji</v>
      </c>
      <c r="C1479" s="1">
        <f>IFERROR(__xludf.DUMMYFUNCTION("""COMPUTED_VALUE"""),9.899019935E9)</f>
        <v>9899019935</v>
      </c>
      <c r="D1479" s="1">
        <f>IFERROR(__xludf.DUMMYFUNCTION("""COMPUTED_VALUE"""),3.0)</f>
        <v>3</v>
      </c>
      <c r="E1479" s="3">
        <f>IFERROR(__xludf.DUMMYFUNCTION("""COMPUTED_VALUE"""),0.7722222222218988)</f>
        <v>0.7722222222</v>
      </c>
      <c r="F1479" s="1" t="str">
        <f>IFERROR(__xludf.DUMMYFUNCTION("""COMPUTED_VALUE"""),"Plain Gold")</f>
        <v>Plain Gold</v>
      </c>
      <c r="G1479" s="1" t="str">
        <f>IFERROR(__xludf.DUMMYFUNCTION("""COMPUTED_VALUE"""),"Pooja")</f>
        <v>Pooja</v>
      </c>
      <c r="H1479" s="1" t="str">
        <f>IFERROR(__xludf.DUMMYFUNCTION("""COMPUTED_VALUE"""),"Nath ")</f>
        <v>Nath </v>
      </c>
      <c r="I1479" s="1" t="str">
        <f>IFERROR(__xludf.DUMMYFUNCTION("""COMPUTED_VALUE"""),"We didn't had the size they needed")</f>
        <v>We didn't had the size they needed</v>
      </c>
      <c r="J1479" s="1"/>
      <c r="K1479" s="3">
        <f>IFERROR(__xludf.DUMMYFUNCTION("""COMPUTED_VALUE"""),0.7819444444467081)</f>
        <v>0.7819444444</v>
      </c>
      <c r="L1479" s="1" t="str">
        <f>IFERROR(__xludf.DUMMYFUNCTION("""COMPUTED_VALUE"""),"No")</f>
        <v>No</v>
      </c>
      <c r="M1479" s="1" t="str">
        <f>IFERROR(__xludf.DUMMYFUNCTION("""COMPUTED_VALUE"""),"No")</f>
        <v>No</v>
      </c>
      <c r="N1479" s="1" t="str">
        <f>IFERROR(__xludf.DUMMYFUNCTION("""COMPUTED_VALUE"""),"No")</f>
        <v>No</v>
      </c>
      <c r="O1479" s="1" t="str">
        <f>IFERROR(__xludf.DUMMYFUNCTION("""COMPUTED_VALUE"""),"WA ONLY")</f>
        <v>WA ONLY</v>
      </c>
      <c r="P1479" s="1" t="str">
        <f>IFERROR(__xludf.DUMMYFUNCTION("""COMPUTED_VALUE"""),"Madam")</f>
        <v>Madam</v>
      </c>
      <c r="Q1479" s="1" t="str">
        <f>IFERROR(__xludf.DUMMYFUNCTION("""COMPUTED_VALUE"""),"No")</f>
        <v>No</v>
      </c>
      <c r="R1479" s="1" t="str">
        <f>IFERROR(__xludf.DUMMYFUNCTION("""COMPUTED_VALUE"""),"NEW WALK IN")</f>
        <v>NEW WALK IN</v>
      </c>
      <c r="S1479" s="1" t="str">
        <f>IFERROR(__xludf.DUMMYFUNCTION("""COMPUTED_VALUE"""),"No")</f>
        <v>No</v>
      </c>
    </row>
    <row r="1480">
      <c r="A1480" s="2">
        <f>IFERROR(__xludf.DUMMYFUNCTION("""COMPUTED_VALUE"""),45965.51397991898)</f>
        <v>45965.51398</v>
      </c>
      <c r="B1480" s="1" t="str">
        <f>IFERROR(__xludf.DUMMYFUNCTION("""COMPUTED_VALUE"""),"Sunita goyal ji")</f>
        <v>Sunita goyal ji</v>
      </c>
      <c r="C1480" s="1">
        <f>IFERROR(__xludf.DUMMYFUNCTION("""COMPUTED_VALUE"""),9.013927456E9)</f>
        <v>9013927456</v>
      </c>
      <c r="D1480" s="1">
        <f>IFERROR(__xludf.DUMMYFUNCTION("""COMPUTED_VALUE"""),2.0)</f>
        <v>2</v>
      </c>
      <c r="E1480" s="3">
        <f>IFERROR(__xludf.DUMMYFUNCTION("""COMPUTED_VALUE"""),0.5618055555532919)</f>
        <v>0.5618055556</v>
      </c>
      <c r="F1480" s="1" t="str">
        <f>IFERROR(__xludf.DUMMYFUNCTION("""COMPUTED_VALUE"""),"Diamond")</f>
        <v>Diamond</v>
      </c>
      <c r="G1480" s="1"/>
      <c r="H1480" s="1" t="str">
        <f>IFERROR(__xludf.DUMMYFUNCTION("""COMPUTED_VALUE"""),"Bangles")</f>
        <v>Bangles</v>
      </c>
      <c r="I1480" s="1" t="str">
        <f>IFERROR(__xludf.DUMMYFUNCTION("""COMPUTED_VALUE"""),"Gave an order")</f>
        <v>Gave an order</v>
      </c>
      <c r="J1480" s="1"/>
      <c r="K1480" s="3">
        <f>IFERROR(__xludf.DUMMYFUNCTION("""COMPUTED_VALUE"""),0.640972222223354)</f>
        <v>0.6409722222</v>
      </c>
      <c r="L1480" s="1" t="str">
        <f>IFERROR(__xludf.DUMMYFUNCTION("""COMPUTED_VALUE"""),"Yes")</f>
        <v>Yes</v>
      </c>
      <c r="M1480" s="1" t="str">
        <f>IFERROR(__xludf.DUMMYFUNCTION("""COMPUTED_VALUE"""),"Already done")</f>
        <v>Already done</v>
      </c>
      <c r="N1480" s="1" t="str">
        <f>IFERROR(__xludf.DUMMYFUNCTION("""COMPUTED_VALUE"""),"Already done")</f>
        <v>Already done</v>
      </c>
      <c r="O1480" s="1" t="str">
        <f>IFERROR(__xludf.DUMMYFUNCTION("""COMPUTED_VALUE"""),"WA ONLY")</f>
        <v>WA ONLY</v>
      </c>
      <c r="P1480" s="1" t="str">
        <f>IFERROR(__xludf.DUMMYFUNCTION("""COMPUTED_VALUE"""),"Madam")</f>
        <v>Madam</v>
      </c>
      <c r="Q1480" s="1" t="str">
        <f>IFERROR(__xludf.DUMMYFUNCTION("""COMPUTED_VALUE"""),"No")</f>
        <v>No</v>
      </c>
      <c r="R1480" s="1" t="str">
        <f>IFERROR(__xludf.DUMMYFUNCTION("""COMPUTED_VALUE"""),"OLD")</f>
        <v>OLD</v>
      </c>
      <c r="S1480" s="1" t="str">
        <f>IFERROR(__xludf.DUMMYFUNCTION("""COMPUTED_VALUE"""),"No")</f>
        <v>No</v>
      </c>
    </row>
    <row r="1481">
      <c r="A1481" s="2">
        <f>IFERROR(__xludf.DUMMYFUNCTION("""COMPUTED_VALUE"""),45965.51507981481)</f>
        <v>45965.51508</v>
      </c>
      <c r="B1481" s="1" t="str">
        <f>IFERROR(__xludf.DUMMYFUNCTION("""COMPUTED_VALUE"""),"Charanjeet ji")</f>
        <v>Charanjeet ji</v>
      </c>
      <c r="C1481" s="1">
        <f>IFERROR(__xludf.DUMMYFUNCTION("""COMPUTED_VALUE"""),8.920524024E9)</f>
        <v>8920524024</v>
      </c>
      <c r="D1481" s="1">
        <f>IFERROR(__xludf.DUMMYFUNCTION("""COMPUTED_VALUE"""),1.0)</f>
        <v>1</v>
      </c>
      <c r="E1481" s="3">
        <f>IFERROR(__xludf.DUMMYFUNCTION("""COMPUTED_VALUE"""),0.6875)</f>
        <v>0.6875</v>
      </c>
      <c r="F1481" s="1" t="str">
        <f>IFERROR(__xludf.DUMMYFUNCTION("""COMPUTED_VALUE"""),"Diamond")</f>
        <v>Diamond</v>
      </c>
      <c r="G1481" s="1"/>
      <c r="H1481" s="1" t="str">
        <f>IFERROR(__xludf.DUMMYFUNCTION("""COMPUTED_VALUE"""),"Kadha")</f>
        <v>Kadha</v>
      </c>
      <c r="I1481" s="1" t="str">
        <f>IFERROR(__xludf.DUMMYFUNCTION("""COMPUTED_VALUE"""),"Pick up Order")</f>
        <v>Pick up Order</v>
      </c>
      <c r="J1481" s="1"/>
      <c r="K1481" s="3">
        <f>IFERROR(__xludf.DUMMYFUNCTION("""COMPUTED_VALUE"""),0.75)</f>
        <v>0.75</v>
      </c>
      <c r="L1481" s="1" t="str">
        <f>IFERROR(__xludf.DUMMYFUNCTION("""COMPUTED_VALUE"""),"No")</f>
        <v>No</v>
      </c>
      <c r="M1481" s="1" t="str">
        <f>IFERROR(__xludf.DUMMYFUNCTION("""COMPUTED_VALUE"""),"Already done")</f>
        <v>Already done</v>
      </c>
      <c r="N1481" s="1" t="str">
        <f>IFERROR(__xludf.DUMMYFUNCTION("""COMPUTED_VALUE"""),"Already done")</f>
        <v>Already done</v>
      </c>
      <c r="O1481" s="1" t="str">
        <f>IFERROR(__xludf.DUMMYFUNCTION("""COMPUTED_VALUE"""),"WA ONLY")</f>
        <v>WA ONLY</v>
      </c>
      <c r="P1481" s="1" t="str">
        <f>IFERROR(__xludf.DUMMYFUNCTION("""COMPUTED_VALUE"""),"Sir")</f>
        <v>Sir</v>
      </c>
      <c r="Q1481" s="1" t="str">
        <f>IFERROR(__xludf.DUMMYFUNCTION("""COMPUTED_VALUE"""),"No")</f>
        <v>No</v>
      </c>
      <c r="R1481" s="1" t="str">
        <f>IFERROR(__xludf.DUMMYFUNCTION("""COMPUTED_VALUE"""),"OLD")</f>
        <v>OLD</v>
      </c>
      <c r="S1481" s="1" t="str">
        <f>IFERROR(__xludf.DUMMYFUNCTION("""COMPUTED_VALUE"""),"Yes")</f>
        <v>Yes</v>
      </c>
    </row>
    <row r="1482">
      <c r="A1482" s="2">
        <f>IFERROR(__xludf.DUMMYFUNCTION("""COMPUTED_VALUE"""),45965.516019629635)</f>
        <v>45965.51602</v>
      </c>
      <c r="B1482" s="1" t="str">
        <f>IFERROR(__xludf.DUMMYFUNCTION("""COMPUTED_VALUE"""),"Anita ji")</f>
        <v>Anita ji</v>
      </c>
      <c r="C1482" s="1">
        <f>IFERROR(__xludf.DUMMYFUNCTION("""COMPUTED_VALUE"""),9.810080903E9)</f>
        <v>9810080903</v>
      </c>
      <c r="D1482" s="1">
        <f>IFERROR(__xludf.DUMMYFUNCTION("""COMPUTED_VALUE"""),2.0)</f>
        <v>2</v>
      </c>
      <c r="E1482" s="3">
        <f>IFERROR(__xludf.DUMMYFUNCTION("""COMPUTED_VALUE"""),0.7298611111109494)</f>
        <v>0.7298611111</v>
      </c>
      <c r="F1482" s="1" t="str">
        <f>IFERROR(__xludf.DUMMYFUNCTION("""COMPUTED_VALUE"""),"Diamond")</f>
        <v>Diamond</v>
      </c>
      <c r="G1482" s="1"/>
      <c r="H1482" s="1" t="str">
        <f>IFERROR(__xludf.DUMMYFUNCTION("""COMPUTED_VALUE"""),"Ring")</f>
        <v>Ring</v>
      </c>
      <c r="I1482" s="1" t="str">
        <f>IFERROR(__xludf.DUMMYFUNCTION("""COMPUTED_VALUE"""),"Pick up Order")</f>
        <v>Pick up Order</v>
      </c>
      <c r="J1482" s="1"/>
      <c r="K1482" s="3">
        <f>IFERROR(__xludf.DUMMYFUNCTION("""COMPUTED_VALUE"""),0.7916666666642413)</f>
        <v>0.7916666667</v>
      </c>
      <c r="L1482" s="1" t="str">
        <f>IFERROR(__xludf.DUMMYFUNCTION("""COMPUTED_VALUE"""),"No")</f>
        <v>No</v>
      </c>
      <c r="M1482" s="1" t="str">
        <f>IFERROR(__xludf.DUMMYFUNCTION("""COMPUTED_VALUE"""),"No")</f>
        <v>No</v>
      </c>
      <c r="N1482" s="1" t="str">
        <f>IFERROR(__xludf.DUMMYFUNCTION("""COMPUTED_VALUE"""),"No")</f>
        <v>No</v>
      </c>
      <c r="O1482" s="1" t="str">
        <f>IFERROR(__xludf.DUMMYFUNCTION("""COMPUTED_VALUE"""),"WA ONLY")</f>
        <v>WA ONLY</v>
      </c>
      <c r="P1482" s="1" t="str">
        <f>IFERROR(__xludf.DUMMYFUNCTION("""COMPUTED_VALUE"""),"Madam")</f>
        <v>Madam</v>
      </c>
      <c r="Q1482" s="1" t="str">
        <f>IFERROR(__xludf.DUMMYFUNCTION("""COMPUTED_VALUE"""),"No")</f>
        <v>No</v>
      </c>
      <c r="R1482" s="1" t="str">
        <f>IFERROR(__xludf.DUMMYFUNCTION("""COMPUTED_VALUE"""),"OLD")</f>
        <v>OLD</v>
      </c>
      <c r="S1482" s="1" t="str">
        <f>IFERROR(__xludf.DUMMYFUNCTION("""COMPUTED_VALUE"""),"Yes")</f>
        <v>Yes</v>
      </c>
    </row>
    <row r="1483">
      <c r="A1483" s="2">
        <f>IFERROR(__xludf.DUMMYFUNCTION("""COMPUTED_VALUE"""),45966.545127743055)</f>
        <v>45966.54513</v>
      </c>
      <c r="B1483" s="1" t="str">
        <f>IFERROR(__xludf.DUMMYFUNCTION("""COMPUTED_VALUE"""),"Komal ji")</f>
        <v>Komal ji</v>
      </c>
      <c r="C1483" s="1">
        <f>IFERROR(__xludf.DUMMYFUNCTION("""COMPUTED_VALUE"""),9.899115887E9)</f>
        <v>9899115887</v>
      </c>
      <c r="D1483" s="1">
        <f>IFERROR(__xludf.DUMMYFUNCTION("""COMPUTED_VALUE"""),2.0)</f>
        <v>2</v>
      </c>
      <c r="E1483" s="3">
        <f>IFERROR(__xludf.DUMMYFUNCTION("""COMPUTED_VALUE"""),0.5444444444437977)</f>
        <v>0.5444444444</v>
      </c>
      <c r="F1483" s="1" t="str">
        <f>IFERROR(__xludf.DUMMYFUNCTION("""COMPUTED_VALUE"""),"Silver Items")</f>
        <v>Silver Items</v>
      </c>
      <c r="G1483" s="1"/>
      <c r="H1483" s="1" t="str">
        <f>IFERROR(__xludf.DUMMYFUNCTION("""COMPUTED_VALUE"""),"Bridal sets")</f>
        <v>Bridal sets</v>
      </c>
      <c r="I1483" s="1"/>
      <c r="J1483" s="1"/>
      <c r="K1483" s="3">
        <f>IFERROR(__xludf.DUMMYFUNCTION("""COMPUTED_VALUE"""),0.59375)</f>
        <v>0.59375</v>
      </c>
      <c r="L1483" s="1" t="str">
        <f>IFERROR(__xludf.DUMMYFUNCTION("""COMPUTED_VALUE"""),"Yes")</f>
        <v>Yes</v>
      </c>
      <c r="M1483" s="1" t="str">
        <f>IFERROR(__xludf.DUMMYFUNCTION("""COMPUTED_VALUE"""),"No")</f>
        <v>No</v>
      </c>
      <c r="N1483" s="1" t="str">
        <f>IFERROR(__xludf.DUMMYFUNCTION("""COMPUTED_VALUE"""),"Yes")</f>
        <v>Yes</v>
      </c>
      <c r="O1483" s="1" t="str">
        <f>IFERROR(__xludf.DUMMYFUNCTION("""COMPUTED_VALUE"""),"WA ONLY")</f>
        <v>WA ONLY</v>
      </c>
      <c r="P1483" s="1" t="str">
        <f>IFERROR(__xludf.DUMMYFUNCTION("""COMPUTED_VALUE"""),"Madam")</f>
        <v>Madam</v>
      </c>
      <c r="Q1483" s="1" t="str">
        <f>IFERROR(__xludf.DUMMYFUNCTION("""COMPUTED_VALUE"""),"No")</f>
        <v>No</v>
      </c>
      <c r="R1483" s="1" t="str">
        <f>IFERROR(__xludf.DUMMYFUNCTION("""COMPUTED_VALUE"""),"NEW WALK IN")</f>
        <v>NEW WALK IN</v>
      </c>
      <c r="S1483" s="1" t="str">
        <f>IFERROR(__xludf.DUMMYFUNCTION("""COMPUTED_VALUE"""),"Yes")</f>
        <v>Yes</v>
      </c>
    </row>
    <row r="1484">
      <c r="A1484" s="2">
        <f>IFERROR(__xludf.DUMMYFUNCTION("""COMPUTED_VALUE"""),45966.56815527778)</f>
        <v>45966.56816</v>
      </c>
      <c r="B1484" s="1" t="str">
        <f>IFERROR(__xludf.DUMMYFUNCTION("""COMPUTED_VALUE"""),"Pooja ji")</f>
        <v>Pooja ji</v>
      </c>
      <c r="C1484" s="1">
        <f>IFERROR(__xludf.DUMMYFUNCTION("""COMPUTED_VALUE"""),9.811181307E9)</f>
        <v>9811181307</v>
      </c>
      <c r="D1484" s="1">
        <f>IFERROR(__xludf.DUMMYFUNCTION("""COMPUTED_VALUE"""),2.0)</f>
        <v>2</v>
      </c>
      <c r="E1484" s="3">
        <f>IFERROR(__xludf.DUMMYFUNCTION("""COMPUTED_VALUE"""),0.5416666666642413)</f>
        <v>0.5416666667</v>
      </c>
      <c r="F1484" s="1" t="str">
        <f>IFERROR(__xludf.DUMMYFUNCTION("""COMPUTED_VALUE"""),"Silver Items")</f>
        <v>Silver Items</v>
      </c>
      <c r="G1484" s="1"/>
      <c r="H1484" s="1" t="str">
        <f>IFERROR(__xludf.DUMMYFUNCTION("""COMPUTED_VALUE"""),"Kadha chain anklets")</f>
        <v>Kadha chain anklets</v>
      </c>
      <c r="I1484" s="1"/>
      <c r="J1484" s="1"/>
      <c r="K1484" s="3">
        <f>IFERROR(__xludf.DUMMYFUNCTION("""COMPUTED_VALUE"""),0.6458333333357587)</f>
        <v>0.6458333333</v>
      </c>
      <c r="L1484" s="1" t="str">
        <f>IFERROR(__xludf.DUMMYFUNCTION("""COMPUTED_VALUE"""),"No")</f>
        <v>No</v>
      </c>
      <c r="M1484" s="1" t="str">
        <f>IFERROR(__xludf.DUMMYFUNCTION("""COMPUTED_VALUE"""),"No")</f>
        <v>No</v>
      </c>
      <c r="N1484" s="1" t="str">
        <f>IFERROR(__xludf.DUMMYFUNCTION("""COMPUTED_VALUE"""),"Yes")</f>
        <v>Yes</v>
      </c>
      <c r="O1484" s="1" t="str">
        <f>IFERROR(__xludf.DUMMYFUNCTION("""COMPUTED_VALUE"""),"WA ONLY")</f>
        <v>WA ONLY</v>
      </c>
      <c r="P1484" s="1" t="str">
        <f>IFERROR(__xludf.DUMMYFUNCTION("""COMPUTED_VALUE"""),"Madam")</f>
        <v>Madam</v>
      </c>
      <c r="Q1484" s="1" t="str">
        <f>IFERROR(__xludf.DUMMYFUNCTION("""COMPUTED_VALUE"""),"No")</f>
        <v>No</v>
      </c>
      <c r="R1484" s="1" t="str">
        <f>IFERROR(__xludf.DUMMYFUNCTION("""COMPUTED_VALUE"""),"OLD")</f>
        <v>OLD</v>
      </c>
      <c r="S1484" s="1" t="str">
        <f>IFERROR(__xludf.DUMMYFUNCTION("""COMPUTED_VALUE"""),"Yes")</f>
        <v>Yes</v>
      </c>
    </row>
    <row r="1485">
      <c r="A1485" s="2">
        <f>IFERROR(__xludf.DUMMYFUNCTION("""COMPUTED_VALUE"""),45966.569417199076)</f>
        <v>45966.56942</v>
      </c>
      <c r="B1485" s="1" t="str">
        <f>IFERROR(__xludf.DUMMYFUNCTION("""COMPUTED_VALUE"""),"Sonia ji")</f>
        <v>Sonia ji</v>
      </c>
      <c r="C1485" s="1">
        <f>IFERROR(__xludf.DUMMYFUNCTION("""COMPUTED_VALUE"""),9.41602465E9)</f>
        <v>9416024650</v>
      </c>
      <c r="D1485" s="1">
        <f>IFERROR(__xludf.DUMMYFUNCTION("""COMPUTED_VALUE"""),2.0)</f>
        <v>2</v>
      </c>
      <c r="E1485" s="3">
        <f>IFERROR(__xludf.DUMMYFUNCTION("""COMPUTED_VALUE"""),0.5694444444452529)</f>
        <v>0.5694444444</v>
      </c>
      <c r="F1485" s="1" t="str">
        <f>IFERROR(__xludf.DUMMYFUNCTION("""COMPUTED_VALUE"""),"Diamond")</f>
        <v>Diamond</v>
      </c>
      <c r="G1485" s="1"/>
      <c r="H1485" s="1" t="str">
        <f>IFERROR(__xludf.DUMMYFUNCTION("""COMPUTED_VALUE"""),"Diamond bangles and earrings ")</f>
        <v>Diamond bangles and earrings </v>
      </c>
      <c r="I1485" s="1"/>
      <c r="J1485" s="1"/>
      <c r="K1485" s="3">
        <f>IFERROR(__xludf.DUMMYFUNCTION("""COMPUTED_VALUE"""),0.6756944444423425)</f>
        <v>0.6756944444</v>
      </c>
      <c r="L1485" s="1" t="str">
        <f>IFERROR(__xludf.DUMMYFUNCTION("""COMPUTED_VALUE"""),"Yes")</f>
        <v>Yes</v>
      </c>
      <c r="M1485" s="1" t="str">
        <f>IFERROR(__xludf.DUMMYFUNCTION("""COMPUTED_VALUE"""),"No")</f>
        <v>No</v>
      </c>
      <c r="N1485" s="1" t="str">
        <f>IFERROR(__xludf.DUMMYFUNCTION("""COMPUTED_VALUE"""),"No")</f>
        <v>No</v>
      </c>
      <c r="O1485" s="1" t="str">
        <f>IFERROR(__xludf.DUMMYFUNCTION("""COMPUTED_VALUE"""),"WA ONLY, OWNER CONTACT ONLY")</f>
        <v>WA ONLY, OWNER CONTACT ONLY</v>
      </c>
      <c r="P1485" s="1" t="str">
        <f>IFERROR(__xludf.DUMMYFUNCTION("""COMPUTED_VALUE"""),"Madam")</f>
        <v>Madam</v>
      </c>
      <c r="Q1485" s="1" t="str">
        <f>IFERROR(__xludf.DUMMYFUNCTION("""COMPUTED_VALUE"""),"No")</f>
        <v>No</v>
      </c>
      <c r="R1485" s="1" t="str">
        <f>IFERROR(__xludf.DUMMYFUNCTION("""COMPUTED_VALUE"""),"OLD")</f>
        <v>OLD</v>
      </c>
      <c r="S1485" s="1" t="str">
        <f>IFERROR(__xludf.DUMMYFUNCTION("""COMPUTED_VALUE"""),"Yes")</f>
        <v>Yes</v>
      </c>
    </row>
    <row r="1486">
      <c r="A1486" s="2">
        <f>IFERROR(__xludf.DUMMYFUNCTION("""COMPUTED_VALUE"""),45966.57508814815)</f>
        <v>45966.57509</v>
      </c>
      <c r="B1486" s="1" t="str">
        <f>IFERROR(__xludf.DUMMYFUNCTION("""COMPUTED_VALUE"""),"Rajkumar ji")</f>
        <v>Rajkumar ji</v>
      </c>
      <c r="C1486" s="1">
        <f>IFERROR(__xludf.DUMMYFUNCTION("""COMPUTED_VALUE"""),9.811891231E9)</f>
        <v>9811891231</v>
      </c>
      <c r="D1486" s="1">
        <f>IFERROR(__xludf.DUMMYFUNCTION("""COMPUTED_VALUE"""),3.0)</f>
        <v>3</v>
      </c>
      <c r="E1486" s="3">
        <f>IFERROR(__xludf.DUMMYFUNCTION("""COMPUTED_VALUE"""),0.6493055555547471)</f>
        <v>0.6493055556</v>
      </c>
      <c r="F1486" s="1" t="str">
        <f>IFERROR(__xludf.DUMMYFUNCTION("""COMPUTED_VALUE"""),"Diamond")</f>
        <v>Diamond</v>
      </c>
      <c r="G1486" s="1"/>
      <c r="H1486" s="1" t="str">
        <f>IFERROR(__xludf.DUMMYFUNCTION("""COMPUTED_VALUE"""),"Rings")</f>
        <v>Rings</v>
      </c>
      <c r="I1486" s="1"/>
      <c r="J1486" s="1"/>
      <c r="K1486" s="3">
        <f>IFERROR(__xludf.DUMMYFUNCTION("""COMPUTED_VALUE"""),0.7083333333357587)</f>
        <v>0.7083333333</v>
      </c>
      <c r="L1486" s="1" t="str">
        <f>IFERROR(__xludf.DUMMYFUNCTION("""COMPUTED_VALUE"""),"No")</f>
        <v>No</v>
      </c>
      <c r="M1486" s="1" t="str">
        <f>IFERROR(__xludf.DUMMYFUNCTION("""COMPUTED_VALUE"""),"Yes")</f>
        <v>Yes</v>
      </c>
      <c r="N1486" s="1" t="str">
        <f>IFERROR(__xludf.DUMMYFUNCTION("""COMPUTED_VALUE"""),"Yes")</f>
        <v>Yes</v>
      </c>
      <c r="O1486" s="1" t="str">
        <f>IFERROR(__xludf.DUMMYFUNCTION("""COMPUTED_VALUE"""),"WA ONLY")</f>
        <v>WA ONLY</v>
      </c>
      <c r="P1486" s="1" t="str">
        <f>IFERROR(__xludf.DUMMYFUNCTION("""COMPUTED_VALUE"""),"Sir")</f>
        <v>Sir</v>
      </c>
      <c r="Q1486" s="1" t="str">
        <f>IFERROR(__xludf.DUMMYFUNCTION("""COMPUTED_VALUE"""),"No")</f>
        <v>No</v>
      </c>
      <c r="R1486" s="1" t="str">
        <f>IFERROR(__xludf.DUMMYFUNCTION("""COMPUTED_VALUE"""),"OLD")</f>
        <v>OLD</v>
      </c>
      <c r="S1486" s="1" t="str">
        <f>IFERROR(__xludf.DUMMYFUNCTION("""COMPUTED_VALUE"""),"Yes")</f>
        <v>Yes</v>
      </c>
    </row>
    <row r="1487">
      <c r="A1487" s="2">
        <f>IFERROR(__xludf.DUMMYFUNCTION("""COMPUTED_VALUE"""),45966.57650664352)</f>
        <v>45966.57651</v>
      </c>
      <c r="B1487" s="1" t="str">
        <f>IFERROR(__xludf.DUMMYFUNCTION("""COMPUTED_VALUE"""),"Rashmi ji")</f>
        <v>Rashmi ji</v>
      </c>
      <c r="C1487" s="1">
        <f>IFERROR(__xludf.DUMMYFUNCTION("""COMPUTED_VALUE"""),9.314010771E9)</f>
        <v>9314010771</v>
      </c>
      <c r="D1487" s="1">
        <f>IFERROR(__xludf.DUMMYFUNCTION("""COMPUTED_VALUE"""),3.0)</f>
        <v>3</v>
      </c>
      <c r="E1487" s="3">
        <f>IFERROR(__xludf.DUMMYFUNCTION("""COMPUTED_VALUE"""),0.7222222222189885)</f>
        <v>0.7222222222</v>
      </c>
      <c r="F1487" s="1" t="str">
        <f>IFERROR(__xludf.DUMMYFUNCTION("""COMPUTED_VALUE"""),"Antique Gold")</f>
        <v>Antique Gold</v>
      </c>
      <c r="G1487" s="1" t="str">
        <f>IFERROR(__xludf.DUMMYFUNCTION("""COMPUTED_VALUE"""),"Pooja")</f>
        <v>Pooja</v>
      </c>
      <c r="H1487" s="1" t="str">
        <f>IFERROR(__xludf.DUMMYFUNCTION("""COMPUTED_VALUE"""),"Sets")</f>
        <v>Sets</v>
      </c>
      <c r="I1487" s="1" t="str">
        <f>IFERROR(__xludf.DUMMYFUNCTION("""COMPUTED_VALUE"""),"Here to select going to come back after two weeks")</f>
        <v>Here to select going to come back after two weeks</v>
      </c>
      <c r="J1487" s="1"/>
      <c r="K1487" s="3">
        <f>IFERROR(__xludf.DUMMYFUNCTION("""COMPUTED_VALUE"""),0.8333333333357587)</f>
        <v>0.8333333333</v>
      </c>
      <c r="L1487" s="1" t="str">
        <f>IFERROR(__xludf.DUMMYFUNCTION("""COMPUTED_VALUE"""),"No")</f>
        <v>No</v>
      </c>
      <c r="M1487" s="1" t="str">
        <f>IFERROR(__xludf.DUMMYFUNCTION("""COMPUTED_VALUE"""),"No")</f>
        <v>No</v>
      </c>
      <c r="N1487" s="1" t="str">
        <f>IFERROR(__xludf.DUMMYFUNCTION("""COMPUTED_VALUE"""),"No")</f>
        <v>No</v>
      </c>
      <c r="O1487" s="1" t="str">
        <f>IFERROR(__xludf.DUMMYFUNCTION("""COMPUTED_VALUE"""),"WA ONLY")</f>
        <v>WA ONLY</v>
      </c>
      <c r="P1487" s="1" t="str">
        <f>IFERROR(__xludf.DUMMYFUNCTION("""COMPUTED_VALUE"""),"Madam")</f>
        <v>Madam</v>
      </c>
      <c r="Q1487" s="1" t="str">
        <f>IFERROR(__xludf.DUMMYFUNCTION("""COMPUTED_VALUE"""),"No")</f>
        <v>No</v>
      </c>
      <c r="R1487" s="1" t="str">
        <f>IFERROR(__xludf.DUMMYFUNCTION("""COMPUTED_VALUE"""),"NEW WALK IN")</f>
        <v>NEW WALK IN</v>
      </c>
      <c r="S1487" s="1" t="str">
        <f>IFERROR(__xludf.DUMMYFUNCTION("""COMPUTED_VALUE"""),"No")</f>
        <v>No</v>
      </c>
    </row>
    <row r="1488">
      <c r="A1488" s="2">
        <f>IFERROR(__xludf.DUMMYFUNCTION("""COMPUTED_VALUE"""),45968.546046250005)</f>
        <v>45968.54605</v>
      </c>
      <c r="B1488" s="1" t="str">
        <f>IFERROR(__xludf.DUMMYFUNCTION("""COMPUTED_VALUE"""),"Jamyumg")</f>
        <v>Jamyumg</v>
      </c>
      <c r="C1488" s="1">
        <f>IFERROR(__xludf.DUMMYFUNCTION("""COMPUTED_VALUE"""),9.469473538E9)</f>
        <v>9469473538</v>
      </c>
      <c r="D1488" s="1">
        <f>IFERROR(__xludf.DUMMYFUNCTION("""COMPUTED_VALUE"""),2.0)</f>
        <v>2</v>
      </c>
      <c r="E1488" s="3">
        <f>IFERROR(__xludf.DUMMYFUNCTION("""COMPUTED_VALUE"""),0.5625)</f>
        <v>0.5625</v>
      </c>
      <c r="F1488" s="1" t="str">
        <f>IFERROR(__xludf.DUMMYFUNCTION("""COMPUTED_VALUE"""),"Silver Items")</f>
        <v>Silver Items</v>
      </c>
      <c r="G1488" s="1"/>
      <c r="H1488" s="1" t="str">
        <f>IFERROR(__xludf.DUMMYFUNCTION("""COMPUTED_VALUE"""),"Here to polish his stuff")</f>
        <v>Here to polish his stuff</v>
      </c>
      <c r="I1488" s="1"/>
      <c r="J1488" s="1"/>
      <c r="K1488" s="3">
        <f>IFERROR(__xludf.DUMMYFUNCTION("""COMPUTED_VALUE"""),0.59375)</f>
        <v>0.59375</v>
      </c>
      <c r="L1488" s="1" t="str">
        <f>IFERROR(__xludf.DUMMYFUNCTION("""COMPUTED_VALUE"""),"No")</f>
        <v>No</v>
      </c>
      <c r="M1488" s="1" t="str">
        <f>IFERROR(__xludf.DUMMYFUNCTION("""COMPUTED_VALUE"""),"Yes")</f>
        <v>Yes</v>
      </c>
      <c r="N1488" s="1" t="str">
        <f>IFERROR(__xludf.DUMMYFUNCTION("""COMPUTED_VALUE"""),"No")</f>
        <v>No</v>
      </c>
      <c r="O1488" s="1" t="str">
        <f>IFERROR(__xludf.DUMMYFUNCTION("""COMPUTED_VALUE"""),"WA ONLY")</f>
        <v>WA ONLY</v>
      </c>
      <c r="P1488" s="1" t="str">
        <f>IFERROR(__xludf.DUMMYFUNCTION("""COMPUTED_VALUE"""),"Sir")</f>
        <v>Sir</v>
      </c>
      <c r="Q1488" s="1" t="str">
        <f>IFERROR(__xludf.DUMMYFUNCTION("""COMPUTED_VALUE"""),"No")</f>
        <v>No</v>
      </c>
      <c r="R1488" s="1" t="str">
        <f>IFERROR(__xludf.DUMMYFUNCTION("""COMPUTED_VALUE"""),"OLD")</f>
        <v>OLD</v>
      </c>
      <c r="S1488" s="1" t="str">
        <f>IFERROR(__xludf.DUMMYFUNCTION("""COMPUTED_VALUE"""),"No")</f>
        <v>No</v>
      </c>
    </row>
    <row r="1489">
      <c r="A1489" s="2">
        <f>IFERROR(__xludf.DUMMYFUNCTION("""COMPUTED_VALUE"""),45968.54738122685)</f>
        <v>45968.54738</v>
      </c>
      <c r="B1489" s="1" t="str">
        <f>IFERROR(__xludf.DUMMYFUNCTION("""COMPUTED_VALUE"""),"Prem das ji")</f>
        <v>Prem das ji</v>
      </c>
      <c r="C1489" s="1">
        <f>IFERROR(__xludf.DUMMYFUNCTION("""COMPUTED_VALUE"""),9.711336518E9)</f>
        <v>9711336518</v>
      </c>
      <c r="D1489" s="1">
        <f>IFERROR(__xludf.DUMMYFUNCTION("""COMPUTED_VALUE"""),1.0)</f>
        <v>1</v>
      </c>
      <c r="E1489" s="3">
        <f>IFERROR(__xludf.DUMMYFUNCTION("""COMPUTED_VALUE"""),0.695138888884685)</f>
        <v>0.6951388889</v>
      </c>
      <c r="F1489" s="1" t="str">
        <f>IFERROR(__xludf.DUMMYFUNCTION("""COMPUTED_VALUE"""),"Silver Items")</f>
        <v>Silver Items</v>
      </c>
      <c r="G1489" s="1"/>
      <c r="H1489" s="1" t="str">
        <f>IFERROR(__xludf.DUMMYFUNCTION("""COMPUTED_VALUE"""),"Silver coins")</f>
        <v>Silver coins</v>
      </c>
      <c r="I1489" s="1"/>
      <c r="J1489" s="1"/>
      <c r="K1489" s="3">
        <f>IFERROR(__xludf.DUMMYFUNCTION("""COMPUTED_VALUE"""),0.7076388888890506)</f>
        <v>0.7076388889</v>
      </c>
      <c r="L1489" s="1" t="str">
        <f>IFERROR(__xludf.DUMMYFUNCTION("""COMPUTED_VALUE"""),"No")</f>
        <v>No</v>
      </c>
      <c r="M1489" s="1" t="str">
        <f>IFERROR(__xludf.DUMMYFUNCTION("""COMPUTED_VALUE"""),"No")</f>
        <v>No</v>
      </c>
      <c r="N1489" s="1" t="str">
        <f>IFERROR(__xludf.DUMMYFUNCTION("""COMPUTED_VALUE"""),"No")</f>
        <v>No</v>
      </c>
      <c r="O1489" s="1" t="str">
        <f>IFERROR(__xludf.DUMMYFUNCTION("""COMPUTED_VALUE"""),"WA ONLY")</f>
        <v>WA ONLY</v>
      </c>
      <c r="P1489" s="1" t="str">
        <f>IFERROR(__xludf.DUMMYFUNCTION("""COMPUTED_VALUE"""),"Sir")</f>
        <v>Sir</v>
      </c>
      <c r="Q1489" s="1" t="str">
        <f>IFERROR(__xludf.DUMMYFUNCTION("""COMPUTED_VALUE"""),"No")</f>
        <v>No</v>
      </c>
      <c r="R1489" s="1" t="str">
        <f>IFERROR(__xludf.DUMMYFUNCTION("""COMPUTED_VALUE"""),"OLD")</f>
        <v>OLD</v>
      </c>
      <c r="S1489" s="1" t="str">
        <f>IFERROR(__xludf.DUMMYFUNCTION("""COMPUTED_VALUE"""),"Yes")</f>
        <v>Yes</v>
      </c>
    </row>
    <row r="1490">
      <c r="A1490" s="2">
        <f>IFERROR(__xludf.DUMMYFUNCTION("""COMPUTED_VALUE"""),45968.548799745375)</f>
        <v>45968.5488</v>
      </c>
      <c r="B1490" s="1" t="str">
        <f>IFERROR(__xludf.DUMMYFUNCTION("""COMPUTED_VALUE"""),"Renu ji")</f>
        <v>Renu ji</v>
      </c>
      <c r="C1490" s="1">
        <f>IFERROR(__xludf.DUMMYFUNCTION("""COMPUTED_VALUE"""),9.21058852E9)</f>
        <v>9210588520</v>
      </c>
      <c r="D1490" s="1">
        <f>IFERROR(__xludf.DUMMYFUNCTION("""COMPUTED_VALUE"""),1.0)</f>
        <v>1</v>
      </c>
      <c r="E1490" s="3">
        <f>IFERROR(__xludf.DUMMYFUNCTION("""COMPUTED_VALUE"""),0.7013888888905058)</f>
        <v>0.7013888889</v>
      </c>
      <c r="F1490" s="1" t="str">
        <f>IFERROR(__xludf.DUMMYFUNCTION("""COMPUTED_VALUE"""),"Plain Gold")</f>
        <v>Plain Gold</v>
      </c>
      <c r="G1490" s="1" t="str">
        <f>IFERROR(__xludf.DUMMYFUNCTION("""COMPUTED_VALUE"""),"Pooja")</f>
        <v>Pooja</v>
      </c>
      <c r="H1490" s="1" t="str">
        <f>IFERROR(__xludf.DUMMYFUNCTION("""COMPUTED_VALUE"""),"22kt gold bangles")</f>
        <v>22kt gold bangles</v>
      </c>
      <c r="I1490" s="1" t="str">
        <f>IFERROR(__xludf.DUMMYFUNCTION("""COMPUTED_VALUE"""),"Here to see the designs only")</f>
        <v>Here to see the designs only</v>
      </c>
      <c r="J1490" s="1"/>
      <c r="K1490" s="3">
        <f>IFERROR(__xludf.DUMMYFUNCTION("""COMPUTED_VALUE"""),0.7097222222218988)</f>
        <v>0.7097222222</v>
      </c>
      <c r="L1490" s="1" t="str">
        <f>IFERROR(__xludf.DUMMYFUNCTION("""COMPUTED_VALUE"""),"No")</f>
        <v>No</v>
      </c>
      <c r="M1490" s="1" t="str">
        <f>IFERROR(__xludf.DUMMYFUNCTION("""COMPUTED_VALUE"""),"No")</f>
        <v>No</v>
      </c>
      <c r="N1490" s="1" t="str">
        <f>IFERROR(__xludf.DUMMYFUNCTION("""COMPUTED_VALUE"""),"No")</f>
        <v>No</v>
      </c>
      <c r="O1490" s="1" t="str">
        <f>IFERROR(__xludf.DUMMYFUNCTION("""COMPUTED_VALUE"""),"WA ONLY")</f>
        <v>WA ONLY</v>
      </c>
      <c r="P1490" s="1" t="str">
        <f>IFERROR(__xludf.DUMMYFUNCTION("""COMPUTED_VALUE"""),"Madam")</f>
        <v>Madam</v>
      </c>
      <c r="Q1490" s="1" t="str">
        <f>IFERROR(__xludf.DUMMYFUNCTION("""COMPUTED_VALUE"""),"No")</f>
        <v>No</v>
      </c>
      <c r="R1490" s="1" t="str">
        <f>IFERROR(__xludf.DUMMYFUNCTION("""COMPUTED_VALUE"""),"NEW WALK IN")</f>
        <v>NEW WALK IN</v>
      </c>
      <c r="S1490" s="1" t="str">
        <f>IFERROR(__xludf.DUMMYFUNCTION("""COMPUTED_VALUE"""),"No")</f>
        <v>No</v>
      </c>
    </row>
    <row r="1491">
      <c r="A1491" s="2">
        <f>IFERROR(__xludf.DUMMYFUNCTION("""COMPUTED_VALUE"""),45968.550320069444)</f>
        <v>45968.55032</v>
      </c>
      <c r="B1491" s="1" t="str">
        <f>IFERROR(__xludf.DUMMYFUNCTION("""COMPUTED_VALUE"""),"Manu ji")</f>
        <v>Manu ji</v>
      </c>
      <c r="C1491" s="1">
        <f>IFERROR(__xludf.DUMMYFUNCTION("""COMPUTED_VALUE"""),9.716335323E9)</f>
        <v>9716335323</v>
      </c>
      <c r="D1491" s="1">
        <f>IFERROR(__xludf.DUMMYFUNCTION("""COMPUTED_VALUE"""),3.0)</f>
        <v>3</v>
      </c>
      <c r="E1491" s="3">
        <f>IFERROR(__xludf.DUMMYFUNCTION("""COMPUTED_VALUE"""),0.7083333333357587)</f>
        <v>0.7083333333</v>
      </c>
      <c r="F1491" s="1" t="str">
        <f>IFERROR(__xludf.DUMMYFUNCTION("""COMPUTED_VALUE"""),"Plain Gold")</f>
        <v>Plain Gold</v>
      </c>
      <c r="G1491" s="1" t="str">
        <f>IFERROR(__xludf.DUMMYFUNCTION("""COMPUTED_VALUE"""),"Pooja")</f>
        <v>Pooja</v>
      </c>
      <c r="H1491" s="1" t="str">
        <f>IFERROR(__xludf.DUMMYFUNCTION("""COMPUTED_VALUE"""),"Lightweight earrings ")</f>
        <v>Lightweight earrings </v>
      </c>
      <c r="I1491" s="1"/>
      <c r="J1491" s="1"/>
      <c r="K1491" s="3">
        <f>IFERROR(__xludf.DUMMYFUNCTION("""COMPUTED_VALUE"""),0.7708333333357587)</f>
        <v>0.7708333333</v>
      </c>
      <c r="L1491" s="1" t="str">
        <f>IFERROR(__xludf.DUMMYFUNCTION("""COMPUTED_VALUE"""),"Yes")</f>
        <v>Yes</v>
      </c>
      <c r="M1491" s="1" t="str">
        <f>IFERROR(__xludf.DUMMYFUNCTION("""COMPUTED_VALUE"""),"Yes")</f>
        <v>Yes</v>
      </c>
      <c r="N1491" s="1" t="str">
        <f>IFERROR(__xludf.DUMMYFUNCTION("""COMPUTED_VALUE"""),"Yes")</f>
        <v>Yes</v>
      </c>
      <c r="O1491" s="1" t="str">
        <f>IFERROR(__xludf.DUMMYFUNCTION("""COMPUTED_VALUE"""),"WA ONLY")</f>
        <v>WA ONLY</v>
      </c>
      <c r="P1491" s="1" t="str">
        <f>IFERROR(__xludf.DUMMYFUNCTION("""COMPUTED_VALUE"""),"Sir")</f>
        <v>Sir</v>
      </c>
      <c r="Q1491" s="1" t="str">
        <f>IFERROR(__xludf.DUMMYFUNCTION("""COMPUTED_VALUE"""),"No")</f>
        <v>No</v>
      </c>
      <c r="R1491" s="1" t="str">
        <f>IFERROR(__xludf.DUMMYFUNCTION("""COMPUTED_VALUE"""),"OLD")</f>
        <v>OLD</v>
      </c>
      <c r="S1491" s="1" t="str">
        <f>IFERROR(__xludf.DUMMYFUNCTION("""COMPUTED_VALUE"""),"Yes")</f>
        <v>Yes</v>
      </c>
    </row>
    <row r="1492">
      <c r="A1492" s="2">
        <f>IFERROR(__xludf.DUMMYFUNCTION("""COMPUTED_VALUE"""),45968.55278549768)</f>
        <v>45968.55279</v>
      </c>
      <c r="B1492" s="1" t="str">
        <f>IFERROR(__xludf.DUMMYFUNCTION("""COMPUTED_VALUE"""),"Pankaj ji")</f>
        <v>Pankaj ji</v>
      </c>
      <c r="C1492" s="1">
        <f>IFERROR(__xludf.DUMMYFUNCTION("""COMPUTED_VALUE"""),9.873903756E9)</f>
        <v>9873903756</v>
      </c>
      <c r="D1492" s="1">
        <f>IFERROR(__xludf.DUMMYFUNCTION("""COMPUTED_VALUE"""),3.0)</f>
        <v>3</v>
      </c>
      <c r="E1492" s="3">
        <f>IFERROR(__xludf.DUMMYFUNCTION("""COMPUTED_VALUE"""),0.7291666666642413)</f>
        <v>0.7291666667</v>
      </c>
      <c r="F1492" s="1" t="str">
        <f>IFERROR(__xludf.DUMMYFUNCTION("""COMPUTED_VALUE"""),"Plain Gold")</f>
        <v>Plain Gold</v>
      </c>
      <c r="G1492" s="1"/>
      <c r="H1492" s="1" t="str">
        <f>IFERROR(__xludf.DUMMYFUNCTION("""COMPUTED_VALUE"""),"Baali")</f>
        <v>Baali</v>
      </c>
      <c r="I1492" s="1"/>
      <c r="J1492" s="1"/>
      <c r="K1492" s="3">
        <f>IFERROR(__xludf.DUMMYFUNCTION("""COMPUTED_VALUE"""),0.78125)</f>
        <v>0.78125</v>
      </c>
      <c r="L1492" s="1" t="str">
        <f>IFERROR(__xludf.DUMMYFUNCTION("""COMPUTED_VALUE"""),"No")</f>
        <v>No</v>
      </c>
      <c r="M1492" s="1" t="str">
        <f>IFERROR(__xludf.DUMMYFUNCTION("""COMPUTED_VALUE"""),"No")</f>
        <v>No</v>
      </c>
      <c r="N1492" s="1" t="str">
        <f>IFERROR(__xludf.DUMMYFUNCTION("""COMPUTED_VALUE"""),"No")</f>
        <v>No</v>
      </c>
      <c r="O1492" s="1" t="str">
        <f>IFERROR(__xludf.DUMMYFUNCTION("""COMPUTED_VALUE"""),"WA ONLY")</f>
        <v>WA ONLY</v>
      </c>
      <c r="P1492" s="1" t="str">
        <f>IFERROR(__xludf.DUMMYFUNCTION("""COMPUTED_VALUE"""),"Sir")</f>
        <v>Sir</v>
      </c>
      <c r="Q1492" s="1" t="str">
        <f>IFERROR(__xludf.DUMMYFUNCTION("""COMPUTED_VALUE"""),"No")</f>
        <v>No</v>
      </c>
      <c r="R1492" s="1" t="str">
        <f>IFERROR(__xludf.DUMMYFUNCTION("""COMPUTED_VALUE"""),"OLD")</f>
        <v>OLD</v>
      </c>
      <c r="S1492" s="1" t="str">
        <f>IFERROR(__xludf.DUMMYFUNCTION("""COMPUTED_VALUE"""),"Yes")</f>
        <v>Yes</v>
      </c>
    </row>
    <row r="1493">
      <c r="A1493" s="2">
        <f>IFERROR(__xludf.DUMMYFUNCTION("""COMPUTED_VALUE"""),45968.55408189815)</f>
        <v>45968.55408</v>
      </c>
      <c r="B1493" s="1" t="str">
        <f>IFERROR(__xludf.DUMMYFUNCTION("""COMPUTED_VALUE"""),"Manisha ji")</f>
        <v>Manisha ji</v>
      </c>
      <c r="C1493" s="1">
        <f>IFERROR(__xludf.DUMMYFUNCTION("""COMPUTED_VALUE"""),8.920465183E9)</f>
        <v>8920465183</v>
      </c>
      <c r="D1493" s="1">
        <f>IFERROR(__xludf.DUMMYFUNCTION("""COMPUTED_VALUE"""),1.0)</f>
        <v>1</v>
      </c>
      <c r="E1493" s="3">
        <f>IFERROR(__xludf.DUMMYFUNCTION("""COMPUTED_VALUE"""),0.78125)</f>
        <v>0.78125</v>
      </c>
      <c r="F1493" s="1" t="str">
        <f>IFERROR(__xludf.DUMMYFUNCTION("""COMPUTED_VALUE"""),"Diamond")</f>
        <v>Diamond</v>
      </c>
      <c r="G1493" s="1"/>
      <c r="H1493" s="1" t="str">
        <f>IFERROR(__xludf.DUMMYFUNCTION("""COMPUTED_VALUE"""),"Ring")</f>
        <v>Ring</v>
      </c>
      <c r="I1493" s="1" t="str">
        <f>IFERROR(__xludf.DUMMYFUNCTION("""COMPUTED_VALUE"""),"Was looking for a design we didn't had")</f>
        <v>Was looking for a design we didn't had</v>
      </c>
      <c r="J1493" s="1"/>
      <c r="K1493" s="3">
        <f>IFERROR(__xludf.DUMMYFUNCTION("""COMPUTED_VALUE"""),0.8090277777810115)</f>
        <v>0.8090277778</v>
      </c>
      <c r="L1493" s="1" t="str">
        <f>IFERROR(__xludf.DUMMYFUNCTION("""COMPUTED_VALUE"""),"No")</f>
        <v>No</v>
      </c>
      <c r="M1493" s="1" t="str">
        <f>IFERROR(__xludf.DUMMYFUNCTION("""COMPUTED_VALUE"""),"No")</f>
        <v>No</v>
      </c>
      <c r="N1493" s="1" t="str">
        <f>IFERROR(__xludf.DUMMYFUNCTION("""COMPUTED_VALUE"""),"No")</f>
        <v>No</v>
      </c>
      <c r="O1493" s="1" t="str">
        <f>IFERROR(__xludf.DUMMYFUNCTION("""COMPUTED_VALUE"""),"WA ONLY")</f>
        <v>WA ONLY</v>
      </c>
      <c r="P1493" s="1" t="str">
        <f>IFERROR(__xludf.DUMMYFUNCTION("""COMPUTED_VALUE"""),"Madam")</f>
        <v>Madam</v>
      </c>
      <c r="Q1493" s="1" t="str">
        <f>IFERROR(__xludf.DUMMYFUNCTION("""COMPUTED_VALUE"""),"No")</f>
        <v>No</v>
      </c>
      <c r="R1493" s="1" t="str">
        <f>IFERROR(__xludf.DUMMYFUNCTION("""COMPUTED_VALUE"""),"NEW WALK IN")</f>
        <v>NEW WALK IN</v>
      </c>
      <c r="S1493" s="1" t="str">
        <f>IFERROR(__xludf.DUMMYFUNCTION("""COMPUTED_VALUE"""),"No")</f>
        <v>No</v>
      </c>
    </row>
    <row r="1494">
      <c r="A1494" s="2">
        <f>IFERROR(__xludf.DUMMYFUNCTION("""COMPUTED_VALUE"""),45969.57247170139)</f>
        <v>45969.57247</v>
      </c>
      <c r="B1494" s="1" t="str">
        <f>IFERROR(__xludf.DUMMYFUNCTION("""COMPUTED_VALUE"""),"Ritu ji")</f>
        <v>Ritu ji</v>
      </c>
      <c r="C1494" s="1">
        <f>IFERROR(__xludf.DUMMYFUNCTION("""COMPUTED_VALUE"""),9.319569354E9)</f>
        <v>9319569354</v>
      </c>
      <c r="D1494" s="1">
        <f>IFERROR(__xludf.DUMMYFUNCTION("""COMPUTED_VALUE"""),1.0)</f>
        <v>1</v>
      </c>
      <c r="E1494" s="3">
        <f>IFERROR(__xludf.DUMMYFUNCTION("""COMPUTED_VALUE"""),0.6354166666642413)</f>
        <v>0.6354166667</v>
      </c>
      <c r="F1494" s="1" t="str">
        <f>IFERROR(__xludf.DUMMYFUNCTION("""COMPUTED_VALUE"""),"Silver Items")</f>
        <v>Silver Items</v>
      </c>
      <c r="G1494" s="1"/>
      <c r="H1494" s="1" t="str">
        <f>IFERROR(__xludf.DUMMYFUNCTION("""COMPUTED_VALUE"""),"Anklets")</f>
        <v>Anklets</v>
      </c>
      <c r="I1494" s="1" t="str">
        <f>IFERROR(__xludf.DUMMYFUNCTION("""COMPUTED_VALUE"""),"Here for repair")</f>
        <v>Here for repair</v>
      </c>
      <c r="J1494" s="1"/>
      <c r="K1494" s="3">
        <f>IFERROR(__xludf.DUMMYFUNCTION("""COMPUTED_VALUE"""),0.6687499999970896)</f>
        <v>0.66875</v>
      </c>
      <c r="L1494" s="1" t="str">
        <f>IFERROR(__xludf.DUMMYFUNCTION("""COMPUTED_VALUE"""),"No")</f>
        <v>No</v>
      </c>
      <c r="M1494" s="1" t="str">
        <f>IFERROR(__xludf.DUMMYFUNCTION("""COMPUTED_VALUE"""),"No")</f>
        <v>No</v>
      </c>
      <c r="N1494" s="1" t="str">
        <f>IFERROR(__xludf.DUMMYFUNCTION("""COMPUTED_VALUE"""),"No")</f>
        <v>No</v>
      </c>
      <c r="O1494" s="1" t="str">
        <f>IFERROR(__xludf.DUMMYFUNCTION("""COMPUTED_VALUE"""),"WA ONLY")</f>
        <v>WA ONLY</v>
      </c>
      <c r="P1494" s="1" t="str">
        <f>IFERROR(__xludf.DUMMYFUNCTION("""COMPUTED_VALUE"""),"Madam")</f>
        <v>Madam</v>
      </c>
      <c r="Q1494" s="1" t="str">
        <f>IFERROR(__xludf.DUMMYFUNCTION("""COMPUTED_VALUE"""),"No")</f>
        <v>No</v>
      </c>
      <c r="R1494" s="1" t="str">
        <f>IFERROR(__xludf.DUMMYFUNCTION("""COMPUTED_VALUE"""),"OLD")</f>
        <v>OLD</v>
      </c>
      <c r="S1494" s="1" t="str">
        <f>IFERROR(__xludf.DUMMYFUNCTION("""COMPUTED_VALUE"""),"No")</f>
        <v>No</v>
      </c>
    </row>
    <row r="1495">
      <c r="A1495" s="2">
        <f>IFERROR(__xludf.DUMMYFUNCTION("""COMPUTED_VALUE"""),45969.57383112269)</f>
        <v>45969.57383</v>
      </c>
      <c r="B1495" s="1" t="str">
        <f>IFERROR(__xludf.DUMMYFUNCTION("""COMPUTED_VALUE"""),"Ekta ji")</f>
        <v>Ekta ji</v>
      </c>
      <c r="C1495" s="1">
        <f>IFERROR(__xludf.DUMMYFUNCTION("""COMPUTED_VALUE"""),9.800816742E9)</f>
        <v>9800816742</v>
      </c>
      <c r="D1495" s="1">
        <f>IFERROR(__xludf.DUMMYFUNCTION("""COMPUTED_VALUE"""),2.0)</f>
        <v>2</v>
      </c>
      <c r="E1495" s="3">
        <f>IFERROR(__xludf.DUMMYFUNCTION("""COMPUTED_VALUE"""),0.7645833333372138)</f>
        <v>0.7645833333</v>
      </c>
      <c r="F1495" s="1" t="str">
        <f>IFERROR(__xludf.DUMMYFUNCTION("""COMPUTED_VALUE"""),"Diamond")</f>
        <v>Diamond</v>
      </c>
      <c r="G1495" s="1" t="str">
        <f>IFERROR(__xludf.DUMMYFUNCTION("""COMPUTED_VALUE"""),"Pooja")</f>
        <v>Pooja</v>
      </c>
      <c r="H1495" s="1" t="str">
        <f>IFERROR(__xludf.DUMMYFUNCTION("""COMPUTED_VALUE"""),"Silver anklets")</f>
        <v>Silver anklets</v>
      </c>
      <c r="I1495" s="1"/>
      <c r="J1495" s="1"/>
      <c r="K1495" s="3">
        <f>IFERROR(__xludf.DUMMYFUNCTION("""COMPUTED_VALUE"""),0.7881944444452529)</f>
        <v>0.7881944444</v>
      </c>
      <c r="L1495" s="1" t="str">
        <f>IFERROR(__xludf.DUMMYFUNCTION("""COMPUTED_VALUE"""),"No")</f>
        <v>No</v>
      </c>
      <c r="M1495" s="1" t="str">
        <f>IFERROR(__xludf.DUMMYFUNCTION("""COMPUTED_VALUE"""),"No")</f>
        <v>No</v>
      </c>
      <c r="N1495" s="1" t="str">
        <f>IFERROR(__xludf.DUMMYFUNCTION("""COMPUTED_VALUE"""),"No")</f>
        <v>No</v>
      </c>
      <c r="O1495" s="1" t="str">
        <f>IFERROR(__xludf.DUMMYFUNCTION("""COMPUTED_VALUE"""),"WA ONLY")</f>
        <v>WA ONLY</v>
      </c>
      <c r="P1495" s="1" t="str">
        <f>IFERROR(__xludf.DUMMYFUNCTION("""COMPUTED_VALUE"""),"Madam")</f>
        <v>Madam</v>
      </c>
      <c r="Q1495" s="1" t="str">
        <f>IFERROR(__xludf.DUMMYFUNCTION("""COMPUTED_VALUE"""),"No")</f>
        <v>No</v>
      </c>
      <c r="R1495" s="1" t="str">
        <f>IFERROR(__xludf.DUMMYFUNCTION("""COMPUTED_VALUE"""),"NEW WALK IN")</f>
        <v>NEW WALK IN</v>
      </c>
      <c r="S1495" s="1" t="str">
        <f>IFERROR(__xludf.DUMMYFUNCTION("""COMPUTED_VALUE"""),"Yes")</f>
        <v>Yes</v>
      </c>
    </row>
    <row r="1496">
      <c r="A1496" s="2">
        <f>IFERROR(__xludf.DUMMYFUNCTION("""COMPUTED_VALUE"""),45969.57496783565)</f>
        <v>45969.57497</v>
      </c>
      <c r="B1496" s="1" t="str">
        <f>IFERROR(__xludf.DUMMYFUNCTION("""COMPUTED_VALUE"""),"Priyanka jain")</f>
        <v>Priyanka jain</v>
      </c>
      <c r="C1496" s="1">
        <f>IFERROR(__xludf.DUMMYFUNCTION("""COMPUTED_VALUE"""),9.953052536E9)</f>
        <v>9953052536</v>
      </c>
      <c r="D1496" s="1">
        <f>IFERROR(__xludf.DUMMYFUNCTION("""COMPUTED_VALUE"""),3.0)</f>
        <v>3</v>
      </c>
      <c r="E1496" s="3">
        <f>IFERROR(__xludf.DUMMYFUNCTION("""COMPUTED_VALUE"""),0.7534722222189885)</f>
        <v>0.7534722222</v>
      </c>
      <c r="F1496" s="1" t="str">
        <f>IFERROR(__xludf.DUMMYFUNCTION("""COMPUTED_VALUE"""),"Silver Items")</f>
        <v>Silver Items</v>
      </c>
      <c r="G1496" s="1"/>
      <c r="H1496" s="1" t="str">
        <f>IFERROR(__xludf.DUMMYFUNCTION("""COMPUTED_VALUE"""),"Pendent sets")</f>
        <v>Pendent sets</v>
      </c>
      <c r="I1496" s="1"/>
      <c r="J1496" s="1"/>
      <c r="K1496" s="3">
        <f>IFERROR(__xludf.DUMMYFUNCTION("""COMPUTED_VALUE"""),0.8055555555547471)</f>
        <v>0.8055555556</v>
      </c>
      <c r="L1496" s="1" t="str">
        <f>IFERROR(__xludf.DUMMYFUNCTION("""COMPUTED_VALUE"""),"Yes")</f>
        <v>Yes</v>
      </c>
      <c r="M1496" s="1" t="str">
        <f>IFERROR(__xludf.DUMMYFUNCTION("""COMPUTED_VALUE"""),"No")</f>
        <v>No</v>
      </c>
      <c r="N1496" s="1" t="str">
        <f>IFERROR(__xludf.DUMMYFUNCTION("""COMPUTED_VALUE"""),"No")</f>
        <v>No</v>
      </c>
      <c r="O1496" s="1" t="str">
        <f>IFERROR(__xludf.DUMMYFUNCTION("""COMPUTED_VALUE"""),"WA ONLY")</f>
        <v>WA ONLY</v>
      </c>
      <c r="P1496" s="1" t="str">
        <f>IFERROR(__xludf.DUMMYFUNCTION("""COMPUTED_VALUE"""),"Madam")</f>
        <v>Madam</v>
      </c>
      <c r="Q1496" s="1" t="str">
        <f>IFERROR(__xludf.DUMMYFUNCTION("""COMPUTED_VALUE"""),"No")</f>
        <v>No</v>
      </c>
      <c r="R1496" s="1" t="str">
        <f>IFERROR(__xludf.DUMMYFUNCTION("""COMPUTED_VALUE"""),"OLD")</f>
        <v>OLD</v>
      </c>
      <c r="S1496" s="1" t="str">
        <f>IFERROR(__xludf.DUMMYFUNCTION("""COMPUTED_VALUE"""),"Yes")</f>
        <v>Yes</v>
      </c>
    </row>
    <row r="1497">
      <c r="A1497" s="2">
        <f>IFERROR(__xludf.DUMMYFUNCTION("""COMPUTED_VALUE"""),45969.65911078703)</f>
        <v>45969.65911</v>
      </c>
      <c r="B1497" s="1" t="str">
        <f>IFERROR(__xludf.DUMMYFUNCTION("""COMPUTED_VALUE"""),"Priyanka jain")</f>
        <v>Priyanka jain</v>
      </c>
      <c r="C1497" s="1">
        <f>IFERROR(__xludf.DUMMYFUNCTION("""COMPUTED_VALUE"""),9.953052536E9)</f>
        <v>9953052536</v>
      </c>
      <c r="D1497" s="1">
        <f>IFERROR(__xludf.DUMMYFUNCTION("""COMPUTED_VALUE"""),3.0)</f>
        <v>3</v>
      </c>
      <c r="E1497" s="3">
        <f>IFERROR(__xludf.DUMMYFUNCTION("""COMPUTED_VALUE"""),0.7534722222189885)</f>
        <v>0.7534722222</v>
      </c>
      <c r="F1497" s="1" t="str">
        <f>IFERROR(__xludf.DUMMYFUNCTION("""COMPUTED_VALUE"""),"Silver Items")</f>
        <v>Silver Items</v>
      </c>
      <c r="G1497" s="1"/>
      <c r="H1497" s="1" t="str">
        <f>IFERROR(__xludf.DUMMYFUNCTION("""COMPUTED_VALUE"""),"Pendent sets")</f>
        <v>Pendent sets</v>
      </c>
      <c r="I1497" s="1"/>
      <c r="J1497" s="1"/>
      <c r="K1497" s="3">
        <f>IFERROR(__xludf.DUMMYFUNCTION("""COMPUTED_VALUE"""),0.8055555555547471)</f>
        <v>0.8055555556</v>
      </c>
      <c r="L1497" s="1" t="str">
        <f>IFERROR(__xludf.DUMMYFUNCTION("""COMPUTED_VALUE"""),"Yes")</f>
        <v>Yes</v>
      </c>
      <c r="M1497" s="1" t="str">
        <f>IFERROR(__xludf.DUMMYFUNCTION("""COMPUTED_VALUE"""),"No")</f>
        <v>No</v>
      </c>
      <c r="N1497" s="1" t="str">
        <f>IFERROR(__xludf.DUMMYFUNCTION("""COMPUTED_VALUE"""),"No")</f>
        <v>No</v>
      </c>
      <c r="O1497" s="1" t="str">
        <f>IFERROR(__xludf.DUMMYFUNCTION("""COMPUTED_VALUE"""),"WA ONLY")</f>
        <v>WA ONLY</v>
      </c>
      <c r="P1497" s="1" t="str">
        <f>IFERROR(__xludf.DUMMYFUNCTION("""COMPUTED_VALUE"""),"Madam")</f>
        <v>Madam</v>
      </c>
      <c r="Q1497" s="1" t="str">
        <f>IFERROR(__xludf.DUMMYFUNCTION("""COMPUTED_VALUE"""),"No")</f>
        <v>No</v>
      </c>
      <c r="R1497" s="1" t="str">
        <f>IFERROR(__xludf.DUMMYFUNCTION("""COMPUTED_VALUE"""),"OLD")</f>
        <v>OLD</v>
      </c>
      <c r="S1497" s="1" t="str">
        <f>IFERROR(__xludf.DUMMYFUNCTION("""COMPUTED_VALUE"""),"Yes")</f>
        <v>Yes</v>
      </c>
    </row>
    <row r="1498">
      <c r="A1498" s="2">
        <f>IFERROR(__xludf.DUMMYFUNCTION("""COMPUTED_VALUE"""),45970.52341018518)</f>
        <v>45970.52341</v>
      </c>
      <c r="B1498" s="1" t="str">
        <f>IFERROR(__xludf.DUMMYFUNCTION("""COMPUTED_VALUE"""),"Nikita")</f>
        <v>Nikita</v>
      </c>
      <c r="C1498" s="1">
        <f>IFERROR(__xludf.DUMMYFUNCTION("""COMPUTED_VALUE"""),7.838389951E9)</f>
        <v>7838389951</v>
      </c>
      <c r="D1498" s="1">
        <f>IFERROR(__xludf.DUMMYFUNCTION("""COMPUTED_VALUE"""),3.0)</f>
        <v>3</v>
      </c>
      <c r="E1498" s="3">
        <f>IFERROR(__xludf.DUMMYFUNCTION("""COMPUTED_VALUE"""),0.6597222222189885)</f>
        <v>0.6597222222</v>
      </c>
      <c r="F1498" s="1" t="str">
        <f>IFERROR(__xludf.DUMMYFUNCTION("""COMPUTED_VALUE"""),"Diamond")</f>
        <v>Diamond</v>
      </c>
      <c r="G1498" s="1" t="str">
        <f>IFERROR(__xludf.DUMMYFUNCTION("""COMPUTED_VALUE"""),"Pooja")</f>
        <v>Pooja</v>
      </c>
      <c r="H1498" s="1" t="str">
        <f>IFERROR(__xludf.DUMMYFUNCTION("""COMPUTED_VALUE"""),"Polki sets")</f>
        <v>Polki sets</v>
      </c>
      <c r="I1498" s="1" t="str">
        <f>IFERROR(__xludf.DUMMYFUNCTION("""COMPUTED_VALUE"""),"Here to see the designs first")</f>
        <v>Here to see the designs first</v>
      </c>
      <c r="J1498" s="1"/>
      <c r="K1498" s="3">
        <f>IFERROR(__xludf.DUMMYFUNCTION("""COMPUTED_VALUE"""),0.6777777777751908)</f>
        <v>0.6777777778</v>
      </c>
      <c r="L1498" s="1" t="str">
        <f>IFERROR(__xludf.DUMMYFUNCTION("""COMPUTED_VALUE"""),"Yes")</f>
        <v>Yes</v>
      </c>
      <c r="M1498" s="1" t="str">
        <f>IFERROR(__xludf.DUMMYFUNCTION("""COMPUTED_VALUE"""),"No")</f>
        <v>No</v>
      </c>
      <c r="N1498" s="1" t="str">
        <f>IFERROR(__xludf.DUMMYFUNCTION("""COMPUTED_VALUE"""),"No")</f>
        <v>No</v>
      </c>
      <c r="O1498" s="1" t="str">
        <f>IFERROR(__xludf.DUMMYFUNCTION("""COMPUTED_VALUE"""),"WA ONLY")</f>
        <v>WA ONLY</v>
      </c>
      <c r="P1498" s="1" t="str">
        <f>IFERROR(__xludf.DUMMYFUNCTION("""COMPUTED_VALUE"""),"Madam")</f>
        <v>Madam</v>
      </c>
      <c r="Q1498" s="1" t="str">
        <f>IFERROR(__xludf.DUMMYFUNCTION("""COMPUTED_VALUE"""),"No")</f>
        <v>No</v>
      </c>
      <c r="R1498" s="1" t="str">
        <f>IFERROR(__xludf.DUMMYFUNCTION("""COMPUTED_VALUE"""),"NEW WALK IN")</f>
        <v>NEW WALK IN</v>
      </c>
      <c r="S1498" s="1" t="str">
        <f>IFERROR(__xludf.DUMMYFUNCTION("""COMPUTED_VALUE"""),"No")</f>
        <v>No</v>
      </c>
    </row>
    <row r="1499">
      <c r="A1499" s="2">
        <f>IFERROR(__xludf.DUMMYFUNCTION("""COMPUTED_VALUE"""),45970.5244878125)</f>
        <v>45970.52449</v>
      </c>
      <c r="B1499" s="1" t="str">
        <f>IFERROR(__xludf.DUMMYFUNCTION("""COMPUTED_VALUE"""),"Shehzadi")</f>
        <v>Shehzadi</v>
      </c>
      <c r="C1499" s="1">
        <f>IFERROR(__xludf.DUMMYFUNCTION("""COMPUTED_VALUE"""),7.827407655E9)</f>
        <v>7827407655</v>
      </c>
      <c r="D1499" s="1">
        <f>IFERROR(__xludf.DUMMYFUNCTION("""COMPUTED_VALUE"""),1.0)</f>
        <v>1</v>
      </c>
      <c r="E1499" s="3">
        <f>IFERROR(__xludf.DUMMYFUNCTION("""COMPUTED_VALUE"""),0.6666666666642413)</f>
        <v>0.6666666667</v>
      </c>
      <c r="F1499" s="1" t="str">
        <f>IFERROR(__xludf.DUMMYFUNCTION("""COMPUTED_VALUE"""),"Plain Gold")</f>
        <v>Plain Gold</v>
      </c>
      <c r="G1499" s="1" t="str">
        <f>IFERROR(__xludf.DUMMYFUNCTION("""COMPUTED_VALUE"""),"Pooja")</f>
        <v>Pooja</v>
      </c>
      <c r="H1499" s="1" t="str">
        <f>IFERROR(__xludf.DUMMYFUNCTION("""COMPUTED_VALUE"""),"Gold rings")</f>
        <v>Gold rings</v>
      </c>
      <c r="I1499" s="1"/>
      <c r="J1499" s="1"/>
      <c r="K1499" s="3">
        <f>IFERROR(__xludf.DUMMYFUNCTION("""COMPUTED_VALUE"""),0.7138888888875954)</f>
        <v>0.7138888889</v>
      </c>
      <c r="L1499" s="1" t="str">
        <f>IFERROR(__xludf.DUMMYFUNCTION("""COMPUTED_VALUE"""),"No")</f>
        <v>No</v>
      </c>
      <c r="M1499" s="1" t="str">
        <f>IFERROR(__xludf.DUMMYFUNCTION("""COMPUTED_VALUE"""),"No")</f>
        <v>No</v>
      </c>
      <c r="N1499" s="1" t="str">
        <f>IFERROR(__xludf.DUMMYFUNCTION("""COMPUTED_VALUE"""),"No")</f>
        <v>No</v>
      </c>
      <c r="O1499" s="1" t="str">
        <f>IFERROR(__xludf.DUMMYFUNCTION("""COMPUTED_VALUE"""),"WA ONLY")</f>
        <v>WA ONLY</v>
      </c>
      <c r="P1499" s="1" t="str">
        <f>IFERROR(__xludf.DUMMYFUNCTION("""COMPUTED_VALUE"""),"Madam")</f>
        <v>Madam</v>
      </c>
      <c r="Q1499" s="1" t="str">
        <f>IFERROR(__xludf.DUMMYFUNCTION("""COMPUTED_VALUE"""),"No")</f>
        <v>No</v>
      </c>
      <c r="R1499" s="1" t="str">
        <f>IFERROR(__xludf.DUMMYFUNCTION("""COMPUTED_VALUE"""),"NEW WALK IN")</f>
        <v>NEW WALK IN</v>
      </c>
      <c r="S1499" s="1" t="str">
        <f>IFERROR(__xludf.DUMMYFUNCTION("""COMPUTED_VALUE"""),"No")</f>
        <v>No</v>
      </c>
    </row>
    <row r="1500">
      <c r="A1500" s="2">
        <f>IFERROR(__xludf.DUMMYFUNCTION("""COMPUTED_VALUE"""),45970.52609410879)</f>
        <v>45970.52609</v>
      </c>
      <c r="B1500" s="1" t="str">
        <f>IFERROR(__xludf.DUMMYFUNCTION("""COMPUTED_VALUE"""),"Geetanjali ")</f>
        <v>Geetanjali </v>
      </c>
      <c r="C1500" s="1">
        <f>IFERROR(__xludf.DUMMYFUNCTION("""COMPUTED_VALUE"""),9.873041853E9)</f>
        <v>9873041853</v>
      </c>
      <c r="D1500" s="1">
        <f>IFERROR(__xludf.DUMMYFUNCTION("""COMPUTED_VALUE"""),2.0)</f>
        <v>2</v>
      </c>
      <c r="E1500" s="3">
        <f>IFERROR(__xludf.DUMMYFUNCTION("""COMPUTED_VALUE"""),0.6944444444452529)</f>
        <v>0.6944444444</v>
      </c>
      <c r="F1500" s="1" t="str">
        <f>IFERROR(__xludf.DUMMYFUNCTION("""COMPUTED_VALUE"""),"Plain Gold")</f>
        <v>Plain Gold</v>
      </c>
      <c r="G1500" s="1" t="str">
        <f>IFERROR(__xludf.DUMMYFUNCTION("""COMPUTED_VALUE"""),"Pooja")</f>
        <v>Pooja</v>
      </c>
      <c r="H1500" s="1" t="str">
        <f>IFERROR(__xludf.DUMMYFUNCTION("""COMPUTED_VALUE"""),"Bracelets ")</f>
        <v>Bracelets </v>
      </c>
      <c r="I1500" s="1" t="str">
        <f>IFERROR(__xludf.DUMMYFUNCTION("""COMPUTED_VALUE"""),"Here to exchange a gold bracelet")</f>
        <v>Here to exchange a gold bracelet</v>
      </c>
      <c r="J1500" s="1"/>
      <c r="K1500" s="3">
        <f>IFERROR(__xludf.DUMMYFUNCTION("""COMPUTED_VALUE"""),0.7534722222189885)</f>
        <v>0.7534722222</v>
      </c>
      <c r="L1500" s="1" t="str">
        <f>IFERROR(__xludf.DUMMYFUNCTION("""COMPUTED_VALUE"""),"Yes")</f>
        <v>Yes</v>
      </c>
      <c r="M1500" s="1" t="str">
        <f>IFERROR(__xludf.DUMMYFUNCTION("""COMPUTED_VALUE"""),"No")</f>
        <v>No</v>
      </c>
      <c r="N1500" s="1" t="str">
        <f>IFERROR(__xludf.DUMMYFUNCTION("""COMPUTED_VALUE"""),"No")</f>
        <v>No</v>
      </c>
      <c r="O1500" s="1" t="str">
        <f>IFERROR(__xludf.DUMMYFUNCTION("""COMPUTED_VALUE"""),"WA ONLY")</f>
        <v>WA ONLY</v>
      </c>
      <c r="P1500" s="1" t="str">
        <f>IFERROR(__xludf.DUMMYFUNCTION("""COMPUTED_VALUE"""),"Madam")</f>
        <v>Madam</v>
      </c>
      <c r="Q1500" s="1" t="str">
        <f>IFERROR(__xludf.DUMMYFUNCTION("""COMPUTED_VALUE"""),"No")</f>
        <v>No</v>
      </c>
      <c r="R1500" s="1" t="str">
        <f>IFERROR(__xludf.DUMMYFUNCTION("""COMPUTED_VALUE"""),"OLD")</f>
        <v>OLD</v>
      </c>
      <c r="S1500" s="1" t="str">
        <f>IFERROR(__xludf.DUMMYFUNCTION("""COMPUTED_VALUE"""),"Yes")</f>
        <v>Yes</v>
      </c>
    </row>
    <row r="1501">
      <c r="A1501" s="2">
        <f>IFERROR(__xludf.DUMMYFUNCTION("""COMPUTED_VALUE"""),45972.5382512037)</f>
        <v>45972.53825</v>
      </c>
      <c r="B1501" s="1" t="str">
        <f>IFERROR(__xludf.DUMMYFUNCTION("""COMPUTED_VALUE"""),"Kajal ji")</f>
        <v>Kajal ji</v>
      </c>
      <c r="C1501" s="1">
        <f>IFERROR(__xludf.DUMMYFUNCTION("""COMPUTED_VALUE"""),9.75237098E9)</f>
        <v>9752370980</v>
      </c>
      <c r="D1501" s="1">
        <f>IFERROR(__xludf.DUMMYFUNCTION("""COMPUTED_VALUE"""),2.0)</f>
        <v>2</v>
      </c>
      <c r="E1501" s="3">
        <f>IFERROR(__xludf.DUMMYFUNCTION("""COMPUTED_VALUE"""),0.48958333333575865)</f>
        <v>0.4895833333</v>
      </c>
      <c r="F1501" s="1" t="str">
        <f>IFERROR(__xludf.DUMMYFUNCTION("""COMPUTED_VALUE"""),"Plain Gold")</f>
        <v>Plain Gold</v>
      </c>
      <c r="G1501" s="1" t="str">
        <f>IFERROR(__xludf.DUMMYFUNCTION("""COMPUTED_VALUE"""),"Pooja")</f>
        <v>Pooja</v>
      </c>
      <c r="H1501" s="1" t="str">
        <f>IFERROR(__xludf.DUMMYFUNCTION("""COMPUTED_VALUE"""),"Gold pendent ")</f>
        <v>Gold pendent </v>
      </c>
      <c r="I1501" s="1"/>
      <c r="J1501" s="1"/>
      <c r="K1501" s="3">
        <f>IFERROR(__xludf.DUMMYFUNCTION("""COMPUTED_VALUE"""),0.5416666666642413)</f>
        <v>0.5416666667</v>
      </c>
      <c r="L1501" s="1" t="str">
        <f>IFERROR(__xludf.DUMMYFUNCTION("""COMPUTED_VALUE"""),"Yes")</f>
        <v>Yes</v>
      </c>
      <c r="M1501" s="1" t="str">
        <f>IFERROR(__xludf.DUMMYFUNCTION("""COMPUTED_VALUE"""),"Yes")</f>
        <v>Yes</v>
      </c>
      <c r="N1501" s="1" t="str">
        <f>IFERROR(__xludf.DUMMYFUNCTION("""COMPUTED_VALUE"""),"Yes")</f>
        <v>Yes</v>
      </c>
      <c r="O1501" s="1" t="str">
        <f>IFERROR(__xludf.DUMMYFUNCTION("""COMPUTED_VALUE"""),"WA ONLY")</f>
        <v>WA ONLY</v>
      </c>
      <c r="P1501" s="1" t="str">
        <f>IFERROR(__xludf.DUMMYFUNCTION("""COMPUTED_VALUE"""),"Madam")</f>
        <v>Madam</v>
      </c>
      <c r="Q1501" s="1" t="str">
        <f>IFERROR(__xludf.DUMMYFUNCTION("""COMPUTED_VALUE"""),"No")</f>
        <v>No</v>
      </c>
      <c r="R1501" s="1" t="str">
        <f>IFERROR(__xludf.DUMMYFUNCTION("""COMPUTED_VALUE"""),"NEW WALK IN")</f>
        <v>NEW WALK IN</v>
      </c>
      <c r="S1501" s="1" t="str">
        <f>IFERROR(__xludf.DUMMYFUNCTION("""COMPUTED_VALUE"""),"Yes")</f>
        <v>Yes</v>
      </c>
    </row>
    <row r="1502">
      <c r="A1502" s="2">
        <f>IFERROR(__xludf.DUMMYFUNCTION("""COMPUTED_VALUE"""),45972.54286804398)</f>
        <v>45972.54287</v>
      </c>
      <c r="B1502" s="1" t="str">
        <f>IFERROR(__xludf.DUMMYFUNCTION("""COMPUTED_VALUE"""),"Md. Kesair khan")</f>
        <v>Md. Kesair khan</v>
      </c>
      <c r="C1502" s="1">
        <f>IFERROR(__xludf.DUMMYFUNCTION("""COMPUTED_VALUE"""),9.999728283E9)</f>
        <v>9999728283</v>
      </c>
      <c r="D1502" s="1">
        <f>IFERROR(__xludf.DUMMYFUNCTION("""COMPUTED_VALUE"""),4.0)</f>
        <v>4</v>
      </c>
      <c r="E1502" s="3">
        <f>IFERROR(__xludf.DUMMYFUNCTION("""COMPUTED_VALUE"""),0.5763888888905058)</f>
        <v>0.5763888889</v>
      </c>
      <c r="F1502" s="1" t="str">
        <f>IFERROR(__xludf.DUMMYFUNCTION("""COMPUTED_VALUE"""),"Silver Items")</f>
        <v>Silver Items</v>
      </c>
      <c r="G1502" s="1"/>
      <c r="H1502" s="1" t="str">
        <f>IFERROR(__xludf.DUMMYFUNCTION("""COMPUTED_VALUE"""),"Silver set")</f>
        <v>Silver set</v>
      </c>
      <c r="I1502" s="1" t="str">
        <f>IFERROR(__xludf.DUMMYFUNCTION("""COMPUTED_VALUE"""),"Here for kitty as well")</f>
        <v>Here for kitty as well</v>
      </c>
      <c r="J1502" s="1"/>
      <c r="K1502" s="3">
        <f>IFERROR(__xludf.DUMMYFUNCTION("""COMPUTED_VALUE"""),0.6458333333357587)</f>
        <v>0.6458333333</v>
      </c>
      <c r="L1502" s="1" t="str">
        <f>IFERROR(__xludf.DUMMYFUNCTION("""COMPUTED_VALUE"""),"Yes")</f>
        <v>Yes</v>
      </c>
      <c r="M1502" s="1" t="str">
        <f>IFERROR(__xludf.DUMMYFUNCTION("""COMPUTED_VALUE"""),"No")</f>
        <v>No</v>
      </c>
      <c r="N1502" s="1" t="str">
        <f>IFERROR(__xludf.DUMMYFUNCTION("""COMPUTED_VALUE"""),"No")</f>
        <v>No</v>
      </c>
      <c r="O1502" s="1" t="str">
        <f>IFERROR(__xludf.DUMMYFUNCTION("""COMPUTED_VALUE"""),"WA ONLY")</f>
        <v>WA ONLY</v>
      </c>
      <c r="P1502" s="1" t="str">
        <f>IFERROR(__xludf.DUMMYFUNCTION("""COMPUTED_VALUE"""),"Sir")</f>
        <v>Sir</v>
      </c>
      <c r="Q1502" s="1" t="str">
        <f>IFERROR(__xludf.DUMMYFUNCTION("""COMPUTED_VALUE"""),"Yes")</f>
        <v>Yes</v>
      </c>
      <c r="R1502" s="1" t="str">
        <f>IFERROR(__xludf.DUMMYFUNCTION("""COMPUTED_VALUE"""),"OLD")</f>
        <v>OLD</v>
      </c>
      <c r="S1502" s="1" t="str">
        <f>IFERROR(__xludf.DUMMYFUNCTION("""COMPUTED_VALUE"""),"Yes")</f>
        <v>Yes</v>
      </c>
    </row>
    <row r="1503">
      <c r="A1503" s="2">
        <f>IFERROR(__xludf.DUMMYFUNCTION("""COMPUTED_VALUE"""),45972.54486149305)</f>
        <v>45972.54486</v>
      </c>
      <c r="B1503" s="1" t="str">
        <f>IFERROR(__xludf.DUMMYFUNCTION("""COMPUTED_VALUE"""),"Poonam sharma ji")</f>
        <v>Poonam sharma ji</v>
      </c>
      <c r="C1503" s="1">
        <f>IFERROR(__xludf.DUMMYFUNCTION("""COMPUTED_VALUE"""),9.350104257E9)</f>
        <v>9350104257</v>
      </c>
      <c r="D1503" s="1">
        <f>IFERROR(__xludf.DUMMYFUNCTION("""COMPUTED_VALUE"""),4.0)</f>
        <v>4</v>
      </c>
      <c r="E1503" s="3">
        <f>IFERROR(__xludf.DUMMYFUNCTION("""COMPUTED_VALUE"""),0.5999999999985448)</f>
        <v>0.6</v>
      </c>
      <c r="F1503" s="1" t="str">
        <f>IFERROR(__xludf.DUMMYFUNCTION("""COMPUTED_VALUE"""),"Diamond")</f>
        <v>Diamond</v>
      </c>
      <c r="G1503" s="1"/>
      <c r="H1503" s="1" t="str">
        <f>IFERROR(__xludf.DUMMYFUNCTION("""COMPUTED_VALUE"""),"Silver set Diamond ring")</f>
        <v>Silver set Diamond ring</v>
      </c>
      <c r="I1503" s="1" t="str">
        <f>IFERROR(__xludf.DUMMYFUNCTION("""COMPUTED_VALUE"""),"Gave an order")</f>
        <v>Gave an order</v>
      </c>
      <c r="J1503" s="1"/>
      <c r="K1503" s="3">
        <f>IFERROR(__xludf.DUMMYFUNCTION("""COMPUTED_VALUE"""),0.6770833333357587)</f>
        <v>0.6770833333</v>
      </c>
      <c r="L1503" s="1" t="str">
        <f>IFERROR(__xludf.DUMMYFUNCTION("""COMPUTED_VALUE"""),"Yes")</f>
        <v>Yes</v>
      </c>
      <c r="M1503" s="1" t="str">
        <f>IFERROR(__xludf.DUMMYFUNCTION("""COMPUTED_VALUE"""),"Yes")</f>
        <v>Yes</v>
      </c>
      <c r="N1503" s="1" t="str">
        <f>IFERROR(__xludf.DUMMYFUNCTION("""COMPUTED_VALUE"""),"No")</f>
        <v>No</v>
      </c>
      <c r="O1503" s="1" t="str">
        <f>IFERROR(__xludf.DUMMYFUNCTION("""COMPUTED_VALUE"""),"WA ONLY")</f>
        <v>WA ONLY</v>
      </c>
      <c r="P1503" s="1" t="str">
        <f>IFERROR(__xludf.DUMMYFUNCTION("""COMPUTED_VALUE"""),"Madam")</f>
        <v>Madam</v>
      </c>
      <c r="Q1503" s="1" t="str">
        <f>IFERROR(__xludf.DUMMYFUNCTION("""COMPUTED_VALUE"""),"No")</f>
        <v>No</v>
      </c>
      <c r="R1503" s="1" t="str">
        <f>IFERROR(__xludf.DUMMYFUNCTION("""COMPUTED_VALUE"""),"NEW WALK IN")</f>
        <v>NEW WALK IN</v>
      </c>
      <c r="S1503" s="1" t="str">
        <f>IFERROR(__xludf.DUMMYFUNCTION("""COMPUTED_VALUE"""),"No")</f>
        <v>No</v>
      </c>
    </row>
    <row r="1504">
      <c r="A1504" s="2">
        <f>IFERROR(__xludf.DUMMYFUNCTION("""COMPUTED_VALUE"""),45972.546295057866)</f>
        <v>45972.5463</v>
      </c>
      <c r="B1504" s="1" t="str">
        <f>IFERROR(__xludf.DUMMYFUNCTION("""COMPUTED_VALUE"""),"Shailendra ji")</f>
        <v>Shailendra ji</v>
      </c>
      <c r="C1504" s="1">
        <f>IFERROR(__xludf.DUMMYFUNCTION("""COMPUTED_VALUE"""),9.355611119E9)</f>
        <v>9355611119</v>
      </c>
      <c r="D1504" s="1">
        <f>IFERROR(__xludf.DUMMYFUNCTION("""COMPUTED_VALUE"""),1.0)</f>
        <v>1</v>
      </c>
      <c r="E1504" s="3">
        <f>IFERROR(__xludf.DUMMYFUNCTION("""COMPUTED_VALUE"""),0.5520833333357587)</f>
        <v>0.5520833333</v>
      </c>
      <c r="F1504" s="1" t="str">
        <f>IFERROR(__xludf.DUMMYFUNCTION("""COMPUTED_VALUE"""),"Plain Gold")</f>
        <v>Plain Gold</v>
      </c>
      <c r="G1504" s="1" t="str">
        <f>IFERROR(__xludf.DUMMYFUNCTION("""COMPUTED_VALUE"""),"Pooja")</f>
        <v>Pooja</v>
      </c>
      <c r="H1504" s="1" t="str">
        <f>IFERROR(__xludf.DUMMYFUNCTION("""COMPUTED_VALUE"""),"Ring")</f>
        <v>Ring</v>
      </c>
      <c r="I1504" s="1"/>
      <c r="J1504" s="1"/>
      <c r="K1504" s="3">
        <f>IFERROR(__xludf.DUMMYFUNCTION("""COMPUTED_VALUE"""),0.6208333333343035)</f>
        <v>0.6208333333</v>
      </c>
      <c r="L1504" s="1" t="str">
        <f>IFERROR(__xludf.DUMMYFUNCTION("""COMPUTED_VALUE"""),"Yes")</f>
        <v>Yes</v>
      </c>
      <c r="M1504" s="1" t="str">
        <f>IFERROR(__xludf.DUMMYFUNCTION("""COMPUTED_VALUE"""),"Yes")</f>
        <v>Yes</v>
      </c>
      <c r="N1504" s="1" t="str">
        <f>IFERROR(__xludf.DUMMYFUNCTION("""COMPUTED_VALUE"""),"No")</f>
        <v>No</v>
      </c>
      <c r="O1504" s="1" t="str">
        <f>IFERROR(__xludf.DUMMYFUNCTION("""COMPUTED_VALUE"""),"WA ONLY")</f>
        <v>WA ONLY</v>
      </c>
      <c r="P1504" s="1" t="str">
        <f>IFERROR(__xludf.DUMMYFUNCTION("""COMPUTED_VALUE"""),"Sir")</f>
        <v>Sir</v>
      </c>
      <c r="Q1504" s="1" t="str">
        <f>IFERROR(__xludf.DUMMYFUNCTION("""COMPUTED_VALUE"""),"Yes")</f>
        <v>Yes</v>
      </c>
      <c r="R1504" s="1" t="str">
        <f>IFERROR(__xludf.DUMMYFUNCTION("""COMPUTED_VALUE"""),"OLD")</f>
        <v>OLD</v>
      </c>
      <c r="S1504" s="1" t="str">
        <f>IFERROR(__xludf.DUMMYFUNCTION("""COMPUTED_VALUE"""),"Yes")</f>
        <v>Yes</v>
      </c>
    </row>
    <row r="1505">
      <c r="A1505" s="2">
        <f>IFERROR(__xludf.DUMMYFUNCTION("""COMPUTED_VALUE"""),45972.54763538194)</f>
        <v>45972.54764</v>
      </c>
      <c r="B1505" s="1" t="str">
        <f>IFERROR(__xludf.DUMMYFUNCTION("""COMPUTED_VALUE"""),"Vijai ji Sydney ")</f>
        <v>Vijai ji Sydney </v>
      </c>
      <c r="C1505" s="1" t="str">
        <f>IFERROR(__xludf.DUMMYFUNCTION("""COMPUTED_VALUE"""),"+61434259584")</f>
        <v>+61434259584</v>
      </c>
      <c r="D1505" s="1">
        <f>IFERROR(__xludf.DUMMYFUNCTION("""COMPUTED_VALUE"""),5.0)</f>
        <v>5</v>
      </c>
      <c r="E1505" s="3">
        <f>IFERROR(__xludf.DUMMYFUNCTION("""COMPUTED_VALUE"""),0.6541666666671517)</f>
        <v>0.6541666667</v>
      </c>
      <c r="F1505" s="1" t="str">
        <f>IFERROR(__xludf.DUMMYFUNCTION("""COMPUTED_VALUE"""),"Plain Gold")</f>
        <v>Plain Gold</v>
      </c>
      <c r="G1505" s="1" t="str">
        <f>IFERROR(__xludf.DUMMYFUNCTION("""COMPUTED_VALUE"""),"Pooja")</f>
        <v>Pooja</v>
      </c>
      <c r="H1505" s="1" t="str">
        <f>IFERROR(__xludf.DUMMYFUNCTION("""COMPUTED_VALUE"""),"Diamond ring sets coin")</f>
        <v>Diamond ring sets coin</v>
      </c>
      <c r="I1505" s="1"/>
      <c r="J1505" s="1"/>
      <c r="K1505" s="3">
        <f>IFERROR(__xludf.DUMMYFUNCTION("""COMPUTED_VALUE"""),0.8333333333357587)</f>
        <v>0.8333333333</v>
      </c>
      <c r="L1505" s="1" t="str">
        <f>IFERROR(__xludf.DUMMYFUNCTION("""COMPUTED_VALUE"""),"Yes")</f>
        <v>Yes</v>
      </c>
      <c r="M1505" s="1" t="str">
        <f>IFERROR(__xludf.DUMMYFUNCTION("""COMPUTED_VALUE"""),"No")</f>
        <v>No</v>
      </c>
      <c r="N1505" s="1" t="str">
        <f>IFERROR(__xludf.DUMMYFUNCTION("""COMPUTED_VALUE"""),"No")</f>
        <v>No</v>
      </c>
      <c r="O1505" s="1" t="str">
        <f>IFERROR(__xludf.DUMMYFUNCTION("""COMPUTED_VALUE"""),"WA ONLY")</f>
        <v>WA ONLY</v>
      </c>
      <c r="P1505" s="1" t="str">
        <f>IFERROR(__xludf.DUMMYFUNCTION("""COMPUTED_VALUE"""),"Sir")</f>
        <v>Sir</v>
      </c>
      <c r="Q1505" s="1" t="str">
        <f>IFERROR(__xludf.DUMMYFUNCTION("""COMPUTED_VALUE"""),"No")</f>
        <v>No</v>
      </c>
      <c r="R1505" s="1" t="str">
        <f>IFERROR(__xludf.DUMMYFUNCTION("""COMPUTED_VALUE"""),"OLD")</f>
        <v>OLD</v>
      </c>
      <c r="S1505" s="1" t="str">
        <f>IFERROR(__xludf.DUMMYFUNCTION("""COMPUTED_VALUE"""),"No")</f>
        <v>No</v>
      </c>
    </row>
    <row r="1506">
      <c r="A1506" s="2">
        <f>IFERROR(__xludf.DUMMYFUNCTION("""COMPUTED_VALUE"""),45972.551793125)</f>
        <v>45972.55179</v>
      </c>
      <c r="B1506" s="1" t="str">
        <f>IFERROR(__xludf.DUMMYFUNCTION("""COMPUTED_VALUE"""),"Kanika ji")</f>
        <v>Kanika ji</v>
      </c>
      <c r="C1506" s="1">
        <f>IFERROR(__xludf.DUMMYFUNCTION("""COMPUTED_VALUE"""),9.910470144E9)</f>
        <v>9910470144</v>
      </c>
      <c r="D1506" s="1">
        <f>IFERROR(__xludf.DUMMYFUNCTION("""COMPUTED_VALUE"""),8.0)</f>
        <v>8</v>
      </c>
      <c r="E1506" s="3">
        <f>IFERROR(__xludf.DUMMYFUNCTION("""COMPUTED_VALUE"""),0.711111111115315)</f>
        <v>0.7111111111</v>
      </c>
      <c r="F1506" s="1" t="str">
        <f>IFERROR(__xludf.DUMMYFUNCTION("""COMPUTED_VALUE"""),"Plain Gold")</f>
        <v>Plain Gold</v>
      </c>
      <c r="G1506" s="1"/>
      <c r="H1506" s="1" t="str">
        <f>IFERROR(__xludf.DUMMYFUNCTION("""COMPUTED_VALUE"""),"Gold bracelet ")</f>
        <v>Gold bracelet </v>
      </c>
      <c r="I1506" s="1" t="str">
        <f>IFERROR(__xludf.DUMMYFUNCTION("""COMPUTED_VALUE"""),"Had an issue with making charges")</f>
        <v>Had an issue with making charges</v>
      </c>
      <c r="J1506" s="1"/>
      <c r="K1506" s="3">
        <f>IFERROR(__xludf.DUMMYFUNCTION("""COMPUTED_VALUE"""),0.765277777776646)</f>
        <v>0.7652777778</v>
      </c>
      <c r="L1506" s="1" t="str">
        <f>IFERROR(__xludf.DUMMYFUNCTION("""COMPUTED_VALUE"""),"No")</f>
        <v>No</v>
      </c>
      <c r="M1506" s="1" t="str">
        <f>IFERROR(__xludf.DUMMYFUNCTION("""COMPUTED_VALUE"""),"No")</f>
        <v>No</v>
      </c>
      <c r="N1506" s="1" t="str">
        <f>IFERROR(__xludf.DUMMYFUNCTION("""COMPUTED_VALUE"""),"No")</f>
        <v>No</v>
      </c>
      <c r="O1506" s="1" t="str">
        <f>IFERROR(__xludf.DUMMYFUNCTION("""COMPUTED_VALUE"""),"WA ONLY")</f>
        <v>WA ONLY</v>
      </c>
      <c r="P1506" s="1" t="str">
        <f>IFERROR(__xludf.DUMMYFUNCTION("""COMPUTED_VALUE"""),"Madam")</f>
        <v>Madam</v>
      </c>
      <c r="Q1506" s="1" t="str">
        <f>IFERROR(__xludf.DUMMYFUNCTION("""COMPUTED_VALUE"""),"No")</f>
        <v>No</v>
      </c>
      <c r="R1506" s="1" t="str">
        <f>IFERROR(__xludf.DUMMYFUNCTION("""COMPUTED_VALUE"""),"NEW WALK IN")</f>
        <v>NEW WALK IN</v>
      </c>
      <c r="S1506" s="1" t="str">
        <f>IFERROR(__xludf.DUMMYFUNCTION("""COMPUTED_VALUE"""),"No")</f>
        <v>No</v>
      </c>
    </row>
    <row r="1507">
      <c r="A1507" s="2">
        <f>IFERROR(__xludf.DUMMYFUNCTION("""COMPUTED_VALUE"""),45972.55311497685)</f>
        <v>45972.55311</v>
      </c>
      <c r="B1507" s="1" t="str">
        <f>IFERROR(__xludf.DUMMYFUNCTION("""COMPUTED_VALUE"""),"Vaibhav jain ji")</f>
        <v>Vaibhav jain ji</v>
      </c>
      <c r="C1507" s="1">
        <f>IFERROR(__xludf.DUMMYFUNCTION("""COMPUTED_VALUE"""),9.910378325E9)</f>
        <v>9910378325</v>
      </c>
      <c r="D1507" s="1">
        <f>IFERROR(__xludf.DUMMYFUNCTION("""COMPUTED_VALUE"""),3.0)</f>
        <v>3</v>
      </c>
      <c r="E1507" s="3">
        <f>IFERROR(__xludf.DUMMYFUNCTION("""COMPUTED_VALUE"""),0.7604166666642413)</f>
        <v>0.7604166667</v>
      </c>
      <c r="F1507" s="1" t="str">
        <f>IFERROR(__xludf.DUMMYFUNCTION("""COMPUTED_VALUE"""),"Silver Items")</f>
        <v>Silver Items</v>
      </c>
      <c r="G1507" s="1"/>
      <c r="H1507" s="1" t="str">
        <f>IFERROR(__xludf.DUMMYFUNCTION("""COMPUTED_VALUE"""),"Mmtc coins")</f>
        <v>Mmtc coins</v>
      </c>
      <c r="I1507" s="1"/>
      <c r="J1507" s="1"/>
      <c r="K1507" s="3">
        <f>IFERROR(__xludf.DUMMYFUNCTION("""COMPUTED_VALUE"""),0.7798611111065838)</f>
        <v>0.7798611111</v>
      </c>
      <c r="L1507" s="1" t="str">
        <f>IFERROR(__xludf.DUMMYFUNCTION("""COMPUTED_VALUE"""),"No")</f>
        <v>No</v>
      </c>
      <c r="M1507" s="1" t="str">
        <f>IFERROR(__xludf.DUMMYFUNCTION("""COMPUTED_VALUE"""),"No")</f>
        <v>No</v>
      </c>
      <c r="N1507" s="1" t="str">
        <f>IFERROR(__xludf.DUMMYFUNCTION("""COMPUTED_VALUE"""),"No")</f>
        <v>No</v>
      </c>
      <c r="O1507" s="1" t="str">
        <f>IFERROR(__xludf.DUMMYFUNCTION("""COMPUTED_VALUE"""),"WA ONLY")</f>
        <v>WA ONLY</v>
      </c>
      <c r="P1507" s="1" t="str">
        <f>IFERROR(__xludf.DUMMYFUNCTION("""COMPUTED_VALUE"""),"Sir")</f>
        <v>Sir</v>
      </c>
      <c r="Q1507" s="1" t="str">
        <f>IFERROR(__xludf.DUMMYFUNCTION("""COMPUTED_VALUE"""),"No")</f>
        <v>No</v>
      </c>
      <c r="R1507" s="1" t="str">
        <f>IFERROR(__xludf.DUMMYFUNCTION("""COMPUTED_VALUE"""),"OLD")</f>
        <v>OLD</v>
      </c>
      <c r="S1507" s="1" t="str">
        <f>IFERROR(__xludf.DUMMYFUNCTION("""COMPUTED_VALUE"""),"Yes")</f>
        <v>Yes</v>
      </c>
    </row>
    <row r="1508">
      <c r="A1508" s="2">
        <f>IFERROR(__xludf.DUMMYFUNCTION("""COMPUTED_VALUE"""),45972.55618222222)</f>
        <v>45972.55618</v>
      </c>
      <c r="B1508" s="1" t="str">
        <f>IFERROR(__xludf.DUMMYFUNCTION("""COMPUTED_VALUE"""),"Vaibhav jain ji")</f>
        <v>Vaibhav jain ji</v>
      </c>
      <c r="C1508" s="1">
        <f>IFERROR(__xludf.DUMMYFUNCTION("""COMPUTED_VALUE"""),9.910378325E9)</f>
        <v>9910378325</v>
      </c>
      <c r="D1508" s="1">
        <f>IFERROR(__xludf.DUMMYFUNCTION("""COMPUTED_VALUE"""),3.0)</f>
        <v>3</v>
      </c>
      <c r="E1508" s="3">
        <f>IFERROR(__xludf.DUMMYFUNCTION("""COMPUTED_VALUE"""),0.7604166666642413)</f>
        <v>0.7604166667</v>
      </c>
      <c r="F1508" s="1" t="str">
        <f>IFERROR(__xludf.DUMMYFUNCTION("""COMPUTED_VALUE"""),"Silver Items")</f>
        <v>Silver Items</v>
      </c>
      <c r="G1508" s="1"/>
      <c r="H1508" s="1" t="str">
        <f>IFERROR(__xludf.DUMMYFUNCTION("""COMPUTED_VALUE"""),"Mmtc coins ")</f>
        <v>Mmtc coins </v>
      </c>
      <c r="I1508" s="1"/>
      <c r="J1508" s="1"/>
      <c r="K1508" s="3">
        <f>IFERROR(__xludf.DUMMYFUNCTION("""COMPUTED_VALUE"""),0.7798611111065838)</f>
        <v>0.7798611111</v>
      </c>
      <c r="L1508" s="1" t="str">
        <f>IFERROR(__xludf.DUMMYFUNCTION("""COMPUTED_VALUE"""),"No")</f>
        <v>No</v>
      </c>
      <c r="M1508" s="1" t="str">
        <f>IFERROR(__xludf.DUMMYFUNCTION("""COMPUTED_VALUE"""),"No")</f>
        <v>No</v>
      </c>
      <c r="N1508" s="1" t="str">
        <f>IFERROR(__xludf.DUMMYFUNCTION("""COMPUTED_VALUE"""),"No")</f>
        <v>No</v>
      </c>
      <c r="O1508" s="1" t="str">
        <f>IFERROR(__xludf.DUMMYFUNCTION("""COMPUTED_VALUE"""),"WA ONLY")</f>
        <v>WA ONLY</v>
      </c>
      <c r="P1508" s="1" t="str">
        <f>IFERROR(__xludf.DUMMYFUNCTION("""COMPUTED_VALUE"""),"Sir")</f>
        <v>Sir</v>
      </c>
      <c r="Q1508" s="1" t="str">
        <f>IFERROR(__xludf.DUMMYFUNCTION("""COMPUTED_VALUE"""),"No")</f>
        <v>No</v>
      </c>
      <c r="R1508" s="1" t="str">
        <f>IFERROR(__xludf.DUMMYFUNCTION("""COMPUTED_VALUE"""),"OLD")</f>
        <v>OLD</v>
      </c>
      <c r="S1508" s="1" t="str">
        <f>IFERROR(__xludf.DUMMYFUNCTION("""COMPUTED_VALUE"""),"Yes")</f>
        <v>Yes</v>
      </c>
    </row>
    <row r="1509">
      <c r="A1509" s="2">
        <f>IFERROR(__xludf.DUMMYFUNCTION("""COMPUTED_VALUE"""),45972.55816252315)</f>
        <v>45972.55816</v>
      </c>
      <c r="B1509" s="1" t="str">
        <f>IFERROR(__xludf.DUMMYFUNCTION("""COMPUTED_VALUE"""),"Sunny uppal ji")</f>
        <v>Sunny uppal ji</v>
      </c>
      <c r="C1509" s="1">
        <f>IFERROR(__xludf.DUMMYFUNCTION("""COMPUTED_VALUE"""),9.810882842E9)</f>
        <v>9810882842</v>
      </c>
      <c r="D1509" s="1">
        <f>IFERROR(__xludf.DUMMYFUNCTION("""COMPUTED_VALUE"""),2.0)</f>
        <v>2</v>
      </c>
      <c r="E1509" s="3">
        <f>IFERROR(__xludf.DUMMYFUNCTION("""COMPUTED_VALUE"""),0.7881944444452529)</f>
        <v>0.7881944444</v>
      </c>
      <c r="F1509" s="1" t="str">
        <f>IFERROR(__xludf.DUMMYFUNCTION("""COMPUTED_VALUE"""),"Silver Items")</f>
        <v>Silver Items</v>
      </c>
      <c r="G1509" s="1" t="str">
        <f>IFERROR(__xludf.DUMMYFUNCTION("""COMPUTED_VALUE"""),"Pooja")</f>
        <v>Pooja</v>
      </c>
      <c r="H1509" s="1" t="str">
        <f>IFERROR(__xludf.DUMMYFUNCTION("""COMPUTED_VALUE"""),"Silver chain diamond studs 1 gm silver coin")</f>
        <v>Silver chain diamond studs 1 gm silver coin</v>
      </c>
      <c r="I1509" s="1"/>
      <c r="J1509" s="1"/>
      <c r="K1509" s="3">
        <f>IFERROR(__xludf.DUMMYFUNCTION("""COMPUTED_VALUE"""),0.8020833333357587)</f>
        <v>0.8020833333</v>
      </c>
      <c r="L1509" s="1" t="str">
        <f>IFERROR(__xludf.DUMMYFUNCTION("""COMPUTED_VALUE"""),"Yes")</f>
        <v>Yes</v>
      </c>
      <c r="M1509" s="1" t="str">
        <f>IFERROR(__xludf.DUMMYFUNCTION("""COMPUTED_VALUE"""),"No")</f>
        <v>No</v>
      </c>
      <c r="N1509" s="1" t="str">
        <f>IFERROR(__xludf.DUMMYFUNCTION("""COMPUTED_VALUE"""),"No")</f>
        <v>No</v>
      </c>
      <c r="O1509" s="1" t="str">
        <f>IFERROR(__xludf.DUMMYFUNCTION("""COMPUTED_VALUE"""),"WA ONLY")</f>
        <v>WA ONLY</v>
      </c>
      <c r="P1509" s="1" t="str">
        <f>IFERROR(__xludf.DUMMYFUNCTION("""COMPUTED_VALUE"""),"Sir")</f>
        <v>Sir</v>
      </c>
      <c r="Q1509" s="1" t="str">
        <f>IFERROR(__xludf.DUMMYFUNCTION("""COMPUTED_VALUE"""),"No")</f>
        <v>No</v>
      </c>
      <c r="R1509" s="1" t="str">
        <f>IFERROR(__xludf.DUMMYFUNCTION("""COMPUTED_VALUE"""),"NEW WALK IN")</f>
        <v>NEW WALK IN</v>
      </c>
      <c r="S1509" s="1" t="str">
        <f>IFERROR(__xludf.DUMMYFUNCTION("""COMPUTED_VALUE"""),"Yes")</f>
        <v>Yes</v>
      </c>
    </row>
    <row r="1510">
      <c r="A1510" s="2">
        <f>IFERROR(__xludf.DUMMYFUNCTION("""COMPUTED_VALUE"""),45973.56051642361)</f>
        <v>45973.56052</v>
      </c>
      <c r="B1510" s="1" t="str">
        <f>IFERROR(__xludf.DUMMYFUNCTION("""COMPUTED_VALUE"""),"Anju kapoor ji")</f>
        <v>Anju kapoor ji</v>
      </c>
      <c r="C1510" s="1">
        <f>IFERROR(__xludf.DUMMYFUNCTION("""COMPUTED_VALUE"""),9.910797272E9)</f>
        <v>9910797272</v>
      </c>
      <c r="D1510" s="1">
        <f>IFERROR(__xludf.DUMMYFUNCTION("""COMPUTED_VALUE"""),3.0)</f>
        <v>3</v>
      </c>
      <c r="E1510" s="3">
        <f>IFERROR(__xludf.DUMMYFUNCTION("""COMPUTED_VALUE"""),0.5625)</f>
        <v>0.5625</v>
      </c>
      <c r="F1510" s="1" t="str">
        <f>IFERROR(__xludf.DUMMYFUNCTION("""COMPUTED_VALUE"""),"Plain Gold")</f>
        <v>Plain Gold</v>
      </c>
      <c r="G1510" s="1" t="str">
        <f>IFERROR(__xludf.DUMMYFUNCTION("""COMPUTED_VALUE"""),"Pooja")</f>
        <v>Pooja</v>
      </c>
      <c r="H1510" s="1" t="str">
        <f>IFERROR(__xludf.DUMMYFUNCTION("""COMPUTED_VALUE"""),"Diamond bracelet gold bracelets ")</f>
        <v>Diamond bracelet gold bracelets </v>
      </c>
      <c r="I1510" s="1" t="str">
        <f>IFERROR(__xludf.DUMMYFUNCTION("""COMPUTED_VALUE"""),"Here for repair as well")</f>
        <v>Here for repair as well</v>
      </c>
      <c r="J1510" s="1"/>
      <c r="K1510" s="3">
        <f>IFERROR(__xludf.DUMMYFUNCTION("""COMPUTED_VALUE"""),0.765277777776646)</f>
        <v>0.7652777778</v>
      </c>
      <c r="L1510" s="1" t="str">
        <f>IFERROR(__xludf.DUMMYFUNCTION("""COMPUTED_VALUE"""),"Yes")</f>
        <v>Yes</v>
      </c>
      <c r="M1510" s="1" t="str">
        <f>IFERROR(__xludf.DUMMYFUNCTION("""COMPUTED_VALUE"""),"Yes")</f>
        <v>Yes</v>
      </c>
      <c r="N1510" s="1" t="str">
        <f>IFERROR(__xludf.DUMMYFUNCTION("""COMPUTED_VALUE"""),"Yes")</f>
        <v>Yes</v>
      </c>
      <c r="O1510" s="1" t="str">
        <f>IFERROR(__xludf.DUMMYFUNCTION("""COMPUTED_VALUE"""),"WA ONLY")</f>
        <v>WA ONLY</v>
      </c>
      <c r="P1510" s="1" t="str">
        <f>IFERROR(__xludf.DUMMYFUNCTION("""COMPUTED_VALUE"""),"Madam")</f>
        <v>Madam</v>
      </c>
      <c r="Q1510" s="1" t="str">
        <f>IFERROR(__xludf.DUMMYFUNCTION("""COMPUTED_VALUE"""),"No")</f>
        <v>No</v>
      </c>
      <c r="R1510" s="1" t="str">
        <f>IFERROR(__xludf.DUMMYFUNCTION("""COMPUTED_VALUE"""),"OLD")</f>
        <v>OLD</v>
      </c>
      <c r="S1510" s="1" t="str">
        <f>IFERROR(__xludf.DUMMYFUNCTION("""COMPUTED_VALUE"""),"Yes")</f>
        <v>Yes</v>
      </c>
    </row>
    <row r="1511">
      <c r="A1511" s="2">
        <f>IFERROR(__xludf.DUMMYFUNCTION("""COMPUTED_VALUE"""),45973.57655878473)</f>
        <v>45973.57656</v>
      </c>
      <c r="B1511" s="1" t="str">
        <f>IFERROR(__xludf.DUMMYFUNCTION("""COMPUTED_VALUE"""),"Akanksha ji")</f>
        <v>Akanksha ji</v>
      </c>
      <c r="C1511" s="1">
        <f>IFERROR(__xludf.DUMMYFUNCTION("""COMPUTED_VALUE"""),8.750212242E9)</f>
        <v>8750212242</v>
      </c>
      <c r="D1511" s="1">
        <f>IFERROR(__xludf.DUMMYFUNCTION("""COMPUTED_VALUE"""),3.0)</f>
        <v>3</v>
      </c>
      <c r="E1511" s="3">
        <f>IFERROR(__xludf.DUMMYFUNCTION("""COMPUTED_VALUE"""),0.6423611111094942)</f>
        <v>0.6423611111</v>
      </c>
      <c r="F1511" s="1" t="str">
        <f>IFERROR(__xludf.DUMMYFUNCTION("""COMPUTED_VALUE"""),"Silver Items")</f>
        <v>Silver Items</v>
      </c>
      <c r="G1511" s="1"/>
      <c r="H1511" s="1" t="str">
        <f>IFERROR(__xludf.DUMMYFUNCTION("""COMPUTED_VALUE"""),"Silver anklets")</f>
        <v>Silver anklets</v>
      </c>
      <c r="I1511" s="1"/>
      <c r="J1511" s="1"/>
      <c r="K1511" s="3">
        <f>IFERROR(__xludf.DUMMYFUNCTION("""COMPUTED_VALUE"""),0.6784722222218988)</f>
        <v>0.6784722222</v>
      </c>
      <c r="L1511" s="1" t="str">
        <f>IFERROR(__xludf.DUMMYFUNCTION("""COMPUTED_VALUE"""),"No")</f>
        <v>No</v>
      </c>
      <c r="M1511" s="1" t="str">
        <f>IFERROR(__xludf.DUMMYFUNCTION("""COMPUTED_VALUE"""),"Yes")</f>
        <v>Yes</v>
      </c>
      <c r="N1511" s="1" t="str">
        <f>IFERROR(__xludf.DUMMYFUNCTION("""COMPUTED_VALUE"""),"Yes")</f>
        <v>Yes</v>
      </c>
      <c r="O1511" s="1" t="str">
        <f>IFERROR(__xludf.DUMMYFUNCTION("""COMPUTED_VALUE"""),"WA ONLY")</f>
        <v>WA ONLY</v>
      </c>
      <c r="P1511" s="1" t="str">
        <f>IFERROR(__xludf.DUMMYFUNCTION("""COMPUTED_VALUE"""),"Madam")</f>
        <v>Madam</v>
      </c>
      <c r="Q1511" s="1" t="str">
        <f>IFERROR(__xludf.DUMMYFUNCTION("""COMPUTED_VALUE"""),"No")</f>
        <v>No</v>
      </c>
      <c r="R1511" s="1" t="str">
        <f>IFERROR(__xludf.DUMMYFUNCTION("""COMPUTED_VALUE"""),"OLD")</f>
        <v>OLD</v>
      </c>
      <c r="S1511" s="1" t="str">
        <f>IFERROR(__xludf.DUMMYFUNCTION("""COMPUTED_VALUE"""),"Yes")</f>
        <v>Yes</v>
      </c>
    </row>
    <row r="1512">
      <c r="A1512" s="2">
        <f>IFERROR(__xludf.DUMMYFUNCTION("""COMPUTED_VALUE"""),45973.57788040509)</f>
        <v>45973.57788</v>
      </c>
      <c r="B1512" s="1" t="str">
        <f>IFERROR(__xludf.DUMMYFUNCTION("""COMPUTED_VALUE"""),"Kusum ji")</f>
        <v>Kusum ji</v>
      </c>
      <c r="C1512" s="1">
        <f>IFERROR(__xludf.DUMMYFUNCTION("""COMPUTED_VALUE"""),8.368953488E9)</f>
        <v>8368953488</v>
      </c>
      <c r="D1512" s="1">
        <f>IFERROR(__xludf.DUMMYFUNCTION("""COMPUTED_VALUE"""),2.0)</f>
        <v>2</v>
      </c>
      <c r="E1512" s="3">
        <f>IFERROR(__xludf.DUMMYFUNCTION("""COMPUTED_VALUE"""),0.6458333333357587)</f>
        <v>0.6458333333</v>
      </c>
      <c r="F1512" s="1" t="str">
        <f>IFERROR(__xludf.DUMMYFUNCTION("""COMPUTED_VALUE"""),"Diamond")</f>
        <v>Diamond</v>
      </c>
      <c r="G1512" s="1"/>
      <c r="H1512" s="1" t="str">
        <f>IFERROR(__xludf.DUMMYFUNCTION("""COMPUTED_VALUE"""),"Here for kitty")</f>
        <v>Here for kitty</v>
      </c>
      <c r="I1512" s="1"/>
      <c r="J1512" s="1"/>
      <c r="K1512" s="3">
        <f>IFERROR(__xludf.DUMMYFUNCTION("""COMPUTED_VALUE"""),0.6555555555532919)</f>
        <v>0.6555555556</v>
      </c>
      <c r="L1512" s="1" t="str">
        <f>IFERROR(__xludf.DUMMYFUNCTION("""COMPUTED_VALUE"""),"Yes")</f>
        <v>Yes</v>
      </c>
      <c r="M1512" s="1" t="str">
        <f>IFERROR(__xludf.DUMMYFUNCTION("""COMPUTED_VALUE"""),"No")</f>
        <v>No</v>
      </c>
      <c r="N1512" s="1" t="str">
        <f>IFERROR(__xludf.DUMMYFUNCTION("""COMPUTED_VALUE"""),"No")</f>
        <v>No</v>
      </c>
      <c r="O1512" s="1" t="str">
        <f>IFERROR(__xludf.DUMMYFUNCTION("""COMPUTED_VALUE"""),"WA ONLY")</f>
        <v>WA ONLY</v>
      </c>
      <c r="P1512" s="1" t="str">
        <f>IFERROR(__xludf.DUMMYFUNCTION("""COMPUTED_VALUE"""),"Madam")</f>
        <v>Madam</v>
      </c>
      <c r="Q1512" s="1" t="str">
        <f>IFERROR(__xludf.DUMMYFUNCTION("""COMPUTED_VALUE"""),"Yes")</f>
        <v>Yes</v>
      </c>
      <c r="R1512" s="1" t="str">
        <f>IFERROR(__xludf.DUMMYFUNCTION("""COMPUTED_VALUE"""),"OLD")</f>
        <v>OLD</v>
      </c>
      <c r="S1512" s="1" t="str">
        <f>IFERROR(__xludf.DUMMYFUNCTION("""COMPUTED_VALUE"""),"No")</f>
        <v>No</v>
      </c>
    </row>
    <row r="1513">
      <c r="A1513" s="2">
        <f>IFERROR(__xludf.DUMMYFUNCTION("""COMPUTED_VALUE"""),45973.57903425926)</f>
        <v>45973.57903</v>
      </c>
      <c r="B1513" s="1" t="str">
        <f>IFERROR(__xludf.DUMMYFUNCTION("""COMPUTED_VALUE"""),"Anamika ji")</f>
        <v>Anamika ji</v>
      </c>
      <c r="C1513" s="1">
        <f>IFERROR(__xludf.DUMMYFUNCTION("""COMPUTED_VALUE"""),9.873305151E9)</f>
        <v>9873305151</v>
      </c>
      <c r="D1513" s="1">
        <f>IFERROR(__xludf.DUMMYFUNCTION("""COMPUTED_VALUE"""),2.0)</f>
        <v>2</v>
      </c>
      <c r="E1513" s="3">
        <f>IFERROR(__xludf.DUMMYFUNCTION("""COMPUTED_VALUE"""),0.6666666666642413)</f>
        <v>0.6666666667</v>
      </c>
      <c r="F1513" s="1" t="str">
        <f>IFERROR(__xludf.DUMMYFUNCTION("""COMPUTED_VALUE"""),"Diamond")</f>
        <v>Diamond</v>
      </c>
      <c r="G1513" s="1"/>
      <c r="H1513" s="1" t="str">
        <f>IFERROR(__xludf.DUMMYFUNCTION("""COMPUTED_VALUE"""),"Diamond pendent silver chain")</f>
        <v>Diamond pendent silver chain</v>
      </c>
      <c r="I1513" s="1"/>
      <c r="J1513" s="1"/>
      <c r="K1513" s="3">
        <f>IFERROR(__xludf.DUMMYFUNCTION("""COMPUTED_VALUE"""),0.7840277777795563)</f>
        <v>0.7840277778</v>
      </c>
      <c r="L1513" s="1" t="str">
        <f>IFERROR(__xludf.DUMMYFUNCTION("""COMPUTED_VALUE"""),"Yes")</f>
        <v>Yes</v>
      </c>
      <c r="M1513" s="1" t="str">
        <f>IFERROR(__xludf.DUMMYFUNCTION("""COMPUTED_VALUE"""),"Yes")</f>
        <v>Yes</v>
      </c>
      <c r="N1513" s="1" t="str">
        <f>IFERROR(__xludf.DUMMYFUNCTION("""COMPUTED_VALUE"""),"Yes")</f>
        <v>Yes</v>
      </c>
      <c r="O1513" s="1" t="str">
        <f>IFERROR(__xludf.DUMMYFUNCTION("""COMPUTED_VALUE"""),"WA ONLY, OWNER CONTACT ONLY")</f>
        <v>WA ONLY, OWNER CONTACT ONLY</v>
      </c>
      <c r="P1513" s="1" t="str">
        <f>IFERROR(__xludf.DUMMYFUNCTION("""COMPUTED_VALUE"""),"Madam")</f>
        <v>Madam</v>
      </c>
      <c r="Q1513" s="1" t="str">
        <f>IFERROR(__xludf.DUMMYFUNCTION("""COMPUTED_VALUE"""),"No")</f>
        <v>No</v>
      </c>
      <c r="R1513" s="1" t="str">
        <f>IFERROR(__xludf.DUMMYFUNCTION("""COMPUTED_VALUE"""),"NEW WALK IN")</f>
        <v>NEW WALK IN</v>
      </c>
      <c r="S1513" s="1" t="str">
        <f>IFERROR(__xludf.DUMMYFUNCTION("""COMPUTED_VALUE"""),"Yes")</f>
        <v>Yes</v>
      </c>
    </row>
    <row r="1514">
      <c r="A1514" s="2">
        <f>IFERROR(__xludf.DUMMYFUNCTION("""COMPUTED_VALUE"""),45973.57990585648)</f>
        <v>45973.57991</v>
      </c>
      <c r="B1514" s="1" t="str">
        <f>IFERROR(__xludf.DUMMYFUNCTION("""COMPUTED_VALUE"""),"Payal ji")</f>
        <v>Payal ji</v>
      </c>
      <c r="C1514" s="1">
        <f>IFERROR(__xludf.DUMMYFUNCTION("""COMPUTED_VALUE"""),9.891306342E9)</f>
        <v>9891306342</v>
      </c>
      <c r="D1514" s="1">
        <f>IFERROR(__xludf.DUMMYFUNCTION("""COMPUTED_VALUE"""),1.0)</f>
        <v>1</v>
      </c>
      <c r="E1514" s="3">
        <f>IFERROR(__xludf.DUMMYFUNCTION("""COMPUTED_VALUE"""),0.6875)</f>
        <v>0.6875</v>
      </c>
      <c r="F1514" s="1" t="str">
        <f>IFERROR(__xludf.DUMMYFUNCTION("""COMPUTED_VALUE"""),"Plain Gold")</f>
        <v>Plain Gold</v>
      </c>
      <c r="G1514" s="1" t="str">
        <f>IFERROR(__xludf.DUMMYFUNCTION("""COMPUTED_VALUE"""),"Pooja")</f>
        <v>Pooja</v>
      </c>
      <c r="H1514" s="1" t="str">
        <f>IFERROR(__xludf.DUMMYFUNCTION("""COMPUTED_VALUE"""),"Ring")</f>
        <v>Ring</v>
      </c>
      <c r="I1514" s="1"/>
      <c r="J1514" s="1"/>
      <c r="K1514" s="3">
        <f>IFERROR(__xludf.DUMMYFUNCTION("""COMPUTED_VALUE"""),0.7236111111124046)</f>
        <v>0.7236111111</v>
      </c>
      <c r="L1514" s="1" t="str">
        <f>IFERROR(__xludf.DUMMYFUNCTION("""COMPUTED_VALUE"""),"No")</f>
        <v>No</v>
      </c>
      <c r="M1514" s="1" t="str">
        <f>IFERROR(__xludf.DUMMYFUNCTION("""COMPUTED_VALUE"""),"No")</f>
        <v>No</v>
      </c>
      <c r="N1514" s="1" t="str">
        <f>IFERROR(__xludf.DUMMYFUNCTION("""COMPUTED_VALUE"""),"No")</f>
        <v>No</v>
      </c>
      <c r="O1514" s="1" t="str">
        <f>IFERROR(__xludf.DUMMYFUNCTION("""COMPUTED_VALUE"""),"WA ONLY")</f>
        <v>WA ONLY</v>
      </c>
      <c r="P1514" s="1" t="str">
        <f>IFERROR(__xludf.DUMMYFUNCTION("""COMPUTED_VALUE"""),"Madam")</f>
        <v>Madam</v>
      </c>
      <c r="Q1514" s="1" t="str">
        <f>IFERROR(__xludf.DUMMYFUNCTION("""COMPUTED_VALUE"""),"No")</f>
        <v>No</v>
      </c>
      <c r="R1514" s="1" t="str">
        <f>IFERROR(__xludf.DUMMYFUNCTION("""COMPUTED_VALUE"""),"NEW WALK IN")</f>
        <v>NEW WALK IN</v>
      </c>
      <c r="S1514" s="1" t="str">
        <f>IFERROR(__xludf.DUMMYFUNCTION("""COMPUTED_VALUE"""),"Yes")</f>
        <v>Yes</v>
      </c>
    </row>
    <row r="1515">
      <c r="A1515" s="2">
        <f>IFERROR(__xludf.DUMMYFUNCTION("""COMPUTED_VALUE"""),45974.52885858796)</f>
        <v>45974.52886</v>
      </c>
      <c r="B1515" s="1" t="str">
        <f>IFERROR(__xludf.DUMMYFUNCTION("""COMPUTED_VALUE"""),"Sonal ji")</f>
        <v>Sonal ji</v>
      </c>
      <c r="C1515" s="1">
        <f>IFERROR(__xludf.DUMMYFUNCTION("""COMPUTED_VALUE"""),9.873989789E9)</f>
        <v>9873989789</v>
      </c>
      <c r="D1515" s="1">
        <f>IFERROR(__xludf.DUMMYFUNCTION("""COMPUTED_VALUE"""),3.0)</f>
        <v>3</v>
      </c>
      <c r="E1515" s="3">
        <f>IFERROR(__xludf.DUMMYFUNCTION("""COMPUTED_VALUE"""),0.53125)</f>
        <v>0.53125</v>
      </c>
      <c r="F1515" s="1" t="str">
        <f>IFERROR(__xludf.DUMMYFUNCTION("""COMPUTED_VALUE"""),"Plain Gold")</f>
        <v>Plain Gold</v>
      </c>
      <c r="G1515" s="1" t="str">
        <f>IFERROR(__xludf.DUMMYFUNCTION("""COMPUTED_VALUE"""),"Radhu Mam")</f>
        <v>Radhu Mam</v>
      </c>
      <c r="H1515" s="1" t="str">
        <f>IFERROR(__xludf.DUMMYFUNCTION("""COMPUTED_VALUE"""),"Diamond sets and earrings ")</f>
        <v>Diamond sets and earrings </v>
      </c>
      <c r="I1515" s="1" t="str">
        <f>IFERROR(__xludf.DUMMYFUNCTION("""COMPUTED_VALUE"""),"Ordered a diamond stud")</f>
        <v>Ordered a diamond stud</v>
      </c>
      <c r="J1515" s="1"/>
      <c r="K1515" s="3">
        <f>IFERROR(__xludf.DUMMYFUNCTION("""COMPUTED_VALUE"""),0.5763888888905058)</f>
        <v>0.5763888889</v>
      </c>
      <c r="L1515" s="1" t="str">
        <f>IFERROR(__xludf.DUMMYFUNCTION("""COMPUTED_VALUE"""),"Yes")</f>
        <v>Yes</v>
      </c>
      <c r="M1515" s="1" t="str">
        <f>IFERROR(__xludf.DUMMYFUNCTION("""COMPUTED_VALUE"""),"Yes")</f>
        <v>Yes</v>
      </c>
      <c r="N1515" s="1" t="str">
        <f>IFERROR(__xludf.DUMMYFUNCTION("""COMPUTED_VALUE"""),"Yes")</f>
        <v>Yes</v>
      </c>
      <c r="O1515" s="1" t="str">
        <f>IFERROR(__xludf.DUMMYFUNCTION("""COMPUTED_VALUE"""),"OWNER CONTACT ONLY")</f>
        <v>OWNER CONTACT ONLY</v>
      </c>
      <c r="P1515" s="1" t="str">
        <f>IFERROR(__xludf.DUMMYFUNCTION("""COMPUTED_VALUE"""),"Madam")</f>
        <v>Madam</v>
      </c>
      <c r="Q1515" s="1" t="str">
        <f>IFERROR(__xludf.DUMMYFUNCTION("""COMPUTED_VALUE"""),"No")</f>
        <v>No</v>
      </c>
      <c r="R1515" s="1" t="str">
        <f>IFERROR(__xludf.DUMMYFUNCTION("""COMPUTED_VALUE"""),"OLD")</f>
        <v>OLD</v>
      </c>
      <c r="S1515" s="1" t="str">
        <f>IFERROR(__xludf.DUMMYFUNCTION("""COMPUTED_VALUE"""),"No")</f>
        <v>No</v>
      </c>
    </row>
    <row r="1516">
      <c r="A1516" s="2">
        <f>IFERROR(__xludf.DUMMYFUNCTION("""COMPUTED_VALUE"""),45974.53023160879)</f>
        <v>45974.53023</v>
      </c>
      <c r="B1516" s="1" t="str">
        <f>IFERROR(__xludf.DUMMYFUNCTION("""COMPUTED_VALUE"""),"Priyanka ji")</f>
        <v>Priyanka ji</v>
      </c>
      <c r="C1516" s="1">
        <f>IFERROR(__xludf.DUMMYFUNCTION("""COMPUTED_VALUE"""),9.999341393E9)</f>
        <v>9999341393</v>
      </c>
      <c r="D1516" s="1">
        <f>IFERROR(__xludf.DUMMYFUNCTION("""COMPUTED_VALUE"""),3.0)</f>
        <v>3</v>
      </c>
      <c r="E1516" s="3">
        <f>IFERROR(__xludf.DUMMYFUNCTION("""COMPUTED_VALUE"""),0.6354166666642413)</f>
        <v>0.6354166667</v>
      </c>
      <c r="F1516" s="1" t="str">
        <f>IFERROR(__xludf.DUMMYFUNCTION("""COMPUTED_VALUE"""),"Plain Gold")</f>
        <v>Plain Gold</v>
      </c>
      <c r="G1516" s="1"/>
      <c r="H1516" s="1"/>
      <c r="I1516" s="1"/>
      <c r="J1516" s="1"/>
      <c r="K1516" s="3">
        <f>IFERROR(__xludf.DUMMYFUNCTION("""COMPUTED_VALUE"""),0.6805555555547471)</f>
        <v>0.6805555556</v>
      </c>
      <c r="L1516" s="1" t="str">
        <f>IFERROR(__xludf.DUMMYFUNCTION("""COMPUTED_VALUE"""),"Yes")</f>
        <v>Yes</v>
      </c>
      <c r="M1516" s="1" t="str">
        <f>IFERROR(__xludf.DUMMYFUNCTION("""COMPUTED_VALUE"""),"No")</f>
        <v>No</v>
      </c>
      <c r="N1516" s="1" t="str">
        <f>IFERROR(__xludf.DUMMYFUNCTION("""COMPUTED_VALUE"""),"Noo")</f>
        <v>Noo</v>
      </c>
      <c r="O1516" s="1" t="str">
        <f>IFERROR(__xludf.DUMMYFUNCTION("""COMPUTED_VALUE"""),"WA ONLY")</f>
        <v>WA ONLY</v>
      </c>
      <c r="P1516" s="1" t="str">
        <f>IFERROR(__xludf.DUMMYFUNCTION("""COMPUTED_VALUE"""),"Madam")</f>
        <v>Madam</v>
      </c>
      <c r="Q1516" s="1" t="str">
        <f>IFERROR(__xludf.DUMMYFUNCTION("""COMPUTED_VALUE"""),"No")</f>
        <v>No</v>
      </c>
      <c r="R1516" s="1" t="str">
        <f>IFERROR(__xludf.DUMMYFUNCTION("""COMPUTED_VALUE"""),"OLD")</f>
        <v>OLD</v>
      </c>
      <c r="S1516" s="1" t="str">
        <f>IFERROR(__xludf.DUMMYFUNCTION("""COMPUTED_VALUE"""),"Yes")</f>
        <v>Yes</v>
      </c>
    </row>
    <row r="1517">
      <c r="A1517" s="2">
        <f>IFERROR(__xludf.DUMMYFUNCTION("""COMPUTED_VALUE"""),45974.534330486116)</f>
        <v>45974.53433</v>
      </c>
      <c r="B1517" s="1" t="str">
        <f>IFERROR(__xludf.DUMMYFUNCTION("""COMPUTED_VALUE"""),"Payal ji")</f>
        <v>Payal ji</v>
      </c>
      <c r="C1517" s="1">
        <f>IFERROR(__xludf.DUMMYFUNCTION("""COMPUTED_VALUE"""),9.891306342E9)</f>
        <v>9891306342</v>
      </c>
      <c r="D1517" s="1">
        <f>IFERROR(__xludf.DUMMYFUNCTION("""COMPUTED_VALUE"""),1.0)</f>
        <v>1</v>
      </c>
      <c r="E1517" s="3">
        <f>IFERROR(__xludf.DUMMYFUNCTION("""COMPUTED_VALUE"""),0.6944444444452529)</f>
        <v>0.6944444444</v>
      </c>
      <c r="F1517" s="1"/>
      <c r="G1517" s="1"/>
      <c r="H1517" s="1" t="str">
        <f>IFERROR(__xludf.DUMMYFUNCTION("""COMPUTED_VALUE"""),"Silver earrings ")</f>
        <v>Silver earrings </v>
      </c>
      <c r="I1517" s="1"/>
      <c r="J1517" s="1"/>
      <c r="K1517" s="3">
        <f>IFERROR(__xludf.DUMMYFUNCTION("""COMPUTED_VALUE"""),0.75)</f>
        <v>0.75</v>
      </c>
      <c r="L1517" s="1" t="str">
        <f>IFERROR(__xludf.DUMMYFUNCTION("""COMPUTED_VALUE"""),"Yes")</f>
        <v>Yes</v>
      </c>
      <c r="M1517" s="1" t="str">
        <f>IFERROR(__xludf.DUMMYFUNCTION("""COMPUTED_VALUE"""),"Yes")</f>
        <v>Yes</v>
      </c>
      <c r="N1517" s="1" t="str">
        <f>IFERROR(__xludf.DUMMYFUNCTION("""COMPUTED_VALUE"""),"Yes")</f>
        <v>Yes</v>
      </c>
      <c r="O1517" s="1" t="str">
        <f>IFERROR(__xludf.DUMMYFUNCTION("""COMPUTED_VALUE"""),"WA ONLY")</f>
        <v>WA ONLY</v>
      </c>
      <c r="P1517" s="1" t="str">
        <f>IFERROR(__xludf.DUMMYFUNCTION("""COMPUTED_VALUE"""),"Madam")</f>
        <v>Madam</v>
      </c>
      <c r="Q1517" s="1" t="str">
        <f>IFERROR(__xludf.DUMMYFUNCTION("""COMPUTED_VALUE"""),"No")</f>
        <v>No</v>
      </c>
      <c r="R1517" s="1" t="str">
        <f>IFERROR(__xludf.DUMMYFUNCTION("""COMPUTED_VALUE"""),"OLD")</f>
        <v>OLD</v>
      </c>
      <c r="S1517" s="1" t="str">
        <f>IFERROR(__xludf.DUMMYFUNCTION("""COMPUTED_VALUE"""),"Yes")</f>
        <v>Yes</v>
      </c>
    </row>
    <row r="1518">
      <c r="A1518" s="2">
        <f>IFERROR(__xludf.DUMMYFUNCTION("""COMPUTED_VALUE"""),45974.53576254629)</f>
        <v>45974.53576</v>
      </c>
      <c r="B1518" s="1" t="str">
        <f>IFERROR(__xludf.DUMMYFUNCTION("""COMPUTED_VALUE"""),"Nisha ji")</f>
        <v>Nisha ji</v>
      </c>
      <c r="C1518" s="1">
        <f>IFERROR(__xludf.DUMMYFUNCTION("""COMPUTED_VALUE"""),8.287096447E9)</f>
        <v>8287096447</v>
      </c>
      <c r="D1518" s="1">
        <f>IFERROR(__xludf.DUMMYFUNCTION("""COMPUTED_VALUE"""),3.0)</f>
        <v>3</v>
      </c>
      <c r="E1518" s="3">
        <f>IFERROR(__xludf.DUMMYFUNCTION("""COMPUTED_VALUE"""),0.7680555555562023)</f>
        <v>0.7680555556</v>
      </c>
      <c r="F1518" s="1" t="str">
        <f>IFERROR(__xludf.DUMMYFUNCTION("""COMPUTED_VALUE"""),"Silver Items")</f>
        <v>Silver Items</v>
      </c>
      <c r="G1518" s="1" t="str">
        <f>IFERROR(__xludf.DUMMYFUNCTION("""COMPUTED_VALUE"""),"Pooja")</f>
        <v>Pooja</v>
      </c>
      <c r="H1518" s="1" t="str">
        <f>IFERROR(__xludf.DUMMYFUNCTION("""COMPUTED_VALUE"""),"Anklets")</f>
        <v>Anklets</v>
      </c>
      <c r="I1518" s="1" t="str">
        <f>IFERROR(__xludf.DUMMYFUNCTION("""COMPUTED_VALUE"""),"Couldn't find the design they were looking for")</f>
        <v>Couldn't find the design they were looking for</v>
      </c>
      <c r="J1518" s="1"/>
      <c r="K1518" s="3">
        <f>IFERROR(__xludf.DUMMYFUNCTION("""COMPUTED_VALUE"""),0.7743055555547471)</f>
        <v>0.7743055556</v>
      </c>
      <c r="L1518" s="1" t="str">
        <f>IFERROR(__xludf.DUMMYFUNCTION("""COMPUTED_VALUE"""),"No")</f>
        <v>No</v>
      </c>
      <c r="M1518" s="1" t="str">
        <f>IFERROR(__xludf.DUMMYFUNCTION("""COMPUTED_VALUE"""),"No")</f>
        <v>No</v>
      </c>
      <c r="N1518" s="1" t="str">
        <f>IFERROR(__xludf.DUMMYFUNCTION("""COMPUTED_VALUE"""),"No")</f>
        <v>No</v>
      </c>
      <c r="O1518" s="1" t="str">
        <f>IFERROR(__xludf.DUMMYFUNCTION("""COMPUTED_VALUE"""),"WA ONLY")</f>
        <v>WA ONLY</v>
      </c>
      <c r="P1518" s="1" t="str">
        <f>IFERROR(__xludf.DUMMYFUNCTION("""COMPUTED_VALUE"""),"Madam")</f>
        <v>Madam</v>
      </c>
      <c r="Q1518" s="1" t="str">
        <f>IFERROR(__xludf.DUMMYFUNCTION("""COMPUTED_VALUE"""),"No")</f>
        <v>No</v>
      </c>
      <c r="R1518" s="1" t="str">
        <f>IFERROR(__xludf.DUMMYFUNCTION("""COMPUTED_VALUE"""),"NEW WALK IN")</f>
        <v>NEW WALK IN</v>
      </c>
      <c r="S1518" s="1" t="str">
        <f>IFERROR(__xludf.DUMMYFUNCTION("""COMPUTED_VALUE"""),"No")</f>
        <v>No</v>
      </c>
    </row>
    <row r="1519">
      <c r="A1519" s="2">
        <f>IFERROR(__xludf.DUMMYFUNCTION("""COMPUTED_VALUE"""),45977.50347703704)</f>
        <v>45977.50348</v>
      </c>
      <c r="B1519" s="1" t="str">
        <f>IFERROR(__xludf.DUMMYFUNCTION("""COMPUTED_VALUE"""),"Sanyam ji")</f>
        <v>Sanyam ji</v>
      </c>
      <c r="C1519" s="1">
        <f>IFERROR(__xludf.DUMMYFUNCTION("""COMPUTED_VALUE"""),9.899882198E9)</f>
        <v>9899882198</v>
      </c>
      <c r="D1519" s="1">
        <f>IFERROR(__xludf.DUMMYFUNCTION("""COMPUTED_VALUE"""),4.0)</f>
        <v>4</v>
      </c>
      <c r="E1519" s="3">
        <f>IFERROR(__xludf.DUMMYFUNCTION("""COMPUTED_VALUE"""),0.625)</f>
        <v>0.625</v>
      </c>
      <c r="F1519" s="1" t="str">
        <f>IFERROR(__xludf.DUMMYFUNCTION("""COMPUTED_VALUE"""),"Diamond")</f>
        <v>Diamond</v>
      </c>
      <c r="G1519" s="1"/>
      <c r="H1519" s="1" t="str">
        <f>IFERROR(__xludf.DUMMYFUNCTION("""COMPUTED_VALUE"""),"Diamond ring")</f>
        <v>Diamond ring</v>
      </c>
      <c r="I1519" s="1" t="str">
        <f>IFERROR(__xludf.DUMMYFUNCTION("""COMPUTED_VALUE"""),"Gave an order")</f>
        <v>Gave an order</v>
      </c>
      <c r="J1519" s="1"/>
      <c r="K1519" s="3">
        <f>IFERROR(__xludf.DUMMYFUNCTION("""COMPUTED_VALUE"""),0.6868055555532919)</f>
        <v>0.6868055556</v>
      </c>
      <c r="L1519" s="1" t="str">
        <f>IFERROR(__xludf.DUMMYFUNCTION("""COMPUTED_VALUE"""),"Yes")</f>
        <v>Yes</v>
      </c>
      <c r="M1519" s="1" t="str">
        <f>IFERROR(__xludf.DUMMYFUNCTION("""COMPUTED_VALUE"""),"No")</f>
        <v>No</v>
      </c>
      <c r="N1519" s="1" t="str">
        <f>IFERROR(__xludf.DUMMYFUNCTION("""COMPUTED_VALUE"""),"No")</f>
        <v>No</v>
      </c>
      <c r="O1519" s="1" t="str">
        <f>IFERROR(__xludf.DUMMYFUNCTION("""COMPUTED_VALUE"""),"WA ONLY")</f>
        <v>WA ONLY</v>
      </c>
      <c r="P1519" s="1" t="str">
        <f>IFERROR(__xludf.DUMMYFUNCTION("""COMPUTED_VALUE"""),"Sir")</f>
        <v>Sir</v>
      </c>
      <c r="Q1519" s="1" t="str">
        <f>IFERROR(__xludf.DUMMYFUNCTION("""COMPUTED_VALUE"""),"No")</f>
        <v>No</v>
      </c>
      <c r="R1519" s="1" t="str">
        <f>IFERROR(__xludf.DUMMYFUNCTION("""COMPUTED_VALUE"""),"NEW WALK IN")</f>
        <v>NEW WALK IN</v>
      </c>
      <c r="S1519" s="1" t="str">
        <f>IFERROR(__xludf.DUMMYFUNCTION("""COMPUTED_VALUE"""),"Yes")</f>
        <v>Yes</v>
      </c>
    </row>
    <row r="1520">
      <c r="A1520" s="2">
        <f>IFERROR(__xludf.DUMMYFUNCTION("""COMPUTED_VALUE"""),45977.50546756944)</f>
        <v>45977.50547</v>
      </c>
      <c r="B1520" s="1" t="str">
        <f>IFERROR(__xludf.DUMMYFUNCTION("""COMPUTED_VALUE"""),"Charanjeet ji")</f>
        <v>Charanjeet ji</v>
      </c>
      <c r="C1520" s="1">
        <f>IFERROR(__xludf.DUMMYFUNCTION("""COMPUTED_VALUE"""),8.920524024E9)</f>
        <v>8920524024</v>
      </c>
      <c r="D1520" s="1">
        <f>IFERROR(__xludf.DUMMYFUNCTION("""COMPUTED_VALUE"""),1.0)</f>
        <v>1</v>
      </c>
      <c r="E1520" s="3">
        <f>IFERROR(__xludf.DUMMYFUNCTION("""COMPUTED_VALUE"""),0.6458333333357587)</f>
        <v>0.6458333333</v>
      </c>
      <c r="F1520" s="1" t="str">
        <f>IFERROR(__xludf.DUMMYFUNCTION("""COMPUTED_VALUE"""),"Plain Gold")</f>
        <v>Plain Gold</v>
      </c>
      <c r="G1520" s="1"/>
      <c r="H1520" s="1" t="str">
        <f>IFERROR(__xludf.DUMMYFUNCTION("""COMPUTED_VALUE"""),"Gave an order for band")</f>
        <v>Gave an order for band</v>
      </c>
      <c r="I1520" s="1"/>
      <c r="J1520" s="1"/>
      <c r="K1520" s="3">
        <f>IFERROR(__xludf.DUMMYFUNCTION("""COMPUTED_VALUE"""),0.6729166666627862)</f>
        <v>0.6729166667</v>
      </c>
      <c r="L1520" s="1" t="str">
        <f>IFERROR(__xludf.DUMMYFUNCTION("""COMPUTED_VALUE"""),"No")</f>
        <v>No</v>
      </c>
      <c r="M1520" s="1" t="str">
        <f>IFERROR(__xludf.DUMMYFUNCTION("""COMPUTED_VALUE"""),"Already done")</f>
        <v>Already done</v>
      </c>
      <c r="N1520" s="1" t="str">
        <f>IFERROR(__xludf.DUMMYFUNCTION("""COMPUTED_VALUE"""),"No")</f>
        <v>No</v>
      </c>
      <c r="O1520" s="1" t="str">
        <f>IFERROR(__xludf.DUMMYFUNCTION("""COMPUTED_VALUE"""),"OWNER CONTACT ONLY")</f>
        <v>OWNER CONTACT ONLY</v>
      </c>
      <c r="P1520" s="1" t="str">
        <f>IFERROR(__xludf.DUMMYFUNCTION("""COMPUTED_VALUE"""),"Sir")</f>
        <v>Sir</v>
      </c>
      <c r="Q1520" s="1" t="str">
        <f>IFERROR(__xludf.DUMMYFUNCTION("""COMPUTED_VALUE"""),"No")</f>
        <v>No</v>
      </c>
      <c r="R1520" s="1" t="str">
        <f>IFERROR(__xludf.DUMMYFUNCTION("""COMPUTED_VALUE"""),"OLD")</f>
        <v>OLD</v>
      </c>
      <c r="S1520" s="1" t="str">
        <f>IFERROR(__xludf.DUMMYFUNCTION("""COMPUTED_VALUE"""),"Yes")</f>
        <v>Yes</v>
      </c>
    </row>
    <row r="1521">
      <c r="A1521" s="2">
        <f>IFERROR(__xludf.DUMMYFUNCTION("""COMPUTED_VALUE"""),45977.506651585645)</f>
        <v>45977.50665</v>
      </c>
      <c r="B1521" s="1" t="str">
        <f>IFERROR(__xludf.DUMMYFUNCTION("""COMPUTED_VALUE"""),"Pulkit gupta ji")</f>
        <v>Pulkit gupta ji</v>
      </c>
      <c r="C1521" s="1">
        <f>IFERROR(__xludf.DUMMYFUNCTION("""COMPUTED_VALUE"""),8.52721345E9)</f>
        <v>8527213450</v>
      </c>
      <c r="D1521" s="1">
        <f>IFERROR(__xludf.DUMMYFUNCTION("""COMPUTED_VALUE"""),2.0)</f>
        <v>2</v>
      </c>
      <c r="E1521" s="3">
        <f>IFERROR(__xludf.DUMMYFUNCTION("""COMPUTED_VALUE"""),0.6770833333357587)</f>
        <v>0.6770833333</v>
      </c>
      <c r="F1521" s="1" t="str">
        <f>IFERROR(__xludf.DUMMYFUNCTION("""COMPUTED_VALUE"""),"Plain Gold")</f>
        <v>Plain Gold</v>
      </c>
      <c r="G1521" s="1"/>
      <c r="H1521" s="1" t="str">
        <f>IFERROR(__xludf.DUMMYFUNCTION("""COMPUTED_VALUE"""),"Gold set chic patti")</f>
        <v>Gold set chic patti</v>
      </c>
      <c r="I1521" s="1"/>
      <c r="J1521" s="1"/>
      <c r="K1521" s="3">
        <f>IFERROR(__xludf.DUMMYFUNCTION("""COMPUTED_VALUE"""),0.7395833333357587)</f>
        <v>0.7395833333</v>
      </c>
      <c r="L1521" s="1" t="str">
        <f>IFERROR(__xludf.DUMMYFUNCTION("""COMPUTED_VALUE"""),"No")</f>
        <v>No</v>
      </c>
      <c r="M1521" s="1" t="str">
        <f>IFERROR(__xludf.DUMMYFUNCTION("""COMPUTED_VALUE"""),"No")</f>
        <v>No</v>
      </c>
      <c r="N1521" s="1" t="str">
        <f>IFERROR(__xludf.DUMMYFUNCTION("""COMPUTED_VALUE"""),"No")</f>
        <v>No</v>
      </c>
      <c r="O1521" s="1" t="str">
        <f>IFERROR(__xludf.DUMMYFUNCTION("""COMPUTED_VALUE"""),"WA ONLY, OWNER CONTACT ONLY")</f>
        <v>WA ONLY, OWNER CONTACT ONLY</v>
      </c>
      <c r="P1521" s="1" t="str">
        <f>IFERROR(__xludf.DUMMYFUNCTION("""COMPUTED_VALUE"""),"Sir")</f>
        <v>Sir</v>
      </c>
      <c r="Q1521" s="1" t="str">
        <f>IFERROR(__xludf.DUMMYFUNCTION("""COMPUTED_VALUE"""),"No")</f>
        <v>No</v>
      </c>
      <c r="R1521" s="1" t="str">
        <f>IFERROR(__xludf.DUMMYFUNCTION("""COMPUTED_VALUE"""),"OLD")</f>
        <v>OLD</v>
      </c>
      <c r="S1521" s="1" t="str">
        <f>IFERROR(__xludf.DUMMYFUNCTION("""COMPUTED_VALUE"""),"Yes")</f>
        <v>Yes</v>
      </c>
    </row>
    <row r="1522">
      <c r="A1522" s="2">
        <f>IFERROR(__xludf.DUMMYFUNCTION("""COMPUTED_VALUE"""),45977.507854375)</f>
        <v>45977.50785</v>
      </c>
      <c r="B1522" s="1" t="str">
        <f>IFERROR(__xludf.DUMMYFUNCTION("""COMPUTED_VALUE"""),"Rajni sinha ji")</f>
        <v>Rajni sinha ji</v>
      </c>
      <c r="C1522" s="1">
        <f>IFERROR(__xludf.DUMMYFUNCTION("""COMPUTED_VALUE"""),9.871153696E9)</f>
        <v>9871153696</v>
      </c>
      <c r="D1522" s="1">
        <f>IFERROR(__xludf.DUMMYFUNCTION("""COMPUTED_VALUE"""),2.0)</f>
        <v>2</v>
      </c>
      <c r="E1522" s="3">
        <f>IFERROR(__xludf.DUMMYFUNCTION("""COMPUTED_VALUE"""),0.7395833333357587)</f>
        <v>0.7395833333</v>
      </c>
      <c r="F1522" s="1" t="str">
        <f>IFERROR(__xludf.DUMMYFUNCTION("""COMPUTED_VALUE"""),"Plain Gold")</f>
        <v>Plain Gold</v>
      </c>
      <c r="G1522" s="1" t="str">
        <f>IFERROR(__xludf.DUMMYFUNCTION("""COMPUTED_VALUE"""),"Pooja")</f>
        <v>Pooja</v>
      </c>
      <c r="H1522" s="1" t="str">
        <f>IFERROR(__xludf.DUMMYFUNCTION("""COMPUTED_VALUE"""),"Gold ring")</f>
        <v>Gold ring</v>
      </c>
      <c r="I1522" s="1"/>
      <c r="J1522" s="1"/>
      <c r="K1522" s="3">
        <f>IFERROR(__xludf.DUMMYFUNCTION("""COMPUTED_VALUE"""),0.7673611111094942)</f>
        <v>0.7673611111</v>
      </c>
      <c r="L1522" s="1" t="str">
        <f>IFERROR(__xludf.DUMMYFUNCTION("""COMPUTED_VALUE"""),"Yes")</f>
        <v>Yes</v>
      </c>
      <c r="M1522" s="1" t="str">
        <f>IFERROR(__xludf.DUMMYFUNCTION("""COMPUTED_VALUE"""),"Yes")</f>
        <v>Yes</v>
      </c>
      <c r="N1522" s="1" t="str">
        <f>IFERROR(__xludf.DUMMYFUNCTION("""COMPUTED_VALUE"""),"Yes")</f>
        <v>Yes</v>
      </c>
      <c r="O1522" s="1" t="str">
        <f>IFERROR(__xludf.DUMMYFUNCTION("""COMPUTED_VALUE"""),"WA ONLY")</f>
        <v>WA ONLY</v>
      </c>
      <c r="P1522" s="1" t="str">
        <f>IFERROR(__xludf.DUMMYFUNCTION("""COMPUTED_VALUE"""),"Madam")</f>
        <v>Madam</v>
      </c>
      <c r="Q1522" s="1" t="str">
        <f>IFERROR(__xludf.DUMMYFUNCTION("""COMPUTED_VALUE"""),"No")</f>
        <v>No</v>
      </c>
      <c r="R1522" s="1" t="str">
        <f>IFERROR(__xludf.DUMMYFUNCTION("""COMPUTED_VALUE"""),"OLD")</f>
        <v>OLD</v>
      </c>
      <c r="S1522" s="1" t="str">
        <f>IFERROR(__xludf.DUMMYFUNCTION("""COMPUTED_VALUE"""),"Yes")</f>
        <v>Yes</v>
      </c>
    </row>
    <row r="1523">
      <c r="A1523" s="2">
        <f>IFERROR(__xludf.DUMMYFUNCTION("""COMPUTED_VALUE"""),45977.51110078704)</f>
        <v>45977.5111</v>
      </c>
      <c r="B1523" s="1" t="str">
        <f>IFERROR(__xludf.DUMMYFUNCTION("""COMPUTED_VALUE"""),"Dr. Harshvardhan")</f>
        <v>Dr. Harshvardhan</v>
      </c>
      <c r="C1523" s="1">
        <f>IFERROR(__xludf.DUMMYFUNCTION("""COMPUTED_VALUE"""),9.654887826E9)</f>
        <v>9654887826</v>
      </c>
      <c r="D1523" s="1">
        <f>IFERROR(__xludf.DUMMYFUNCTION("""COMPUTED_VALUE"""),1.0)</f>
        <v>1</v>
      </c>
      <c r="E1523" s="3">
        <f>IFERROR(__xludf.DUMMYFUNCTION("""COMPUTED_VALUE"""),0.78125)</f>
        <v>0.78125</v>
      </c>
      <c r="F1523" s="1" t="str">
        <f>IFERROR(__xludf.DUMMYFUNCTION("""COMPUTED_VALUE"""),"Silver Items")</f>
        <v>Silver Items</v>
      </c>
      <c r="G1523" s="1"/>
      <c r="H1523" s="1" t="str">
        <f>IFERROR(__xludf.DUMMYFUNCTION("""COMPUTED_VALUE"""),"Silver chain")</f>
        <v>Silver chain</v>
      </c>
      <c r="I1523" s="1"/>
      <c r="J1523" s="1"/>
      <c r="K1523" s="3">
        <f>IFERROR(__xludf.DUMMYFUNCTION("""COMPUTED_VALUE"""),0.7951388888905058)</f>
        <v>0.7951388889</v>
      </c>
      <c r="L1523" s="1" t="str">
        <f>IFERROR(__xludf.DUMMYFUNCTION("""COMPUTED_VALUE"""),"Yes")</f>
        <v>Yes</v>
      </c>
      <c r="M1523" s="1" t="str">
        <f>IFERROR(__xludf.DUMMYFUNCTION("""COMPUTED_VALUE"""),"No")</f>
        <v>No</v>
      </c>
      <c r="N1523" s="1" t="str">
        <f>IFERROR(__xludf.DUMMYFUNCTION("""COMPUTED_VALUE"""),"No")</f>
        <v>No</v>
      </c>
      <c r="O1523" s="1" t="str">
        <f>IFERROR(__xludf.DUMMYFUNCTION("""COMPUTED_VALUE"""),"WA ONLY")</f>
        <v>WA ONLY</v>
      </c>
      <c r="P1523" s="1" t="str">
        <f>IFERROR(__xludf.DUMMYFUNCTION("""COMPUTED_VALUE"""),"Sir")</f>
        <v>Sir</v>
      </c>
      <c r="Q1523" s="1" t="str">
        <f>IFERROR(__xludf.DUMMYFUNCTION("""COMPUTED_VALUE"""),"No")</f>
        <v>No</v>
      </c>
      <c r="R1523" s="1" t="str">
        <f>IFERROR(__xludf.DUMMYFUNCTION("""COMPUTED_VALUE"""),"NEW WALK IN")</f>
        <v>NEW WALK IN</v>
      </c>
      <c r="S1523" s="1" t="str">
        <f>IFERROR(__xludf.DUMMYFUNCTION("""COMPUTED_VALUE"""),"Yes")</f>
        <v>Yes</v>
      </c>
    </row>
    <row r="1524">
      <c r="A1524" s="2">
        <f>IFERROR(__xludf.DUMMYFUNCTION("""COMPUTED_VALUE"""),45980.51494649306)</f>
        <v>45980.51495</v>
      </c>
      <c r="B1524" s="1" t="str">
        <f>IFERROR(__xludf.DUMMYFUNCTION("""COMPUTED_VALUE"""),"Anuj ji")</f>
        <v>Anuj ji</v>
      </c>
      <c r="C1524" s="1">
        <f>IFERROR(__xludf.DUMMYFUNCTION("""COMPUTED_VALUE"""),9.55591206E9)</f>
        <v>9555912060</v>
      </c>
      <c r="D1524" s="1">
        <f>IFERROR(__xludf.DUMMYFUNCTION("""COMPUTED_VALUE"""),2.0)</f>
        <v>2</v>
      </c>
      <c r="E1524" s="3">
        <f>IFERROR(__xludf.DUMMYFUNCTION("""COMPUTED_VALUE"""),0.5347222222189885)</f>
        <v>0.5347222222</v>
      </c>
      <c r="F1524" s="1" t="str">
        <f>IFERROR(__xludf.DUMMYFUNCTION("""COMPUTED_VALUE"""),"Silver Items")</f>
        <v>Silver Items</v>
      </c>
      <c r="G1524" s="1"/>
      <c r="H1524" s="1" t="str">
        <f>IFERROR(__xludf.DUMMYFUNCTION("""COMPUTED_VALUE"""),"Chain silver")</f>
        <v>Chain silver</v>
      </c>
      <c r="I1524" s="1"/>
      <c r="J1524" s="1"/>
      <c r="K1524" s="3">
        <f>IFERROR(__xludf.DUMMYFUNCTION("""COMPUTED_VALUE"""),0.6215277777810115)</f>
        <v>0.6215277778</v>
      </c>
      <c r="L1524" s="1" t="str">
        <f>IFERROR(__xludf.DUMMYFUNCTION("""COMPUTED_VALUE"""),"Yes")</f>
        <v>Yes</v>
      </c>
      <c r="M1524" s="1" t="str">
        <f>IFERROR(__xludf.DUMMYFUNCTION("""COMPUTED_VALUE"""),"Yes")</f>
        <v>Yes</v>
      </c>
      <c r="N1524" s="1" t="str">
        <f>IFERROR(__xludf.DUMMYFUNCTION("""COMPUTED_VALUE"""),"Already done")</f>
        <v>Already done</v>
      </c>
      <c r="O1524" s="1" t="str">
        <f>IFERROR(__xludf.DUMMYFUNCTION("""COMPUTED_VALUE"""),"WA ONLY, OWNER CONTACT ONLY")</f>
        <v>WA ONLY, OWNER CONTACT ONLY</v>
      </c>
      <c r="P1524" s="1" t="str">
        <f>IFERROR(__xludf.DUMMYFUNCTION("""COMPUTED_VALUE"""),"Sir")</f>
        <v>Sir</v>
      </c>
      <c r="Q1524" s="1" t="str">
        <f>IFERROR(__xludf.DUMMYFUNCTION("""COMPUTED_VALUE"""),"No")</f>
        <v>No</v>
      </c>
      <c r="R1524" s="1" t="str">
        <f>IFERROR(__xludf.DUMMYFUNCTION("""COMPUTED_VALUE"""),"OLD")</f>
        <v>OLD</v>
      </c>
      <c r="S1524" s="1" t="str">
        <f>IFERROR(__xludf.DUMMYFUNCTION("""COMPUTED_VALUE"""),"Yes")</f>
        <v>Yes</v>
      </c>
    </row>
    <row r="1525">
      <c r="A1525" s="2">
        <f>IFERROR(__xludf.DUMMYFUNCTION("""COMPUTED_VALUE"""),45980.516123113426)</f>
        <v>45980.51612</v>
      </c>
      <c r="B1525" s="1" t="str">
        <f>IFERROR(__xludf.DUMMYFUNCTION("""COMPUTED_VALUE"""),"Jamynj ji")</f>
        <v>Jamynj ji</v>
      </c>
      <c r="C1525" s="1">
        <f>IFERROR(__xludf.DUMMYFUNCTION("""COMPUTED_VALUE"""),9.469473538E9)</f>
        <v>9469473538</v>
      </c>
      <c r="D1525" s="1">
        <f>IFERROR(__xludf.DUMMYFUNCTION("""COMPUTED_VALUE"""),2.0)</f>
        <v>2</v>
      </c>
      <c r="E1525" s="3">
        <f>IFERROR(__xludf.DUMMYFUNCTION("""COMPUTED_VALUE"""),0.5416666666642413)</f>
        <v>0.5416666667</v>
      </c>
      <c r="F1525" s="1" t="str">
        <f>IFERROR(__xludf.DUMMYFUNCTION("""COMPUTED_VALUE"""),"Plain Gold")</f>
        <v>Plain Gold</v>
      </c>
      <c r="G1525" s="1" t="str">
        <f>IFERROR(__xludf.DUMMYFUNCTION("""COMPUTED_VALUE"""),"Pooja")</f>
        <v>Pooja</v>
      </c>
      <c r="H1525" s="1" t="str">
        <f>IFERROR(__xludf.DUMMYFUNCTION("""COMPUTED_VALUE"""),"Here for repair")</f>
        <v>Here for repair</v>
      </c>
      <c r="I1525" s="1"/>
      <c r="J1525" s="1"/>
      <c r="K1525" s="3">
        <f>IFERROR(__xludf.DUMMYFUNCTION("""COMPUTED_VALUE"""),0.5520833333357587)</f>
        <v>0.5520833333</v>
      </c>
      <c r="L1525" s="1" t="str">
        <f>IFERROR(__xludf.DUMMYFUNCTION("""COMPUTED_VALUE"""),"No")</f>
        <v>No</v>
      </c>
      <c r="M1525" s="1" t="str">
        <f>IFERROR(__xludf.DUMMYFUNCTION("""COMPUTED_VALUE"""),"Already done ")</f>
        <v>Already done </v>
      </c>
      <c r="N1525" s="1" t="str">
        <f>IFERROR(__xludf.DUMMYFUNCTION("""COMPUTED_VALUE"""),"Already done ")</f>
        <v>Already done </v>
      </c>
      <c r="O1525" s="1" t="str">
        <f>IFERROR(__xludf.DUMMYFUNCTION("""COMPUTED_VALUE"""),"WA ONLY")</f>
        <v>WA ONLY</v>
      </c>
      <c r="P1525" s="1" t="str">
        <f>IFERROR(__xludf.DUMMYFUNCTION("""COMPUTED_VALUE"""),"Sir")</f>
        <v>Sir</v>
      </c>
      <c r="Q1525" s="1" t="str">
        <f>IFERROR(__xludf.DUMMYFUNCTION("""COMPUTED_VALUE"""),"No")</f>
        <v>No</v>
      </c>
      <c r="R1525" s="1" t="str">
        <f>IFERROR(__xludf.DUMMYFUNCTION("""COMPUTED_VALUE"""),"OLD")</f>
        <v>OLD</v>
      </c>
      <c r="S1525" s="1" t="str">
        <f>IFERROR(__xludf.DUMMYFUNCTION("""COMPUTED_VALUE"""),"No")</f>
        <v>No</v>
      </c>
    </row>
    <row r="1526">
      <c r="A1526" s="2">
        <f>IFERROR(__xludf.DUMMYFUNCTION("""COMPUTED_VALUE"""),45980.5173834375)</f>
        <v>45980.51738</v>
      </c>
      <c r="B1526" s="1" t="str">
        <f>IFERROR(__xludf.DUMMYFUNCTION("""COMPUTED_VALUE"""),"Dolly gupta ji")</f>
        <v>Dolly gupta ji</v>
      </c>
      <c r="C1526" s="1">
        <f>IFERROR(__xludf.DUMMYFUNCTION("""COMPUTED_VALUE"""),8.285733143E9)</f>
        <v>8285733143</v>
      </c>
      <c r="D1526" s="1">
        <f>IFERROR(__xludf.DUMMYFUNCTION("""COMPUTED_VALUE"""),2.0)</f>
        <v>2</v>
      </c>
      <c r="E1526" s="3">
        <f>IFERROR(__xludf.DUMMYFUNCTION("""COMPUTED_VALUE"""),0.6145833333357587)</f>
        <v>0.6145833333</v>
      </c>
      <c r="F1526" s="1" t="str">
        <f>IFERROR(__xludf.DUMMYFUNCTION("""COMPUTED_VALUE"""),"Plain Gold")</f>
        <v>Plain Gold</v>
      </c>
      <c r="G1526" s="1" t="str">
        <f>IFERROR(__xludf.DUMMYFUNCTION("""COMPUTED_VALUE"""),"Pooja")</f>
        <v>Pooja</v>
      </c>
      <c r="H1526" s="1" t="str">
        <f>IFERROR(__xludf.DUMMYFUNCTION("""COMPUTED_VALUE"""),"Lightweight earrings gold")</f>
        <v>Lightweight earrings gold</v>
      </c>
      <c r="I1526" s="1"/>
      <c r="J1526" s="1"/>
      <c r="K1526" s="3">
        <f>IFERROR(__xludf.DUMMYFUNCTION("""COMPUTED_VALUE"""),0.6923611111124046)</f>
        <v>0.6923611111</v>
      </c>
      <c r="L1526" s="1" t="str">
        <f>IFERROR(__xludf.DUMMYFUNCTION("""COMPUTED_VALUE"""),"Yes")</f>
        <v>Yes</v>
      </c>
      <c r="M1526" s="1" t="str">
        <f>IFERROR(__xludf.DUMMYFUNCTION("""COMPUTED_VALUE"""),"Yes")</f>
        <v>Yes</v>
      </c>
      <c r="N1526" s="1" t="str">
        <f>IFERROR(__xludf.DUMMYFUNCTION("""COMPUTED_VALUE"""),"Yes")</f>
        <v>Yes</v>
      </c>
      <c r="O1526" s="1" t="str">
        <f>IFERROR(__xludf.DUMMYFUNCTION("""COMPUTED_VALUE"""),"WA ONLY")</f>
        <v>WA ONLY</v>
      </c>
      <c r="P1526" s="1" t="str">
        <f>IFERROR(__xludf.DUMMYFUNCTION("""COMPUTED_VALUE"""),"Madam")</f>
        <v>Madam</v>
      </c>
      <c r="Q1526" s="1" t="str">
        <f>IFERROR(__xludf.DUMMYFUNCTION("""COMPUTED_VALUE"""),"No")</f>
        <v>No</v>
      </c>
      <c r="R1526" s="1" t="str">
        <f>IFERROR(__xludf.DUMMYFUNCTION("""COMPUTED_VALUE"""),"OLD")</f>
        <v>OLD</v>
      </c>
      <c r="S1526" s="1" t="str">
        <f>IFERROR(__xludf.DUMMYFUNCTION("""COMPUTED_VALUE"""),"Yes")</f>
        <v>Yes</v>
      </c>
    </row>
    <row r="1527">
      <c r="A1527" s="2">
        <f>IFERROR(__xludf.DUMMYFUNCTION("""COMPUTED_VALUE"""),45980.5187525463)</f>
        <v>45980.51875</v>
      </c>
      <c r="B1527" s="1" t="str">
        <f>IFERROR(__xludf.DUMMYFUNCTION("""COMPUTED_VALUE"""),"Babita ji")</f>
        <v>Babita ji</v>
      </c>
      <c r="C1527" s="1">
        <f>IFERROR(__xludf.DUMMYFUNCTION("""COMPUTED_VALUE"""),8.368135941E9)</f>
        <v>8368135941</v>
      </c>
      <c r="D1527" s="1">
        <f>IFERROR(__xludf.DUMMYFUNCTION("""COMPUTED_VALUE"""),3.0)</f>
        <v>3</v>
      </c>
      <c r="E1527" s="3">
        <f>IFERROR(__xludf.DUMMYFUNCTION("""COMPUTED_VALUE"""),0.6597222222189885)</f>
        <v>0.6597222222</v>
      </c>
      <c r="F1527" s="1" t="str">
        <f>IFERROR(__xludf.DUMMYFUNCTION("""COMPUTED_VALUE"""),"Plain Gold")</f>
        <v>Plain Gold</v>
      </c>
      <c r="G1527" s="1"/>
      <c r="H1527" s="1" t="str">
        <f>IFERROR(__xludf.DUMMYFUNCTION("""COMPUTED_VALUE"""),"Hathfool silver earrings gold")</f>
        <v>Hathfool silver earrings gold</v>
      </c>
      <c r="I1527" s="1"/>
      <c r="J1527" s="1"/>
      <c r="K1527" s="3">
        <f>IFERROR(__xludf.DUMMYFUNCTION("""COMPUTED_VALUE"""),0.7409722222218988)</f>
        <v>0.7409722222</v>
      </c>
      <c r="L1527" s="1" t="str">
        <f>IFERROR(__xludf.DUMMYFUNCTION("""COMPUTED_VALUE"""),"No")</f>
        <v>No</v>
      </c>
      <c r="M1527" s="1" t="str">
        <f>IFERROR(__xludf.DUMMYFUNCTION("""COMPUTED_VALUE"""),"Yes")</f>
        <v>Yes</v>
      </c>
      <c r="N1527" s="1" t="str">
        <f>IFERROR(__xludf.DUMMYFUNCTION("""COMPUTED_VALUE"""),"Yes")</f>
        <v>Yes</v>
      </c>
      <c r="O1527" s="1" t="str">
        <f>IFERROR(__xludf.DUMMYFUNCTION("""COMPUTED_VALUE"""),"WA ONLY")</f>
        <v>WA ONLY</v>
      </c>
      <c r="P1527" s="1" t="str">
        <f>IFERROR(__xludf.DUMMYFUNCTION("""COMPUTED_VALUE"""),"Sir")</f>
        <v>Sir</v>
      </c>
      <c r="Q1527" s="1" t="str">
        <f>IFERROR(__xludf.DUMMYFUNCTION("""COMPUTED_VALUE"""),"No")</f>
        <v>No</v>
      </c>
      <c r="R1527" s="1" t="str">
        <f>IFERROR(__xludf.DUMMYFUNCTION("""COMPUTED_VALUE"""),"OLD")</f>
        <v>OLD</v>
      </c>
      <c r="S1527" s="1" t="str">
        <f>IFERROR(__xludf.DUMMYFUNCTION("""COMPUTED_VALUE"""),"Yes")</f>
        <v>Yes</v>
      </c>
    </row>
    <row r="1528">
      <c r="A1528" s="2">
        <f>IFERROR(__xludf.DUMMYFUNCTION("""COMPUTED_VALUE"""),45980.520162002314)</f>
        <v>45980.52016</v>
      </c>
      <c r="B1528" s="1" t="str">
        <f>IFERROR(__xludf.DUMMYFUNCTION("""COMPUTED_VALUE"""),"Muskan ji")</f>
        <v>Muskan ji</v>
      </c>
      <c r="C1528" s="1">
        <f>IFERROR(__xludf.DUMMYFUNCTION("""COMPUTED_VALUE"""),8.447210689E9)</f>
        <v>8447210689</v>
      </c>
      <c r="D1528" s="1">
        <f>IFERROR(__xludf.DUMMYFUNCTION("""COMPUTED_VALUE"""),3.0)</f>
        <v>3</v>
      </c>
      <c r="E1528" s="3">
        <f>IFERROR(__xludf.DUMMYFUNCTION("""COMPUTED_VALUE"""),0.6770833333357587)</f>
        <v>0.6770833333</v>
      </c>
      <c r="F1528" s="1" t="str">
        <f>IFERROR(__xludf.DUMMYFUNCTION("""COMPUTED_VALUE"""),"Diamond")</f>
        <v>Diamond</v>
      </c>
      <c r="G1528" s="1"/>
      <c r="H1528" s="1" t="str">
        <f>IFERROR(__xludf.DUMMYFUNCTION("""COMPUTED_VALUE"""),"Diamond ring ")</f>
        <v>Diamond ring </v>
      </c>
      <c r="I1528" s="1"/>
      <c r="J1528" s="1"/>
      <c r="K1528" s="3">
        <f>IFERROR(__xludf.DUMMYFUNCTION("""COMPUTED_VALUE"""),0.7277777777781012)</f>
        <v>0.7277777778</v>
      </c>
      <c r="L1528" s="1" t="str">
        <f>IFERROR(__xludf.DUMMYFUNCTION("""COMPUTED_VALUE"""),"Yes")</f>
        <v>Yes</v>
      </c>
      <c r="M1528" s="1" t="str">
        <f>IFERROR(__xludf.DUMMYFUNCTION("""COMPUTED_VALUE"""),"Yes")</f>
        <v>Yes</v>
      </c>
      <c r="N1528" s="1" t="str">
        <f>IFERROR(__xludf.DUMMYFUNCTION("""COMPUTED_VALUE"""),"Yes")</f>
        <v>Yes</v>
      </c>
      <c r="O1528" s="1" t="str">
        <f>IFERROR(__xludf.DUMMYFUNCTION("""COMPUTED_VALUE"""),"WA ONLY, OWNER CONTACT ONLY")</f>
        <v>WA ONLY, OWNER CONTACT ONLY</v>
      </c>
      <c r="P1528" s="1" t="str">
        <f>IFERROR(__xludf.DUMMYFUNCTION("""COMPUTED_VALUE"""),"Madam")</f>
        <v>Madam</v>
      </c>
      <c r="Q1528" s="1" t="str">
        <f>IFERROR(__xludf.DUMMYFUNCTION("""COMPUTED_VALUE"""),"No")</f>
        <v>No</v>
      </c>
      <c r="R1528" s="1" t="str">
        <f>IFERROR(__xludf.DUMMYFUNCTION("""COMPUTED_VALUE"""),"NEW WALK IN")</f>
        <v>NEW WALK IN</v>
      </c>
      <c r="S1528" s="1" t="str">
        <f>IFERROR(__xludf.DUMMYFUNCTION("""COMPUTED_VALUE"""),"Yes")</f>
        <v>Yes</v>
      </c>
    </row>
    <row r="1529">
      <c r="A1529" s="2">
        <f>IFERROR(__xludf.DUMMYFUNCTION("""COMPUTED_VALUE"""),45980.5213442824)</f>
        <v>45980.52134</v>
      </c>
      <c r="B1529" s="1" t="str">
        <f>IFERROR(__xludf.DUMMYFUNCTION("""COMPUTED_VALUE"""),"Arun Rathi ji")</f>
        <v>Arun Rathi ji</v>
      </c>
      <c r="C1529" s="1">
        <f>IFERROR(__xludf.DUMMYFUNCTION("""COMPUTED_VALUE"""),9.910043295E9)</f>
        <v>9910043295</v>
      </c>
      <c r="D1529" s="1">
        <f>IFERROR(__xludf.DUMMYFUNCTION("""COMPUTED_VALUE"""),3.0)</f>
        <v>3</v>
      </c>
      <c r="E1529" s="3">
        <f>IFERROR(__xludf.DUMMYFUNCTION("""COMPUTED_VALUE"""),0.6666666666642413)</f>
        <v>0.6666666667</v>
      </c>
      <c r="F1529" s="1" t="str">
        <f>IFERROR(__xludf.DUMMYFUNCTION("""COMPUTED_VALUE"""),"Plain Gold")</f>
        <v>Plain Gold</v>
      </c>
      <c r="G1529" s="1" t="str">
        <f>IFERROR(__xludf.DUMMYFUNCTION("""COMPUTED_VALUE"""),"Pooja")</f>
        <v>Pooja</v>
      </c>
      <c r="H1529" s="1" t="str">
        <f>IFERROR(__xludf.DUMMYFUNCTION("""COMPUTED_VALUE"""),"Kadha")</f>
        <v>Kadha</v>
      </c>
      <c r="I1529" s="1" t="str">
        <f>IFERROR(__xludf.DUMMYFUNCTION("""COMPUTED_VALUE"""),"Couldn't find the size")</f>
        <v>Couldn't find the size</v>
      </c>
      <c r="J1529" s="1"/>
      <c r="K1529" s="3">
        <f>IFERROR(__xludf.DUMMYFUNCTION("""COMPUTED_VALUE"""),0.6888888888934162)</f>
        <v>0.6888888889</v>
      </c>
      <c r="L1529" s="1" t="str">
        <f>IFERROR(__xludf.DUMMYFUNCTION("""COMPUTED_VALUE"""),"No")</f>
        <v>No</v>
      </c>
      <c r="M1529" s="1" t="str">
        <f>IFERROR(__xludf.DUMMYFUNCTION("""COMPUTED_VALUE"""),"No")</f>
        <v>No</v>
      </c>
      <c r="N1529" s="1" t="str">
        <f>IFERROR(__xludf.DUMMYFUNCTION("""COMPUTED_VALUE"""),"No")</f>
        <v>No</v>
      </c>
      <c r="O1529" s="1" t="str">
        <f>IFERROR(__xludf.DUMMYFUNCTION("""COMPUTED_VALUE"""),"WA ONLY")</f>
        <v>WA ONLY</v>
      </c>
      <c r="P1529" s="1" t="str">
        <f>IFERROR(__xludf.DUMMYFUNCTION("""COMPUTED_VALUE"""),"Sir")</f>
        <v>Sir</v>
      </c>
      <c r="Q1529" s="1" t="str">
        <f>IFERROR(__xludf.DUMMYFUNCTION("""COMPUTED_VALUE"""),"No")</f>
        <v>No</v>
      </c>
      <c r="R1529" s="1" t="str">
        <f>IFERROR(__xludf.DUMMYFUNCTION("""COMPUTED_VALUE"""),"OLD")</f>
        <v>OLD</v>
      </c>
      <c r="S1529" s="1" t="str">
        <f>IFERROR(__xludf.DUMMYFUNCTION("""COMPUTED_VALUE"""),"No")</f>
        <v>No</v>
      </c>
    </row>
    <row r="1530">
      <c r="A1530" s="2">
        <f>IFERROR(__xludf.DUMMYFUNCTION("""COMPUTED_VALUE"""),45980.52252918981)</f>
        <v>45980.52253</v>
      </c>
      <c r="B1530" s="1" t="str">
        <f>IFERROR(__xludf.DUMMYFUNCTION("""COMPUTED_VALUE"""),"Prashant ji")</f>
        <v>Prashant ji</v>
      </c>
      <c r="C1530" s="1">
        <f>IFERROR(__xludf.DUMMYFUNCTION("""COMPUTED_VALUE"""),8.12346781E9)</f>
        <v>8123467810</v>
      </c>
      <c r="D1530" s="1">
        <f>IFERROR(__xludf.DUMMYFUNCTION("""COMPUTED_VALUE"""),2.0)</f>
        <v>2</v>
      </c>
      <c r="E1530" s="3">
        <f>IFERROR(__xludf.DUMMYFUNCTION("""COMPUTED_VALUE"""),0.6805555555547471)</f>
        <v>0.6805555556</v>
      </c>
      <c r="F1530" s="1" t="str">
        <f>IFERROR(__xludf.DUMMYFUNCTION("""COMPUTED_VALUE"""),"Diamond")</f>
        <v>Diamond</v>
      </c>
      <c r="G1530" s="1"/>
      <c r="H1530" s="1" t="str">
        <f>IFERROR(__xludf.DUMMYFUNCTION("""COMPUTED_VALUE"""),"Rings")</f>
        <v>Rings</v>
      </c>
      <c r="I1530" s="1" t="str">
        <f>IFERROR(__xludf.DUMMYFUNCTION("""COMPUTED_VALUE"""),"Couldn't finalize the design")</f>
        <v>Couldn't finalize the design</v>
      </c>
      <c r="J1530" s="1"/>
      <c r="K1530" s="3">
        <f>IFERROR(__xludf.DUMMYFUNCTION("""COMPUTED_VALUE"""),0.7243055555591127)</f>
        <v>0.7243055556</v>
      </c>
      <c r="L1530" s="1" t="str">
        <f>IFERROR(__xludf.DUMMYFUNCTION("""COMPUTED_VALUE"""),"No")</f>
        <v>No</v>
      </c>
      <c r="M1530" s="1" t="str">
        <f>IFERROR(__xludf.DUMMYFUNCTION("""COMPUTED_VALUE"""),"No")</f>
        <v>No</v>
      </c>
      <c r="N1530" s="1" t="str">
        <f>IFERROR(__xludf.DUMMYFUNCTION("""COMPUTED_VALUE"""),"No")</f>
        <v>No</v>
      </c>
      <c r="O1530" s="1" t="str">
        <f>IFERROR(__xludf.DUMMYFUNCTION("""COMPUTED_VALUE"""),"WA ONLY")</f>
        <v>WA ONLY</v>
      </c>
      <c r="P1530" s="1" t="str">
        <f>IFERROR(__xludf.DUMMYFUNCTION("""COMPUTED_VALUE"""),"Sir")</f>
        <v>Sir</v>
      </c>
      <c r="Q1530" s="1" t="str">
        <f>IFERROR(__xludf.DUMMYFUNCTION("""COMPUTED_VALUE"""),"No")</f>
        <v>No</v>
      </c>
      <c r="R1530" s="1" t="str">
        <f>IFERROR(__xludf.DUMMYFUNCTION("""COMPUTED_VALUE"""),"NEW WALK IN")</f>
        <v>NEW WALK IN</v>
      </c>
      <c r="S1530" s="1" t="str">
        <f>IFERROR(__xludf.DUMMYFUNCTION("""COMPUTED_VALUE"""),"No")</f>
        <v>No</v>
      </c>
    </row>
    <row r="1531">
      <c r="A1531" s="2">
        <f>IFERROR(__xludf.DUMMYFUNCTION("""COMPUTED_VALUE"""),45980.52370509259)</f>
        <v>45980.52371</v>
      </c>
      <c r="B1531" s="1" t="str">
        <f>IFERROR(__xludf.DUMMYFUNCTION("""COMPUTED_VALUE"""),"Sunny chadha ji")</f>
        <v>Sunny chadha ji</v>
      </c>
      <c r="C1531" s="1">
        <f>IFERROR(__xludf.DUMMYFUNCTION("""COMPUTED_VALUE"""),9.873438078E9)</f>
        <v>9873438078</v>
      </c>
      <c r="D1531" s="1">
        <f>IFERROR(__xludf.DUMMYFUNCTION("""COMPUTED_VALUE"""),2.0)</f>
        <v>2</v>
      </c>
      <c r="E1531" s="3">
        <f>IFERROR(__xludf.DUMMYFUNCTION("""COMPUTED_VALUE"""),0.7472222222204437)</f>
        <v>0.7472222222</v>
      </c>
      <c r="F1531" s="1" t="str">
        <f>IFERROR(__xludf.DUMMYFUNCTION("""COMPUTED_VALUE"""),"Plain Gold")</f>
        <v>Plain Gold</v>
      </c>
      <c r="G1531" s="1" t="str">
        <f>IFERROR(__xludf.DUMMYFUNCTION("""COMPUTED_VALUE"""),"Pooja")</f>
        <v>Pooja</v>
      </c>
      <c r="H1531" s="1" t="str">
        <f>IFERROR(__xludf.DUMMYFUNCTION("""COMPUTED_VALUE"""),"Bracelet ")</f>
        <v>Bracelet </v>
      </c>
      <c r="I1531" s="1"/>
      <c r="J1531" s="1"/>
      <c r="K1531" s="3">
        <f>IFERROR(__xludf.DUMMYFUNCTION("""COMPUTED_VALUE"""),0.7604166666642413)</f>
        <v>0.7604166667</v>
      </c>
      <c r="L1531" s="1" t="str">
        <f>IFERROR(__xludf.DUMMYFUNCTION("""COMPUTED_VALUE"""),"No")</f>
        <v>No</v>
      </c>
      <c r="M1531" s="1" t="str">
        <f>IFERROR(__xludf.DUMMYFUNCTION("""COMPUTED_VALUE"""),"No")</f>
        <v>No</v>
      </c>
      <c r="N1531" s="1" t="str">
        <f>IFERROR(__xludf.DUMMYFUNCTION("""COMPUTED_VALUE"""),"No")</f>
        <v>No</v>
      </c>
      <c r="O1531" s="1" t="str">
        <f>IFERROR(__xludf.DUMMYFUNCTION("""COMPUTED_VALUE"""),"WA ONLY")</f>
        <v>WA ONLY</v>
      </c>
      <c r="P1531" s="1" t="str">
        <f>IFERROR(__xludf.DUMMYFUNCTION("""COMPUTED_VALUE"""),"Sir")</f>
        <v>Sir</v>
      </c>
      <c r="Q1531" s="1" t="str">
        <f>IFERROR(__xludf.DUMMYFUNCTION("""COMPUTED_VALUE"""),"No")</f>
        <v>No</v>
      </c>
      <c r="R1531" s="1" t="str">
        <f>IFERROR(__xludf.DUMMYFUNCTION("""COMPUTED_VALUE"""),"OLD")</f>
        <v>OLD</v>
      </c>
      <c r="S1531" s="1" t="str">
        <f>IFERROR(__xludf.DUMMYFUNCTION("""COMPUTED_VALUE"""),"No")</f>
        <v>No</v>
      </c>
    </row>
    <row r="1532">
      <c r="A1532" s="2">
        <f>IFERROR(__xludf.DUMMYFUNCTION("""COMPUTED_VALUE"""),45980.52529265046)</f>
        <v>45980.52529</v>
      </c>
      <c r="B1532" s="1" t="str">
        <f>IFERROR(__xludf.DUMMYFUNCTION("""COMPUTED_VALUE"""),"Nikhil ji")</f>
        <v>Nikhil ji</v>
      </c>
      <c r="C1532" s="1">
        <f>IFERROR(__xludf.DUMMYFUNCTION("""COMPUTED_VALUE"""),9.654195545E9)</f>
        <v>9654195545</v>
      </c>
      <c r="D1532" s="1">
        <f>IFERROR(__xludf.DUMMYFUNCTION("""COMPUTED_VALUE"""),1.0)</f>
        <v>1</v>
      </c>
      <c r="E1532" s="3">
        <f>IFERROR(__xludf.DUMMYFUNCTION("""COMPUTED_VALUE"""),0.7743055555547471)</f>
        <v>0.7743055556</v>
      </c>
      <c r="F1532" s="1" t="str">
        <f>IFERROR(__xludf.DUMMYFUNCTION("""COMPUTED_VALUE"""),"Silver Items")</f>
        <v>Silver Items</v>
      </c>
      <c r="G1532" s="1"/>
      <c r="H1532" s="1" t="str">
        <f>IFERROR(__xludf.DUMMYFUNCTION("""COMPUTED_VALUE"""),"Radha Krishna ram darbar")</f>
        <v>Radha Krishna ram darbar</v>
      </c>
      <c r="I1532" s="1"/>
      <c r="J1532" s="1"/>
      <c r="K1532" s="3">
        <f>IFERROR(__xludf.DUMMYFUNCTION("""COMPUTED_VALUE"""),0.8125)</f>
        <v>0.8125</v>
      </c>
      <c r="L1532" s="1" t="str">
        <f>IFERROR(__xludf.DUMMYFUNCTION("""COMPUTED_VALUE"""),"No")</f>
        <v>No</v>
      </c>
      <c r="M1532" s="1" t="str">
        <f>IFERROR(__xludf.DUMMYFUNCTION("""COMPUTED_VALUE"""),"Already done")</f>
        <v>Already done</v>
      </c>
      <c r="N1532" s="1" t="str">
        <f>IFERROR(__xludf.DUMMYFUNCTION("""COMPUTED_VALUE"""),"Already done ")</f>
        <v>Already done </v>
      </c>
      <c r="O1532" s="1" t="str">
        <f>IFERROR(__xludf.DUMMYFUNCTION("""COMPUTED_VALUE"""),"WA ONLY, OWNER CONTACT ONLY")</f>
        <v>WA ONLY, OWNER CONTACT ONLY</v>
      </c>
      <c r="P1532" s="1" t="str">
        <f>IFERROR(__xludf.DUMMYFUNCTION("""COMPUTED_VALUE"""),"Sir")</f>
        <v>Sir</v>
      </c>
      <c r="Q1532" s="1" t="str">
        <f>IFERROR(__xludf.DUMMYFUNCTION("""COMPUTED_VALUE"""),"Yes")</f>
        <v>Yes</v>
      </c>
      <c r="R1532" s="1" t="str">
        <f>IFERROR(__xludf.DUMMYFUNCTION("""COMPUTED_VALUE"""),"OLD")</f>
        <v>OLD</v>
      </c>
      <c r="S1532" s="1" t="str">
        <f>IFERROR(__xludf.DUMMYFUNCTION("""COMPUTED_VALUE"""),"Yes")</f>
        <v>Yes</v>
      </c>
    </row>
    <row r="1533">
      <c r="A1533" s="2">
        <f>IFERROR(__xludf.DUMMYFUNCTION("""COMPUTED_VALUE"""),45981.52658175926)</f>
        <v>45981.52658</v>
      </c>
      <c r="B1533" s="1" t="str">
        <f>IFERROR(__xludf.DUMMYFUNCTION("""COMPUTED_VALUE"""),"Pushpa ji")</f>
        <v>Pushpa ji</v>
      </c>
      <c r="C1533" s="1">
        <f>IFERROR(__xludf.DUMMYFUNCTION("""COMPUTED_VALUE"""),9.810133082E9)</f>
        <v>9810133082</v>
      </c>
      <c r="D1533" s="1">
        <f>IFERROR(__xludf.DUMMYFUNCTION("""COMPUTED_VALUE"""),2.0)</f>
        <v>2</v>
      </c>
      <c r="E1533" s="3">
        <f>IFERROR(__xludf.DUMMYFUNCTION("""COMPUTED_VALUE"""),0.6159722222218988)</f>
        <v>0.6159722222</v>
      </c>
      <c r="F1533" s="1" t="str">
        <f>IFERROR(__xludf.DUMMYFUNCTION("""COMPUTED_VALUE"""),"Plain Gold")</f>
        <v>Plain Gold</v>
      </c>
      <c r="G1533" s="1" t="str">
        <f>IFERROR(__xludf.DUMMYFUNCTION("""COMPUTED_VALUE"""),"Pooja")</f>
        <v>Pooja</v>
      </c>
      <c r="H1533" s="1" t="str">
        <f>IFERROR(__xludf.DUMMYFUNCTION("""COMPUTED_VALUE"""),"Earrings ")</f>
        <v>Earrings </v>
      </c>
      <c r="I1533" s="1" t="str">
        <f>IFERROR(__xludf.DUMMYFUNCTION("""COMPUTED_VALUE"""),"Here to see the designs first")</f>
        <v>Here to see the designs first</v>
      </c>
      <c r="J1533" s="1"/>
      <c r="K1533" s="3">
        <f>IFERROR(__xludf.DUMMYFUNCTION("""COMPUTED_VALUE"""),0.6138888888890506)</f>
        <v>0.6138888889</v>
      </c>
      <c r="L1533" s="1" t="str">
        <f>IFERROR(__xludf.DUMMYFUNCTION("""COMPUTED_VALUE"""),"No")</f>
        <v>No</v>
      </c>
      <c r="M1533" s="1" t="str">
        <f>IFERROR(__xludf.DUMMYFUNCTION("""COMPUTED_VALUE"""),"No")</f>
        <v>No</v>
      </c>
      <c r="N1533" s="1" t="str">
        <f>IFERROR(__xludf.DUMMYFUNCTION("""COMPUTED_VALUE"""),"No")</f>
        <v>No</v>
      </c>
      <c r="O1533" s="1" t="str">
        <f>IFERROR(__xludf.DUMMYFUNCTION("""COMPUTED_VALUE"""),"WA ONLY")</f>
        <v>WA ONLY</v>
      </c>
      <c r="P1533" s="1" t="str">
        <f>IFERROR(__xludf.DUMMYFUNCTION("""COMPUTED_VALUE"""),"Madam")</f>
        <v>Madam</v>
      </c>
      <c r="Q1533" s="1" t="str">
        <f>IFERROR(__xludf.DUMMYFUNCTION("""COMPUTED_VALUE"""),"No")</f>
        <v>No</v>
      </c>
      <c r="R1533" s="1" t="str">
        <f>IFERROR(__xludf.DUMMYFUNCTION("""COMPUTED_VALUE"""),"NEW WALK IN")</f>
        <v>NEW WALK IN</v>
      </c>
      <c r="S1533" s="1" t="str">
        <f>IFERROR(__xludf.DUMMYFUNCTION("""COMPUTED_VALUE"""),"No")</f>
        <v>No</v>
      </c>
    </row>
    <row r="1534">
      <c r="A1534" s="2">
        <f>IFERROR(__xludf.DUMMYFUNCTION("""COMPUTED_VALUE"""),45981.529726458335)</f>
        <v>45981.52973</v>
      </c>
      <c r="B1534" s="1" t="str">
        <f>IFERROR(__xludf.DUMMYFUNCTION("""COMPUTED_VALUE"""),"Pulkit ji")</f>
        <v>Pulkit ji</v>
      </c>
      <c r="C1534" s="1">
        <f>IFERROR(__xludf.DUMMYFUNCTION("""COMPUTED_VALUE"""),8.52721345E9)</f>
        <v>8527213450</v>
      </c>
      <c r="D1534" s="1">
        <f>IFERROR(__xludf.DUMMYFUNCTION("""COMPUTED_VALUE"""),2.0)</f>
        <v>2</v>
      </c>
      <c r="E1534" s="3">
        <f>IFERROR(__xludf.DUMMYFUNCTION("""COMPUTED_VALUE"""),0.7083333333357587)</f>
        <v>0.7083333333</v>
      </c>
      <c r="F1534" s="1" t="str">
        <f>IFERROR(__xludf.DUMMYFUNCTION("""COMPUTED_VALUE"""),"Diamond")</f>
        <v>Diamond</v>
      </c>
      <c r="G1534" s="1"/>
      <c r="H1534" s="1"/>
      <c r="I1534" s="1" t="str">
        <f>IFERROR(__xludf.DUMMYFUNCTION("""COMPUTED_VALUE"""),"Visit Again in 1 Month")</f>
        <v>Visit Again in 1 Month</v>
      </c>
      <c r="J1534" s="1"/>
      <c r="K1534" s="3">
        <f>IFERROR(__xludf.DUMMYFUNCTION("""COMPUTED_VALUE"""),0.7430555555547471)</f>
        <v>0.7430555556</v>
      </c>
      <c r="L1534" s="1" t="str">
        <f>IFERROR(__xludf.DUMMYFUNCTION("""COMPUTED_VALUE"""),"No")</f>
        <v>No</v>
      </c>
      <c r="M1534" s="1" t="str">
        <f>IFERROR(__xludf.DUMMYFUNCTION("""COMPUTED_VALUE"""),"Yes")</f>
        <v>Yes</v>
      </c>
      <c r="N1534" s="1" t="str">
        <f>IFERROR(__xludf.DUMMYFUNCTION("""COMPUTED_VALUE"""),"No")</f>
        <v>No</v>
      </c>
      <c r="O1534" s="1" t="str">
        <f>IFERROR(__xludf.DUMMYFUNCTION("""COMPUTED_VALUE"""),"WA ONLY")</f>
        <v>WA ONLY</v>
      </c>
      <c r="P1534" s="1" t="str">
        <f>IFERROR(__xludf.DUMMYFUNCTION("""COMPUTED_VALUE"""),"Sir")</f>
        <v>Sir</v>
      </c>
      <c r="Q1534" s="1" t="str">
        <f>IFERROR(__xludf.DUMMYFUNCTION("""COMPUTED_VALUE"""),"No")</f>
        <v>No</v>
      </c>
      <c r="R1534" s="1" t="str">
        <f>IFERROR(__xludf.DUMMYFUNCTION("""COMPUTED_VALUE"""),"OLD")</f>
        <v>OLD</v>
      </c>
      <c r="S1534" s="1" t="str">
        <f>IFERROR(__xludf.DUMMYFUNCTION("""COMPUTED_VALUE"""),"No")</f>
        <v>No</v>
      </c>
    </row>
    <row r="1535">
      <c r="A1535" s="2">
        <f>IFERROR(__xludf.DUMMYFUNCTION("""COMPUTED_VALUE"""),45981.534550763885)</f>
        <v>45981.53455</v>
      </c>
      <c r="B1535" s="1" t="str">
        <f>IFERROR(__xludf.DUMMYFUNCTION("""COMPUTED_VALUE"""),"Sangeeta ji")</f>
        <v>Sangeeta ji</v>
      </c>
      <c r="C1535" s="1">
        <f>IFERROR(__xludf.DUMMYFUNCTION("""COMPUTED_VALUE"""),9.871394198E9)</f>
        <v>9871394198</v>
      </c>
      <c r="D1535" s="1">
        <f>IFERROR(__xludf.DUMMYFUNCTION("""COMPUTED_VALUE"""),1.0)</f>
        <v>1</v>
      </c>
      <c r="E1535" s="3">
        <f>IFERROR(__xludf.DUMMYFUNCTION("""COMPUTED_VALUE"""),0.75)</f>
        <v>0.75</v>
      </c>
      <c r="F1535" s="1" t="str">
        <f>IFERROR(__xludf.DUMMYFUNCTION("""COMPUTED_VALUE"""),"Plain Gold")</f>
        <v>Plain Gold</v>
      </c>
      <c r="G1535" s="1" t="str">
        <f>IFERROR(__xludf.DUMMYFUNCTION("""COMPUTED_VALUE"""),"Pooja")</f>
        <v>Pooja</v>
      </c>
      <c r="H1535" s="1" t="str">
        <f>IFERROR(__xludf.DUMMYFUNCTION("""COMPUTED_VALUE"""),"Mmtc coins gold")</f>
        <v>Mmtc coins gold</v>
      </c>
      <c r="I1535" s="1"/>
      <c r="J1535" s="1"/>
      <c r="K1535" s="3">
        <f>IFERROR(__xludf.DUMMYFUNCTION("""COMPUTED_VALUE"""),0.8125)</f>
        <v>0.8125</v>
      </c>
      <c r="L1535" s="1" t="str">
        <f>IFERROR(__xludf.DUMMYFUNCTION("""COMPUTED_VALUE"""),"Yes")</f>
        <v>Yes</v>
      </c>
      <c r="M1535" s="1" t="str">
        <f>IFERROR(__xludf.DUMMYFUNCTION("""COMPUTED_VALUE"""),"Yes")</f>
        <v>Yes</v>
      </c>
      <c r="N1535" s="1" t="str">
        <f>IFERROR(__xludf.DUMMYFUNCTION("""COMPUTED_VALUE"""),"Yes")</f>
        <v>Yes</v>
      </c>
      <c r="O1535" s="1" t="str">
        <f>IFERROR(__xludf.DUMMYFUNCTION("""COMPUTED_VALUE"""),"WA ONLY, OWNER CONTACT ONLY")</f>
        <v>WA ONLY, OWNER CONTACT ONLY</v>
      </c>
      <c r="P1535" s="1" t="str">
        <f>IFERROR(__xludf.DUMMYFUNCTION("""COMPUTED_VALUE"""),"Madam")</f>
        <v>Madam</v>
      </c>
      <c r="Q1535" s="1" t="str">
        <f>IFERROR(__xludf.DUMMYFUNCTION("""COMPUTED_VALUE"""),"No")</f>
        <v>No</v>
      </c>
      <c r="R1535" s="1" t="str">
        <f>IFERROR(__xludf.DUMMYFUNCTION("""COMPUTED_VALUE"""),"OLD")</f>
        <v>OLD</v>
      </c>
      <c r="S1535" s="1" t="str">
        <f>IFERROR(__xludf.DUMMYFUNCTION("""COMPUTED_VALUE"""),"Yes")</f>
        <v>Yes</v>
      </c>
    </row>
    <row r="1536">
      <c r="A1536" s="2">
        <f>IFERROR(__xludf.DUMMYFUNCTION("""COMPUTED_VALUE"""),45982.52280381945)</f>
        <v>45982.5228</v>
      </c>
      <c r="B1536" s="1" t="str">
        <f>IFERROR(__xludf.DUMMYFUNCTION("""COMPUTED_VALUE"""),"Sangeeta ji")</f>
        <v>Sangeeta ji</v>
      </c>
      <c r="C1536" s="1">
        <f>IFERROR(__xludf.DUMMYFUNCTION("""COMPUTED_VALUE"""),9.871394198E9)</f>
        <v>9871394198</v>
      </c>
      <c r="D1536" s="1">
        <f>IFERROR(__xludf.DUMMYFUNCTION("""COMPUTED_VALUE"""),1.0)</f>
        <v>1</v>
      </c>
      <c r="E1536" s="3">
        <f>IFERROR(__xludf.DUMMYFUNCTION("""COMPUTED_VALUE"""),0.75)</f>
        <v>0.75</v>
      </c>
      <c r="F1536" s="1" t="str">
        <f>IFERROR(__xludf.DUMMYFUNCTION("""COMPUTED_VALUE"""),"Plain Gold")</f>
        <v>Plain Gold</v>
      </c>
      <c r="G1536" s="1" t="str">
        <f>IFERROR(__xludf.DUMMYFUNCTION("""COMPUTED_VALUE"""),"Pooja")</f>
        <v>Pooja</v>
      </c>
      <c r="H1536" s="1" t="str">
        <f>IFERROR(__xludf.DUMMYFUNCTION("""COMPUTED_VALUE"""),"Mmtc gold coins")</f>
        <v>Mmtc gold coins</v>
      </c>
      <c r="I1536" s="1"/>
      <c r="J1536" s="1"/>
      <c r="K1536" s="3">
        <f>IFERROR(__xludf.DUMMYFUNCTION("""COMPUTED_VALUE"""),0.8125)</f>
        <v>0.8125</v>
      </c>
      <c r="L1536" s="1" t="str">
        <f>IFERROR(__xludf.DUMMYFUNCTION("""COMPUTED_VALUE"""),"Yes")</f>
        <v>Yes</v>
      </c>
      <c r="M1536" s="1" t="str">
        <f>IFERROR(__xludf.DUMMYFUNCTION("""COMPUTED_VALUE"""),"Yes")</f>
        <v>Yes</v>
      </c>
      <c r="N1536" s="1" t="str">
        <f>IFERROR(__xludf.DUMMYFUNCTION("""COMPUTED_VALUE"""),"Yes")</f>
        <v>Yes</v>
      </c>
      <c r="O1536" s="1" t="str">
        <f>IFERROR(__xludf.DUMMYFUNCTION("""COMPUTED_VALUE"""),"WA ONLY, OWNER CONTACT ONLY")</f>
        <v>WA ONLY, OWNER CONTACT ONLY</v>
      </c>
      <c r="P1536" s="1" t="str">
        <f>IFERROR(__xludf.DUMMYFUNCTION("""COMPUTED_VALUE"""),"Madam")</f>
        <v>Madam</v>
      </c>
      <c r="Q1536" s="1" t="str">
        <f>IFERROR(__xludf.DUMMYFUNCTION("""COMPUTED_VALUE"""),"No")</f>
        <v>No</v>
      </c>
      <c r="R1536" s="1" t="str">
        <f>IFERROR(__xludf.DUMMYFUNCTION("""COMPUTED_VALUE"""),"OLD")</f>
        <v>OLD</v>
      </c>
      <c r="S1536" s="1" t="str">
        <f>IFERROR(__xludf.DUMMYFUNCTION("""COMPUTED_VALUE"""),"Yes")</f>
        <v>Yes</v>
      </c>
    </row>
    <row r="1537">
      <c r="A1537" s="2">
        <f>IFERROR(__xludf.DUMMYFUNCTION("""COMPUTED_VALUE"""),45982.52394482639)</f>
        <v>45982.52394</v>
      </c>
      <c r="B1537" s="1" t="str">
        <f>IFERROR(__xludf.DUMMYFUNCTION("""COMPUTED_VALUE"""),"Charanjeet ji")</f>
        <v>Charanjeet ji</v>
      </c>
      <c r="C1537" s="1">
        <f>IFERROR(__xludf.DUMMYFUNCTION("""COMPUTED_VALUE"""),8.920524024E9)</f>
        <v>8920524024</v>
      </c>
      <c r="D1537" s="1">
        <f>IFERROR(__xludf.DUMMYFUNCTION("""COMPUTED_VALUE"""),1.0)</f>
        <v>1</v>
      </c>
      <c r="E1537" s="3">
        <f>IFERROR(__xludf.DUMMYFUNCTION("""COMPUTED_VALUE"""),0.6354166666642413)</f>
        <v>0.6354166667</v>
      </c>
      <c r="F1537" s="1" t="str">
        <f>IFERROR(__xludf.DUMMYFUNCTION("""COMPUTED_VALUE"""),"Plain Gold")</f>
        <v>Plain Gold</v>
      </c>
      <c r="G1537" s="1"/>
      <c r="H1537" s="1" t="str">
        <f>IFERROR(__xludf.DUMMYFUNCTION("""COMPUTED_VALUE"""),"Kadha")</f>
        <v>Kadha</v>
      </c>
      <c r="I1537" s="1" t="str">
        <f>IFERROR(__xludf.DUMMYFUNCTION("""COMPUTED_VALUE"""),"Pick up Order")</f>
        <v>Pick up Order</v>
      </c>
      <c r="J1537" s="1"/>
      <c r="K1537" s="3">
        <f>IFERROR(__xludf.DUMMYFUNCTION("""COMPUTED_VALUE"""),0.7326388888905058)</f>
        <v>0.7326388889</v>
      </c>
      <c r="L1537" s="1" t="str">
        <f>IFERROR(__xludf.DUMMYFUNCTION("""COMPUTED_VALUE"""),"No")</f>
        <v>No</v>
      </c>
      <c r="M1537" s="1" t="str">
        <f>IFERROR(__xludf.DUMMYFUNCTION("""COMPUTED_VALUE"""),"Already done ")</f>
        <v>Already done </v>
      </c>
      <c r="N1537" s="1" t="str">
        <f>IFERROR(__xludf.DUMMYFUNCTION("""COMPUTED_VALUE"""),"No")</f>
        <v>No</v>
      </c>
      <c r="O1537" s="1" t="str">
        <f>IFERROR(__xludf.DUMMYFUNCTION("""COMPUTED_VALUE"""),"WA ONLY, OWNER CONTACT ONLY")</f>
        <v>WA ONLY, OWNER CONTACT ONLY</v>
      </c>
      <c r="P1537" s="1" t="str">
        <f>IFERROR(__xludf.DUMMYFUNCTION("""COMPUTED_VALUE"""),"Sir")</f>
        <v>Sir</v>
      </c>
      <c r="Q1537" s="1" t="str">
        <f>IFERROR(__xludf.DUMMYFUNCTION("""COMPUTED_VALUE"""),"No")</f>
        <v>No</v>
      </c>
      <c r="R1537" s="1" t="str">
        <f>IFERROR(__xludf.DUMMYFUNCTION("""COMPUTED_VALUE"""),"OLD")</f>
        <v>OLD</v>
      </c>
      <c r="S1537" s="1" t="str">
        <f>IFERROR(__xludf.DUMMYFUNCTION("""COMPUTED_VALUE"""),"Yes")</f>
        <v>Yes</v>
      </c>
    </row>
    <row r="1538">
      <c r="A1538" s="2">
        <f>IFERROR(__xludf.DUMMYFUNCTION("""COMPUTED_VALUE"""),45982.525079583334)</f>
        <v>45982.52508</v>
      </c>
      <c r="B1538" s="1" t="str">
        <f>IFERROR(__xludf.DUMMYFUNCTION("""COMPUTED_VALUE"""),"Mini sachdeva ji")</f>
        <v>Mini sachdeva ji</v>
      </c>
      <c r="C1538" s="1">
        <f>IFERROR(__xludf.DUMMYFUNCTION("""COMPUTED_VALUE"""),9.910797272E9)</f>
        <v>9910797272</v>
      </c>
      <c r="D1538" s="1">
        <f>IFERROR(__xludf.DUMMYFUNCTION("""COMPUTED_VALUE"""),1.0)</f>
        <v>1</v>
      </c>
      <c r="E1538" s="3">
        <f>IFERROR(__xludf.DUMMYFUNCTION("""COMPUTED_VALUE"""),0.6458333333357587)</f>
        <v>0.6458333333</v>
      </c>
      <c r="F1538" s="1" t="str">
        <f>IFERROR(__xludf.DUMMYFUNCTION("""COMPUTED_VALUE"""),"Plain Gold")</f>
        <v>Plain Gold</v>
      </c>
      <c r="G1538" s="1"/>
      <c r="H1538" s="1" t="str">
        <f>IFERROR(__xludf.DUMMYFUNCTION("""COMPUTED_VALUE"""),"To collect and give order")</f>
        <v>To collect and give order</v>
      </c>
      <c r="I1538" s="1" t="str">
        <f>IFERROR(__xludf.DUMMYFUNCTION("""COMPUTED_VALUE"""),"Gave something for repair")</f>
        <v>Gave something for repair</v>
      </c>
      <c r="J1538" s="1"/>
      <c r="K1538" s="3">
        <f>IFERROR(__xludf.DUMMYFUNCTION("""COMPUTED_VALUE"""),0.6875)</f>
        <v>0.6875</v>
      </c>
      <c r="L1538" s="1" t="str">
        <f>IFERROR(__xludf.DUMMYFUNCTION("""COMPUTED_VALUE"""),"No")</f>
        <v>No</v>
      </c>
      <c r="M1538" s="1" t="str">
        <f>IFERROR(__xludf.DUMMYFUNCTION("""COMPUTED_VALUE"""),"Already done")</f>
        <v>Already done</v>
      </c>
      <c r="N1538" s="1" t="str">
        <f>IFERROR(__xludf.DUMMYFUNCTION("""COMPUTED_VALUE"""),"Already done")</f>
        <v>Already done</v>
      </c>
      <c r="O1538" s="1" t="str">
        <f>IFERROR(__xludf.DUMMYFUNCTION("""COMPUTED_VALUE"""),"WA ONLY")</f>
        <v>WA ONLY</v>
      </c>
      <c r="P1538" s="1" t="str">
        <f>IFERROR(__xludf.DUMMYFUNCTION("""COMPUTED_VALUE"""),"Madam")</f>
        <v>Madam</v>
      </c>
      <c r="Q1538" s="1" t="str">
        <f>IFERROR(__xludf.DUMMYFUNCTION("""COMPUTED_VALUE"""),"No")</f>
        <v>No</v>
      </c>
      <c r="R1538" s="1" t="str">
        <f>IFERROR(__xludf.DUMMYFUNCTION("""COMPUTED_VALUE"""),"OLD")</f>
        <v>OLD</v>
      </c>
      <c r="S1538" s="1" t="str">
        <f>IFERROR(__xludf.DUMMYFUNCTION("""COMPUTED_VALUE"""),"No")</f>
        <v>No</v>
      </c>
    </row>
    <row r="1539">
      <c r="A1539" s="2">
        <f>IFERROR(__xludf.DUMMYFUNCTION("""COMPUTED_VALUE"""),45982.705602546295)</f>
        <v>45982.7056</v>
      </c>
      <c r="B1539" s="1" t="str">
        <f>IFERROR(__xludf.DUMMYFUNCTION("""COMPUTED_VALUE"""),"Sneh gupta ji")</f>
        <v>Sneh gupta ji</v>
      </c>
      <c r="C1539" s="1">
        <f>IFERROR(__xludf.DUMMYFUNCTION("""COMPUTED_VALUE"""),9.350290331E9)</f>
        <v>9350290331</v>
      </c>
      <c r="D1539" s="1">
        <f>IFERROR(__xludf.DUMMYFUNCTION("""COMPUTED_VALUE"""),2.0)</f>
        <v>2</v>
      </c>
      <c r="E1539" s="3">
        <f>IFERROR(__xludf.DUMMYFUNCTION("""COMPUTED_VALUE"""),0.5034722222189885)</f>
        <v>0.5034722222</v>
      </c>
      <c r="F1539" s="1" t="str">
        <f>IFERROR(__xludf.DUMMYFUNCTION("""COMPUTED_VALUE"""),"Plain Gold")</f>
        <v>Plain Gold</v>
      </c>
      <c r="G1539" s="1" t="str">
        <f>IFERROR(__xludf.DUMMYFUNCTION("""COMPUTED_VALUE"""),"Pooja")</f>
        <v>Pooja</v>
      </c>
      <c r="H1539" s="1" t="str">
        <f>IFERROR(__xludf.DUMMYFUNCTION("""COMPUTED_VALUE"""),"Gold chain")</f>
        <v>Gold chain</v>
      </c>
      <c r="I1539" s="1"/>
      <c r="J1539" s="1"/>
      <c r="K1539" s="3">
        <f>IFERROR(__xludf.DUMMYFUNCTION("""COMPUTED_VALUE"""),0.5715277777781012)</f>
        <v>0.5715277778</v>
      </c>
      <c r="L1539" s="1" t="str">
        <f>IFERROR(__xludf.DUMMYFUNCTION("""COMPUTED_VALUE"""),"Yes")</f>
        <v>Yes</v>
      </c>
      <c r="M1539" s="1" t="str">
        <f>IFERROR(__xludf.DUMMYFUNCTION("""COMPUTED_VALUE"""),"Yes")</f>
        <v>Yes</v>
      </c>
      <c r="N1539" s="1" t="str">
        <f>IFERROR(__xludf.DUMMYFUNCTION("""COMPUTED_VALUE"""),"Yes")</f>
        <v>Yes</v>
      </c>
      <c r="O1539" s="1" t="str">
        <f>IFERROR(__xludf.DUMMYFUNCTION("""COMPUTED_VALUE"""),"WA ONLY")</f>
        <v>WA ONLY</v>
      </c>
      <c r="P1539" s="1" t="str">
        <f>IFERROR(__xludf.DUMMYFUNCTION("""COMPUTED_VALUE"""),"Madam")</f>
        <v>Madam</v>
      </c>
      <c r="Q1539" s="1" t="str">
        <f>IFERROR(__xludf.DUMMYFUNCTION("""COMPUTED_VALUE"""),"No")</f>
        <v>No</v>
      </c>
      <c r="R1539" s="1" t="str">
        <f>IFERROR(__xludf.DUMMYFUNCTION("""COMPUTED_VALUE"""),"OLD")</f>
        <v>OLD</v>
      </c>
      <c r="S1539" s="1" t="str">
        <f>IFERROR(__xludf.DUMMYFUNCTION("""COMPUTED_VALUE"""),"Yes")</f>
        <v>Yes</v>
      </c>
    </row>
    <row r="1540">
      <c r="A1540" s="2">
        <f>IFERROR(__xludf.DUMMYFUNCTION("""COMPUTED_VALUE"""),45982.70651164352)</f>
        <v>45982.70651</v>
      </c>
      <c r="B1540" s="1" t="str">
        <f>IFERROR(__xludf.DUMMYFUNCTION("""COMPUTED_VALUE"""),"Munmun ji")</f>
        <v>Munmun ji</v>
      </c>
      <c r="C1540" s="1">
        <f>IFERROR(__xludf.DUMMYFUNCTION("""COMPUTED_VALUE"""),9.81857007E9)</f>
        <v>9818570070</v>
      </c>
      <c r="D1540" s="1">
        <f>IFERROR(__xludf.DUMMYFUNCTION("""COMPUTED_VALUE"""),2.0)</f>
        <v>2</v>
      </c>
      <c r="E1540" s="3">
        <f>IFERROR(__xludf.DUMMYFUNCTION("""COMPUTED_VALUE"""),0.5208333333357587)</f>
        <v>0.5208333333</v>
      </c>
      <c r="F1540" s="1" t="str">
        <f>IFERROR(__xludf.DUMMYFUNCTION("""COMPUTED_VALUE"""),"Plain Gold")</f>
        <v>Plain Gold</v>
      </c>
      <c r="G1540" s="1" t="str">
        <f>IFERROR(__xludf.DUMMYFUNCTION("""COMPUTED_VALUE"""),"Pooja")</f>
        <v>Pooja</v>
      </c>
      <c r="H1540" s="1" t="str">
        <f>IFERROR(__xludf.DUMMYFUNCTION("""COMPUTED_VALUE"""),"Silver earrings ")</f>
        <v>Silver earrings </v>
      </c>
      <c r="I1540" s="1"/>
      <c r="J1540" s="1"/>
      <c r="K1540" s="3">
        <f>IFERROR(__xludf.DUMMYFUNCTION("""COMPUTED_VALUE"""),0.5763888888905058)</f>
        <v>0.5763888889</v>
      </c>
      <c r="L1540" s="1" t="str">
        <f>IFERROR(__xludf.DUMMYFUNCTION("""COMPUTED_VALUE"""),"Yes")</f>
        <v>Yes</v>
      </c>
      <c r="M1540" s="1" t="str">
        <f>IFERROR(__xludf.DUMMYFUNCTION("""COMPUTED_VALUE"""),"No")</f>
        <v>No</v>
      </c>
      <c r="N1540" s="1" t="str">
        <f>IFERROR(__xludf.DUMMYFUNCTION("""COMPUTED_VALUE"""),"No")</f>
        <v>No</v>
      </c>
      <c r="O1540" s="1" t="str">
        <f>IFERROR(__xludf.DUMMYFUNCTION("""COMPUTED_VALUE"""),"WA ONLY")</f>
        <v>WA ONLY</v>
      </c>
      <c r="P1540" s="1" t="str">
        <f>IFERROR(__xludf.DUMMYFUNCTION("""COMPUTED_VALUE"""),"Madam")</f>
        <v>Madam</v>
      </c>
      <c r="Q1540" s="1" t="str">
        <f>IFERROR(__xludf.DUMMYFUNCTION("""COMPUTED_VALUE"""),"No")</f>
        <v>No</v>
      </c>
      <c r="R1540" s="1" t="str">
        <f>IFERROR(__xludf.DUMMYFUNCTION("""COMPUTED_VALUE"""),"OLD")</f>
        <v>OLD</v>
      </c>
      <c r="S1540" s="1" t="str">
        <f>IFERROR(__xludf.DUMMYFUNCTION("""COMPUTED_VALUE"""),"Yes")</f>
        <v>Yes</v>
      </c>
    </row>
    <row r="1541">
      <c r="A1541" s="2">
        <f>IFERROR(__xludf.DUMMYFUNCTION("""COMPUTED_VALUE"""),45982.70942587963)</f>
        <v>45982.70943</v>
      </c>
      <c r="B1541" s="1" t="str">
        <f>IFERROR(__xludf.DUMMYFUNCTION("""COMPUTED_VALUE"""),"Rama ji")</f>
        <v>Rama ji</v>
      </c>
      <c r="C1541" s="1">
        <f>IFERROR(__xludf.DUMMYFUNCTION("""COMPUTED_VALUE"""),9.310348015E9)</f>
        <v>9310348015</v>
      </c>
      <c r="D1541" s="1">
        <f>IFERROR(__xludf.DUMMYFUNCTION("""COMPUTED_VALUE"""),2.0)</f>
        <v>2</v>
      </c>
      <c r="E1541" s="3">
        <f>IFERROR(__xludf.DUMMYFUNCTION("""COMPUTED_VALUE"""),0.59375)</f>
        <v>0.59375</v>
      </c>
      <c r="F1541" s="1" t="str">
        <f>IFERROR(__xludf.DUMMYFUNCTION("""COMPUTED_VALUE"""),"Plain Gold")</f>
        <v>Plain Gold</v>
      </c>
      <c r="G1541" s="1" t="str">
        <f>IFERROR(__xludf.DUMMYFUNCTION("""COMPUTED_VALUE"""),"Pooja")</f>
        <v>Pooja</v>
      </c>
      <c r="H1541" s="1" t="str">
        <f>IFERROR(__xludf.DUMMYFUNCTION("""COMPUTED_VALUE"""),"Antique sets")</f>
        <v>Antique sets</v>
      </c>
      <c r="I1541" s="1" t="str">
        <f>IFERROR(__xludf.DUMMYFUNCTION("""COMPUTED_VALUE"""),"Lacked the budget for the one they liked")</f>
        <v>Lacked the budget for the one they liked</v>
      </c>
      <c r="J1541" s="1"/>
      <c r="K1541" s="3">
        <f>IFERROR(__xludf.DUMMYFUNCTION("""COMPUTED_VALUE"""),0.6465277777751908)</f>
        <v>0.6465277778</v>
      </c>
      <c r="L1541" s="1" t="str">
        <f>IFERROR(__xludf.DUMMYFUNCTION("""COMPUTED_VALUE"""),"No")</f>
        <v>No</v>
      </c>
      <c r="M1541" s="1" t="str">
        <f>IFERROR(__xludf.DUMMYFUNCTION("""COMPUTED_VALUE"""),"No")</f>
        <v>No</v>
      </c>
      <c r="N1541" s="1" t="str">
        <f>IFERROR(__xludf.DUMMYFUNCTION("""COMPUTED_VALUE"""),"No")</f>
        <v>No</v>
      </c>
      <c r="O1541" s="1" t="str">
        <f>IFERROR(__xludf.DUMMYFUNCTION("""COMPUTED_VALUE"""),"WA ONLY")</f>
        <v>WA ONLY</v>
      </c>
      <c r="P1541" s="1" t="str">
        <f>IFERROR(__xludf.DUMMYFUNCTION("""COMPUTED_VALUE"""),"Madam")</f>
        <v>Madam</v>
      </c>
      <c r="Q1541" s="1" t="str">
        <f>IFERROR(__xludf.DUMMYFUNCTION("""COMPUTED_VALUE"""),"No")</f>
        <v>No</v>
      </c>
      <c r="R1541" s="1" t="str">
        <f>IFERROR(__xludf.DUMMYFUNCTION("""COMPUTED_VALUE"""),"OLD")</f>
        <v>OLD</v>
      </c>
      <c r="S1541" s="1" t="str">
        <f>IFERROR(__xludf.DUMMYFUNCTION("""COMPUTED_VALUE"""),"No")</f>
        <v>No</v>
      </c>
    </row>
    <row r="1542">
      <c r="A1542" s="2">
        <f>IFERROR(__xludf.DUMMYFUNCTION("""COMPUTED_VALUE"""),45982.71137802083)</f>
        <v>45982.71138</v>
      </c>
      <c r="B1542" s="1" t="str">
        <f>IFERROR(__xludf.DUMMYFUNCTION("""COMPUTED_VALUE"""),"Chetali ji")</f>
        <v>Chetali ji</v>
      </c>
      <c r="C1542" s="1">
        <f>IFERROR(__xludf.DUMMYFUNCTION("""COMPUTED_VALUE"""),7.351923465E9)</f>
        <v>7351923465</v>
      </c>
      <c r="D1542" s="1">
        <f>IFERROR(__xludf.DUMMYFUNCTION("""COMPUTED_VALUE"""),2.0)</f>
        <v>2</v>
      </c>
      <c r="E1542" s="3">
        <f>IFERROR(__xludf.DUMMYFUNCTION("""COMPUTED_VALUE"""),0.6631944444452529)</f>
        <v>0.6631944444</v>
      </c>
      <c r="F1542" s="1" t="str">
        <f>IFERROR(__xludf.DUMMYFUNCTION("""COMPUTED_VALUE"""),"Diamond")</f>
        <v>Diamond</v>
      </c>
      <c r="G1542" s="1"/>
      <c r="H1542" s="1" t="str">
        <f>IFERROR(__xludf.DUMMYFUNCTION("""COMPUTED_VALUE"""),"For a ring repair")</f>
        <v>For a ring repair</v>
      </c>
      <c r="I1542" s="1"/>
      <c r="J1542" s="1"/>
      <c r="K1542" s="3">
        <f>IFERROR(__xludf.DUMMYFUNCTION("""COMPUTED_VALUE"""),0.6770833333357587)</f>
        <v>0.6770833333</v>
      </c>
      <c r="L1542" s="1" t="str">
        <f>IFERROR(__xludf.DUMMYFUNCTION("""COMPUTED_VALUE"""),"No")</f>
        <v>No</v>
      </c>
      <c r="M1542" s="1" t="str">
        <f>IFERROR(__xludf.DUMMYFUNCTION("""COMPUTED_VALUE"""),"Already done")</f>
        <v>Already done</v>
      </c>
      <c r="N1542" s="1" t="str">
        <f>IFERROR(__xludf.DUMMYFUNCTION("""COMPUTED_VALUE"""),"Already done")</f>
        <v>Already done</v>
      </c>
      <c r="O1542" s="1" t="str">
        <f>IFERROR(__xludf.DUMMYFUNCTION("""COMPUTED_VALUE"""),"WA ONLY")</f>
        <v>WA ONLY</v>
      </c>
      <c r="P1542" s="1" t="str">
        <f>IFERROR(__xludf.DUMMYFUNCTION("""COMPUTED_VALUE"""),"Madam")</f>
        <v>Madam</v>
      </c>
      <c r="Q1542" s="1" t="str">
        <f>IFERROR(__xludf.DUMMYFUNCTION("""COMPUTED_VALUE"""),"No")</f>
        <v>No</v>
      </c>
      <c r="R1542" s="1" t="str">
        <f>IFERROR(__xludf.DUMMYFUNCTION("""COMPUTED_VALUE"""),"OLD")</f>
        <v>OLD</v>
      </c>
      <c r="S1542" s="1" t="str">
        <f>IFERROR(__xludf.DUMMYFUNCTION("""COMPUTED_VALUE"""),"No")</f>
        <v>No</v>
      </c>
    </row>
    <row r="1543">
      <c r="A1543" s="2">
        <f>IFERROR(__xludf.DUMMYFUNCTION("""COMPUTED_VALUE"""),45983.53215489583)</f>
        <v>45983.53215</v>
      </c>
      <c r="B1543" s="1" t="str">
        <f>IFERROR(__xludf.DUMMYFUNCTION("""COMPUTED_VALUE"""),"Nitin ji")</f>
        <v>Nitin ji</v>
      </c>
      <c r="C1543" s="1">
        <f>IFERROR(__xludf.DUMMYFUNCTION("""COMPUTED_VALUE"""),9.818223853E9)</f>
        <v>9818223853</v>
      </c>
      <c r="D1543" s="1">
        <f>IFERROR(__xludf.DUMMYFUNCTION("""COMPUTED_VALUE"""),1.0)</f>
        <v>1</v>
      </c>
      <c r="E1543" s="3">
        <f>IFERROR(__xludf.DUMMYFUNCTION("""COMPUTED_VALUE"""),0.7083333333357587)</f>
        <v>0.7083333333</v>
      </c>
      <c r="F1543" s="1" t="str">
        <f>IFERROR(__xludf.DUMMYFUNCTION("""COMPUTED_VALUE"""),"Diamond")</f>
        <v>Diamond</v>
      </c>
      <c r="G1543" s="1"/>
      <c r="H1543" s="1" t="str">
        <f>IFERROR(__xludf.DUMMYFUNCTION("""COMPUTED_VALUE"""),"Silver article")</f>
        <v>Silver article</v>
      </c>
      <c r="I1543" s="1" t="str">
        <f>IFERROR(__xludf.DUMMYFUNCTION("""COMPUTED_VALUE"""),"He needed certified silver jewellery ")</f>
        <v>He needed certified silver jewellery </v>
      </c>
      <c r="J1543" s="1"/>
      <c r="K1543" s="3">
        <f>IFERROR(__xludf.DUMMYFUNCTION("""COMPUTED_VALUE"""),0.7222222222189885)</f>
        <v>0.7222222222</v>
      </c>
      <c r="L1543" s="1" t="str">
        <f>IFERROR(__xludf.DUMMYFUNCTION("""COMPUTED_VALUE"""),"No")</f>
        <v>No</v>
      </c>
      <c r="M1543" s="1" t="str">
        <f>IFERROR(__xludf.DUMMYFUNCTION("""COMPUTED_VALUE"""),"No")</f>
        <v>No</v>
      </c>
      <c r="N1543" s="1" t="str">
        <f>IFERROR(__xludf.DUMMYFUNCTION("""COMPUTED_VALUE"""),"No")</f>
        <v>No</v>
      </c>
      <c r="O1543" s="1" t="str">
        <f>IFERROR(__xludf.DUMMYFUNCTION("""COMPUTED_VALUE"""),"WA ONLY, OWNER CONTACT ONLY")</f>
        <v>WA ONLY, OWNER CONTACT ONLY</v>
      </c>
      <c r="P1543" s="1" t="str">
        <f>IFERROR(__xludf.DUMMYFUNCTION("""COMPUTED_VALUE"""),"Sir")</f>
        <v>Sir</v>
      </c>
      <c r="Q1543" s="1" t="str">
        <f>IFERROR(__xludf.DUMMYFUNCTION("""COMPUTED_VALUE"""),"No")</f>
        <v>No</v>
      </c>
      <c r="R1543" s="1" t="str">
        <f>IFERROR(__xludf.DUMMYFUNCTION("""COMPUTED_VALUE"""),"NEW WALK IN")</f>
        <v>NEW WALK IN</v>
      </c>
      <c r="S1543" s="1" t="str">
        <f>IFERROR(__xludf.DUMMYFUNCTION("""COMPUTED_VALUE"""),"No")</f>
        <v>No</v>
      </c>
    </row>
    <row r="1544">
      <c r="A1544" s="2">
        <f>IFERROR(__xludf.DUMMYFUNCTION("""COMPUTED_VALUE"""),45983.533542986115)</f>
        <v>45983.53354</v>
      </c>
      <c r="B1544" s="1" t="str">
        <f>IFERROR(__xludf.DUMMYFUNCTION("""COMPUTED_VALUE"""),"Meena ji")</f>
        <v>Meena ji</v>
      </c>
      <c r="C1544" s="1">
        <f>IFERROR(__xludf.DUMMYFUNCTION("""COMPUTED_VALUE"""),8.800939462E9)</f>
        <v>8800939462</v>
      </c>
      <c r="D1544" s="1">
        <f>IFERROR(__xludf.DUMMYFUNCTION("""COMPUTED_VALUE"""),1.0)</f>
        <v>1</v>
      </c>
      <c r="E1544" s="3">
        <f>IFERROR(__xludf.DUMMYFUNCTION("""COMPUTED_VALUE"""),0.7395833333357587)</f>
        <v>0.7395833333</v>
      </c>
      <c r="F1544" s="1" t="str">
        <f>IFERROR(__xludf.DUMMYFUNCTION("""COMPUTED_VALUE"""),"Diamond")</f>
        <v>Diamond</v>
      </c>
      <c r="G1544" s="1"/>
      <c r="H1544" s="1" t="str">
        <f>IFERROR(__xludf.DUMMYFUNCTION("""COMPUTED_VALUE"""),"3 Guru ji")</f>
        <v>3 Guru ji</v>
      </c>
      <c r="I1544" s="1"/>
      <c r="J1544" s="1"/>
      <c r="K1544" s="3">
        <f>IFERROR(__xludf.DUMMYFUNCTION("""COMPUTED_VALUE"""),0.7534722222189885)</f>
        <v>0.7534722222</v>
      </c>
      <c r="L1544" s="1" t="str">
        <f>IFERROR(__xludf.DUMMYFUNCTION("""COMPUTED_VALUE"""),"No")</f>
        <v>No</v>
      </c>
      <c r="M1544" s="1" t="str">
        <f>IFERROR(__xludf.DUMMYFUNCTION("""COMPUTED_VALUE"""),"Yes")</f>
        <v>Yes</v>
      </c>
      <c r="N1544" s="1" t="str">
        <f>IFERROR(__xludf.DUMMYFUNCTION("""COMPUTED_VALUE"""),"Yes")</f>
        <v>Yes</v>
      </c>
      <c r="O1544" s="1" t="str">
        <f>IFERROR(__xludf.DUMMYFUNCTION("""COMPUTED_VALUE"""),"WA ONLY")</f>
        <v>WA ONLY</v>
      </c>
      <c r="P1544" s="1" t="str">
        <f>IFERROR(__xludf.DUMMYFUNCTION("""COMPUTED_VALUE"""),"Madam")</f>
        <v>Madam</v>
      </c>
      <c r="Q1544" s="1" t="str">
        <f>IFERROR(__xludf.DUMMYFUNCTION("""COMPUTED_VALUE"""),"No")</f>
        <v>No</v>
      </c>
      <c r="R1544" s="1" t="str">
        <f>IFERROR(__xludf.DUMMYFUNCTION("""COMPUTED_VALUE"""),"OLD")</f>
        <v>OLD</v>
      </c>
      <c r="S1544" s="1" t="str">
        <f>IFERROR(__xludf.DUMMYFUNCTION("""COMPUTED_VALUE"""),"Yes")</f>
        <v>Yes</v>
      </c>
    </row>
    <row r="1545">
      <c r="A1545" s="2">
        <f>IFERROR(__xludf.DUMMYFUNCTION("""COMPUTED_VALUE"""),45983.534724791665)</f>
        <v>45983.53472</v>
      </c>
      <c r="B1545" s="1" t="str">
        <f>IFERROR(__xludf.DUMMYFUNCTION("""COMPUTED_VALUE"""),"Ranjana ji")</f>
        <v>Ranjana ji</v>
      </c>
      <c r="C1545" s="1">
        <f>IFERROR(__xludf.DUMMYFUNCTION("""COMPUTED_VALUE"""),9.871501384E9)</f>
        <v>9871501384</v>
      </c>
      <c r="D1545" s="1">
        <f>IFERROR(__xludf.DUMMYFUNCTION("""COMPUTED_VALUE"""),3.0)</f>
        <v>3</v>
      </c>
      <c r="E1545" s="3">
        <f>IFERROR(__xludf.DUMMYFUNCTION("""COMPUTED_VALUE"""),0.71875)</f>
        <v>0.71875</v>
      </c>
      <c r="F1545" s="1" t="str">
        <f>IFERROR(__xludf.DUMMYFUNCTION("""COMPUTED_VALUE"""),"Plain Gold")</f>
        <v>Plain Gold</v>
      </c>
      <c r="G1545" s="1" t="str">
        <f>IFERROR(__xludf.DUMMYFUNCTION("""COMPUTED_VALUE"""),"Pooja")</f>
        <v>Pooja</v>
      </c>
      <c r="H1545" s="1" t="str">
        <f>IFERROR(__xludf.DUMMYFUNCTION("""COMPUTED_VALUE"""),"Gold earrings ")</f>
        <v>Gold earrings </v>
      </c>
      <c r="I1545" s="1" t="str">
        <f>IFERROR(__xludf.DUMMYFUNCTION("""COMPUTED_VALUE"""),"Making was high")</f>
        <v>Making was high</v>
      </c>
      <c r="J1545" s="1"/>
      <c r="K1545" s="3">
        <f>IFERROR(__xludf.DUMMYFUNCTION("""COMPUTED_VALUE"""),0.765277777776646)</f>
        <v>0.7652777778</v>
      </c>
      <c r="L1545" s="1" t="str">
        <f>IFERROR(__xludf.DUMMYFUNCTION("""COMPUTED_VALUE"""),"Yes")</f>
        <v>Yes</v>
      </c>
      <c r="M1545" s="1" t="str">
        <f>IFERROR(__xludf.DUMMYFUNCTION("""COMPUTED_VALUE"""),"No")</f>
        <v>No</v>
      </c>
      <c r="N1545" s="1" t="str">
        <f>IFERROR(__xludf.DUMMYFUNCTION("""COMPUTED_VALUE"""),"No")</f>
        <v>No</v>
      </c>
      <c r="O1545" s="1" t="str">
        <f>IFERROR(__xludf.DUMMYFUNCTION("""COMPUTED_VALUE"""),"WA ONLY")</f>
        <v>WA ONLY</v>
      </c>
      <c r="P1545" s="1" t="str">
        <f>IFERROR(__xludf.DUMMYFUNCTION("""COMPUTED_VALUE"""),"Madam")</f>
        <v>Madam</v>
      </c>
      <c r="Q1545" s="1" t="str">
        <f>IFERROR(__xludf.DUMMYFUNCTION("""COMPUTED_VALUE"""),"No")</f>
        <v>No</v>
      </c>
      <c r="R1545" s="1" t="str">
        <f>IFERROR(__xludf.DUMMYFUNCTION("""COMPUTED_VALUE"""),"NEW WALK IN")</f>
        <v>NEW WALK IN</v>
      </c>
      <c r="S1545" s="1" t="str">
        <f>IFERROR(__xludf.DUMMYFUNCTION("""COMPUTED_VALUE"""),"No")</f>
        <v>No</v>
      </c>
    </row>
    <row r="1546">
      <c r="A1546" s="2">
        <f>IFERROR(__xludf.DUMMYFUNCTION("""COMPUTED_VALUE"""),45984.534973981485)</f>
        <v>45984.53497</v>
      </c>
      <c r="B1546" s="1" t="str">
        <f>IFERROR(__xludf.DUMMYFUNCTION("""COMPUTED_VALUE"""),"Mirza ji")</f>
        <v>Mirza ji</v>
      </c>
      <c r="C1546" s="1">
        <f>IFERROR(__xludf.DUMMYFUNCTION("""COMPUTED_VALUE"""),9.310698129E9)</f>
        <v>9310698129</v>
      </c>
      <c r="D1546" s="1">
        <f>IFERROR(__xludf.DUMMYFUNCTION("""COMPUTED_VALUE"""),2.0)</f>
        <v>2</v>
      </c>
      <c r="E1546" s="3">
        <f>IFERROR(__xludf.DUMMYFUNCTION("""COMPUTED_VALUE"""),0.5555555555547471)</f>
        <v>0.5555555556</v>
      </c>
      <c r="F1546" s="1" t="str">
        <f>IFERROR(__xludf.DUMMYFUNCTION("""COMPUTED_VALUE"""),"Diamond")</f>
        <v>Diamond</v>
      </c>
      <c r="G1546" s="1"/>
      <c r="H1546" s="1" t="str">
        <f>IFERROR(__xludf.DUMMYFUNCTION("""COMPUTED_VALUE"""),"Gold tops pendent 1 gm coin")</f>
        <v>Gold tops pendent 1 gm coin</v>
      </c>
      <c r="I1546" s="1"/>
      <c r="J1546" s="1"/>
      <c r="K1546" s="3">
        <f>IFERROR(__xludf.DUMMYFUNCTION("""COMPUTED_VALUE"""),0.6465277777751908)</f>
        <v>0.6465277778</v>
      </c>
      <c r="L1546" s="1"/>
      <c r="M1546" s="1" t="str">
        <f>IFERROR(__xludf.DUMMYFUNCTION("""COMPUTED_VALUE"""),"Yes")</f>
        <v>Yes</v>
      </c>
      <c r="N1546" s="1" t="str">
        <f>IFERROR(__xludf.DUMMYFUNCTION("""COMPUTED_VALUE"""),"Already done")</f>
        <v>Already done</v>
      </c>
      <c r="O1546" s="1" t="str">
        <f>IFERROR(__xludf.DUMMYFUNCTION("""COMPUTED_VALUE"""),"WA ONLY")</f>
        <v>WA ONLY</v>
      </c>
      <c r="P1546" s="1" t="str">
        <f>IFERROR(__xludf.DUMMYFUNCTION("""COMPUTED_VALUE"""),"Sir")</f>
        <v>Sir</v>
      </c>
      <c r="Q1546" s="1" t="str">
        <f>IFERROR(__xludf.DUMMYFUNCTION("""COMPUTED_VALUE"""),"No")</f>
        <v>No</v>
      </c>
      <c r="R1546" s="1" t="str">
        <f>IFERROR(__xludf.DUMMYFUNCTION("""COMPUTED_VALUE"""),"OLD")</f>
        <v>OLD</v>
      </c>
      <c r="S1546" s="1" t="str">
        <f>IFERROR(__xludf.DUMMYFUNCTION("""COMPUTED_VALUE"""),"Yes")</f>
        <v>Yes</v>
      </c>
    </row>
    <row r="1547">
      <c r="A1547" s="2">
        <f>IFERROR(__xludf.DUMMYFUNCTION("""COMPUTED_VALUE"""),45984.53618462963)</f>
        <v>45984.53618</v>
      </c>
      <c r="B1547" s="1" t="str">
        <f>IFERROR(__xludf.DUMMYFUNCTION("""COMPUTED_VALUE"""),"Disha ji")</f>
        <v>Disha ji</v>
      </c>
      <c r="C1547" s="1">
        <f>IFERROR(__xludf.DUMMYFUNCTION("""COMPUTED_VALUE"""),9.818864604E9)</f>
        <v>9818864604</v>
      </c>
      <c r="D1547" s="1">
        <f>IFERROR(__xludf.DUMMYFUNCTION("""COMPUTED_VALUE"""),4.0)</f>
        <v>4</v>
      </c>
      <c r="E1547" s="3">
        <f>IFERROR(__xludf.DUMMYFUNCTION("""COMPUTED_VALUE"""),0.5694444444452529)</f>
        <v>0.5694444444</v>
      </c>
      <c r="F1547" s="1" t="str">
        <f>IFERROR(__xludf.DUMMYFUNCTION("""COMPUTED_VALUE"""),"Diamond")</f>
        <v>Diamond</v>
      </c>
      <c r="G1547" s="1" t="str">
        <f>IFERROR(__xludf.DUMMYFUNCTION("""COMPUTED_VALUE"""),"Pooja")</f>
        <v>Pooja</v>
      </c>
      <c r="H1547" s="1" t="str">
        <f>IFERROR(__xludf.DUMMYFUNCTION("""COMPUTED_VALUE"""),"Diamond ring ")</f>
        <v>Diamond ring </v>
      </c>
      <c r="I1547" s="1" t="str">
        <f>IFERROR(__xludf.DUMMYFUNCTION("""COMPUTED_VALUE"""),"Ordered for a diamond ring")</f>
        <v>Ordered for a diamond ring</v>
      </c>
      <c r="J1547" s="1"/>
      <c r="K1547" s="3">
        <f>IFERROR(__xludf.DUMMYFUNCTION("""COMPUTED_VALUE"""),0.6423611111094942)</f>
        <v>0.6423611111</v>
      </c>
      <c r="L1547" s="1" t="str">
        <f>IFERROR(__xludf.DUMMYFUNCTION("""COMPUTED_VALUE"""),"Yes")</f>
        <v>Yes</v>
      </c>
      <c r="M1547" s="1" t="str">
        <f>IFERROR(__xludf.DUMMYFUNCTION("""COMPUTED_VALUE"""),"Yes")</f>
        <v>Yes</v>
      </c>
      <c r="N1547" s="1" t="str">
        <f>IFERROR(__xludf.DUMMYFUNCTION("""COMPUTED_VALUE"""),"Yes")</f>
        <v>Yes</v>
      </c>
      <c r="O1547" s="1" t="str">
        <f>IFERROR(__xludf.DUMMYFUNCTION("""COMPUTED_VALUE"""),"WA ONLY")</f>
        <v>WA ONLY</v>
      </c>
      <c r="P1547" s="1" t="str">
        <f>IFERROR(__xludf.DUMMYFUNCTION("""COMPUTED_VALUE"""),"Madam")</f>
        <v>Madam</v>
      </c>
      <c r="Q1547" s="1" t="str">
        <f>IFERROR(__xludf.DUMMYFUNCTION("""COMPUTED_VALUE"""),"No")</f>
        <v>No</v>
      </c>
      <c r="R1547" s="1" t="str">
        <f>IFERROR(__xludf.DUMMYFUNCTION("""COMPUTED_VALUE"""),"NEW WALK IN")</f>
        <v>NEW WALK IN</v>
      </c>
      <c r="S1547" s="1" t="str">
        <f>IFERROR(__xludf.DUMMYFUNCTION("""COMPUTED_VALUE"""),"No")</f>
        <v>No</v>
      </c>
    </row>
    <row r="1548">
      <c r="A1548" s="2">
        <f>IFERROR(__xludf.DUMMYFUNCTION("""COMPUTED_VALUE"""),45984.538474560184)</f>
        <v>45984.53847</v>
      </c>
      <c r="B1548" s="1" t="str">
        <f>IFERROR(__xludf.DUMMYFUNCTION("""COMPUTED_VALUE"""),"Megha ji")</f>
        <v>Megha ji</v>
      </c>
      <c r="C1548" s="1">
        <f>IFERROR(__xludf.DUMMYFUNCTION("""COMPUTED_VALUE"""),7.827056315E9)</f>
        <v>7827056315</v>
      </c>
      <c r="D1548" s="1">
        <f>IFERROR(__xludf.DUMMYFUNCTION("""COMPUTED_VALUE"""),4.0)</f>
        <v>4</v>
      </c>
      <c r="E1548" s="3">
        <f>IFERROR(__xludf.DUMMYFUNCTION("""COMPUTED_VALUE"""),0.5798611111094942)</f>
        <v>0.5798611111</v>
      </c>
      <c r="F1548" s="1" t="str">
        <f>IFERROR(__xludf.DUMMYFUNCTION("""COMPUTED_VALUE"""),"Plain Gold")</f>
        <v>Plain Gold</v>
      </c>
      <c r="G1548" s="1" t="str">
        <f>IFERROR(__xludf.DUMMYFUNCTION("""COMPUTED_VALUE"""),"Pooja")</f>
        <v>Pooja</v>
      </c>
      <c r="H1548" s="1" t="str">
        <f>IFERROR(__xludf.DUMMYFUNCTION("""COMPUTED_VALUE"""),"Mangalsutra ")</f>
        <v>Mangalsutra </v>
      </c>
      <c r="I1548" s="1"/>
      <c r="J1548" s="1"/>
      <c r="K1548" s="3">
        <f>IFERROR(__xludf.DUMMYFUNCTION("""COMPUTED_VALUE"""),0.6840277777810115)</f>
        <v>0.6840277778</v>
      </c>
      <c r="L1548" s="1" t="str">
        <f>IFERROR(__xludf.DUMMYFUNCTION("""COMPUTED_VALUE"""),"Yes")</f>
        <v>Yes</v>
      </c>
      <c r="M1548" s="1" t="str">
        <f>IFERROR(__xludf.DUMMYFUNCTION("""COMPUTED_VALUE"""),"Yes")</f>
        <v>Yes</v>
      </c>
      <c r="N1548" s="1" t="str">
        <f>IFERROR(__xludf.DUMMYFUNCTION("""COMPUTED_VALUE"""),"No")</f>
        <v>No</v>
      </c>
      <c r="O1548" s="1" t="str">
        <f>IFERROR(__xludf.DUMMYFUNCTION("""COMPUTED_VALUE"""),"WA ONLY")</f>
        <v>WA ONLY</v>
      </c>
      <c r="P1548" s="1" t="str">
        <f>IFERROR(__xludf.DUMMYFUNCTION("""COMPUTED_VALUE"""),"Madam")</f>
        <v>Madam</v>
      </c>
      <c r="Q1548" s="1" t="str">
        <f>IFERROR(__xludf.DUMMYFUNCTION("""COMPUTED_VALUE"""),"No")</f>
        <v>No</v>
      </c>
      <c r="R1548" s="1" t="str">
        <f>IFERROR(__xludf.DUMMYFUNCTION("""COMPUTED_VALUE"""),"NEW WALK IN")</f>
        <v>NEW WALK IN</v>
      </c>
      <c r="S1548" s="1" t="str">
        <f>IFERROR(__xludf.DUMMYFUNCTION("""COMPUTED_VALUE"""),"Yes")</f>
        <v>Yes</v>
      </c>
    </row>
    <row r="1549">
      <c r="A1549" s="2">
        <f>IFERROR(__xludf.DUMMYFUNCTION("""COMPUTED_VALUE"""),45984.542150740745)</f>
        <v>45984.54215</v>
      </c>
      <c r="B1549" s="1" t="str">
        <f>IFERROR(__xludf.DUMMYFUNCTION("""COMPUTED_VALUE"""),"Sunita goyal ji")</f>
        <v>Sunita goyal ji</v>
      </c>
      <c r="C1549" s="1">
        <f>IFERROR(__xludf.DUMMYFUNCTION("""COMPUTED_VALUE"""),9.013927456E9)</f>
        <v>9013927456</v>
      </c>
      <c r="D1549" s="1">
        <f>IFERROR(__xludf.DUMMYFUNCTION("""COMPUTED_VALUE"""),1.0)</f>
        <v>1</v>
      </c>
      <c r="E1549" s="3">
        <f>IFERROR(__xludf.DUMMYFUNCTION("""COMPUTED_VALUE"""),0.6875)</f>
        <v>0.6875</v>
      </c>
      <c r="F1549" s="1" t="str">
        <f>IFERROR(__xludf.DUMMYFUNCTION("""COMPUTED_VALUE"""),"Diamond")</f>
        <v>Diamond</v>
      </c>
      <c r="G1549" s="1"/>
      <c r="H1549" s="1" t="str">
        <f>IFERROR(__xludf.DUMMYFUNCTION("""COMPUTED_VALUE"""),"Silver earrings and bracelets ")</f>
        <v>Silver earrings and bracelets </v>
      </c>
      <c r="I1549" s="1"/>
      <c r="J1549" s="1"/>
      <c r="K1549" s="3">
        <f>IFERROR(__xludf.DUMMYFUNCTION("""COMPUTED_VALUE"""),0.7055555555562023)</f>
        <v>0.7055555556</v>
      </c>
      <c r="L1549" s="1" t="str">
        <f>IFERROR(__xludf.DUMMYFUNCTION("""COMPUTED_VALUE"""),"No")</f>
        <v>No</v>
      </c>
      <c r="M1549" s="1" t="str">
        <f>IFERROR(__xludf.DUMMYFUNCTION("""COMPUTED_VALUE"""),"Already done")</f>
        <v>Already done</v>
      </c>
      <c r="N1549" s="1" t="str">
        <f>IFERROR(__xludf.DUMMYFUNCTION("""COMPUTED_VALUE"""),"Already done")</f>
        <v>Already done</v>
      </c>
      <c r="O1549" s="1" t="str">
        <f>IFERROR(__xludf.DUMMYFUNCTION("""COMPUTED_VALUE"""),"WA ONLY")</f>
        <v>WA ONLY</v>
      </c>
      <c r="P1549" s="1" t="str">
        <f>IFERROR(__xludf.DUMMYFUNCTION("""COMPUTED_VALUE"""),"Madam")</f>
        <v>Madam</v>
      </c>
      <c r="Q1549" s="1" t="str">
        <f>IFERROR(__xludf.DUMMYFUNCTION("""COMPUTED_VALUE"""),"No")</f>
        <v>No</v>
      </c>
      <c r="R1549" s="1" t="str">
        <f>IFERROR(__xludf.DUMMYFUNCTION("""COMPUTED_VALUE"""),"OLD")</f>
        <v>OLD</v>
      </c>
      <c r="S1549" s="1" t="str">
        <f>IFERROR(__xludf.DUMMYFUNCTION("""COMPUTED_VALUE"""),"Yes")</f>
        <v>Yes</v>
      </c>
    </row>
    <row r="1550">
      <c r="A1550" s="2">
        <f>IFERROR(__xludf.DUMMYFUNCTION("""COMPUTED_VALUE"""),45986.534905625)</f>
        <v>45986.53491</v>
      </c>
      <c r="B1550" s="1" t="str">
        <f>IFERROR(__xludf.DUMMYFUNCTION("""COMPUTED_VALUE"""),"Anupama ji")</f>
        <v>Anupama ji</v>
      </c>
      <c r="C1550" s="1">
        <f>IFERROR(__xludf.DUMMYFUNCTION("""COMPUTED_VALUE"""),8.971503665E9)</f>
        <v>8971503665</v>
      </c>
      <c r="D1550" s="1">
        <f>IFERROR(__xludf.DUMMYFUNCTION("""COMPUTED_VALUE"""),2.0)</f>
        <v>2</v>
      </c>
      <c r="E1550" s="3">
        <f>IFERROR(__xludf.DUMMYFUNCTION("""COMPUTED_VALUE"""),0.5104166666642413)</f>
        <v>0.5104166667</v>
      </c>
      <c r="F1550" s="1" t="str">
        <f>IFERROR(__xludf.DUMMYFUNCTION("""COMPUTED_VALUE"""),"Plain Gold")</f>
        <v>Plain Gold</v>
      </c>
      <c r="G1550" s="1" t="str">
        <f>IFERROR(__xludf.DUMMYFUNCTION("""COMPUTED_VALUE"""),"Pooja")</f>
        <v>Pooja</v>
      </c>
      <c r="H1550" s="1" t="str">
        <f>IFERROR(__xludf.DUMMYFUNCTION("""COMPUTED_VALUE"""),"Gold ring men")</f>
        <v>Gold ring men</v>
      </c>
      <c r="I1550" s="1"/>
      <c r="J1550" s="1"/>
      <c r="K1550" s="3">
        <f>IFERROR(__xludf.DUMMYFUNCTION("""COMPUTED_VALUE"""),0.5833333333357587)</f>
        <v>0.5833333333</v>
      </c>
      <c r="L1550" s="1" t="str">
        <f>IFERROR(__xludf.DUMMYFUNCTION("""COMPUTED_VALUE"""),"Yes")</f>
        <v>Yes</v>
      </c>
      <c r="M1550" s="1" t="str">
        <f>IFERROR(__xludf.DUMMYFUNCTION("""COMPUTED_VALUE"""),"Yes")</f>
        <v>Yes</v>
      </c>
      <c r="N1550" s="1" t="str">
        <f>IFERROR(__xludf.DUMMYFUNCTION("""COMPUTED_VALUE"""),"Yes")</f>
        <v>Yes</v>
      </c>
      <c r="O1550" s="1" t="str">
        <f>IFERROR(__xludf.DUMMYFUNCTION("""COMPUTED_VALUE"""),"WA ONLY")</f>
        <v>WA ONLY</v>
      </c>
      <c r="P1550" s="1" t="str">
        <f>IFERROR(__xludf.DUMMYFUNCTION("""COMPUTED_VALUE"""),"Madam")</f>
        <v>Madam</v>
      </c>
      <c r="Q1550" s="1" t="str">
        <f>IFERROR(__xludf.DUMMYFUNCTION("""COMPUTED_VALUE"""),"No")</f>
        <v>No</v>
      </c>
      <c r="R1550" s="1" t="str">
        <f>IFERROR(__xludf.DUMMYFUNCTION("""COMPUTED_VALUE"""),"NEW WALK IN")</f>
        <v>NEW WALK IN</v>
      </c>
      <c r="S1550" s="1" t="str">
        <f>IFERROR(__xludf.DUMMYFUNCTION("""COMPUTED_VALUE"""),"Yes")</f>
        <v>Yes</v>
      </c>
    </row>
    <row r="1551">
      <c r="A1551" s="2">
        <f>IFERROR(__xludf.DUMMYFUNCTION("""COMPUTED_VALUE"""),45986.536101516205)</f>
        <v>45986.5361</v>
      </c>
      <c r="B1551" s="1" t="str">
        <f>IFERROR(__xludf.DUMMYFUNCTION("""COMPUTED_VALUE"""),"Amisha ji")</f>
        <v>Amisha ji</v>
      </c>
      <c r="C1551" s="1">
        <f>IFERROR(__xludf.DUMMYFUNCTION("""COMPUTED_VALUE"""),9.711699689E9)</f>
        <v>9711699689</v>
      </c>
      <c r="D1551" s="1">
        <f>IFERROR(__xludf.DUMMYFUNCTION("""COMPUTED_VALUE"""),2.0)</f>
        <v>2</v>
      </c>
      <c r="E1551" s="3">
        <f>IFERROR(__xludf.DUMMYFUNCTION("""COMPUTED_VALUE"""),0.5833333333357587)</f>
        <v>0.5833333333</v>
      </c>
      <c r="F1551" s="1" t="str">
        <f>IFERROR(__xludf.DUMMYFUNCTION("""COMPUTED_VALUE"""),"Silver Items")</f>
        <v>Silver Items</v>
      </c>
      <c r="G1551" s="1" t="str">
        <f>IFERROR(__xludf.DUMMYFUNCTION("""COMPUTED_VALUE"""),"Pooja")</f>
        <v>Pooja</v>
      </c>
      <c r="H1551" s="1" t="str">
        <f>IFERROR(__xludf.DUMMYFUNCTION("""COMPUTED_VALUE"""),"Silver sets")</f>
        <v>Silver sets</v>
      </c>
      <c r="I1551" s="1" t="str">
        <f>IFERROR(__xludf.DUMMYFUNCTION("""COMPUTED_VALUE"""),"Here to see the desings only")</f>
        <v>Here to see the desings only</v>
      </c>
      <c r="J1551" s="1"/>
      <c r="K1551" s="3">
        <f>IFERROR(__xludf.DUMMYFUNCTION("""COMPUTED_VALUE"""),0.6263888888934162)</f>
        <v>0.6263888889</v>
      </c>
      <c r="L1551" s="1" t="str">
        <f>IFERROR(__xludf.DUMMYFUNCTION("""COMPUTED_VALUE"""),"No")</f>
        <v>No</v>
      </c>
      <c r="M1551" s="1" t="str">
        <f>IFERROR(__xludf.DUMMYFUNCTION("""COMPUTED_VALUE"""),"No")</f>
        <v>No</v>
      </c>
      <c r="N1551" s="1" t="str">
        <f>IFERROR(__xludf.DUMMYFUNCTION("""COMPUTED_VALUE"""),"No")</f>
        <v>No</v>
      </c>
      <c r="O1551" s="1" t="str">
        <f>IFERROR(__xludf.DUMMYFUNCTION("""COMPUTED_VALUE"""),"WA ONLY")</f>
        <v>WA ONLY</v>
      </c>
      <c r="P1551" s="1" t="str">
        <f>IFERROR(__xludf.DUMMYFUNCTION("""COMPUTED_VALUE"""),"Madam")</f>
        <v>Madam</v>
      </c>
      <c r="Q1551" s="1" t="str">
        <f>IFERROR(__xludf.DUMMYFUNCTION("""COMPUTED_VALUE"""),"No")</f>
        <v>No</v>
      </c>
      <c r="R1551" s="1" t="str">
        <f>IFERROR(__xludf.DUMMYFUNCTION("""COMPUTED_VALUE"""),"NEW WALK IN")</f>
        <v>NEW WALK IN</v>
      </c>
      <c r="S1551" s="1" t="str">
        <f>IFERROR(__xludf.DUMMYFUNCTION("""COMPUTED_VALUE"""),"No")</f>
        <v>No</v>
      </c>
    </row>
    <row r="1552">
      <c r="A1552" s="2">
        <f>IFERROR(__xludf.DUMMYFUNCTION("""COMPUTED_VALUE"""),45986.537666018514)</f>
        <v>45986.53767</v>
      </c>
      <c r="B1552" s="1" t="str">
        <f>IFERROR(__xludf.DUMMYFUNCTION("""COMPUTED_VALUE"""),"Tanvi ji")</f>
        <v>Tanvi ji</v>
      </c>
      <c r="C1552" s="1">
        <f>IFERROR(__xludf.DUMMYFUNCTION("""COMPUTED_VALUE"""),8.822252225E9)</f>
        <v>8822252225</v>
      </c>
      <c r="D1552" s="1">
        <f>IFERROR(__xludf.DUMMYFUNCTION("""COMPUTED_VALUE"""),2.0)</f>
        <v>2</v>
      </c>
      <c r="E1552" s="3">
        <f>IFERROR(__xludf.DUMMYFUNCTION("""COMPUTED_VALUE"""),0.6423611111094942)</f>
        <v>0.6423611111</v>
      </c>
      <c r="F1552" s="1" t="str">
        <f>IFERROR(__xludf.DUMMYFUNCTION("""COMPUTED_VALUE"""),"Plain Gold")</f>
        <v>Plain Gold</v>
      </c>
      <c r="G1552" s="1" t="str">
        <f>IFERROR(__xludf.DUMMYFUNCTION("""COMPUTED_VALUE"""),"Pooja")</f>
        <v>Pooja</v>
      </c>
      <c r="H1552" s="1" t="str">
        <f>IFERROR(__xludf.DUMMYFUNCTION("""COMPUTED_VALUE"""),"Baali pendent ")</f>
        <v>Baali pendent </v>
      </c>
      <c r="I1552" s="1"/>
      <c r="J1552" s="1"/>
      <c r="K1552" s="3">
        <f>IFERROR(__xludf.DUMMYFUNCTION("""COMPUTED_VALUE"""),0.6875)</f>
        <v>0.6875</v>
      </c>
      <c r="L1552" s="1" t="str">
        <f>IFERROR(__xludf.DUMMYFUNCTION("""COMPUTED_VALUE"""),"Yes")</f>
        <v>Yes</v>
      </c>
      <c r="M1552" s="1" t="str">
        <f>IFERROR(__xludf.DUMMYFUNCTION("""COMPUTED_VALUE"""),"Yes")</f>
        <v>Yes</v>
      </c>
      <c r="N1552" s="1" t="str">
        <f>IFERROR(__xludf.DUMMYFUNCTION("""COMPUTED_VALUE"""),"Yes")</f>
        <v>Yes</v>
      </c>
      <c r="O1552" s="1" t="str">
        <f>IFERROR(__xludf.DUMMYFUNCTION("""COMPUTED_VALUE"""),"WA ONLY")</f>
        <v>WA ONLY</v>
      </c>
      <c r="P1552" s="1" t="str">
        <f>IFERROR(__xludf.DUMMYFUNCTION("""COMPUTED_VALUE"""),"Madam")</f>
        <v>Madam</v>
      </c>
      <c r="Q1552" s="1" t="str">
        <f>IFERROR(__xludf.DUMMYFUNCTION("""COMPUTED_VALUE"""),"No")</f>
        <v>No</v>
      </c>
      <c r="R1552" s="1" t="str">
        <f>IFERROR(__xludf.DUMMYFUNCTION("""COMPUTED_VALUE"""),"NEW WALK IN")</f>
        <v>NEW WALK IN</v>
      </c>
      <c r="S1552" s="1" t="str">
        <f>IFERROR(__xludf.DUMMYFUNCTION("""COMPUTED_VALUE"""),"Yes")</f>
        <v>Yes</v>
      </c>
    </row>
    <row r="1553">
      <c r="A1553" s="2">
        <f>IFERROR(__xludf.DUMMYFUNCTION("""COMPUTED_VALUE"""),45986.53902106482)</f>
        <v>45986.53902</v>
      </c>
      <c r="B1553" s="1" t="str">
        <f>IFERROR(__xludf.DUMMYFUNCTION("""COMPUTED_VALUE"""),"Md. Kesair khan")</f>
        <v>Md. Kesair khan</v>
      </c>
      <c r="C1553" s="1">
        <f>IFERROR(__xludf.DUMMYFUNCTION("""COMPUTED_VALUE"""),9.999728283E9)</f>
        <v>9999728283</v>
      </c>
      <c r="D1553" s="1">
        <f>IFERROR(__xludf.DUMMYFUNCTION("""COMPUTED_VALUE"""),2.0)</f>
        <v>2</v>
      </c>
      <c r="E1553" s="3">
        <f>IFERROR(__xludf.DUMMYFUNCTION("""COMPUTED_VALUE"""),0.6527777777810115)</f>
        <v>0.6527777778</v>
      </c>
      <c r="F1553" s="1" t="str">
        <f>IFERROR(__xludf.DUMMYFUNCTION("""COMPUTED_VALUE"""),"Silver Items")</f>
        <v>Silver Items</v>
      </c>
      <c r="G1553" s="1"/>
      <c r="H1553" s="1" t="str">
        <f>IFERROR(__xludf.DUMMYFUNCTION("""COMPUTED_VALUE"""),"3 gold rings")</f>
        <v>3 gold rings</v>
      </c>
      <c r="I1553" s="1"/>
      <c r="J1553" s="1"/>
      <c r="K1553" s="3">
        <f>IFERROR(__xludf.DUMMYFUNCTION("""COMPUTED_VALUE"""),0.7305555555576575)</f>
        <v>0.7305555556</v>
      </c>
      <c r="L1553" s="1" t="str">
        <f>IFERROR(__xludf.DUMMYFUNCTION("""COMPUTED_VALUE"""),"No")</f>
        <v>No</v>
      </c>
      <c r="M1553" s="1" t="str">
        <f>IFERROR(__xludf.DUMMYFUNCTION("""COMPUTED_VALUE"""),"No")</f>
        <v>No</v>
      </c>
      <c r="N1553" s="1" t="str">
        <f>IFERROR(__xludf.DUMMYFUNCTION("""COMPUTED_VALUE"""),"No")</f>
        <v>No</v>
      </c>
      <c r="O1553" s="1" t="str">
        <f>IFERROR(__xludf.DUMMYFUNCTION("""COMPUTED_VALUE"""),"WA ONLY")</f>
        <v>WA ONLY</v>
      </c>
      <c r="P1553" s="1" t="str">
        <f>IFERROR(__xludf.DUMMYFUNCTION("""COMPUTED_VALUE"""),"Sir")</f>
        <v>Sir</v>
      </c>
      <c r="Q1553" s="1" t="str">
        <f>IFERROR(__xludf.DUMMYFUNCTION("""COMPUTED_VALUE"""),"Yes")</f>
        <v>Yes</v>
      </c>
      <c r="R1553" s="1" t="str">
        <f>IFERROR(__xludf.DUMMYFUNCTION("""COMPUTED_VALUE"""),"OLD")</f>
        <v>OLD</v>
      </c>
      <c r="S1553" s="1" t="str">
        <f>IFERROR(__xludf.DUMMYFUNCTION("""COMPUTED_VALUE"""),"Yes")</f>
        <v>Yes</v>
      </c>
    </row>
    <row r="1554">
      <c r="A1554" s="2">
        <f>IFERROR(__xludf.DUMMYFUNCTION("""COMPUTED_VALUE"""),45987.53309158565)</f>
        <v>45987.53309</v>
      </c>
      <c r="B1554" s="1" t="str">
        <f>IFERROR(__xludf.DUMMYFUNCTION("""COMPUTED_VALUE"""),"Om Prakash ji")</f>
        <v>Om Prakash ji</v>
      </c>
      <c r="C1554" s="1">
        <f>IFERROR(__xludf.DUMMYFUNCTION("""COMPUTED_VALUE"""),8.504863131E9)</f>
        <v>8504863131</v>
      </c>
      <c r="D1554" s="1">
        <f>IFERROR(__xludf.DUMMYFUNCTION("""COMPUTED_VALUE"""),2.0)</f>
        <v>2</v>
      </c>
      <c r="E1554" s="3">
        <f>IFERROR(__xludf.DUMMYFUNCTION("""COMPUTED_VALUE"""),0.5104166666642413)</f>
        <v>0.5104166667</v>
      </c>
      <c r="F1554" s="1" t="str">
        <f>IFERROR(__xludf.DUMMYFUNCTION("""COMPUTED_VALUE"""),"Diamond")</f>
        <v>Diamond</v>
      </c>
      <c r="G1554" s="1"/>
      <c r="H1554" s="1" t="str">
        <f>IFERROR(__xludf.DUMMYFUNCTION("""COMPUTED_VALUE"""),"Gold set")</f>
        <v>Gold set</v>
      </c>
      <c r="I1554" s="1" t="str">
        <f>IFERROR(__xludf.DUMMYFUNCTION("""COMPUTED_VALUE"""),"Will come back with rest of the payment ")</f>
        <v>Will come back with rest of the payment </v>
      </c>
      <c r="J1554" s="1"/>
      <c r="K1554" s="3">
        <f>IFERROR(__xludf.DUMMYFUNCTION("""COMPUTED_VALUE"""),0.5625)</f>
        <v>0.5625</v>
      </c>
      <c r="L1554" s="1" t="str">
        <f>IFERROR(__xludf.DUMMYFUNCTION("""COMPUTED_VALUE"""),"Yes")</f>
        <v>Yes</v>
      </c>
      <c r="M1554" s="1" t="str">
        <f>IFERROR(__xludf.DUMMYFUNCTION("""COMPUTED_VALUE"""),"Yes")</f>
        <v>Yes</v>
      </c>
      <c r="N1554" s="1" t="str">
        <f>IFERROR(__xludf.DUMMYFUNCTION("""COMPUTED_VALUE"""),"Yes")</f>
        <v>Yes</v>
      </c>
      <c r="O1554" s="1" t="str">
        <f>IFERROR(__xludf.DUMMYFUNCTION("""COMPUTED_VALUE"""),"WA ONLY")</f>
        <v>WA ONLY</v>
      </c>
      <c r="P1554" s="1" t="str">
        <f>IFERROR(__xludf.DUMMYFUNCTION("""COMPUTED_VALUE"""),"Sir")</f>
        <v>Sir</v>
      </c>
      <c r="Q1554" s="1" t="str">
        <f>IFERROR(__xludf.DUMMYFUNCTION("""COMPUTED_VALUE"""),"No")</f>
        <v>No</v>
      </c>
      <c r="R1554" s="1" t="str">
        <f>IFERROR(__xludf.DUMMYFUNCTION("""COMPUTED_VALUE"""),"OLD")</f>
        <v>OLD</v>
      </c>
      <c r="S1554" s="1" t="str">
        <f>IFERROR(__xludf.DUMMYFUNCTION("""COMPUTED_VALUE"""),"No")</f>
        <v>No</v>
      </c>
    </row>
    <row r="1555">
      <c r="A1555" s="2">
        <f>IFERROR(__xludf.DUMMYFUNCTION("""COMPUTED_VALUE"""),45987.53402872685)</f>
        <v>45987.53403</v>
      </c>
      <c r="B1555" s="1" t="str">
        <f>IFERROR(__xludf.DUMMYFUNCTION("""COMPUTED_VALUE"""),"Rita jindal ji")</f>
        <v>Rita jindal ji</v>
      </c>
      <c r="C1555" s="1">
        <f>IFERROR(__xludf.DUMMYFUNCTION("""COMPUTED_VALUE"""),9.899988844E9)</f>
        <v>9899988844</v>
      </c>
      <c r="D1555" s="1">
        <f>IFERROR(__xludf.DUMMYFUNCTION("""COMPUTED_VALUE"""),2.0)</f>
        <v>2</v>
      </c>
      <c r="E1555" s="3">
        <f>IFERROR(__xludf.DUMMYFUNCTION("""COMPUTED_VALUE"""),0.5520833333357587)</f>
        <v>0.5520833333</v>
      </c>
      <c r="F1555" s="1" t="str">
        <f>IFERROR(__xludf.DUMMYFUNCTION("""COMPUTED_VALUE"""),"Plain Gold")</f>
        <v>Plain Gold</v>
      </c>
      <c r="G1555" s="1" t="str">
        <f>IFERROR(__xludf.DUMMYFUNCTION("""COMPUTED_VALUE"""),"Pooja")</f>
        <v>Pooja</v>
      </c>
      <c r="H1555" s="1" t="str">
        <f>IFERROR(__xludf.DUMMYFUNCTION("""COMPUTED_VALUE"""),"Silver necklaces ")</f>
        <v>Silver necklaces </v>
      </c>
      <c r="I1555" s="1"/>
      <c r="J1555" s="1"/>
      <c r="K1555" s="3">
        <f>IFERROR(__xludf.DUMMYFUNCTION("""COMPUTED_VALUE"""),0.625)</f>
        <v>0.625</v>
      </c>
      <c r="L1555" s="1" t="str">
        <f>IFERROR(__xludf.DUMMYFUNCTION("""COMPUTED_VALUE"""),"Yes")</f>
        <v>Yes</v>
      </c>
      <c r="M1555" s="1" t="str">
        <f>IFERROR(__xludf.DUMMYFUNCTION("""COMPUTED_VALUE"""),"No")</f>
        <v>No</v>
      </c>
      <c r="N1555" s="1" t="str">
        <f>IFERROR(__xludf.DUMMYFUNCTION("""COMPUTED_VALUE"""),"No")</f>
        <v>No</v>
      </c>
      <c r="O1555" s="1" t="str">
        <f>IFERROR(__xludf.DUMMYFUNCTION("""COMPUTED_VALUE"""),"WA ONLY")</f>
        <v>WA ONLY</v>
      </c>
      <c r="P1555" s="1" t="str">
        <f>IFERROR(__xludf.DUMMYFUNCTION("""COMPUTED_VALUE"""),"Madam")</f>
        <v>Madam</v>
      </c>
      <c r="Q1555" s="1" t="str">
        <f>IFERROR(__xludf.DUMMYFUNCTION("""COMPUTED_VALUE"""),"No")</f>
        <v>No</v>
      </c>
      <c r="R1555" s="1" t="str">
        <f>IFERROR(__xludf.DUMMYFUNCTION("""COMPUTED_VALUE"""),"OLD")</f>
        <v>OLD</v>
      </c>
      <c r="S1555" s="1" t="str">
        <f>IFERROR(__xludf.DUMMYFUNCTION("""COMPUTED_VALUE"""),"No")</f>
        <v>No</v>
      </c>
    </row>
    <row r="1556">
      <c r="A1556" s="2">
        <f>IFERROR(__xludf.DUMMYFUNCTION("""COMPUTED_VALUE"""),45987.53551736111)</f>
        <v>45987.53552</v>
      </c>
      <c r="B1556" s="1" t="str">
        <f>IFERROR(__xludf.DUMMYFUNCTION("""COMPUTED_VALUE"""),"Anita ji (Sydney)")</f>
        <v>Anita ji (Sydney)</v>
      </c>
      <c r="C1556" s="1" t="str">
        <f>IFERROR(__xludf.DUMMYFUNCTION("""COMPUTED_VALUE"""),"+61430393622")</f>
        <v>+61430393622</v>
      </c>
      <c r="D1556" s="1">
        <f>IFERROR(__xludf.DUMMYFUNCTION("""COMPUTED_VALUE"""),2.0)</f>
        <v>2</v>
      </c>
      <c r="E1556" s="3">
        <f>IFERROR(__xludf.DUMMYFUNCTION("""COMPUTED_VALUE"""),0.6458333333357587)</f>
        <v>0.6458333333</v>
      </c>
      <c r="F1556" s="1" t="str">
        <f>IFERROR(__xludf.DUMMYFUNCTION("""COMPUTED_VALUE"""),"Plain Gold")</f>
        <v>Plain Gold</v>
      </c>
      <c r="G1556" s="1"/>
      <c r="H1556" s="1" t="str">
        <f>IFERROR(__xludf.DUMMYFUNCTION("""COMPUTED_VALUE"""),"Gold bangles")</f>
        <v>Gold bangles</v>
      </c>
      <c r="I1556" s="1" t="str">
        <f>IFERROR(__xludf.DUMMYFUNCTION("""COMPUTED_VALUE"""),"More of repair stuff")</f>
        <v>More of repair stuff</v>
      </c>
      <c r="J1556" s="1"/>
      <c r="K1556" s="3">
        <f>IFERROR(__xludf.DUMMYFUNCTION("""COMPUTED_VALUE"""),0.7465277777810115)</f>
        <v>0.7465277778</v>
      </c>
      <c r="L1556" s="1" t="str">
        <f>IFERROR(__xludf.DUMMYFUNCTION("""COMPUTED_VALUE"""),"Yes")</f>
        <v>Yes</v>
      </c>
      <c r="M1556" s="1" t="str">
        <f>IFERROR(__xludf.DUMMYFUNCTION("""COMPUTED_VALUE"""),"Yes")</f>
        <v>Yes</v>
      </c>
      <c r="N1556" s="1" t="str">
        <f>IFERROR(__xludf.DUMMYFUNCTION("""COMPUTED_VALUE"""),"Yes")</f>
        <v>Yes</v>
      </c>
      <c r="O1556" s="1" t="str">
        <f>IFERROR(__xludf.DUMMYFUNCTION("""COMPUTED_VALUE"""),"WA ONLY, OWNER CONTACT ONLY")</f>
        <v>WA ONLY, OWNER CONTACT ONLY</v>
      </c>
      <c r="P1556" s="1" t="str">
        <f>IFERROR(__xludf.DUMMYFUNCTION("""COMPUTED_VALUE"""),"Madam")</f>
        <v>Madam</v>
      </c>
      <c r="Q1556" s="1" t="str">
        <f>IFERROR(__xludf.DUMMYFUNCTION("""COMPUTED_VALUE"""),"No")</f>
        <v>No</v>
      </c>
      <c r="R1556" s="1" t="str">
        <f>IFERROR(__xludf.DUMMYFUNCTION("""COMPUTED_VALUE"""),"OLD")</f>
        <v>OLD</v>
      </c>
      <c r="S1556" s="1" t="str">
        <f>IFERROR(__xludf.DUMMYFUNCTION("""COMPUTED_VALUE"""),"No")</f>
        <v>No</v>
      </c>
    </row>
    <row r="1557">
      <c r="A1557" s="2">
        <f>IFERROR(__xludf.DUMMYFUNCTION("""COMPUTED_VALUE"""),45987.53709570602)</f>
        <v>45987.5371</v>
      </c>
      <c r="B1557" s="1" t="str">
        <f>IFERROR(__xludf.DUMMYFUNCTION("""COMPUTED_VALUE"""),"Garima ji")</f>
        <v>Garima ji</v>
      </c>
      <c r="C1557" s="1">
        <f>IFERROR(__xludf.DUMMYFUNCTION("""COMPUTED_VALUE"""),9.896918939E9)</f>
        <v>9896918939</v>
      </c>
      <c r="D1557" s="1">
        <f>IFERROR(__xludf.DUMMYFUNCTION("""COMPUTED_VALUE"""),2.0)</f>
        <v>2</v>
      </c>
      <c r="E1557" s="3">
        <f>IFERROR(__xludf.DUMMYFUNCTION("""COMPUTED_VALUE"""),0.7708333333357587)</f>
        <v>0.7708333333</v>
      </c>
      <c r="F1557" s="1" t="str">
        <f>IFERROR(__xludf.DUMMYFUNCTION("""COMPUTED_VALUE"""),"Plain Gold")</f>
        <v>Plain Gold</v>
      </c>
      <c r="G1557" s="1" t="str">
        <f>IFERROR(__xludf.DUMMYFUNCTION("""COMPUTED_VALUE"""),"Pooja")</f>
        <v>Pooja</v>
      </c>
      <c r="H1557" s="1" t="str">
        <f>IFERROR(__xludf.DUMMYFUNCTION("""COMPUTED_VALUE"""),"Baby ring")</f>
        <v>Baby ring</v>
      </c>
      <c r="I1557" s="1"/>
      <c r="J1557" s="1"/>
      <c r="K1557" s="3">
        <f>IFERROR(__xludf.DUMMYFUNCTION("""COMPUTED_VALUE"""),0.8125)</f>
        <v>0.8125</v>
      </c>
      <c r="L1557" s="1" t="str">
        <f>IFERROR(__xludf.DUMMYFUNCTION("""COMPUTED_VALUE"""),"Yes")</f>
        <v>Yes</v>
      </c>
      <c r="M1557" s="1" t="str">
        <f>IFERROR(__xludf.DUMMYFUNCTION("""COMPUTED_VALUE"""),"Yes")</f>
        <v>Yes</v>
      </c>
      <c r="N1557" s="1" t="str">
        <f>IFERROR(__xludf.DUMMYFUNCTION("""COMPUTED_VALUE"""),"Yes")</f>
        <v>Yes</v>
      </c>
      <c r="O1557" s="1" t="str">
        <f>IFERROR(__xludf.DUMMYFUNCTION("""COMPUTED_VALUE"""),"WA ONLY")</f>
        <v>WA ONLY</v>
      </c>
      <c r="P1557" s="1" t="str">
        <f>IFERROR(__xludf.DUMMYFUNCTION("""COMPUTED_VALUE"""),"Madam")</f>
        <v>Madam</v>
      </c>
      <c r="Q1557" s="1" t="str">
        <f>IFERROR(__xludf.DUMMYFUNCTION("""COMPUTED_VALUE"""),"No")</f>
        <v>No</v>
      </c>
      <c r="R1557" s="1" t="str">
        <f>IFERROR(__xludf.DUMMYFUNCTION("""COMPUTED_VALUE"""),"NEW WALK IN")</f>
        <v>NEW WALK IN</v>
      </c>
      <c r="S1557" s="1" t="str">
        <f>IFERROR(__xludf.DUMMYFUNCTION("""COMPUTED_VALUE"""),"Yes")</f>
        <v>Yes</v>
      </c>
    </row>
    <row r="1558">
      <c r="A1558" s="2">
        <f>IFERROR(__xludf.DUMMYFUNCTION("""COMPUTED_VALUE"""),45988.528978472226)</f>
        <v>45988.52898</v>
      </c>
      <c r="B1558" s="1" t="str">
        <f>IFERROR(__xludf.DUMMYFUNCTION("""COMPUTED_VALUE"""),"Kanika ji")</f>
        <v>Kanika ji</v>
      </c>
      <c r="C1558" s="1">
        <f>IFERROR(__xludf.DUMMYFUNCTION("""COMPUTED_VALUE"""),9.910470144E9)</f>
        <v>9910470144</v>
      </c>
      <c r="D1558" s="1">
        <f>IFERROR(__xludf.DUMMYFUNCTION("""COMPUTED_VALUE"""),2.0)</f>
        <v>2</v>
      </c>
      <c r="E1558" s="3">
        <f>IFERROR(__xludf.DUMMYFUNCTION("""COMPUTED_VALUE"""),0.5)</f>
        <v>0.5</v>
      </c>
      <c r="F1558" s="1" t="str">
        <f>IFERROR(__xludf.DUMMYFUNCTION("""COMPUTED_VALUE"""),"Plain Gold")</f>
        <v>Plain Gold</v>
      </c>
      <c r="G1558" s="1" t="str">
        <f>IFERROR(__xludf.DUMMYFUNCTION("""COMPUTED_VALUE"""),"Pooja")</f>
        <v>Pooja</v>
      </c>
      <c r="H1558" s="1" t="str">
        <f>IFERROR(__xludf.DUMMYFUNCTION("""COMPUTED_VALUE"""),"Pendent set")</f>
        <v>Pendent set</v>
      </c>
      <c r="I1558" s="1"/>
      <c r="J1558" s="1"/>
      <c r="K1558" s="3">
        <f>IFERROR(__xludf.DUMMYFUNCTION("""COMPUTED_VALUE"""),0.6111111111094942)</f>
        <v>0.6111111111</v>
      </c>
      <c r="L1558" s="1" t="str">
        <f>IFERROR(__xludf.DUMMYFUNCTION("""COMPUTED_VALUE"""),"Yes")</f>
        <v>Yes</v>
      </c>
      <c r="M1558" s="1" t="str">
        <f>IFERROR(__xludf.DUMMYFUNCTION("""COMPUTED_VALUE"""),"No")</f>
        <v>No</v>
      </c>
      <c r="N1558" s="1" t="str">
        <f>IFERROR(__xludf.DUMMYFUNCTION("""COMPUTED_VALUE"""),"No")</f>
        <v>No</v>
      </c>
      <c r="O1558" s="1" t="str">
        <f>IFERROR(__xludf.DUMMYFUNCTION("""COMPUTED_VALUE"""),"WA ONLY")</f>
        <v>WA ONLY</v>
      </c>
      <c r="P1558" s="1" t="str">
        <f>IFERROR(__xludf.DUMMYFUNCTION("""COMPUTED_VALUE"""),"Madam")</f>
        <v>Madam</v>
      </c>
      <c r="Q1558" s="1" t="str">
        <f>IFERROR(__xludf.DUMMYFUNCTION("""COMPUTED_VALUE"""),"No")</f>
        <v>No</v>
      </c>
      <c r="R1558" s="1" t="str">
        <f>IFERROR(__xludf.DUMMYFUNCTION("""COMPUTED_VALUE"""),"OLD")</f>
        <v>OLD</v>
      </c>
      <c r="S1558" s="1" t="str">
        <f>IFERROR(__xludf.DUMMYFUNCTION("""COMPUTED_VALUE"""),"Yes")</f>
        <v>Yes</v>
      </c>
    </row>
    <row r="1559">
      <c r="A1559" s="2">
        <f>IFERROR(__xludf.DUMMYFUNCTION("""COMPUTED_VALUE"""),45988.53008153936)</f>
        <v>45988.53008</v>
      </c>
      <c r="B1559" s="1" t="str">
        <f>IFERROR(__xludf.DUMMYFUNCTION("""COMPUTED_VALUE"""),"Sanyam ji")</f>
        <v>Sanyam ji</v>
      </c>
      <c r="C1559" s="1">
        <f>IFERROR(__xludf.DUMMYFUNCTION("""COMPUTED_VALUE"""),9.899882198E9)</f>
        <v>9899882198</v>
      </c>
      <c r="D1559" s="1">
        <f>IFERROR(__xludf.DUMMYFUNCTION("""COMPUTED_VALUE"""),3.0)</f>
        <v>3</v>
      </c>
      <c r="E1559" s="3">
        <f>IFERROR(__xludf.DUMMYFUNCTION("""COMPUTED_VALUE"""),0.5347222222189885)</f>
        <v>0.5347222222</v>
      </c>
      <c r="F1559" s="1" t="str">
        <f>IFERROR(__xludf.DUMMYFUNCTION("""COMPUTED_VALUE"""),"Diamond")</f>
        <v>Diamond</v>
      </c>
      <c r="G1559" s="1"/>
      <c r="H1559" s="1" t="str">
        <f>IFERROR(__xludf.DUMMYFUNCTION("""COMPUTED_VALUE"""),"Diamond ring")</f>
        <v>Diamond ring</v>
      </c>
      <c r="I1559" s="1" t="str">
        <f>IFERROR(__xludf.DUMMYFUNCTION("""COMPUTED_VALUE"""),"Pick up Order")</f>
        <v>Pick up Order</v>
      </c>
      <c r="J1559" s="1"/>
      <c r="K1559" s="3">
        <f>IFERROR(__xludf.DUMMYFUNCTION("""COMPUTED_VALUE"""),0.6284722222189885)</f>
        <v>0.6284722222</v>
      </c>
      <c r="L1559" s="1" t="str">
        <f>IFERROR(__xludf.DUMMYFUNCTION("""COMPUTED_VALUE"""),"Yes")</f>
        <v>Yes</v>
      </c>
      <c r="M1559" s="1" t="str">
        <f>IFERROR(__xludf.DUMMYFUNCTION("""COMPUTED_VALUE"""),"Yes")</f>
        <v>Yes</v>
      </c>
      <c r="N1559" s="1" t="str">
        <f>IFERROR(__xludf.DUMMYFUNCTION("""COMPUTED_VALUE"""),"No")</f>
        <v>No</v>
      </c>
      <c r="O1559" s="1" t="str">
        <f>IFERROR(__xludf.DUMMYFUNCTION("""COMPUTED_VALUE"""),"WA ONLY")</f>
        <v>WA ONLY</v>
      </c>
      <c r="P1559" s="1" t="str">
        <f>IFERROR(__xludf.DUMMYFUNCTION("""COMPUTED_VALUE"""),"Sir")</f>
        <v>Sir</v>
      </c>
      <c r="Q1559" s="1" t="str">
        <f>IFERROR(__xludf.DUMMYFUNCTION("""COMPUTED_VALUE"""),"No")</f>
        <v>No</v>
      </c>
      <c r="R1559" s="1" t="str">
        <f>IFERROR(__xludf.DUMMYFUNCTION("""COMPUTED_VALUE"""),"OLD")</f>
        <v>OLD</v>
      </c>
      <c r="S1559" s="1" t="str">
        <f>IFERROR(__xludf.DUMMYFUNCTION("""COMPUTED_VALUE"""),"Yes")</f>
        <v>Yes</v>
      </c>
    </row>
    <row r="1560">
      <c r="A1560" s="2">
        <f>IFERROR(__xludf.DUMMYFUNCTION("""COMPUTED_VALUE"""),45988.531345509255)</f>
        <v>45988.53135</v>
      </c>
      <c r="B1560" s="1" t="str">
        <f>IFERROR(__xludf.DUMMYFUNCTION("""COMPUTED_VALUE"""),"Sunita ranjan ji")</f>
        <v>Sunita ranjan ji</v>
      </c>
      <c r="C1560" s="1">
        <f>IFERROR(__xludf.DUMMYFUNCTION("""COMPUTED_VALUE"""),9.210348773E9)</f>
        <v>9210348773</v>
      </c>
      <c r="D1560" s="1">
        <f>IFERROR(__xludf.DUMMYFUNCTION("""COMPUTED_VALUE"""),2.0)</f>
        <v>2</v>
      </c>
      <c r="E1560" s="3">
        <f>IFERROR(__xludf.DUMMYFUNCTION("""COMPUTED_VALUE"""),0.6145833333357587)</f>
        <v>0.6145833333</v>
      </c>
      <c r="F1560" s="1" t="str">
        <f>IFERROR(__xludf.DUMMYFUNCTION("""COMPUTED_VALUE"""),"Plain Gold")</f>
        <v>Plain Gold</v>
      </c>
      <c r="G1560" s="1" t="str">
        <f>IFERROR(__xludf.DUMMYFUNCTION("""COMPUTED_VALUE"""),"Pooja")</f>
        <v>Pooja</v>
      </c>
      <c r="H1560" s="1" t="str">
        <f>IFERROR(__xludf.DUMMYFUNCTION("""COMPUTED_VALUE"""),"Silver payal bichiya")</f>
        <v>Silver payal bichiya</v>
      </c>
      <c r="I1560" s="1"/>
      <c r="J1560" s="1"/>
      <c r="K1560" s="3">
        <f>IFERROR(__xludf.DUMMYFUNCTION("""COMPUTED_VALUE"""),0.6694444444437977)</f>
        <v>0.6694444444</v>
      </c>
      <c r="L1560" s="1" t="str">
        <f>IFERROR(__xludf.DUMMYFUNCTION("""COMPUTED_VALUE"""),"Yes")</f>
        <v>Yes</v>
      </c>
      <c r="M1560" s="1" t="str">
        <f>IFERROR(__xludf.DUMMYFUNCTION("""COMPUTED_VALUE"""),"Yes")</f>
        <v>Yes</v>
      </c>
      <c r="N1560" s="1" t="str">
        <f>IFERROR(__xludf.DUMMYFUNCTION("""COMPUTED_VALUE"""),"Yes")</f>
        <v>Yes</v>
      </c>
      <c r="O1560" s="1" t="str">
        <f>IFERROR(__xludf.DUMMYFUNCTION("""COMPUTED_VALUE"""),"WA ONLY")</f>
        <v>WA ONLY</v>
      </c>
      <c r="P1560" s="1" t="str">
        <f>IFERROR(__xludf.DUMMYFUNCTION("""COMPUTED_VALUE"""),"Madam")</f>
        <v>Madam</v>
      </c>
      <c r="Q1560" s="1" t="str">
        <f>IFERROR(__xludf.DUMMYFUNCTION("""COMPUTED_VALUE"""),"No")</f>
        <v>No</v>
      </c>
      <c r="R1560" s="1" t="str">
        <f>IFERROR(__xludf.DUMMYFUNCTION("""COMPUTED_VALUE"""),"NEW WALK IN")</f>
        <v>NEW WALK IN</v>
      </c>
      <c r="S1560" s="1" t="str">
        <f>IFERROR(__xludf.DUMMYFUNCTION("""COMPUTED_VALUE"""),"Yes")</f>
        <v>Yes</v>
      </c>
    </row>
    <row r="1561">
      <c r="A1561" s="2">
        <f>IFERROR(__xludf.DUMMYFUNCTION("""COMPUTED_VALUE"""),45988.53240611111)</f>
        <v>45988.53241</v>
      </c>
      <c r="B1561" s="1" t="str">
        <f>IFERROR(__xludf.DUMMYFUNCTION("""COMPUTED_VALUE"""),"Nikita ")</f>
        <v>Nikita </v>
      </c>
      <c r="C1561" s="1">
        <f>IFERROR(__xludf.DUMMYFUNCTION("""COMPUTED_VALUE"""),8.826236053E9)</f>
        <v>8826236053</v>
      </c>
      <c r="D1561" s="1">
        <f>IFERROR(__xludf.DUMMYFUNCTION("""COMPUTED_VALUE"""),2.0)</f>
        <v>2</v>
      </c>
      <c r="E1561" s="3">
        <f>IFERROR(__xludf.DUMMYFUNCTION("""COMPUTED_VALUE"""),0.6388888888905058)</f>
        <v>0.6388888889</v>
      </c>
      <c r="F1561" s="1" t="str">
        <f>IFERROR(__xludf.DUMMYFUNCTION("""COMPUTED_VALUE"""),"Plain Gold")</f>
        <v>Plain Gold</v>
      </c>
      <c r="G1561" s="1"/>
      <c r="H1561" s="1" t="str">
        <f>IFERROR(__xludf.DUMMYFUNCTION("""COMPUTED_VALUE"""),"Pacheri bangles")</f>
        <v>Pacheri bangles</v>
      </c>
      <c r="I1561" s="1"/>
      <c r="J1561" s="1"/>
      <c r="K1561" s="3">
        <f>IFERROR(__xludf.DUMMYFUNCTION("""COMPUTED_VALUE"""),0.6840277777810115)</f>
        <v>0.6840277778</v>
      </c>
      <c r="L1561" s="1" t="str">
        <f>IFERROR(__xludf.DUMMYFUNCTION("""COMPUTED_VALUE"""),"No")</f>
        <v>No</v>
      </c>
      <c r="M1561" s="1" t="str">
        <f>IFERROR(__xludf.DUMMYFUNCTION("""COMPUTED_VALUE"""),"No")</f>
        <v>No</v>
      </c>
      <c r="N1561" s="1" t="str">
        <f>IFERROR(__xludf.DUMMYFUNCTION("""COMPUTED_VALUE"""),"No")</f>
        <v>No</v>
      </c>
      <c r="O1561" s="1" t="str">
        <f>IFERROR(__xludf.DUMMYFUNCTION("""COMPUTED_VALUE"""),"WA ONLY")</f>
        <v>WA ONLY</v>
      </c>
      <c r="P1561" s="1" t="str">
        <f>IFERROR(__xludf.DUMMYFUNCTION("""COMPUTED_VALUE"""),"Madam")</f>
        <v>Madam</v>
      </c>
      <c r="Q1561" s="1" t="str">
        <f>IFERROR(__xludf.DUMMYFUNCTION("""COMPUTED_VALUE"""),"No")</f>
        <v>No</v>
      </c>
      <c r="R1561" s="1" t="str">
        <f>IFERROR(__xludf.DUMMYFUNCTION("""COMPUTED_VALUE"""),"OLD")</f>
        <v>OLD</v>
      </c>
      <c r="S1561" s="1" t="str">
        <f>IFERROR(__xludf.DUMMYFUNCTION("""COMPUTED_VALUE"""),"No")</f>
        <v>No</v>
      </c>
    </row>
    <row r="1562">
      <c r="A1562" s="2">
        <f>IFERROR(__xludf.DUMMYFUNCTION("""COMPUTED_VALUE"""),45988.53343545139)</f>
        <v>45988.53344</v>
      </c>
      <c r="B1562" s="1" t="str">
        <f>IFERROR(__xludf.DUMMYFUNCTION("""COMPUTED_VALUE"""),"Anjali aggarwal ji")</f>
        <v>Anjali aggarwal ji</v>
      </c>
      <c r="C1562" s="1">
        <f>IFERROR(__xludf.DUMMYFUNCTION("""COMPUTED_VALUE"""),9.650074967E9)</f>
        <v>9650074967</v>
      </c>
      <c r="D1562" s="1">
        <f>IFERROR(__xludf.DUMMYFUNCTION("""COMPUTED_VALUE"""),2.0)</f>
        <v>2</v>
      </c>
      <c r="E1562" s="3">
        <f>IFERROR(__xludf.DUMMYFUNCTION("""COMPUTED_VALUE"""),0.5833333333357587)</f>
        <v>0.5833333333</v>
      </c>
      <c r="F1562" s="1" t="str">
        <f>IFERROR(__xludf.DUMMYFUNCTION("""COMPUTED_VALUE"""),"Diamond")</f>
        <v>Diamond</v>
      </c>
      <c r="G1562" s="1"/>
      <c r="H1562" s="1" t="str">
        <f>IFERROR(__xludf.DUMMYFUNCTION("""COMPUTED_VALUE"""),"Diamond ring")</f>
        <v>Diamond ring</v>
      </c>
      <c r="I1562" s="1"/>
      <c r="J1562" s="1"/>
      <c r="K1562" s="3">
        <f>IFERROR(__xludf.DUMMYFUNCTION("""COMPUTED_VALUE"""),0.7395833333357587)</f>
        <v>0.7395833333</v>
      </c>
      <c r="L1562" s="1" t="str">
        <f>IFERROR(__xludf.DUMMYFUNCTION("""COMPUTED_VALUE"""),"No")</f>
        <v>No</v>
      </c>
      <c r="M1562" s="1" t="str">
        <f>IFERROR(__xludf.DUMMYFUNCTION("""COMPUTED_VALUE"""),"Yes")</f>
        <v>Yes</v>
      </c>
      <c r="N1562" s="1" t="str">
        <f>IFERROR(__xludf.DUMMYFUNCTION("""COMPUTED_VALUE"""),"No")</f>
        <v>No</v>
      </c>
      <c r="O1562" s="1" t="str">
        <f>IFERROR(__xludf.DUMMYFUNCTION("""COMPUTED_VALUE"""),"WA ONLY")</f>
        <v>WA ONLY</v>
      </c>
      <c r="P1562" s="1" t="str">
        <f>IFERROR(__xludf.DUMMYFUNCTION("""COMPUTED_VALUE"""),"Madam")</f>
        <v>Madam</v>
      </c>
      <c r="Q1562" s="1" t="str">
        <f>IFERROR(__xludf.DUMMYFUNCTION("""COMPUTED_VALUE"""),"No")</f>
        <v>No</v>
      </c>
      <c r="R1562" s="1" t="str">
        <f>IFERROR(__xludf.DUMMYFUNCTION("""COMPUTED_VALUE"""),"OLD")</f>
        <v>OLD</v>
      </c>
      <c r="S1562" s="1" t="str">
        <f>IFERROR(__xludf.DUMMYFUNCTION("""COMPUTED_VALUE"""),"Yes")</f>
        <v>Yes</v>
      </c>
    </row>
    <row r="1563">
      <c r="A1563" s="2">
        <f>IFERROR(__xludf.DUMMYFUNCTION("""COMPUTED_VALUE"""),45988.53473313658)</f>
        <v>45988.53473</v>
      </c>
      <c r="B1563" s="1" t="str">
        <f>IFERROR(__xludf.DUMMYFUNCTION("""COMPUTED_VALUE"""),"Manish puri ji")</f>
        <v>Manish puri ji</v>
      </c>
      <c r="C1563" s="1">
        <f>IFERROR(__xludf.DUMMYFUNCTION("""COMPUTED_VALUE"""),9.953438515E9)</f>
        <v>9953438515</v>
      </c>
      <c r="D1563" s="1">
        <f>IFERROR(__xludf.DUMMYFUNCTION("""COMPUTED_VALUE"""),1.0)</f>
        <v>1</v>
      </c>
      <c r="E1563" s="3">
        <f>IFERROR(__xludf.DUMMYFUNCTION("""COMPUTED_VALUE"""),0.75)</f>
        <v>0.75</v>
      </c>
      <c r="F1563" s="1" t="str">
        <f>IFERROR(__xludf.DUMMYFUNCTION("""COMPUTED_VALUE"""),"Diamond")</f>
        <v>Diamond</v>
      </c>
      <c r="G1563" s="1"/>
      <c r="H1563" s="1" t="str">
        <f>IFERROR(__xludf.DUMMYFUNCTION("""COMPUTED_VALUE"""),"Silver chain")</f>
        <v>Silver chain</v>
      </c>
      <c r="I1563" s="1" t="str">
        <f>IFERROR(__xludf.DUMMYFUNCTION("""COMPUTED_VALUE"""),"Here for repair")</f>
        <v>Here for repair</v>
      </c>
      <c r="J1563" s="1"/>
      <c r="K1563" s="3">
        <f>IFERROR(__xludf.DUMMYFUNCTION("""COMPUTED_VALUE"""),0.7819444444467081)</f>
        <v>0.7819444444</v>
      </c>
      <c r="L1563" s="1" t="str">
        <f>IFERROR(__xludf.DUMMYFUNCTION("""COMPUTED_VALUE"""),"No")</f>
        <v>No</v>
      </c>
      <c r="M1563" s="1" t="str">
        <f>IFERROR(__xludf.DUMMYFUNCTION("""COMPUTED_VALUE"""),"No")</f>
        <v>No</v>
      </c>
      <c r="N1563" s="1" t="str">
        <f>IFERROR(__xludf.DUMMYFUNCTION("""COMPUTED_VALUE"""),"No")</f>
        <v>No</v>
      </c>
      <c r="O1563" s="1" t="str">
        <f>IFERROR(__xludf.DUMMYFUNCTION("""COMPUTED_VALUE"""),"WA ONLY")</f>
        <v>WA ONLY</v>
      </c>
      <c r="P1563" s="1" t="str">
        <f>IFERROR(__xludf.DUMMYFUNCTION("""COMPUTED_VALUE"""),"Sir")</f>
        <v>Sir</v>
      </c>
      <c r="Q1563" s="1" t="str">
        <f>IFERROR(__xludf.DUMMYFUNCTION("""COMPUTED_VALUE"""),"No")</f>
        <v>No</v>
      </c>
      <c r="R1563" s="1" t="str">
        <f>IFERROR(__xludf.DUMMYFUNCTION("""COMPUTED_VALUE"""),"OLD")</f>
        <v>OLD</v>
      </c>
      <c r="S1563" s="1" t="str">
        <f>IFERROR(__xludf.DUMMYFUNCTION("""COMPUTED_VALUE"""),"No")</f>
        <v>No</v>
      </c>
    </row>
    <row r="1564">
      <c r="A1564" s="2">
        <f>IFERROR(__xludf.DUMMYFUNCTION("""COMPUTED_VALUE"""),45989.53701497686)</f>
        <v>45989.53701</v>
      </c>
      <c r="B1564" s="1" t="str">
        <f>IFERROR(__xludf.DUMMYFUNCTION("""COMPUTED_VALUE"""),"Jagdeep singh ji")</f>
        <v>Jagdeep singh ji</v>
      </c>
      <c r="C1564" s="1">
        <f>IFERROR(__xludf.DUMMYFUNCTION("""COMPUTED_VALUE"""),9.868504376E9)</f>
        <v>9868504376</v>
      </c>
      <c r="D1564" s="1">
        <f>IFERROR(__xludf.DUMMYFUNCTION("""COMPUTED_VALUE"""),1.0)</f>
        <v>1</v>
      </c>
      <c r="E1564" s="3">
        <f>IFERROR(__xludf.DUMMYFUNCTION("""COMPUTED_VALUE"""),0.5520833333357587)</f>
        <v>0.5520833333</v>
      </c>
      <c r="F1564" s="1" t="str">
        <f>IFERROR(__xludf.DUMMYFUNCTION("""COMPUTED_VALUE"""),"Silver Items")</f>
        <v>Silver Items</v>
      </c>
      <c r="G1564" s="1"/>
      <c r="H1564" s="1" t="str">
        <f>IFERROR(__xludf.DUMMYFUNCTION("""COMPUTED_VALUE"""),"Silver anklets")</f>
        <v>Silver anklets</v>
      </c>
      <c r="I1564" s="1" t="str">
        <f>IFERROR(__xludf.DUMMYFUNCTION("""COMPUTED_VALUE"""),"Budget was too low")</f>
        <v>Budget was too low</v>
      </c>
      <c r="J1564" s="1"/>
      <c r="K1564" s="3">
        <f>IFERROR(__xludf.DUMMYFUNCTION("""COMPUTED_VALUE"""),0.5590277777810115)</f>
        <v>0.5590277778</v>
      </c>
      <c r="L1564" s="1" t="str">
        <f>IFERROR(__xludf.DUMMYFUNCTION("""COMPUTED_VALUE"""),"No")</f>
        <v>No</v>
      </c>
      <c r="M1564" s="1" t="str">
        <f>IFERROR(__xludf.DUMMYFUNCTION("""COMPUTED_VALUE"""),"No")</f>
        <v>No</v>
      </c>
      <c r="N1564" s="1" t="str">
        <f>IFERROR(__xludf.DUMMYFUNCTION("""COMPUTED_VALUE"""),"No")</f>
        <v>No</v>
      </c>
      <c r="O1564" s="1" t="str">
        <f>IFERROR(__xludf.DUMMYFUNCTION("""COMPUTED_VALUE"""),"WA ONLY")</f>
        <v>WA ONLY</v>
      </c>
      <c r="P1564" s="1" t="str">
        <f>IFERROR(__xludf.DUMMYFUNCTION("""COMPUTED_VALUE"""),"Sir")</f>
        <v>Sir</v>
      </c>
      <c r="Q1564" s="1" t="str">
        <f>IFERROR(__xludf.DUMMYFUNCTION("""COMPUTED_VALUE"""),"No")</f>
        <v>No</v>
      </c>
      <c r="R1564" s="1" t="str">
        <f>IFERROR(__xludf.DUMMYFUNCTION("""COMPUTED_VALUE"""),"NEW WALK IN")</f>
        <v>NEW WALK IN</v>
      </c>
      <c r="S1564" s="1" t="str">
        <f>IFERROR(__xludf.DUMMYFUNCTION("""COMPUTED_VALUE"""),"No")</f>
        <v>No</v>
      </c>
    </row>
    <row r="1565">
      <c r="A1565" s="2">
        <f>IFERROR(__xludf.DUMMYFUNCTION("""COMPUTED_VALUE"""),45989.53920826389)</f>
        <v>45989.53921</v>
      </c>
      <c r="B1565" s="1" t="str">
        <f>IFERROR(__xludf.DUMMYFUNCTION("""COMPUTED_VALUE"""),"Seema gupta ji")</f>
        <v>Seema gupta ji</v>
      </c>
      <c r="C1565" s="1">
        <f>IFERROR(__xludf.DUMMYFUNCTION("""COMPUTED_VALUE"""),9.810413272E9)</f>
        <v>9810413272</v>
      </c>
      <c r="D1565" s="1">
        <f>IFERROR(__xludf.DUMMYFUNCTION("""COMPUTED_VALUE"""),1.0)</f>
        <v>1</v>
      </c>
      <c r="E1565" s="3">
        <f>IFERROR(__xludf.DUMMYFUNCTION("""COMPUTED_VALUE"""),0.6041666666642413)</f>
        <v>0.6041666667</v>
      </c>
      <c r="F1565" s="1" t="str">
        <f>IFERROR(__xludf.DUMMYFUNCTION("""COMPUTED_VALUE"""),"Plain Gold")</f>
        <v>Plain Gold</v>
      </c>
      <c r="G1565" s="1"/>
      <c r="H1565" s="1" t="str">
        <f>IFERROR(__xludf.DUMMYFUNCTION("""COMPUTED_VALUE"""),"Diamond pendent ")</f>
        <v>Diamond pendent </v>
      </c>
      <c r="I1565" s="1"/>
      <c r="J1565" s="1"/>
      <c r="K1565" s="3">
        <f>IFERROR(__xludf.DUMMYFUNCTION("""COMPUTED_VALUE"""),0.6458333333357587)</f>
        <v>0.6458333333</v>
      </c>
      <c r="L1565" s="1" t="str">
        <f>IFERROR(__xludf.DUMMYFUNCTION("""COMPUTED_VALUE"""),"No")</f>
        <v>No</v>
      </c>
      <c r="M1565" s="1" t="str">
        <f>IFERROR(__xludf.DUMMYFUNCTION("""COMPUTED_VALUE"""),"Already done")</f>
        <v>Already done</v>
      </c>
      <c r="N1565" s="1" t="str">
        <f>IFERROR(__xludf.DUMMYFUNCTION("""COMPUTED_VALUE"""),"Already done ")</f>
        <v>Already done </v>
      </c>
      <c r="O1565" s="1" t="str">
        <f>IFERROR(__xludf.DUMMYFUNCTION("""COMPUTED_VALUE"""),"WA ONLY")</f>
        <v>WA ONLY</v>
      </c>
      <c r="P1565" s="1" t="str">
        <f>IFERROR(__xludf.DUMMYFUNCTION("""COMPUTED_VALUE"""),"Madam")</f>
        <v>Madam</v>
      </c>
      <c r="Q1565" s="1" t="str">
        <f>IFERROR(__xludf.DUMMYFUNCTION("""COMPUTED_VALUE"""),"No")</f>
        <v>No</v>
      </c>
      <c r="R1565" s="1" t="str">
        <f>IFERROR(__xludf.DUMMYFUNCTION("""COMPUTED_VALUE"""),"OLD")</f>
        <v>OLD</v>
      </c>
      <c r="S1565" s="1" t="str">
        <f>IFERROR(__xludf.DUMMYFUNCTION("""COMPUTED_VALUE"""),"Yes")</f>
        <v>Yes</v>
      </c>
    </row>
    <row r="1566">
      <c r="A1566" s="2">
        <f>IFERROR(__xludf.DUMMYFUNCTION("""COMPUTED_VALUE"""),45989.54063296296)</f>
        <v>45989.54063</v>
      </c>
      <c r="B1566" s="1" t="str">
        <f>IFERROR(__xludf.DUMMYFUNCTION("""COMPUTED_VALUE"""),"Abha jain ji (Sydney)")</f>
        <v>Abha jain ji (Sydney)</v>
      </c>
      <c r="C1566" s="1">
        <f>IFERROR(__xludf.DUMMYFUNCTION("""COMPUTED_VALUE"""),9.989148791E9)</f>
        <v>9989148791</v>
      </c>
      <c r="D1566" s="1">
        <f>IFERROR(__xludf.DUMMYFUNCTION("""COMPUTED_VALUE"""),2.0)</f>
        <v>2</v>
      </c>
      <c r="E1566" s="3">
        <f>IFERROR(__xludf.DUMMYFUNCTION("""COMPUTED_VALUE"""),0.6944444444452529)</f>
        <v>0.6944444444</v>
      </c>
      <c r="F1566" s="1"/>
      <c r="G1566" s="1"/>
      <c r="H1566" s="1" t="str">
        <f>IFERROR(__xludf.DUMMYFUNCTION("""COMPUTED_VALUE"""),"Silver thali jyot")</f>
        <v>Silver thali jyot</v>
      </c>
      <c r="I1566" s="1"/>
      <c r="J1566" s="1"/>
      <c r="K1566" s="3">
        <f>IFERROR(__xludf.DUMMYFUNCTION("""COMPUTED_VALUE"""),0.7624999999970896)</f>
        <v>0.7625</v>
      </c>
      <c r="L1566" s="1" t="str">
        <f>IFERROR(__xludf.DUMMYFUNCTION("""COMPUTED_VALUE"""),"No")</f>
        <v>No</v>
      </c>
      <c r="M1566" s="1" t="str">
        <f>IFERROR(__xludf.DUMMYFUNCTION("""COMPUTED_VALUE"""),"Yes")</f>
        <v>Yes</v>
      </c>
      <c r="N1566" s="1" t="str">
        <f>IFERROR(__xludf.DUMMYFUNCTION("""COMPUTED_VALUE"""),"No")</f>
        <v>No</v>
      </c>
      <c r="O1566" s="1" t="str">
        <f>IFERROR(__xludf.DUMMYFUNCTION("""COMPUTED_VALUE"""),"WA ONLY, OWNER CONTACT ONLY")</f>
        <v>WA ONLY, OWNER CONTACT ONLY</v>
      </c>
      <c r="P1566" s="1" t="str">
        <f>IFERROR(__xludf.DUMMYFUNCTION("""COMPUTED_VALUE"""),"Madam")</f>
        <v>Madam</v>
      </c>
      <c r="Q1566" s="1" t="str">
        <f>IFERROR(__xludf.DUMMYFUNCTION("""COMPUTED_VALUE"""),"No")</f>
        <v>No</v>
      </c>
      <c r="R1566" s="1" t="str">
        <f>IFERROR(__xludf.DUMMYFUNCTION("""COMPUTED_VALUE"""),"OLD")</f>
        <v>OLD</v>
      </c>
      <c r="S1566" s="1" t="str">
        <f>IFERROR(__xludf.DUMMYFUNCTION("""COMPUTED_VALUE"""),"Yes")</f>
        <v>Yes</v>
      </c>
    </row>
    <row r="1567">
      <c r="A1567" s="2">
        <f>IFERROR(__xludf.DUMMYFUNCTION("""COMPUTED_VALUE"""),45989.54303155093)</f>
        <v>45989.54303</v>
      </c>
      <c r="B1567" s="1" t="str">
        <f>IFERROR(__xludf.DUMMYFUNCTION("""COMPUTED_VALUE"""),"Masud khan ji")</f>
        <v>Masud khan ji</v>
      </c>
      <c r="C1567" s="1" t="str">
        <f>IFERROR(__xludf.DUMMYFUNCTION("""COMPUTED_VALUE"""),"011557308035")</f>
        <v>011557308035</v>
      </c>
      <c r="D1567" s="1">
        <f>IFERROR(__xludf.DUMMYFUNCTION("""COMPUTED_VALUE"""),2.0)</f>
        <v>2</v>
      </c>
      <c r="E1567" s="3">
        <f>IFERROR(__xludf.DUMMYFUNCTION("""COMPUTED_VALUE"""),0.7083333333357587)</f>
        <v>0.7083333333</v>
      </c>
      <c r="F1567" s="1" t="str">
        <f>IFERROR(__xludf.DUMMYFUNCTION("""COMPUTED_VALUE"""),"Plain Gold")</f>
        <v>Plain Gold</v>
      </c>
      <c r="G1567" s="1" t="str">
        <f>IFERROR(__xludf.DUMMYFUNCTION("""COMPUTED_VALUE"""),"Pooja")</f>
        <v>Pooja</v>
      </c>
      <c r="H1567" s="1" t="str">
        <f>IFERROR(__xludf.DUMMYFUNCTION("""COMPUTED_VALUE"""),"Silver bracelet ")</f>
        <v>Silver bracelet </v>
      </c>
      <c r="I1567" s="1" t="str">
        <f>IFERROR(__xludf.DUMMYFUNCTION("""COMPUTED_VALUE"""),"He wanted to have his order by the next day")</f>
        <v>He wanted to have his order by the next day</v>
      </c>
      <c r="J1567" s="1"/>
      <c r="K1567" s="3">
        <f>IFERROR(__xludf.DUMMYFUNCTION("""COMPUTED_VALUE"""),0.75)</f>
        <v>0.75</v>
      </c>
      <c r="L1567" s="1" t="str">
        <f>IFERROR(__xludf.DUMMYFUNCTION("""COMPUTED_VALUE"""),"No")</f>
        <v>No</v>
      </c>
      <c r="M1567" s="1" t="str">
        <f>IFERROR(__xludf.DUMMYFUNCTION("""COMPUTED_VALUE"""),"No")</f>
        <v>No</v>
      </c>
      <c r="N1567" s="1" t="str">
        <f>IFERROR(__xludf.DUMMYFUNCTION("""COMPUTED_VALUE"""),"No")</f>
        <v>No</v>
      </c>
      <c r="O1567" s="1" t="str">
        <f>IFERROR(__xludf.DUMMYFUNCTION("""COMPUTED_VALUE"""),"WA ONLY")</f>
        <v>WA ONLY</v>
      </c>
      <c r="P1567" s="1" t="str">
        <f>IFERROR(__xludf.DUMMYFUNCTION("""COMPUTED_VALUE"""),"Sir")</f>
        <v>Sir</v>
      </c>
      <c r="Q1567" s="1" t="str">
        <f>IFERROR(__xludf.DUMMYFUNCTION("""COMPUTED_VALUE"""),"No")</f>
        <v>No</v>
      </c>
      <c r="R1567" s="1" t="str">
        <f>IFERROR(__xludf.DUMMYFUNCTION("""COMPUTED_VALUE"""),"NEW WALK IN")</f>
        <v>NEW WALK IN</v>
      </c>
      <c r="S1567" s="1" t="str">
        <f>IFERROR(__xludf.DUMMYFUNCTION("""COMPUTED_VALUE"""),"No")</f>
        <v>No</v>
      </c>
    </row>
    <row r="1568">
      <c r="A1568" s="2">
        <f>IFERROR(__xludf.DUMMYFUNCTION("""COMPUTED_VALUE"""),45990.50418700231)</f>
        <v>45990.50419</v>
      </c>
      <c r="B1568" s="1" t="str">
        <f>IFERROR(__xludf.DUMMYFUNCTION("""COMPUTED_VALUE"""),"Vijay ji (Sydney)")</f>
        <v>Vijay ji (Sydney)</v>
      </c>
      <c r="C1568" s="1" t="str">
        <f>IFERROR(__xludf.DUMMYFUNCTION("""COMPUTED_VALUE"""),"±61434259584")</f>
        <v>±61434259584</v>
      </c>
      <c r="D1568" s="1">
        <f>IFERROR(__xludf.DUMMYFUNCTION("""COMPUTED_VALUE"""),2.0)</f>
        <v>2</v>
      </c>
      <c r="E1568" s="3">
        <f>IFERROR(__xludf.DUMMYFUNCTION("""COMPUTED_VALUE"""),0.5729166666642413)</f>
        <v>0.5729166667</v>
      </c>
      <c r="F1568" s="1" t="str">
        <f>IFERROR(__xludf.DUMMYFUNCTION("""COMPUTED_VALUE"""),"Silver Items")</f>
        <v>Silver Items</v>
      </c>
      <c r="G1568" s="1"/>
      <c r="H1568" s="1" t="str">
        <f>IFERROR(__xludf.DUMMYFUNCTION("""COMPUTED_VALUE"""),"Silver set")</f>
        <v>Silver set</v>
      </c>
      <c r="I1568" s="1"/>
      <c r="J1568" s="1"/>
      <c r="K1568" s="3">
        <f>IFERROR(__xludf.DUMMYFUNCTION("""COMPUTED_VALUE"""),0.6666666666642413)</f>
        <v>0.6666666667</v>
      </c>
      <c r="L1568" s="1" t="str">
        <f>IFERROR(__xludf.DUMMYFUNCTION("""COMPUTED_VALUE"""),"No")</f>
        <v>No</v>
      </c>
      <c r="M1568" s="1" t="str">
        <f>IFERROR(__xludf.DUMMYFUNCTION("""COMPUTED_VALUE"""),"No")</f>
        <v>No</v>
      </c>
      <c r="N1568" s="1" t="str">
        <f>IFERROR(__xludf.DUMMYFUNCTION("""COMPUTED_VALUE"""),"Already done")</f>
        <v>Already done</v>
      </c>
      <c r="O1568" s="1" t="str">
        <f>IFERROR(__xludf.DUMMYFUNCTION("""COMPUTED_VALUE"""),"WA ONLY")</f>
        <v>WA ONLY</v>
      </c>
      <c r="P1568" s="1" t="str">
        <f>IFERROR(__xludf.DUMMYFUNCTION("""COMPUTED_VALUE"""),"Sir")</f>
        <v>Sir</v>
      </c>
      <c r="Q1568" s="1" t="str">
        <f>IFERROR(__xludf.DUMMYFUNCTION("""COMPUTED_VALUE"""),"No")</f>
        <v>No</v>
      </c>
      <c r="R1568" s="1" t="str">
        <f>IFERROR(__xludf.DUMMYFUNCTION("""COMPUTED_VALUE"""),"OLD")</f>
        <v>OLD</v>
      </c>
      <c r="S1568" s="1" t="str">
        <f>IFERROR(__xludf.DUMMYFUNCTION("""COMPUTED_VALUE"""),"Yes")</f>
        <v>Yes</v>
      </c>
    </row>
    <row r="1569">
      <c r="A1569" s="2">
        <f>IFERROR(__xludf.DUMMYFUNCTION("""COMPUTED_VALUE"""),45990.50559431713)</f>
        <v>45990.50559</v>
      </c>
      <c r="B1569" s="1" t="str">
        <f>IFERROR(__xludf.DUMMYFUNCTION("""COMPUTED_VALUE"""),"Akshay sharma")</f>
        <v>Akshay sharma</v>
      </c>
      <c r="C1569" s="1">
        <f>IFERROR(__xludf.DUMMYFUNCTION("""COMPUTED_VALUE"""),8.130876428E9)</f>
        <v>8130876428</v>
      </c>
      <c r="D1569" s="1">
        <f>IFERROR(__xludf.DUMMYFUNCTION("""COMPUTED_VALUE"""),1.0)</f>
        <v>1</v>
      </c>
      <c r="E1569" s="3">
        <f>IFERROR(__xludf.DUMMYFUNCTION("""COMPUTED_VALUE"""),0.5645833333328483)</f>
        <v>0.5645833333</v>
      </c>
      <c r="F1569" s="1" t="str">
        <f>IFERROR(__xludf.DUMMYFUNCTION("""COMPUTED_VALUE"""),"Plain Gold")</f>
        <v>Plain Gold</v>
      </c>
      <c r="G1569" s="1" t="str">
        <f>IFERROR(__xludf.DUMMYFUNCTION("""COMPUTED_VALUE"""),"Pooja")</f>
        <v>Pooja</v>
      </c>
      <c r="H1569" s="1" t="str">
        <f>IFERROR(__xludf.DUMMYFUNCTION("""COMPUTED_VALUE"""),"Gold kadha for ladies")</f>
        <v>Gold kadha for ladies</v>
      </c>
      <c r="I1569" s="1" t="str">
        <f>IFERROR(__xludf.DUMMYFUNCTION("""COMPUTED_VALUE"""),"Gave no reason just left")</f>
        <v>Gave no reason just left</v>
      </c>
      <c r="J1569" s="1"/>
      <c r="K1569" s="3">
        <f>IFERROR(__xludf.DUMMYFUNCTION("""COMPUTED_VALUE"""),0.7465277777810115)</f>
        <v>0.7465277778</v>
      </c>
      <c r="L1569" s="1" t="str">
        <f>IFERROR(__xludf.DUMMYFUNCTION("""COMPUTED_VALUE"""),"No")</f>
        <v>No</v>
      </c>
      <c r="M1569" s="1" t="str">
        <f>IFERROR(__xludf.DUMMYFUNCTION("""COMPUTED_VALUE"""),"No")</f>
        <v>No</v>
      </c>
      <c r="N1569" s="1" t="str">
        <f>IFERROR(__xludf.DUMMYFUNCTION("""COMPUTED_VALUE"""),"No")</f>
        <v>No</v>
      </c>
      <c r="O1569" s="1" t="str">
        <f>IFERROR(__xludf.DUMMYFUNCTION("""COMPUTED_VALUE"""),"WA ONLY")</f>
        <v>WA ONLY</v>
      </c>
      <c r="P1569" s="1" t="str">
        <f>IFERROR(__xludf.DUMMYFUNCTION("""COMPUTED_VALUE"""),"Sir")</f>
        <v>Sir</v>
      </c>
      <c r="Q1569" s="1" t="str">
        <f>IFERROR(__xludf.DUMMYFUNCTION("""COMPUTED_VALUE"""),"No")</f>
        <v>No</v>
      </c>
      <c r="R1569" s="1" t="str">
        <f>IFERROR(__xludf.DUMMYFUNCTION("""COMPUTED_VALUE"""),"NEW WALK IN")</f>
        <v>NEW WALK IN</v>
      </c>
      <c r="S1569" s="1" t="str">
        <f>IFERROR(__xludf.DUMMYFUNCTION("""COMPUTED_VALUE"""),"No")</f>
        <v>No</v>
      </c>
    </row>
    <row r="1570">
      <c r="A1570" s="2">
        <f>IFERROR(__xludf.DUMMYFUNCTION("""COMPUTED_VALUE"""),45993.53147425926)</f>
        <v>45993.53147</v>
      </c>
      <c r="B1570" s="1" t="str">
        <f>IFERROR(__xludf.DUMMYFUNCTION("""COMPUTED_VALUE"""),"Mirza baig ")</f>
        <v>Mirza baig </v>
      </c>
      <c r="C1570" s="1">
        <f>IFERROR(__xludf.DUMMYFUNCTION("""COMPUTED_VALUE"""),9.310698129E9)</f>
        <v>9310698129</v>
      </c>
      <c r="D1570" s="1">
        <f>IFERROR(__xludf.DUMMYFUNCTION("""COMPUTED_VALUE"""),1.0)</f>
        <v>1</v>
      </c>
      <c r="E1570" s="3">
        <f>IFERROR(__xludf.DUMMYFUNCTION("""COMPUTED_VALUE"""),0.625)</f>
        <v>0.625</v>
      </c>
      <c r="F1570" s="1" t="str">
        <f>IFERROR(__xludf.DUMMYFUNCTION("""COMPUTED_VALUE"""),"Plain Gold")</f>
        <v>Plain Gold</v>
      </c>
      <c r="G1570" s="1" t="str">
        <f>IFERROR(__xludf.DUMMYFUNCTION("""COMPUTED_VALUE"""),"Pooja")</f>
        <v>Pooja</v>
      </c>
      <c r="H1570" s="1" t="str">
        <f>IFERROR(__xludf.DUMMYFUNCTION("""COMPUTED_VALUE"""),"Gold set")</f>
        <v>Gold set</v>
      </c>
      <c r="I1570" s="1"/>
      <c r="J1570" s="1"/>
      <c r="K1570" s="3">
        <f>IFERROR(__xludf.DUMMYFUNCTION("""COMPUTED_VALUE"""),0.6784722222218988)</f>
        <v>0.6784722222</v>
      </c>
      <c r="L1570" s="1" t="str">
        <f>IFERROR(__xludf.DUMMYFUNCTION("""COMPUTED_VALUE"""),"No")</f>
        <v>No</v>
      </c>
      <c r="M1570" s="1" t="str">
        <f>IFERROR(__xludf.DUMMYFUNCTION("""COMPUTED_VALUE"""),"Already done")</f>
        <v>Already done</v>
      </c>
      <c r="N1570" s="1" t="str">
        <f>IFERROR(__xludf.DUMMYFUNCTION("""COMPUTED_VALUE"""),"Already done ")</f>
        <v>Already done </v>
      </c>
      <c r="O1570" s="1" t="str">
        <f>IFERROR(__xludf.DUMMYFUNCTION("""COMPUTED_VALUE"""),"WA ONLY")</f>
        <v>WA ONLY</v>
      </c>
      <c r="P1570" s="1" t="str">
        <f>IFERROR(__xludf.DUMMYFUNCTION("""COMPUTED_VALUE"""),"Sir")</f>
        <v>Sir</v>
      </c>
      <c r="Q1570" s="1" t="str">
        <f>IFERROR(__xludf.DUMMYFUNCTION("""COMPUTED_VALUE"""),"No")</f>
        <v>No</v>
      </c>
      <c r="R1570" s="1" t="str">
        <f>IFERROR(__xludf.DUMMYFUNCTION("""COMPUTED_VALUE"""),"OLD")</f>
        <v>OLD</v>
      </c>
      <c r="S1570" s="1" t="str">
        <f>IFERROR(__xludf.DUMMYFUNCTION("""COMPUTED_VALUE"""),"Yes")</f>
        <v>Yes</v>
      </c>
    </row>
    <row r="1571">
      <c r="A1571" s="2">
        <f>IFERROR(__xludf.DUMMYFUNCTION("""COMPUTED_VALUE"""),45993.532479050926)</f>
        <v>45993.53248</v>
      </c>
      <c r="B1571" s="1" t="str">
        <f>IFERROR(__xludf.DUMMYFUNCTION("""COMPUTED_VALUE"""),"Sangeeta ji")</f>
        <v>Sangeeta ji</v>
      </c>
      <c r="C1571" s="1">
        <f>IFERROR(__xludf.DUMMYFUNCTION("""COMPUTED_VALUE"""),9.871394198E9)</f>
        <v>9871394198</v>
      </c>
      <c r="D1571" s="1">
        <f>IFERROR(__xludf.DUMMYFUNCTION("""COMPUTED_VALUE"""),1.0)</f>
        <v>1</v>
      </c>
      <c r="E1571" s="3">
        <f>IFERROR(__xludf.DUMMYFUNCTION("""COMPUTED_VALUE"""),0.6284722222189885)</f>
        <v>0.6284722222</v>
      </c>
      <c r="F1571" s="1" t="str">
        <f>IFERROR(__xludf.DUMMYFUNCTION("""COMPUTED_VALUE"""),"Plain Gold")</f>
        <v>Plain Gold</v>
      </c>
      <c r="G1571" s="1"/>
      <c r="H1571" s="1" t="str">
        <f>IFERROR(__xludf.DUMMYFUNCTION("""COMPUTED_VALUE"""),"Silver set")</f>
        <v>Silver set</v>
      </c>
      <c r="I1571" s="1"/>
      <c r="J1571" s="1"/>
      <c r="K1571" s="3">
        <f>IFERROR(__xludf.DUMMYFUNCTION("""COMPUTED_VALUE"""),0.7881944444452529)</f>
        <v>0.7881944444</v>
      </c>
      <c r="L1571" s="1" t="str">
        <f>IFERROR(__xludf.DUMMYFUNCTION("""COMPUTED_VALUE"""),"No")</f>
        <v>No</v>
      </c>
      <c r="M1571" s="1" t="str">
        <f>IFERROR(__xludf.DUMMYFUNCTION("""COMPUTED_VALUE"""),"No")</f>
        <v>No</v>
      </c>
      <c r="N1571" s="1" t="str">
        <f>IFERROR(__xludf.DUMMYFUNCTION("""COMPUTED_VALUE"""),"No")</f>
        <v>No</v>
      </c>
      <c r="O1571" s="1" t="str">
        <f>IFERROR(__xludf.DUMMYFUNCTION("""COMPUTED_VALUE"""),"WA ONLY")</f>
        <v>WA ONLY</v>
      </c>
      <c r="P1571" s="1" t="str">
        <f>IFERROR(__xludf.DUMMYFUNCTION("""COMPUTED_VALUE"""),"Madam")</f>
        <v>Madam</v>
      </c>
      <c r="Q1571" s="1" t="str">
        <f>IFERROR(__xludf.DUMMYFUNCTION("""COMPUTED_VALUE"""),"No")</f>
        <v>No</v>
      </c>
      <c r="R1571" s="1" t="str">
        <f>IFERROR(__xludf.DUMMYFUNCTION("""COMPUTED_VALUE"""),"OLD")</f>
        <v>OLD</v>
      </c>
      <c r="S1571" s="1" t="str">
        <f>IFERROR(__xludf.DUMMYFUNCTION("""COMPUTED_VALUE"""),"Yes")</f>
        <v>Yes</v>
      </c>
    </row>
    <row r="1572">
      <c r="A1572" s="2">
        <f>IFERROR(__xludf.DUMMYFUNCTION("""COMPUTED_VALUE"""),45993.53359446759)</f>
        <v>45993.53359</v>
      </c>
      <c r="B1572" s="1" t="str">
        <f>IFERROR(__xludf.DUMMYFUNCTION("""COMPUTED_VALUE"""),"Jyoti ji")</f>
        <v>Jyoti ji</v>
      </c>
      <c r="C1572" s="1">
        <f>IFERROR(__xludf.DUMMYFUNCTION("""COMPUTED_VALUE"""),8.708850971E9)</f>
        <v>8708850971</v>
      </c>
      <c r="D1572" s="1">
        <f>IFERROR(__xludf.DUMMYFUNCTION("""COMPUTED_VALUE"""),3.0)</f>
        <v>3</v>
      </c>
      <c r="E1572" s="3">
        <f>IFERROR(__xludf.DUMMYFUNCTION("""COMPUTED_VALUE"""),0.6493055555547471)</f>
        <v>0.6493055556</v>
      </c>
      <c r="F1572" s="1" t="str">
        <f>IFERROR(__xludf.DUMMYFUNCTION("""COMPUTED_VALUE"""),"Diamond")</f>
        <v>Diamond</v>
      </c>
      <c r="G1572" s="1" t="str">
        <f>IFERROR(__xludf.DUMMYFUNCTION("""COMPUTED_VALUE"""),"Pooja")</f>
        <v>Pooja</v>
      </c>
      <c r="H1572" s="1" t="str">
        <f>IFERROR(__xludf.DUMMYFUNCTION("""COMPUTED_VALUE"""),"Gold set and bangles")</f>
        <v>Gold set and bangles</v>
      </c>
      <c r="I1572" s="1"/>
      <c r="J1572" s="1"/>
      <c r="K1572" s="3">
        <f>IFERROR(__xludf.DUMMYFUNCTION("""COMPUTED_VALUE"""),0.765972222223354)</f>
        <v>0.7659722222</v>
      </c>
      <c r="L1572" s="1" t="str">
        <f>IFERROR(__xludf.DUMMYFUNCTION("""COMPUTED_VALUE"""),"Yes")</f>
        <v>Yes</v>
      </c>
      <c r="M1572" s="1" t="str">
        <f>IFERROR(__xludf.DUMMYFUNCTION("""COMPUTED_VALUE"""),"Yes")</f>
        <v>Yes</v>
      </c>
      <c r="N1572" s="1" t="str">
        <f>IFERROR(__xludf.DUMMYFUNCTION("""COMPUTED_VALUE"""),"Yes")</f>
        <v>Yes</v>
      </c>
      <c r="O1572" s="1" t="str">
        <f>IFERROR(__xludf.DUMMYFUNCTION("""COMPUTED_VALUE"""),"WA ONLY")</f>
        <v>WA ONLY</v>
      </c>
      <c r="P1572" s="1" t="str">
        <f>IFERROR(__xludf.DUMMYFUNCTION("""COMPUTED_VALUE"""),"Madam")</f>
        <v>Madam</v>
      </c>
      <c r="Q1572" s="1" t="str">
        <f>IFERROR(__xludf.DUMMYFUNCTION("""COMPUTED_VALUE"""),"No")</f>
        <v>No</v>
      </c>
      <c r="R1572" s="1" t="str">
        <f>IFERROR(__xludf.DUMMYFUNCTION("""COMPUTED_VALUE"""),"NEW WALK IN")</f>
        <v>NEW WALK IN</v>
      </c>
      <c r="S1572" s="1" t="str">
        <f>IFERROR(__xludf.DUMMYFUNCTION("""COMPUTED_VALUE"""),"Yes")</f>
        <v>Yes</v>
      </c>
    </row>
    <row r="1573">
      <c r="A1573" s="2">
        <f>IFERROR(__xludf.DUMMYFUNCTION("""COMPUTED_VALUE"""),45993.53463278935)</f>
        <v>45993.53463</v>
      </c>
      <c r="B1573" s="1" t="str">
        <f>IFERROR(__xludf.DUMMYFUNCTION("""COMPUTED_VALUE"""),"Shivam (fabric) ")</f>
        <v>Shivam (fabric) </v>
      </c>
      <c r="C1573" s="1">
        <f>IFERROR(__xludf.DUMMYFUNCTION("""COMPUTED_VALUE"""),9.891102336E9)</f>
        <v>9891102336</v>
      </c>
      <c r="D1573" s="1">
        <f>IFERROR(__xludf.DUMMYFUNCTION("""COMPUTED_VALUE"""),2.0)</f>
        <v>2</v>
      </c>
      <c r="E1573" s="3">
        <f>IFERROR(__xludf.DUMMYFUNCTION("""COMPUTED_VALUE"""),0.65625)</f>
        <v>0.65625</v>
      </c>
      <c r="F1573" s="1" t="str">
        <f>IFERROR(__xludf.DUMMYFUNCTION("""COMPUTED_VALUE"""),"Silver Items")</f>
        <v>Silver Items</v>
      </c>
      <c r="G1573" s="1"/>
      <c r="H1573" s="1" t="str">
        <f>IFERROR(__xludf.DUMMYFUNCTION("""COMPUTED_VALUE"""),"For kitty and stones")</f>
        <v>For kitty and stones</v>
      </c>
      <c r="I1573" s="1"/>
      <c r="J1573" s="1"/>
      <c r="K1573" s="3">
        <f>IFERROR(__xludf.DUMMYFUNCTION("""COMPUTED_VALUE"""),0.6805555555547471)</f>
        <v>0.6805555556</v>
      </c>
      <c r="L1573" s="1" t="str">
        <f>IFERROR(__xludf.DUMMYFUNCTION("""COMPUTED_VALUE"""),"No")</f>
        <v>No</v>
      </c>
      <c r="M1573" s="1" t="str">
        <f>IFERROR(__xludf.DUMMYFUNCTION("""COMPUTED_VALUE"""),"No")</f>
        <v>No</v>
      </c>
      <c r="N1573" s="1" t="str">
        <f>IFERROR(__xludf.DUMMYFUNCTION("""COMPUTED_VALUE"""),"No")</f>
        <v>No</v>
      </c>
      <c r="O1573" s="1" t="str">
        <f>IFERROR(__xludf.DUMMYFUNCTION("""COMPUTED_VALUE"""),"WA ONLY")</f>
        <v>WA ONLY</v>
      </c>
      <c r="P1573" s="1" t="str">
        <f>IFERROR(__xludf.DUMMYFUNCTION("""COMPUTED_VALUE"""),"Sir")</f>
        <v>Sir</v>
      </c>
      <c r="Q1573" s="1" t="str">
        <f>IFERROR(__xludf.DUMMYFUNCTION("""COMPUTED_VALUE"""),"Yes")</f>
        <v>Yes</v>
      </c>
      <c r="R1573" s="1" t="str">
        <f>IFERROR(__xludf.DUMMYFUNCTION("""COMPUTED_VALUE"""),"OLD")</f>
        <v>OLD</v>
      </c>
      <c r="S1573" s="1" t="str">
        <f>IFERROR(__xludf.DUMMYFUNCTION("""COMPUTED_VALUE"""),"No")</f>
        <v>No</v>
      </c>
    </row>
    <row r="1574">
      <c r="A1574" s="2">
        <f>IFERROR(__xludf.DUMMYFUNCTION("""COMPUTED_VALUE"""),45993.535644166666)</f>
        <v>45993.53564</v>
      </c>
      <c r="B1574" s="1" t="str">
        <f>IFERROR(__xludf.DUMMYFUNCTION("""COMPUTED_VALUE"""),"Nikita ji")</f>
        <v>Nikita ji</v>
      </c>
      <c r="C1574" s="1">
        <f>IFERROR(__xludf.DUMMYFUNCTION("""COMPUTED_VALUE"""),8.826236053E9)</f>
        <v>8826236053</v>
      </c>
      <c r="D1574" s="1">
        <f>IFERROR(__xludf.DUMMYFUNCTION("""COMPUTED_VALUE"""),2.0)</f>
        <v>2</v>
      </c>
      <c r="E1574" s="3">
        <f>IFERROR(__xludf.DUMMYFUNCTION("""COMPUTED_VALUE"""),0.8006944444423425)</f>
        <v>0.8006944444</v>
      </c>
      <c r="F1574" s="1" t="str">
        <f>IFERROR(__xludf.DUMMYFUNCTION("""COMPUTED_VALUE"""),"Plain Gold")</f>
        <v>Plain Gold</v>
      </c>
      <c r="G1574" s="1" t="str">
        <f>IFERROR(__xludf.DUMMYFUNCTION("""COMPUTED_VALUE"""),"Pooja")</f>
        <v>Pooja</v>
      </c>
      <c r="H1574" s="1" t="str">
        <f>IFERROR(__xludf.DUMMYFUNCTION("""COMPUTED_VALUE"""),"Pacheri bangles")</f>
        <v>Pacheri bangles</v>
      </c>
      <c r="I1574" s="1"/>
      <c r="J1574" s="1"/>
      <c r="K1574" s="3">
        <f>IFERROR(__xludf.DUMMYFUNCTION("""COMPUTED_VALUE"""),0.8784722222189885)</f>
        <v>0.8784722222</v>
      </c>
      <c r="L1574" s="1" t="str">
        <f>IFERROR(__xludf.DUMMYFUNCTION("""COMPUTED_VALUE"""),"No")</f>
        <v>No</v>
      </c>
      <c r="M1574" s="1" t="str">
        <f>IFERROR(__xludf.DUMMYFUNCTION("""COMPUTED_VALUE"""),"No")</f>
        <v>No</v>
      </c>
      <c r="N1574" s="1" t="str">
        <f>IFERROR(__xludf.DUMMYFUNCTION("""COMPUTED_VALUE"""),"No")</f>
        <v>No</v>
      </c>
      <c r="O1574" s="1" t="str">
        <f>IFERROR(__xludf.DUMMYFUNCTION("""COMPUTED_VALUE"""),"WA ONLY")</f>
        <v>WA ONLY</v>
      </c>
      <c r="P1574" s="1" t="str">
        <f>IFERROR(__xludf.DUMMYFUNCTION("""COMPUTED_VALUE"""),"Madam")</f>
        <v>Madam</v>
      </c>
      <c r="Q1574" s="1" t="str">
        <f>IFERROR(__xludf.DUMMYFUNCTION("""COMPUTED_VALUE"""),"No")</f>
        <v>No</v>
      </c>
      <c r="R1574" s="1" t="str">
        <f>IFERROR(__xludf.DUMMYFUNCTION("""COMPUTED_VALUE"""),"OLD")</f>
        <v>OLD</v>
      </c>
      <c r="S1574" s="1" t="str">
        <f>IFERROR(__xludf.DUMMYFUNCTION("""COMPUTED_VALUE"""),"Yes")</f>
        <v>Yes</v>
      </c>
    </row>
    <row r="1575">
      <c r="A1575" s="2">
        <f>IFERROR(__xludf.DUMMYFUNCTION("""COMPUTED_VALUE"""),45994.5387303125)</f>
        <v>45994.53873</v>
      </c>
      <c r="B1575" s="1" t="str">
        <f>IFERROR(__xludf.DUMMYFUNCTION("""COMPUTED_VALUE"""),"Dimple khair ji")</f>
        <v>Dimple khair ji</v>
      </c>
      <c r="C1575" s="1">
        <f>IFERROR(__xludf.DUMMYFUNCTION("""COMPUTED_VALUE"""),9.953937777E9)</f>
        <v>9953937777</v>
      </c>
      <c r="D1575" s="1">
        <f>IFERROR(__xludf.DUMMYFUNCTION("""COMPUTED_VALUE"""),1.0)</f>
        <v>1</v>
      </c>
      <c r="E1575" s="3">
        <f>IFERROR(__xludf.DUMMYFUNCTION("""COMPUTED_VALUE"""),0.546527777776646)</f>
        <v>0.5465277778</v>
      </c>
      <c r="F1575" s="1" t="str">
        <f>IFERROR(__xludf.DUMMYFUNCTION("""COMPUTED_VALUE"""),"Plain Gold")</f>
        <v>Plain Gold</v>
      </c>
      <c r="G1575" s="1" t="str">
        <f>IFERROR(__xludf.DUMMYFUNCTION("""COMPUTED_VALUE"""),"Pooja")</f>
        <v>Pooja</v>
      </c>
      <c r="H1575" s="1" t="str">
        <f>IFERROR(__xludf.DUMMYFUNCTION("""COMPUTED_VALUE"""),"One set and returned a bangle")</f>
        <v>One set and returned a bangle</v>
      </c>
      <c r="I1575" s="1"/>
      <c r="J1575" s="1"/>
      <c r="K1575" s="3">
        <f>IFERROR(__xludf.DUMMYFUNCTION("""COMPUTED_VALUE"""),0.5833333333357587)</f>
        <v>0.5833333333</v>
      </c>
      <c r="L1575" s="1" t="str">
        <f>IFERROR(__xludf.DUMMYFUNCTION("""COMPUTED_VALUE"""),"No")</f>
        <v>No</v>
      </c>
      <c r="M1575" s="1" t="str">
        <f>IFERROR(__xludf.DUMMYFUNCTION("""COMPUTED_VALUE"""),"Yes")</f>
        <v>Yes</v>
      </c>
      <c r="N1575" s="1" t="str">
        <f>IFERROR(__xludf.DUMMYFUNCTION("""COMPUTED_VALUE"""),"Yes")</f>
        <v>Yes</v>
      </c>
      <c r="O1575" s="1" t="str">
        <f>IFERROR(__xludf.DUMMYFUNCTION("""COMPUTED_VALUE"""),"WA ONLY")</f>
        <v>WA ONLY</v>
      </c>
      <c r="P1575" s="1" t="str">
        <f>IFERROR(__xludf.DUMMYFUNCTION("""COMPUTED_VALUE"""),"Madam")</f>
        <v>Madam</v>
      </c>
      <c r="Q1575" s="1" t="str">
        <f>IFERROR(__xludf.DUMMYFUNCTION("""COMPUTED_VALUE"""),"No")</f>
        <v>No</v>
      </c>
      <c r="R1575" s="1" t="str">
        <f>IFERROR(__xludf.DUMMYFUNCTION("""COMPUTED_VALUE"""),"OLD")</f>
        <v>OLD</v>
      </c>
      <c r="S1575" s="1" t="str">
        <f>IFERROR(__xludf.DUMMYFUNCTION("""COMPUTED_VALUE"""),"Yes")</f>
        <v>Yes</v>
      </c>
    </row>
    <row r="1576">
      <c r="A1576" s="2">
        <f>IFERROR(__xludf.DUMMYFUNCTION("""COMPUTED_VALUE"""),45994.5396387963)</f>
        <v>45994.53964</v>
      </c>
      <c r="B1576" s="1" t="str">
        <f>IFERROR(__xludf.DUMMYFUNCTION("""COMPUTED_VALUE"""),"Vidhi ji")</f>
        <v>Vidhi ji</v>
      </c>
      <c r="C1576" s="1">
        <f>IFERROR(__xludf.DUMMYFUNCTION("""COMPUTED_VALUE"""),9.582971001E9)</f>
        <v>9582971001</v>
      </c>
      <c r="D1576" s="1">
        <f>IFERROR(__xludf.DUMMYFUNCTION("""COMPUTED_VALUE"""),2.0)</f>
        <v>2</v>
      </c>
      <c r="E1576" s="3">
        <f>IFERROR(__xludf.DUMMYFUNCTION("""COMPUTED_VALUE"""),0.6895833333328483)</f>
        <v>0.6895833333</v>
      </c>
      <c r="F1576" s="1" t="str">
        <f>IFERROR(__xludf.DUMMYFUNCTION("""COMPUTED_VALUE"""),"Diamond")</f>
        <v>Diamond</v>
      </c>
      <c r="G1576" s="1"/>
      <c r="H1576" s="1" t="str">
        <f>IFERROR(__xludf.DUMMYFUNCTION("""COMPUTED_VALUE"""),"Pendent")</f>
        <v>Pendent</v>
      </c>
      <c r="I1576" s="1"/>
      <c r="J1576" s="1"/>
      <c r="K1576" s="3">
        <f>IFERROR(__xludf.DUMMYFUNCTION("""COMPUTED_VALUE"""),0.7847222222189885)</f>
        <v>0.7847222222</v>
      </c>
      <c r="L1576" s="1" t="str">
        <f>IFERROR(__xludf.DUMMYFUNCTION("""COMPUTED_VALUE"""),"Yes")</f>
        <v>Yes</v>
      </c>
      <c r="M1576" s="1" t="str">
        <f>IFERROR(__xludf.DUMMYFUNCTION("""COMPUTED_VALUE"""),"No")</f>
        <v>No</v>
      </c>
      <c r="N1576" s="1" t="str">
        <f>IFERROR(__xludf.DUMMYFUNCTION("""COMPUTED_VALUE"""),"Yes")</f>
        <v>Yes</v>
      </c>
      <c r="O1576" s="1" t="str">
        <f>IFERROR(__xludf.DUMMYFUNCTION("""COMPUTED_VALUE"""),"WA ONLY")</f>
        <v>WA ONLY</v>
      </c>
      <c r="P1576" s="1" t="str">
        <f>IFERROR(__xludf.DUMMYFUNCTION("""COMPUTED_VALUE"""),"Madam")</f>
        <v>Madam</v>
      </c>
      <c r="Q1576" s="1" t="str">
        <f>IFERROR(__xludf.DUMMYFUNCTION("""COMPUTED_VALUE"""),"No")</f>
        <v>No</v>
      </c>
      <c r="R1576" s="1" t="str">
        <f>IFERROR(__xludf.DUMMYFUNCTION("""COMPUTED_VALUE"""),"OLD")</f>
        <v>OLD</v>
      </c>
      <c r="S1576" s="1" t="str">
        <f>IFERROR(__xludf.DUMMYFUNCTION("""COMPUTED_VALUE"""),"Yes")</f>
        <v>Yes</v>
      </c>
    </row>
    <row r="1577">
      <c r="A1577" s="2">
        <f>IFERROR(__xludf.DUMMYFUNCTION("""COMPUTED_VALUE"""),45994.54091196759)</f>
        <v>45994.54091</v>
      </c>
      <c r="B1577" s="1" t="str">
        <f>IFERROR(__xludf.DUMMYFUNCTION("""COMPUTED_VALUE"""),"Shivam (fabric)")</f>
        <v>Shivam (fabric)</v>
      </c>
      <c r="C1577" s="1">
        <f>IFERROR(__xludf.DUMMYFUNCTION("""COMPUTED_VALUE"""),9.891102336E9)</f>
        <v>9891102336</v>
      </c>
      <c r="D1577" s="1">
        <f>IFERROR(__xludf.DUMMYFUNCTION("""COMPUTED_VALUE"""),3.0)</f>
        <v>3</v>
      </c>
      <c r="E1577" s="3">
        <f>IFERROR(__xludf.DUMMYFUNCTION("""COMPUTED_VALUE"""),0.7361111111094942)</f>
        <v>0.7361111111</v>
      </c>
      <c r="F1577" s="1" t="str">
        <f>IFERROR(__xludf.DUMMYFUNCTION("""COMPUTED_VALUE"""),"Silver Items")</f>
        <v>Silver Items</v>
      </c>
      <c r="G1577" s="1"/>
      <c r="H1577" s="1" t="str">
        <f>IFERROR(__xludf.DUMMYFUNCTION("""COMPUTED_VALUE"""),"Silver kadha")</f>
        <v>Silver kadha</v>
      </c>
      <c r="I1577" s="1"/>
      <c r="J1577" s="1"/>
      <c r="K1577" s="3">
        <f>IFERROR(__xludf.DUMMYFUNCTION("""COMPUTED_VALUE"""),0.7819444444467081)</f>
        <v>0.7819444444</v>
      </c>
      <c r="L1577" s="1" t="str">
        <f>IFERROR(__xludf.DUMMYFUNCTION("""COMPUTED_VALUE"""),"Yes")</f>
        <v>Yes</v>
      </c>
      <c r="M1577" s="1" t="str">
        <f>IFERROR(__xludf.DUMMYFUNCTION("""COMPUTED_VALUE"""),"Already done ")</f>
        <v>Already done </v>
      </c>
      <c r="N1577" s="1" t="str">
        <f>IFERROR(__xludf.DUMMYFUNCTION("""COMPUTED_VALUE"""),"Already done ")</f>
        <v>Already done </v>
      </c>
      <c r="O1577" s="1" t="str">
        <f>IFERROR(__xludf.DUMMYFUNCTION("""COMPUTED_VALUE"""),"WA ONLY")</f>
        <v>WA ONLY</v>
      </c>
      <c r="P1577" s="1" t="str">
        <f>IFERROR(__xludf.DUMMYFUNCTION("""COMPUTED_VALUE"""),"Sir")</f>
        <v>Sir</v>
      </c>
      <c r="Q1577" s="1" t="str">
        <f>IFERROR(__xludf.DUMMYFUNCTION("""COMPUTED_VALUE"""),"No")</f>
        <v>No</v>
      </c>
      <c r="R1577" s="1" t="str">
        <f>IFERROR(__xludf.DUMMYFUNCTION("""COMPUTED_VALUE"""),"OLD")</f>
        <v>OLD</v>
      </c>
      <c r="S1577" s="1" t="str">
        <f>IFERROR(__xludf.DUMMYFUNCTION("""COMPUTED_VALUE"""),"Yes")</f>
        <v>Yes</v>
      </c>
    </row>
    <row r="1578">
      <c r="A1578" s="2">
        <f>IFERROR(__xludf.DUMMYFUNCTION("""COMPUTED_VALUE"""),45995.52701430555)</f>
        <v>45995.52701</v>
      </c>
      <c r="B1578" s="1" t="str">
        <f>IFERROR(__xludf.DUMMYFUNCTION("""COMPUTED_VALUE"""),"Pragati ji")</f>
        <v>Pragati ji</v>
      </c>
      <c r="C1578" s="1">
        <f>IFERROR(__xludf.DUMMYFUNCTION("""COMPUTED_VALUE"""),8.375933947E9)</f>
        <v>8375933947</v>
      </c>
      <c r="D1578" s="1">
        <f>IFERROR(__xludf.DUMMYFUNCTION("""COMPUTED_VALUE"""),2.0)</f>
        <v>2</v>
      </c>
      <c r="E1578" s="3">
        <f>IFERROR(__xludf.DUMMYFUNCTION("""COMPUTED_VALUE"""),0.59375)</f>
        <v>0.59375</v>
      </c>
      <c r="F1578" s="1" t="str">
        <f>IFERROR(__xludf.DUMMYFUNCTION("""COMPUTED_VALUE"""),"Plain Gold")</f>
        <v>Plain Gold</v>
      </c>
      <c r="G1578" s="1" t="str">
        <f>IFERROR(__xludf.DUMMYFUNCTION("""COMPUTED_VALUE"""),"Pooja")</f>
        <v>Pooja</v>
      </c>
      <c r="H1578" s="1" t="str">
        <f>IFERROR(__xludf.DUMMYFUNCTION("""COMPUTED_VALUE"""),"Diamond ring")</f>
        <v>Diamond ring</v>
      </c>
      <c r="I1578" s="1" t="str">
        <f>IFERROR(__xludf.DUMMYFUNCTION("""COMPUTED_VALUE"""),"Wanted to have an urgent order we needed atleast 7 days")</f>
        <v>Wanted to have an urgent order we needed atleast 7 days</v>
      </c>
      <c r="J1578" s="1"/>
      <c r="K1578" s="3">
        <f>IFERROR(__xludf.DUMMYFUNCTION("""COMPUTED_VALUE"""),0.625)</f>
        <v>0.625</v>
      </c>
      <c r="L1578" s="1" t="str">
        <f>IFERROR(__xludf.DUMMYFUNCTION("""COMPUTED_VALUE"""),"No")</f>
        <v>No</v>
      </c>
      <c r="M1578" s="1" t="str">
        <f>IFERROR(__xludf.DUMMYFUNCTION("""COMPUTED_VALUE"""),"No")</f>
        <v>No</v>
      </c>
      <c r="N1578" s="1" t="str">
        <f>IFERROR(__xludf.DUMMYFUNCTION("""COMPUTED_VALUE"""),"No")</f>
        <v>No</v>
      </c>
      <c r="O1578" s="1" t="str">
        <f>IFERROR(__xludf.DUMMYFUNCTION("""COMPUTED_VALUE"""),"WA ONLY")</f>
        <v>WA ONLY</v>
      </c>
      <c r="P1578" s="1" t="str">
        <f>IFERROR(__xludf.DUMMYFUNCTION("""COMPUTED_VALUE"""),"Madam")</f>
        <v>Madam</v>
      </c>
      <c r="Q1578" s="1" t="str">
        <f>IFERROR(__xludf.DUMMYFUNCTION("""COMPUTED_VALUE"""),"No")</f>
        <v>No</v>
      </c>
      <c r="R1578" s="1" t="str">
        <f>IFERROR(__xludf.DUMMYFUNCTION("""COMPUTED_VALUE"""),"OLD")</f>
        <v>OLD</v>
      </c>
      <c r="S1578" s="1" t="str">
        <f>IFERROR(__xludf.DUMMYFUNCTION("""COMPUTED_VALUE"""),"No")</f>
        <v>No</v>
      </c>
    </row>
    <row r="1579">
      <c r="A1579" s="2">
        <f>IFERROR(__xludf.DUMMYFUNCTION("""COMPUTED_VALUE"""),45995.52789641204)</f>
        <v>45995.5279</v>
      </c>
      <c r="B1579" s="1" t="str">
        <f>IFERROR(__xludf.DUMMYFUNCTION("""COMPUTED_VALUE"""),"Disha ji")</f>
        <v>Disha ji</v>
      </c>
      <c r="C1579" s="1">
        <f>IFERROR(__xludf.DUMMYFUNCTION("""COMPUTED_VALUE"""),9.818864604E9)</f>
        <v>9818864604</v>
      </c>
      <c r="D1579" s="1">
        <f>IFERROR(__xludf.DUMMYFUNCTION("""COMPUTED_VALUE"""),3.0)</f>
        <v>3</v>
      </c>
      <c r="E1579" s="3">
        <f>IFERROR(__xludf.DUMMYFUNCTION("""COMPUTED_VALUE"""),0.6111111111094942)</f>
        <v>0.6111111111</v>
      </c>
      <c r="F1579" s="1" t="str">
        <f>IFERROR(__xludf.DUMMYFUNCTION("""COMPUTED_VALUE"""),"Plain Gold")</f>
        <v>Plain Gold</v>
      </c>
      <c r="G1579" s="1"/>
      <c r="H1579" s="1" t="str">
        <f>IFERROR(__xludf.DUMMYFUNCTION("""COMPUTED_VALUE"""),"Gold ring")</f>
        <v>Gold ring</v>
      </c>
      <c r="I1579" s="1"/>
      <c r="J1579" s="1"/>
      <c r="K1579" s="3">
        <f>IFERROR(__xludf.DUMMYFUNCTION("""COMPUTED_VALUE"""),0.6534722222204437)</f>
        <v>0.6534722222</v>
      </c>
      <c r="L1579" s="1" t="str">
        <f>IFERROR(__xludf.DUMMYFUNCTION("""COMPUTED_VALUE"""),"No")</f>
        <v>No</v>
      </c>
      <c r="M1579" s="1" t="str">
        <f>IFERROR(__xludf.DUMMYFUNCTION("""COMPUTED_VALUE"""),"Already done ")</f>
        <v>Already done </v>
      </c>
      <c r="N1579" s="1" t="str">
        <f>IFERROR(__xludf.DUMMYFUNCTION("""COMPUTED_VALUE"""),"Already done ")</f>
        <v>Already done </v>
      </c>
      <c r="O1579" s="1" t="str">
        <f>IFERROR(__xludf.DUMMYFUNCTION("""COMPUTED_VALUE"""),"WA ONLY")</f>
        <v>WA ONLY</v>
      </c>
      <c r="P1579" s="1" t="str">
        <f>IFERROR(__xludf.DUMMYFUNCTION("""COMPUTED_VALUE"""),"Madam")</f>
        <v>Madam</v>
      </c>
      <c r="Q1579" s="1" t="str">
        <f>IFERROR(__xludf.DUMMYFUNCTION("""COMPUTED_VALUE"""),"No")</f>
        <v>No</v>
      </c>
      <c r="R1579" s="1" t="str">
        <f>IFERROR(__xludf.DUMMYFUNCTION("""COMPUTED_VALUE"""),"OLD")</f>
        <v>OLD</v>
      </c>
      <c r="S1579" s="1" t="str">
        <f>IFERROR(__xludf.DUMMYFUNCTION("""COMPUTED_VALUE"""),"Yes")</f>
        <v>Yes</v>
      </c>
    </row>
    <row r="1580">
      <c r="A1580" s="2">
        <f>IFERROR(__xludf.DUMMYFUNCTION("""COMPUTED_VALUE"""),45995.52876671296)</f>
        <v>45995.52877</v>
      </c>
      <c r="B1580" s="1" t="str">
        <f>IFERROR(__xludf.DUMMYFUNCTION("""COMPUTED_VALUE"""),"Mukesh ji")</f>
        <v>Mukesh ji</v>
      </c>
      <c r="C1580" s="1">
        <f>IFERROR(__xludf.DUMMYFUNCTION("""COMPUTED_VALUE"""),9.871141433E9)</f>
        <v>9871141433</v>
      </c>
      <c r="D1580" s="1">
        <f>IFERROR(__xludf.DUMMYFUNCTION("""COMPUTED_VALUE"""),1.0)</f>
        <v>1</v>
      </c>
      <c r="E1580" s="3">
        <f>IFERROR(__xludf.DUMMYFUNCTION("""COMPUTED_VALUE"""),0.7638888888905058)</f>
        <v>0.7638888889</v>
      </c>
      <c r="F1580" s="1" t="str">
        <f>IFERROR(__xludf.DUMMYFUNCTION("""COMPUTED_VALUE"""),"Plain Gold")</f>
        <v>Plain Gold</v>
      </c>
      <c r="G1580" s="1" t="str">
        <f>IFERROR(__xludf.DUMMYFUNCTION("""COMPUTED_VALUE"""),"Pooja")</f>
        <v>Pooja</v>
      </c>
      <c r="H1580" s="1" t="str">
        <f>IFERROR(__xludf.DUMMYFUNCTION("""COMPUTED_VALUE"""),"Mmtc gold coin")</f>
        <v>Mmtc gold coin</v>
      </c>
      <c r="I1580" s="1"/>
      <c r="J1580" s="1"/>
      <c r="K1580" s="3">
        <f>IFERROR(__xludf.DUMMYFUNCTION("""COMPUTED_VALUE"""),0.8020833333357587)</f>
        <v>0.8020833333</v>
      </c>
      <c r="L1580" s="1" t="str">
        <f>IFERROR(__xludf.DUMMYFUNCTION("""COMPUTED_VALUE"""),"Yes")</f>
        <v>Yes</v>
      </c>
      <c r="M1580" s="1" t="str">
        <f>IFERROR(__xludf.DUMMYFUNCTION("""COMPUTED_VALUE"""),"Yes")</f>
        <v>Yes</v>
      </c>
      <c r="N1580" s="1" t="str">
        <f>IFERROR(__xludf.DUMMYFUNCTION("""COMPUTED_VALUE"""),"Yes")</f>
        <v>Yes</v>
      </c>
      <c r="O1580" s="1" t="str">
        <f>IFERROR(__xludf.DUMMYFUNCTION("""COMPUTED_VALUE"""),"OWNER CONTACT ONLY")</f>
        <v>OWNER CONTACT ONLY</v>
      </c>
      <c r="P1580" s="1" t="str">
        <f>IFERROR(__xludf.DUMMYFUNCTION("""COMPUTED_VALUE"""),"Sir")</f>
        <v>Sir</v>
      </c>
      <c r="Q1580" s="1" t="str">
        <f>IFERROR(__xludf.DUMMYFUNCTION("""COMPUTED_VALUE"""),"No")</f>
        <v>No</v>
      </c>
      <c r="R1580" s="1" t="str">
        <f>IFERROR(__xludf.DUMMYFUNCTION("""COMPUTED_VALUE"""),"OLD")</f>
        <v>OLD</v>
      </c>
      <c r="S1580" s="1" t="str">
        <f>IFERROR(__xludf.DUMMYFUNCTION("""COMPUTED_VALUE"""),"Yes")</f>
        <v>Yes</v>
      </c>
    </row>
    <row r="1581">
      <c r="A1581" s="2">
        <f>IFERROR(__xludf.DUMMYFUNCTION("""COMPUTED_VALUE"""),45996.53888466435)</f>
        <v>45996.53888</v>
      </c>
      <c r="B1581" s="1" t="str">
        <f>IFERROR(__xludf.DUMMYFUNCTION("""COMPUTED_VALUE"""),"Anju kapoor (canada)")</f>
        <v>Anju kapoor (canada)</v>
      </c>
      <c r="C1581" s="1" t="str">
        <f>IFERROR(__xludf.DUMMYFUNCTION("""COMPUTED_VALUE"""),"+5879838221")</f>
        <v>+5879838221</v>
      </c>
      <c r="D1581" s="1">
        <f>IFERROR(__xludf.DUMMYFUNCTION("""COMPUTED_VALUE"""),2.0)</f>
        <v>2</v>
      </c>
      <c r="E1581" s="3">
        <f>IFERROR(__xludf.DUMMYFUNCTION("""COMPUTED_VALUE"""),0.6666666666642413)</f>
        <v>0.6666666667</v>
      </c>
      <c r="F1581" s="1" t="str">
        <f>IFERROR(__xludf.DUMMYFUNCTION("""COMPUTED_VALUE"""),"Plain Gold")</f>
        <v>Plain Gold</v>
      </c>
      <c r="G1581" s="1" t="str">
        <f>IFERROR(__xludf.DUMMYFUNCTION("""COMPUTED_VALUE"""),"Pooja")</f>
        <v>Pooja</v>
      </c>
      <c r="H1581" s="1" t="str">
        <f>IFERROR(__xludf.DUMMYFUNCTION("""COMPUTED_VALUE"""),"2 gold earrings ")</f>
        <v>2 gold earrings </v>
      </c>
      <c r="I1581" s="1"/>
      <c r="J1581" s="1"/>
      <c r="K1581" s="3">
        <f>IFERROR(__xludf.DUMMYFUNCTION("""COMPUTED_VALUE"""),0.757638888884685)</f>
        <v>0.7576388889</v>
      </c>
      <c r="L1581" s="1" t="str">
        <f>IFERROR(__xludf.DUMMYFUNCTION("""COMPUTED_VALUE"""),"No")</f>
        <v>No</v>
      </c>
      <c r="M1581" s="1" t="str">
        <f>IFERROR(__xludf.DUMMYFUNCTION("""COMPUTED_VALUE"""),"Already done ")</f>
        <v>Already done </v>
      </c>
      <c r="N1581" s="1" t="str">
        <f>IFERROR(__xludf.DUMMYFUNCTION("""COMPUTED_VALUE"""),"Already done ")</f>
        <v>Already done </v>
      </c>
      <c r="O1581" s="1" t="str">
        <f>IFERROR(__xludf.DUMMYFUNCTION("""COMPUTED_VALUE"""),"WA ONLY")</f>
        <v>WA ONLY</v>
      </c>
      <c r="P1581" s="1" t="str">
        <f>IFERROR(__xludf.DUMMYFUNCTION("""COMPUTED_VALUE"""),"Madam")</f>
        <v>Madam</v>
      </c>
      <c r="Q1581" s="1" t="str">
        <f>IFERROR(__xludf.DUMMYFUNCTION("""COMPUTED_VALUE"""),"No")</f>
        <v>No</v>
      </c>
      <c r="R1581" s="1" t="str">
        <f>IFERROR(__xludf.DUMMYFUNCTION("""COMPUTED_VALUE"""),"OLD")</f>
        <v>OLD</v>
      </c>
      <c r="S1581" s="1" t="str">
        <f>IFERROR(__xludf.DUMMYFUNCTION("""COMPUTED_VALUE"""),"Yes")</f>
        <v>Yes</v>
      </c>
    </row>
    <row r="1582">
      <c r="A1582" s="2">
        <f>IFERROR(__xludf.DUMMYFUNCTION("""COMPUTED_VALUE"""),45997.564395532405)</f>
        <v>45997.5644</v>
      </c>
      <c r="B1582" s="1" t="str">
        <f>IFERROR(__xludf.DUMMYFUNCTION("""COMPUTED_VALUE"""),"Jayanti parida ji")</f>
        <v>Jayanti parida ji</v>
      </c>
      <c r="C1582" s="1">
        <f>IFERROR(__xludf.DUMMYFUNCTION("""COMPUTED_VALUE"""),9.810629311E9)</f>
        <v>9810629311</v>
      </c>
      <c r="D1582" s="1">
        <f>IFERROR(__xludf.DUMMYFUNCTION("""COMPUTED_VALUE"""),1.0)</f>
        <v>1</v>
      </c>
      <c r="E1582" s="3">
        <f>IFERROR(__xludf.DUMMYFUNCTION("""COMPUTED_VALUE"""),0.5104166666642413)</f>
        <v>0.5104166667</v>
      </c>
      <c r="F1582" s="1" t="str">
        <f>IFERROR(__xludf.DUMMYFUNCTION("""COMPUTED_VALUE"""),"Diamond")</f>
        <v>Diamond</v>
      </c>
      <c r="G1582" s="1"/>
      <c r="H1582" s="1" t="str">
        <f>IFERROR(__xludf.DUMMYFUNCTION("""COMPUTED_VALUE"""),"Gold antique necklaces ")</f>
        <v>Gold antique necklaces </v>
      </c>
      <c r="I1582" s="1"/>
      <c r="J1582" s="1"/>
      <c r="K1582" s="3">
        <f>IFERROR(__xludf.DUMMYFUNCTION("""COMPUTED_VALUE"""),0.6215277777810115)</f>
        <v>0.6215277778</v>
      </c>
      <c r="L1582" s="1" t="str">
        <f>IFERROR(__xludf.DUMMYFUNCTION("""COMPUTED_VALUE"""),"Yes")</f>
        <v>Yes</v>
      </c>
      <c r="M1582" s="1" t="str">
        <f>IFERROR(__xludf.DUMMYFUNCTION("""COMPUTED_VALUE"""),"Already done ")</f>
        <v>Already done </v>
      </c>
      <c r="N1582" s="1" t="str">
        <f>IFERROR(__xludf.DUMMYFUNCTION("""COMPUTED_VALUE"""),"Yes")</f>
        <v>Yes</v>
      </c>
      <c r="O1582" s="1" t="str">
        <f>IFERROR(__xludf.DUMMYFUNCTION("""COMPUTED_VALUE"""),"WA ONLY")</f>
        <v>WA ONLY</v>
      </c>
      <c r="P1582" s="1" t="str">
        <f>IFERROR(__xludf.DUMMYFUNCTION("""COMPUTED_VALUE"""),"Madam")</f>
        <v>Madam</v>
      </c>
      <c r="Q1582" s="1" t="str">
        <f>IFERROR(__xludf.DUMMYFUNCTION("""COMPUTED_VALUE"""),"No")</f>
        <v>No</v>
      </c>
      <c r="R1582" s="1" t="str">
        <f>IFERROR(__xludf.DUMMYFUNCTION("""COMPUTED_VALUE"""),"OLD")</f>
        <v>OLD</v>
      </c>
      <c r="S1582" s="1" t="str">
        <f>IFERROR(__xludf.DUMMYFUNCTION("""COMPUTED_VALUE"""),"Yes")</f>
        <v>Yes</v>
      </c>
    </row>
    <row r="1583">
      <c r="A1583" s="2">
        <f>IFERROR(__xludf.DUMMYFUNCTION("""COMPUTED_VALUE"""),45997.56563001157)</f>
        <v>45997.56563</v>
      </c>
      <c r="B1583" s="1" t="str">
        <f>IFERROR(__xludf.DUMMYFUNCTION("""COMPUTED_VALUE"""),"Harsh kharbanda ji")</f>
        <v>Harsh kharbanda ji</v>
      </c>
      <c r="C1583" s="1">
        <f>IFERROR(__xludf.DUMMYFUNCTION("""COMPUTED_VALUE"""),8.860930737E9)</f>
        <v>8860930737</v>
      </c>
      <c r="D1583" s="1">
        <f>IFERROR(__xludf.DUMMYFUNCTION("""COMPUTED_VALUE"""),2.0)</f>
        <v>2</v>
      </c>
      <c r="E1583" s="3">
        <f>IFERROR(__xludf.DUMMYFUNCTION("""COMPUTED_VALUE"""),0.6840277777810115)</f>
        <v>0.6840277778</v>
      </c>
      <c r="F1583" s="1" t="str">
        <f>IFERROR(__xludf.DUMMYFUNCTION("""COMPUTED_VALUE"""),"Plain Gold")</f>
        <v>Plain Gold</v>
      </c>
      <c r="G1583" s="1"/>
      <c r="H1583" s="1" t="str">
        <f>IFERROR(__xludf.DUMMYFUNCTION("""COMPUTED_VALUE"""),"Mmtc 1 gm gold coin")</f>
        <v>Mmtc 1 gm gold coin</v>
      </c>
      <c r="I1583" s="1" t="str">
        <f>IFERROR(__xludf.DUMMYFUNCTION("""COMPUTED_VALUE"""),"Found the price a lot")</f>
        <v>Found the price a lot</v>
      </c>
      <c r="J1583" s="1"/>
      <c r="K1583" s="3">
        <f>IFERROR(__xludf.DUMMYFUNCTION("""COMPUTED_VALUE"""),0.6888888888934162)</f>
        <v>0.6888888889</v>
      </c>
      <c r="L1583" s="1" t="str">
        <f>IFERROR(__xludf.DUMMYFUNCTION("""COMPUTED_VALUE"""),"No")</f>
        <v>No</v>
      </c>
      <c r="M1583" s="1" t="str">
        <f>IFERROR(__xludf.DUMMYFUNCTION("""COMPUTED_VALUE"""),"No")</f>
        <v>No</v>
      </c>
      <c r="N1583" s="1" t="str">
        <f>IFERROR(__xludf.DUMMYFUNCTION("""COMPUTED_VALUE"""),"No")</f>
        <v>No</v>
      </c>
      <c r="O1583" s="1" t="str">
        <f>IFERROR(__xludf.DUMMYFUNCTION("""COMPUTED_VALUE"""),"WA ONLY")</f>
        <v>WA ONLY</v>
      </c>
      <c r="P1583" s="1" t="str">
        <f>IFERROR(__xludf.DUMMYFUNCTION("""COMPUTED_VALUE"""),"Sir")</f>
        <v>Sir</v>
      </c>
      <c r="Q1583" s="1" t="str">
        <f>IFERROR(__xludf.DUMMYFUNCTION("""COMPUTED_VALUE"""),"No")</f>
        <v>No</v>
      </c>
      <c r="R1583" s="1" t="str">
        <f>IFERROR(__xludf.DUMMYFUNCTION("""COMPUTED_VALUE"""),"NEW WALK IN")</f>
        <v>NEW WALK IN</v>
      </c>
      <c r="S1583" s="1" t="str">
        <f>IFERROR(__xludf.DUMMYFUNCTION("""COMPUTED_VALUE"""),"No")</f>
        <v>No</v>
      </c>
    </row>
    <row r="1584">
      <c r="A1584" s="2">
        <f>IFERROR(__xludf.DUMMYFUNCTION("""COMPUTED_VALUE"""),45998.5282353125)</f>
        <v>45998.52824</v>
      </c>
      <c r="B1584" s="1" t="str">
        <f>IFERROR(__xludf.DUMMYFUNCTION("""COMPUTED_VALUE"""),"Sudha ji")</f>
        <v>Sudha ji</v>
      </c>
      <c r="C1584" s="1" t="str">
        <f>IFERROR(__xludf.DUMMYFUNCTION("""COMPUTED_VALUE"""),"+61432558847")</f>
        <v>+61432558847</v>
      </c>
      <c r="D1584" s="1">
        <f>IFERROR(__xludf.DUMMYFUNCTION("""COMPUTED_VALUE"""),2.0)</f>
        <v>2</v>
      </c>
      <c r="E1584" s="3">
        <f>IFERROR(__xludf.DUMMYFUNCTION("""COMPUTED_VALUE"""),0.5729166666642413)</f>
        <v>0.5729166667</v>
      </c>
      <c r="F1584" s="1" t="str">
        <f>IFERROR(__xludf.DUMMYFUNCTION("""COMPUTED_VALUE"""),"Silver Items")</f>
        <v>Silver Items</v>
      </c>
      <c r="G1584" s="1"/>
      <c r="H1584" s="1" t="str">
        <f>IFERROR(__xludf.DUMMYFUNCTION("""COMPUTED_VALUE"""),"Bangles")</f>
        <v>Bangles</v>
      </c>
      <c r="I1584" s="1" t="str">
        <f>IFERROR(__xludf.DUMMYFUNCTION("""COMPUTED_VALUE"""),"Gave an order")</f>
        <v>Gave an order</v>
      </c>
      <c r="J1584" s="1"/>
      <c r="K1584" s="3">
        <f>IFERROR(__xludf.DUMMYFUNCTION("""COMPUTED_VALUE"""),0.71875)</f>
        <v>0.71875</v>
      </c>
      <c r="L1584" s="1" t="str">
        <f>IFERROR(__xludf.DUMMYFUNCTION("""COMPUTED_VALUE"""),"No")</f>
        <v>No</v>
      </c>
      <c r="M1584" s="1" t="str">
        <f>IFERROR(__xludf.DUMMYFUNCTION("""COMPUTED_VALUE"""),"Yes")</f>
        <v>Yes</v>
      </c>
      <c r="N1584" s="1" t="str">
        <f>IFERROR(__xludf.DUMMYFUNCTION("""COMPUTED_VALUE"""),"No")</f>
        <v>No</v>
      </c>
      <c r="O1584" s="1" t="str">
        <f>IFERROR(__xludf.DUMMYFUNCTION("""COMPUTED_VALUE"""),"WA ONLY")</f>
        <v>WA ONLY</v>
      </c>
      <c r="P1584" s="1" t="str">
        <f>IFERROR(__xludf.DUMMYFUNCTION("""COMPUTED_VALUE"""),"Madam")</f>
        <v>Madam</v>
      </c>
      <c r="Q1584" s="1" t="str">
        <f>IFERROR(__xludf.DUMMYFUNCTION("""COMPUTED_VALUE"""),"No")</f>
        <v>No</v>
      </c>
      <c r="R1584" s="1" t="str">
        <f>IFERROR(__xludf.DUMMYFUNCTION("""COMPUTED_VALUE"""),"OLD")</f>
        <v>OLD</v>
      </c>
      <c r="S1584" s="1" t="str">
        <f>IFERROR(__xludf.DUMMYFUNCTION("""COMPUTED_VALUE"""),"No")</f>
        <v>No</v>
      </c>
    </row>
    <row r="1585">
      <c r="A1585" s="2">
        <f>IFERROR(__xludf.DUMMYFUNCTION("""COMPUTED_VALUE"""),45998.535506851855)</f>
        <v>45998.53551</v>
      </c>
      <c r="B1585" s="1" t="str">
        <f>IFERROR(__xludf.DUMMYFUNCTION("""COMPUTED_VALUE"""),"Mehtab ji")</f>
        <v>Mehtab ji</v>
      </c>
      <c r="C1585" s="1">
        <f>IFERROR(__xludf.DUMMYFUNCTION("""COMPUTED_VALUE"""),8.794449636E9)</f>
        <v>8794449636</v>
      </c>
      <c r="D1585" s="1">
        <f>IFERROR(__xludf.DUMMYFUNCTION("""COMPUTED_VALUE"""),1.0)</f>
        <v>1</v>
      </c>
      <c r="E1585" s="3">
        <f>IFERROR(__xludf.DUMMYFUNCTION("""COMPUTED_VALUE"""),0.6180555555547471)</f>
        <v>0.6180555556</v>
      </c>
      <c r="F1585" s="1" t="str">
        <f>IFERROR(__xludf.DUMMYFUNCTION("""COMPUTED_VALUE"""),"Plain Gold")</f>
        <v>Plain Gold</v>
      </c>
      <c r="G1585" s="1"/>
      <c r="H1585" s="1" t="str">
        <f>IFERROR(__xludf.DUMMYFUNCTION("""COMPUTED_VALUE"""),"Gold ring")</f>
        <v>Gold ring</v>
      </c>
      <c r="I1585" s="1"/>
      <c r="J1585" s="1"/>
      <c r="K1585" s="3">
        <f>IFERROR(__xludf.DUMMYFUNCTION("""COMPUTED_VALUE"""),0.6354166666642413)</f>
        <v>0.6354166667</v>
      </c>
      <c r="L1585" s="1" t="str">
        <f>IFERROR(__xludf.DUMMYFUNCTION("""COMPUTED_VALUE"""),"No")</f>
        <v>No</v>
      </c>
      <c r="M1585" s="1" t="str">
        <f>IFERROR(__xludf.DUMMYFUNCTION("""COMPUTED_VALUE"""),"No")</f>
        <v>No</v>
      </c>
      <c r="N1585" s="1" t="str">
        <f>IFERROR(__xludf.DUMMYFUNCTION("""COMPUTED_VALUE"""),"No")</f>
        <v>No</v>
      </c>
      <c r="O1585" s="1" t="str">
        <f>IFERROR(__xludf.DUMMYFUNCTION("""COMPUTED_VALUE"""),"WA ONLY")</f>
        <v>WA ONLY</v>
      </c>
      <c r="P1585" s="1" t="str">
        <f>IFERROR(__xludf.DUMMYFUNCTION("""COMPUTED_VALUE"""),"Sir")</f>
        <v>Sir</v>
      </c>
      <c r="Q1585" s="1" t="str">
        <f>IFERROR(__xludf.DUMMYFUNCTION("""COMPUTED_VALUE"""),"No")</f>
        <v>No</v>
      </c>
      <c r="R1585" s="1" t="str">
        <f>IFERROR(__xludf.DUMMYFUNCTION("""COMPUTED_VALUE"""),"NEW WALK IN")</f>
        <v>NEW WALK IN</v>
      </c>
      <c r="S1585" s="1" t="str">
        <f>IFERROR(__xludf.DUMMYFUNCTION("""COMPUTED_VALUE"""),"No")</f>
        <v>No</v>
      </c>
    </row>
    <row r="1586">
      <c r="A1586" s="2">
        <f>IFERROR(__xludf.DUMMYFUNCTION("""COMPUTED_VALUE"""),45998.53819690972)</f>
        <v>45998.5382</v>
      </c>
      <c r="B1586" s="1" t="str">
        <f>IFERROR(__xludf.DUMMYFUNCTION("""COMPUTED_VALUE"""),"Shweta pandey ji")</f>
        <v>Shweta pandey ji</v>
      </c>
      <c r="C1586" s="1">
        <f>IFERROR(__xludf.DUMMYFUNCTION("""COMPUTED_VALUE"""),8.0705103E9)</f>
        <v>8070510300</v>
      </c>
      <c r="D1586" s="1">
        <f>IFERROR(__xludf.DUMMYFUNCTION("""COMPUTED_VALUE"""),4.0)</f>
        <v>4</v>
      </c>
      <c r="E1586" s="3">
        <f>IFERROR(__xludf.DUMMYFUNCTION("""COMPUTED_VALUE"""),0.7881944444452529)</f>
        <v>0.7881944444</v>
      </c>
      <c r="F1586" s="1" t="str">
        <f>IFERROR(__xludf.DUMMYFUNCTION("""COMPUTED_VALUE"""),"Silver Items")</f>
        <v>Silver Items</v>
      </c>
      <c r="G1586" s="1"/>
      <c r="H1586" s="1" t="str">
        <f>IFERROR(__xludf.DUMMYFUNCTION("""COMPUTED_VALUE"""),"Silver set")</f>
        <v>Silver set</v>
      </c>
      <c r="I1586" s="1" t="str">
        <f>IFERROR(__xludf.DUMMYFUNCTION("""COMPUTED_VALUE"""),"Will make their mind first")</f>
        <v>Will make their mind first</v>
      </c>
      <c r="J1586" s="1"/>
      <c r="K1586" s="3">
        <f>IFERROR(__xludf.DUMMYFUNCTION("""COMPUTED_VALUE"""),0.8062500000014552)</f>
        <v>0.80625</v>
      </c>
      <c r="L1586" s="1" t="str">
        <f>IFERROR(__xludf.DUMMYFUNCTION("""COMPUTED_VALUE"""),"Yes")</f>
        <v>Yes</v>
      </c>
      <c r="M1586" s="1" t="str">
        <f>IFERROR(__xludf.DUMMYFUNCTION("""COMPUTED_VALUE"""),"No")</f>
        <v>No</v>
      </c>
      <c r="N1586" s="1" t="str">
        <f>IFERROR(__xludf.DUMMYFUNCTION("""COMPUTED_VALUE"""),"No")</f>
        <v>No</v>
      </c>
      <c r="O1586" s="1" t="str">
        <f>IFERROR(__xludf.DUMMYFUNCTION("""COMPUTED_VALUE"""),"WA ONLY")</f>
        <v>WA ONLY</v>
      </c>
      <c r="P1586" s="1" t="str">
        <f>IFERROR(__xludf.DUMMYFUNCTION("""COMPUTED_VALUE"""),"Madam")</f>
        <v>Madam</v>
      </c>
      <c r="Q1586" s="1" t="str">
        <f>IFERROR(__xludf.DUMMYFUNCTION("""COMPUTED_VALUE"""),"No")</f>
        <v>No</v>
      </c>
      <c r="R1586" s="1" t="str">
        <f>IFERROR(__xludf.DUMMYFUNCTION("""COMPUTED_VALUE"""),"OLD")</f>
        <v>OLD</v>
      </c>
      <c r="S1586" s="1" t="str">
        <f>IFERROR(__xludf.DUMMYFUNCTION("""COMPUTED_VALUE"""),"No")</f>
        <v>No</v>
      </c>
    </row>
    <row r="1587">
      <c r="A1587" s="2">
        <f>IFERROR(__xludf.DUMMYFUNCTION("""COMPUTED_VALUE"""),45998.539722939815)</f>
        <v>45998.53972</v>
      </c>
      <c r="B1587" s="1" t="str">
        <f>IFERROR(__xludf.DUMMYFUNCTION("""COMPUTED_VALUE"""),"Mini sachdeva mam")</f>
        <v>Mini sachdeva mam</v>
      </c>
      <c r="C1587" s="1">
        <f>IFERROR(__xludf.DUMMYFUNCTION("""COMPUTED_VALUE"""),9.910797272E9)</f>
        <v>9910797272</v>
      </c>
      <c r="D1587" s="1">
        <f>IFERROR(__xludf.DUMMYFUNCTION("""COMPUTED_VALUE"""),2.0)</f>
        <v>2</v>
      </c>
      <c r="E1587" s="3">
        <f>IFERROR(__xludf.DUMMYFUNCTION("""COMPUTED_VALUE"""),0.7708333333357587)</f>
        <v>0.7708333333</v>
      </c>
      <c r="F1587" s="1" t="str">
        <f>IFERROR(__xludf.DUMMYFUNCTION("""COMPUTED_VALUE"""),"Plain Gold")</f>
        <v>Plain Gold</v>
      </c>
      <c r="G1587" s="1"/>
      <c r="H1587" s="1" t="str">
        <f>IFERROR(__xludf.DUMMYFUNCTION("""COMPUTED_VALUE"""),"Antique chic patti")</f>
        <v>Antique chic patti</v>
      </c>
      <c r="I1587" s="1"/>
      <c r="J1587" s="1"/>
      <c r="K1587" s="3">
        <f>IFERROR(__xludf.DUMMYFUNCTION("""COMPUTED_VALUE"""),0.8125)</f>
        <v>0.8125</v>
      </c>
      <c r="L1587" s="1" t="str">
        <f>IFERROR(__xludf.DUMMYFUNCTION("""COMPUTED_VALUE"""),"No")</f>
        <v>No</v>
      </c>
      <c r="M1587" s="1" t="str">
        <f>IFERROR(__xludf.DUMMYFUNCTION("""COMPUTED_VALUE"""),"Already done ")</f>
        <v>Already done </v>
      </c>
      <c r="N1587" s="1" t="str">
        <f>IFERROR(__xludf.DUMMYFUNCTION("""COMPUTED_VALUE"""),"Already done ")</f>
        <v>Already done </v>
      </c>
      <c r="O1587" s="1" t="str">
        <f>IFERROR(__xludf.DUMMYFUNCTION("""COMPUTED_VALUE"""),"WA ONLY")</f>
        <v>WA ONLY</v>
      </c>
      <c r="P1587" s="1" t="str">
        <f>IFERROR(__xludf.DUMMYFUNCTION("""COMPUTED_VALUE"""),"Madam")</f>
        <v>Madam</v>
      </c>
      <c r="Q1587" s="1" t="str">
        <f>IFERROR(__xludf.DUMMYFUNCTION("""COMPUTED_VALUE"""),"No")</f>
        <v>No</v>
      </c>
      <c r="R1587" s="1" t="str">
        <f>IFERROR(__xludf.DUMMYFUNCTION("""COMPUTED_VALUE"""),"OLD")</f>
        <v>OLD</v>
      </c>
      <c r="S1587" s="1" t="str">
        <f>IFERROR(__xludf.DUMMYFUNCTION("""COMPUTED_VALUE"""),"Yes")</f>
        <v>Yes</v>
      </c>
    </row>
    <row r="1588">
      <c r="A1588" s="2">
        <f>IFERROR(__xludf.DUMMYFUNCTION("""COMPUTED_VALUE"""),45998.54074229166)</f>
        <v>45998.54074</v>
      </c>
      <c r="B1588" s="1" t="str">
        <f>IFERROR(__xludf.DUMMYFUNCTION("""COMPUTED_VALUE"""),"Tanu gupta ji")</f>
        <v>Tanu gupta ji</v>
      </c>
      <c r="C1588" s="1">
        <f>IFERROR(__xludf.DUMMYFUNCTION("""COMPUTED_VALUE"""),8.586925507E9)</f>
        <v>8586925507</v>
      </c>
      <c r="D1588" s="1">
        <f>IFERROR(__xludf.DUMMYFUNCTION("""COMPUTED_VALUE"""),2.0)</f>
        <v>2</v>
      </c>
      <c r="E1588" s="3">
        <f>IFERROR(__xludf.DUMMYFUNCTION("""COMPUTED_VALUE"""),0.8090277777810115)</f>
        <v>0.8090277778</v>
      </c>
      <c r="F1588" s="1" t="str">
        <f>IFERROR(__xludf.DUMMYFUNCTION("""COMPUTED_VALUE"""),"Diamond")</f>
        <v>Diamond</v>
      </c>
      <c r="G1588" s="1"/>
      <c r="H1588" s="1" t="str">
        <f>IFERROR(__xludf.DUMMYFUNCTION("""COMPUTED_VALUE"""),"Diamond sets")</f>
        <v>Diamond sets</v>
      </c>
      <c r="I1588" s="1"/>
      <c r="J1588" s="1"/>
      <c r="K1588" s="3">
        <f>IFERROR(__xludf.DUMMYFUNCTION("""COMPUTED_VALUE"""),0.8229166666642413)</f>
        <v>0.8229166667</v>
      </c>
      <c r="L1588" s="1" t="str">
        <f>IFERROR(__xludf.DUMMYFUNCTION("""COMPUTED_VALUE"""),"No")</f>
        <v>No</v>
      </c>
      <c r="M1588" s="1" t="str">
        <f>IFERROR(__xludf.DUMMYFUNCTION("""COMPUTED_VALUE"""),"No")</f>
        <v>No</v>
      </c>
      <c r="N1588" s="1" t="str">
        <f>IFERROR(__xludf.DUMMYFUNCTION("""COMPUTED_VALUE"""),"No")</f>
        <v>No</v>
      </c>
      <c r="O1588" s="1" t="str">
        <f>IFERROR(__xludf.DUMMYFUNCTION("""COMPUTED_VALUE"""),"WA ONLY")</f>
        <v>WA ONLY</v>
      </c>
      <c r="P1588" s="1" t="str">
        <f>IFERROR(__xludf.DUMMYFUNCTION("""COMPUTED_VALUE"""),"Madam")</f>
        <v>Madam</v>
      </c>
      <c r="Q1588" s="1" t="str">
        <f>IFERROR(__xludf.DUMMYFUNCTION("""COMPUTED_VALUE"""),"No")</f>
        <v>No</v>
      </c>
      <c r="R1588" s="1" t="str">
        <f>IFERROR(__xludf.DUMMYFUNCTION("""COMPUTED_VALUE"""),"NEW WALK IN")</f>
        <v>NEW WALK IN</v>
      </c>
      <c r="S1588" s="1" t="str">
        <f>IFERROR(__xludf.DUMMYFUNCTION("""COMPUTED_VALUE"""),"No")</f>
        <v>No</v>
      </c>
    </row>
    <row r="1589">
      <c r="A1589" s="2">
        <f>IFERROR(__xludf.DUMMYFUNCTION("""COMPUTED_VALUE"""),46000.575655347224)</f>
        <v>46000.57566</v>
      </c>
      <c r="B1589" s="1" t="str">
        <f>IFERROR(__xludf.DUMMYFUNCTION("""COMPUTED_VALUE"""),"Shubham singh ji")</f>
        <v>Shubham singh ji</v>
      </c>
      <c r="C1589" s="1">
        <f>IFERROR(__xludf.DUMMYFUNCTION("""COMPUTED_VALUE"""),8.8529798E9)</f>
        <v>8852979800</v>
      </c>
      <c r="D1589" s="1">
        <f>IFERROR(__xludf.DUMMYFUNCTION("""COMPUTED_VALUE"""),6.0)</f>
        <v>6</v>
      </c>
      <c r="E1589" s="3">
        <f>IFERROR(__xludf.DUMMYFUNCTION("""COMPUTED_VALUE"""),0.5374999999985448)</f>
        <v>0.5375</v>
      </c>
      <c r="F1589" s="1" t="str">
        <f>IFERROR(__xludf.DUMMYFUNCTION("""COMPUTED_VALUE"""),"Plain Gold")</f>
        <v>Plain Gold</v>
      </c>
      <c r="G1589" s="1" t="str">
        <f>IFERROR(__xludf.DUMMYFUNCTION("""COMPUTED_VALUE"""),"Pooja")</f>
        <v>Pooja</v>
      </c>
      <c r="H1589" s="1" t="str">
        <f>IFERROR(__xludf.DUMMYFUNCTION("""COMPUTED_VALUE"""),"Maangteeka mangalsutra ")</f>
        <v>Maangteeka mangalsutra </v>
      </c>
      <c r="I1589" s="1"/>
      <c r="J1589" s="1"/>
      <c r="K1589" s="3">
        <f>IFERROR(__xludf.DUMMYFUNCTION("""COMPUTED_VALUE"""),0.75)</f>
        <v>0.75</v>
      </c>
      <c r="L1589" s="1" t="str">
        <f>IFERROR(__xludf.DUMMYFUNCTION("""COMPUTED_VALUE"""),"Yes")</f>
        <v>Yes</v>
      </c>
      <c r="M1589" s="1" t="str">
        <f>IFERROR(__xludf.DUMMYFUNCTION("""COMPUTED_VALUE"""),"Yes")</f>
        <v>Yes</v>
      </c>
      <c r="N1589" s="1" t="str">
        <f>IFERROR(__xludf.DUMMYFUNCTION("""COMPUTED_VALUE"""),"Yes")</f>
        <v>Yes</v>
      </c>
      <c r="O1589" s="1" t="str">
        <f>IFERROR(__xludf.DUMMYFUNCTION("""COMPUTED_VALUE"""),"WA ONLY")</f>
        <v>WA ONLY</v>
      </c>
      <c r="P1589" s="1" t="str">
        <f>IFERROR(__xludf.DUMMYFUNCTION("""COMPUTED_VALUE"""),"Sir")</f>
        <v>Sir</v>
      </c>
      <c r="Q1589" s="1" t="str">
        <f>IFERROR(__xludf.DUMMYFUNCTION("""COMPUTED_VALUE"""),"No")</f>
        <v>No</v>
      </c>
      <c r="R1589" s="1" t="str">
        <f>IFERROR(__xludf.DUMMYFUNCTION("""COMPUTED_VALUE"""),"NEW WALK IN")</f>
        <v>NEW WALK IN</v>
      </c>
      <c r="S1589" s="1" t="str">
        <f>IFERROR(__xludf.DUMMYFUNCTION("""COMPUTED_VALUE"""),"Yes")</f>
        <v>Yes</v>
      </c>
    </row>
    <row r="1590">
      <c r="A1590" s="2">
        <f>IFERROR(__xludf.DUMMYFUNCTION("""COMPUTED_VALUE"""),46000.57691263889)</f>
        <v>46000.57691</v>
      </c>
      <c r="B1590" s="1" t="str">
        <f>IFERROR(__xludf.DUMMYFUNCTION("""COMPUTED_VALUE"""),"Kiran yadav ji")</f>
        <v>Kiran yadav ji</v>
      </c>
      <c r="C1590" s="1">
        <f>IFERROR(__xludf.DUMMYFUNCTION("""COMPUTED_VALUE"""),9.65405999E9)</f>
        <v>9654059990</v>
      </c>
      <c r="D1590" s="1">
        <f>IFERROR(__xludf.DUMMYFUNCTION("""COMPUTED_VALUE"""),3.0)</f>
        <v>3</v>
      </c>
      <c r="E1590" s="3">
        <f>IFERROR(__xludf.DUMMYFUNCTION("""COMPUTED_VALUE"""),0.5520833333357587)</f>
        <v>0.5520833333</v>
      </c>
      <c r="F1590" s="1" t="str">
        <f>IFERROR(__xludf.DUMMYFUNCTION("""COMPUTED_VALUE"""),"Diamond")</f>
        <v>Diamond</v>
      </c>
      <c r="G1590" s="1"/>
      <c r="H1590" s="1" t="str">
        <f>IFERROR(__xludf.DUMMYFUNCTION("""COMPUTED_VALUE"""),"Gold chain (male)")</f>
        <v>Gold chain (male)</v>
      </c>
      <c r="I1590" s="1" t="str">
        <f>IFERROR(__xludf.DUMMYFUNCTION("""COMPUTED_VALUE"""),"Visit Again in 1 Month")</f>
        <v>Visit Again in 1 Month</v>
      </c>
      <c r="J1590" s="1"/>
      <c r="K1590" s="3">
        <f>IFERROR(__xludf.DUMMYFUNCTION("""COMPUTED_VALUE"""),0.6118055555562023)</f>
        <v>0.6118055556</v>
      </c>
      <c r="L1590" s="1" t="str">
        <f>IFERROR(__xludf.DUMMYFUNCTION("""COMPUTED_VALUE"""),"Yes")</f>
        <v>Yes</v>
      </c>
      <c r="M1590" s="1" t="str">
        <f>IFERROR(__xludf.DUMMYFUNCTION("""COMPUTED_VALUE"""),"No")</f>
        <v>No</v>
      </c>
      <c r="N1590" s="1" t="str">
        <f>IFERROR(__xludf.DUMMYFUNCTION("""COMPUTED_VALUE"""),"No")</f>
        <v>No</v>
      </c>
      <c r="O1590" s="1" t="str">
        <f>IFERROR(__xludf.DUMMYFUNCTION("""COMPUTED_VALUE"""),"WA ONLY")</f>
        <v>WA ONLY</v>
      </c>
      <c r="P1590" s="1" t="str">
        <f>IFERROR(__xludf.DUMMYFUNCTION("""COMPUTED_VALUE"""),"Madam")</f>
        <v>Madam</v>
      </c>
      <c r="Q1590" s="1" t="str">
        <f>IFERROR(__xludf.DUMMYFUNCTION("""COMPUTED_VALUE"""),"No")</f>
        <v>No</v>
      </c>
      <c r="R1590" s="1" t="str">
        <f>IFERROR(__xludf.DUMMYFUNCTION("""COMPUTED_VALUE"""),"NEW WALK IN")</f>
        <v>NEW WALK IN</v>
      </c>
      <c r="S1590" s="1" t="str">
        <f>IFERROR(__xludf.DUMMYFUNCTION("""COMPUTED_VALUE"""),"No")</f>
        <v>No</v>
      </c>
    </row>
    <row r="1591">
      <c r="A1591" s="2">
        <f>IFERROR(__xludf.DUMMYFUNCTION("""COMPUTED_VALUE"""),46000.57814347222)</f>
        <v>46000.57814</v>
      </c>
      <c r="B1591" s="1" t="str">
        <f>IFERROR(__xludf.DUMMYFUNCTION("""COMPUTED_VALUE"""),"Nikhil kumar ji")</f>
        <v>Nikhil kumar ji</v>
      </c>
      <c r="C1591" s="1">
        <f>IFERROR(__xludf.DUMMYFUNCTION("""COMPUTED_VALUE"""),9.899074822E9)</f>
        <v>9899074822</v>
      </c>
      <c r="D1591" s="1">
        <f>IFERROR(__xludf.DUMMYFUNCTION("""COMPUTED_VALUE"""),4.0)</f>
        <v>4</v>
      </c>
      <c r="E1591" s="3">
        <f>IFERROR(__xludf.DUMMYFUNCTION("""COMPUTED_VALUE"""),0.5798611111094942)</f>
        <v>0.5798611111</v>
      </c>
      <c r="F1591" s="1" t="str">
        <f>IFERROR(__xludf.DUMMYFUNCTION("""COMPUTED_VALUE"""),"Plain Gold")</f>
        <v>Plain Gold</v>
      </c>
      <c r="G1591" s="1"/>
      <c r="H1591" s="1" t="str">
        <f>IFERROR(__xludf.DUMMYFUNCTION("""COMPUTED_VALUE"""),"Gold jhumki")</f>
        <v>Gold jhumki</v>
      </c>
      <c r="I1591" s="1" t="str">
        <f>IFERROR(__xludf.DUMMYFUNCTION("""COMPUTED_VALUE"""),"They're looking for less weight due to budget")</f>
        <v>They're looking for less weight due to budget</v>
      </c>
      <c r="J1591" s="1"/>
      <c r="K1591" s="3">
        <f>IFERROR(__xludf.DUMMYFUNCTION("""COMPUTED_VALUE"""),0.6041666666642413)</f>
        <v>0.6041666667</v>
      </c>
      <c r="L1591" s="1" t="str">
        <f>IFERROR(__xludf.DUMMYFUNCTION("""COMPUTED_VALUE"""),"Yes")</f>
        <v>Yes</v>
      </c>
      <c r="M1591" s="1" t="str">
        <f>IFERROR(__xludf.DUMMYFUNCTION("""COMPUTED_VALUE"""),"No")</f>
        <v>No</v>
      </c>
      <c r="N1591" s="1" t="str">
        <f>IFERROR(__xludf.DUMMYFUNCTION("""COMPUTED_VALUE"""),"No")</f>
        <v>No</v>
      </c>
      <c r="O1591" s="1" t="str">
        <f>IFERROR(__xludf.DUMMYFUNCTION("""COMPUTED_VALUE"""),"WA ONLY")</f>
        <v>WA ONLY</v>
      </c>
      <c r="P1591" s="1" t="str">
        <f>IFERROR(__xludf.DUMMYFUNCTION("""COMPUTED_VALUE"""),"Sir")</f>
        <v>Sir</v>
      </c>
      <c r="Q1591" s="1" t="str">
        <f>IFERROR(__xludf.DUMMYFUNCTION("""COMPUTED_VALUE"""),"No")</f>
        <v>No</v>
      </c>
      <c r="R1591" s="1" t="str">
        <f>IFERROR(__xludf.DUMMYFUNCTION("""COMPUTED_VALUE"""),"NEW WALK IN")</f>
        <v>NEW WALK IN</v>
      </c>
      <c r="S1591" s="1" t="str">
        <f>IFERROR(__xludf.DUMMYFUNCTION("""COMPUTED_VALUE"""),"No")</f>
        <v>No</v>
      </c>
    </row>
    <row r="1592">
      <c r="A1592" s="2">
        <f>IFERROR(__xludf.DUMMYFUNCTION("""COMPUTED_VALUE"""),46000.57930179399)</f>
        <v>46000.5793</v>
      </c>
      <c r="B1592" s="1" t="str">
        <f>IFERROR(__xludf.DUMMYFUNCTION("""COMPUTED_VALUE"""),"Asim ji (jammu)")</f>
        <v>Asim ji (jammu)</v>
      </c>
      <c r="C1592" s="1">
        <f>IFERROR(__xludf.DUMMYFUNCTION("""COMPUTED_VALUE"""),9.622499867E9)</f>
        <v>9622499867</v>
      </c>
      <c r="D1592" s="1">
        <f>IFERROR(__xludf.DUMMYFUNCTION("""COMPUTED_VALUE"""),2.0)</f>
        <v>2</v>
      </c>
      <c r="E1592" s="3">
        <f>IFERROR(__xludf.DUMMYFUNCTION("""COMPUTED_VALUE"""),0.6666666666642413)</f>
        <v>0.6666666667</v>
      </c>
      <c r="F1592" s="1" t="str">
        <f>IFERROR(__xludf.DUMMYFUNCTION("""COMPUTED_VALUE"""),"Diamond")</f>
        <v>Diamond</v>
      </c>
      <c r="G1592" s="1"/>
      <c r="H1592" s="1" t="str">
        <f>IFERROR(__xludf.DUMMYFUNCTION("""COMPUTED_VALUE"""),"Solitaire ring")</f>
        <v>Solitaire ring</v>
      </c>
      <c r="I1592" s="1"/>
      <c r="J1592" s="1"/>
      <c r="K1592" s="3">
        <f>IFERROR(__xludf.DUMMYFUNCTION("""COMPUTED_VALUE"""),0.7312499999970896)</f>
        <v>0.73125</v>
      </c>
      <c r="L1592" s="1" t="str">
        <f>IFERROR(__xludf.DUMMYFUNCTION("""COMPUTED_VALUE"""),"Yes")</f>
        <v>Yes</v>
      </c>
      <c r="M1592" s="1" t="str">
        <f>IFERROR(__xludf.DUMMYFUNCTION("""COMPUTED_VALUE"""),"No")</f>
        <v>No</v>
      </c>
      <c r="N1592" s="1" t="str">
        <f>IFERROR(__xludf.DUMMYFUNCTION("""COMPUTED_VALUE"""),"No")</f>
        <v>No</v>
      </c>
      <c r="O1592" s="1" t="str">
        <f>IFERROR(__xludf.DUMMYFUNCTION("""COMPUTED_VALUE"""),"WA ONLY")</f>
        <v>WA ONLY</v>
      </c>
      <c r="P1592" s="1" t="str">
        <f>IFERROR(__xludf.DUMMYFUNCTION("""COMPUTED_VALUE"""),"Sir")</f>
        <v>Sir</v>
      </c>
      <c r="Q1592" s="1" t="str">
        <f>IFERROR(__xludf.DUMMYFUNCTION("""COMPUTED_VALUE"""),"No")</f>
        <v>No</v>
      </c>
      <c r="R1592" s="1" t="str">
        <f>IFERROR(__xludf.DUMMYFUNCTION("""COMPUTED_VALUE"""),"NEW WALK IN")</f>
        <v>NEW WALK IN</v>
      </c>
      <c r="S1592" s="1" t="str">
        <f>IFERROR(__xludf.DUMMYFUNCTION("""COMPUTED_VALUE"""),"Yes")</f>
        <v>Yes</v>
      </c>
    </row>
    <row r="1593">
      <c r="A1593" s="2">
        <f>IFERROR(__xludf.DUMMYFUNCTION("""COMPUTED_VALUE"""),46000.5811358912)</f>
        <v>46000.58114</v>
      </c>
      <c r="B1593" s="1" t="str">
        <f>IFERROR(__xludf.DUMMYFUNCTION("""COMPUTED_VALUE"""),"Amolak ji (U.s)")</f>
        <v>Amolak ji (U.s)</v>
      </c>
      <c r="C1593" s="1">
        <f>IFERROR(__xludf.DUMMYFUNCTION("""COMPUTED_VALUE"""),8.130887311E9)</f>
        <v>8130887311</v>
      </c>
      <c r="D1593" s="1">
        <f>IFERROR(__xludf.DUMMYFUNCTION("""COMPUTED_VALUE"""),2.0)</f>
        <v>2</v>
      </c>
      <c r="E1593" s="3">
        <f>IFERROR(__xludf.DUMMYFUNCTION("""COMPUTED_VALUE"""),0.6875)</f>
        <v>0.6875</v>
      </c>
      <c r="F1593" s="1" t="str">
        <f>IFERROR(__xludf.DUMMYFUNCTION("""COMPUTED_VALUE"""),"Diamond")</f>
        <v>Diamond</v>
      </c>
      <c r="G1593" s="1"/>
      <c r="H1593" s="1" t="str">
        <f>IFERROR(__xludf.DUMMYFUNCTION("""COMPUTED_VALUE"""),"Gold tops")</f>
        <v>Gold tops</v>
      </c>
      <c r="I1593" s="1"/>
      <c r="J1593" s="1"/>
      <c r="K1593" s="3">
        <f>IFERROR(__xludf.DUMMYFUNCTION("""COMPUTED_VALUE"""),0.7159722222204437)</f>
        <v>0.7159722222</v>
      </c>
      <c r="L1593" s="1" t="str">
        <f>IFERROR(__xludf.DUMMYFUNCTION("""COMPUTED_VALUE"""),"Yes")</f>
        <v>Yes</v>
      </c>
      <c r="M1593" s="1" t="str">
        <f>IFERROR(__xludf.DUMMYFUNCTION("""COMPUTED_VALUE"""),"Yes")</f>
        <v>Yes</v>
      </c>
      <c r="N1593" s="1" t="str">
        <f>IFERROR(__xludf.DUMMYFUNCTION("""COMPUTED_VALUE"""),"Yes")</f>
        <v>Yes</v>
      </c>
      <c r="O1593" s="1" t="str">
        <f>IFERROR(__xludf.DUMMYFUNCTION("""COMPUTED_VALUE"""),"WA ONLY")</f>
        <v>WA ONLY</v>
      </c>
      <c r="P1593" s="1" t="str">
        <f>IFERROR(__xludf.DUMMYFUNCTION("""COMPUTED_VALUE"""),"Sir")</f>
        <v>Sir</v>
      </c>
      <c r="Q1593" s="1" t="str">
        <f>IFERROR(__xludf.DUMMYFUNCTION("""COMPUTED_VALUE"""),"No")</f>
        <v>No</v>
      </c>
      <c r="R1593" s="1" t="str">
        <f>IFERROR(__xludf.DUMMYFUNCTION("""COMPUTED_VALUE"""),"NEW WALK IN")</f>
        <v>NEW WALK IN</v>
      </c>
      <c r="S1593" s="1" t="str">
        <f>IFERROR(__xludf.DUMMYFUNCTION("""COMPUTED_VALUE"""),"Yes")</f>
        <v>Yes</v>
      </c>
    </row>
    <row r="1594">
      <c r="A1594" s="2">
        <f>IFERROR(__xludf.DUMMYFUNCTION("""COMPUTED_VALUE"""),46000.58267211806)</f>
        <v>46000.58267</v>
      </c>
      <c r="B1594" s="1" t="str">
        <f>IFERROR(__xludf.DUMMYFUNCTION("""COMPUTED_VALUE"""),"Sandeep gupta ji")</f>
        <v>Sandeep gupta ji</v>
      </c>
      <c r="C1594" s="1">
        <f>IFERROR(__xludf.DUMMYFUNCTION("""COMPUTED_VALUE"""),9.810019487E9)</f>
        <v>9810019487</v>
      </c>
      <c r="D1594" s="1">
        <f>IFERROR(__xludf.DUMMYFUNCTION("""COMPUTED_VALUE"""),2.0)</f>
        <v>2</v>
      </c>
      <c r="E1594" s="3">
        <f>IFERROR(__xludf.DUMMYFUNCTION("""COMPUTED_VALUE"""),0.7361111111094942)</f>
        <v>0.7361111111</v>
      </c>
      <c r="F1594" s="1" t="str">
        <f>IFERROR(__xludf.DUMMYFUNCTION("""COMPUTED_VALUE"""),"Diamond")</f>
        <v>Diamond</v>
      </c>
      <c r="G1594" s="1"/>
      <c r="H1594" s="1" t="str">
        <f>IFERROR(__xludf.DUMMYFUNCTION("""COMPUTED_VALUE"""),"Diamond ring &amp; silver items")</f>
        <v>Diamond ring &amp; silver items</v>
      </c>
      <c r="I1594" s="1"/>
      <c r="J1594" s="1"/>
      <c r="K1594" s="3">
        <f>IFERROR(__xludf.DUMMYFUNCTION("""COMPUTED_VALUE"""),0.8034722222218988)</f>
        <v>0.8034722222</v>
      </c>
      <c r="L1594" s="1" t="str">
        <f>IFERROR(__xludf.DUMMYFUNCTION("""COMPUTED_VALUE"""),"No")</f>
        <v>No</v>
      </c>
      <c r="M1594" s="1" t="str">
        <f>IFERROR(__xludf.DUMMYFUNCTION("""COMPUTED_VALUE"""),"Already done")</f>
        <v>Already done</v>
      </c>
      <c r="N1594" s="1" t="str">
        <f>IFERROR(__xludf.DUMMYFUNCTION("""COMPUTED_VALUE"""),"Already done")</f>
        <v>Already done</v>
      </c>
      <c r="O1594" s="1" t="str">
        <f>IFERROR(__xludf.DUMMYFUNCTION("""COMPUTED_VALUE"""),"WA ONLY, OWNER CONTACT ONLY")</f>
        <v>WA ONLY, OWNER CONTACT ONLY</v>
      </c>
      <c r="P1594" s="1" t="str">
        <f>IFERROR(__xludf.DUMMYFUNCTION("""COMPUTED_VALUE"""),"Sir")</f>
        <v>Sir</v>
      </c>
      <c r="Q1594" s="1" t="str">
        <f>IFERROR(__xludf.DUMMYFUNCTION("""COMPUTED_VALUE"""),"No")</f>
        <v>No</v>
      </c>
      <c r="R1594" s="1" t="str">
        <f>IFERROR(__xludf.DUMMYFUNCTION("""COMPUTED_VALUE"""),"OLD")</f>
        <v>OLD</v>
      </c>
      <c r="S1594" s="1" t="str">
        <f>IFERROR(__xludf.DUMMYFUNCTION("""COMPUTED_VALUE"""),"Yes")</f>
        <v>Yes</v>
      </c>
    </row>
    <row r="1595">
      <c r="A1595" s="2">
        <f>IFERROR(__xludf.DUMMYFUNCTION("""COMPUTED_VALUE"""),46000.58365487268)</f>
        <v>46000.58365</v>
      </c>
      <c r="B1595" s="1" t="str">
        <f>IFERROR(__xludf.DUMMYFUNCTION("""COMPUTED_VALUE"""),"Komal kapoor")</f>
        <v>Komal kapoor</v>
      </c>
      <c r="C1595" s="1">
        <f>IFERROR(__xludf.DUMMYFUNCTION("""COMPUTED_VALUE"""),9.871463768E9)</f>
        <v>9871463768</v>
      </c>
      <c r="D1595" s="1">
        <f>IFERROR(__xludf.DUMMYFUNCTION("""COMPUTED_VALUE"""),2.0)</f>
        <v>2</v>
      </c>
      <c r="E1595" s="3">
        <f>IFERROR(__xludf.DUMMYFUNCTION("""COMPUTED_VALUE"""),0.7013888888905058)</f>
        <v>0.7013888889</v>
      </c>
      <c r="F1595" s="1" t="str">
        <f>IFERROR(__xludf.DUMMYFUNCTION("""COMPUTED_VALUE"""),"Plain Gold")</f>
        <v>Plain Gold</v>
      </c>
      <c r="G1595" s="1"/>
      <c r="H1595" s="1" t="str">
        <f>IFERROR(__xludf.DUMMYFUNCTION("""COMPUTED_VALUE"""),"Nath")</f>
        <v>Nath</v>
      </c>
      <c r="I1595" s="1"/>
      <c r="J1595" s="1"/>
      <c r="K1595" s="3">
        <f>IFERROR(__xludf.DUMMYFUNCTION("""COMPUTED_VALUE"""),0.7430555555547471)</f>
        <v>0.7430555556</v>
      </c>
      <c r="L1595" s="1" t="str">
        <f>IFERROR(__xludf.DUMMYFUNCTION("""COMPUTED_VALUE"""),"Yes")</f>
        <v>Yes</v>
      </c>
      <c r="M1595" s="1" t="str">
        <f>IFERROR(__xludf.DUMMYFUNCTION("""COMPUTED_VALUE"""),"No")</f>
        <v>No</v>
      </c>
      <c r="N1595" s="1" t="str">
        <f>IFERROR(__xludf.DUMMYFUNCTION("""COMPUTED_VALUE"""),"Yes")</f>
        <v>Yes</v>
      </c>
      <c r="O1595" s="1" t="str">
        <f>IFERROR(__xludf.DUMMYFUNCTION("""COMPUTED_VALUE"""),"WA ONLY")</f>
        <v>WA ONLY</v>
      </c>
      <c r="P1595" s="1" t="str">
        <f>IFERROR(__xludf.DUMMYFUNCTION("""COMPUTED_VALUE"""),"Madam")</f>
        <v>Madam</v>
      </c>
      <c r="Q1595" s="1" t="str">
        <f>IFERROR(__xludf.DUMMYFUNCTION("""COMPUTED_VALUE"""),"No")</f>
        <v>No</v>
      </c>
      <c r="R1595" s="1" t="str">
        <f>IFERROR(__xludf.DUMMYFUNCTION("""COMPUTED_VALUE"""),"NEW WALK IN")</f>
        <v>NEW WALK IN</v>
      </c>
      <c r="S1595" s="1" t="str">
        <f>IFERROR(__xludf.DUMMYFUNCTION("""COMPUTED_VALUE"""),"Yes")</f>
        <v>Yes</v>
      </c>
    </row>
    <row r="1596">
      <c r="A1596" s="2">
        <f>IFERROR(__xludf.DUMMYFUNCTION("""COMPUTED_VALUE"""),46000.58564939815)</f>
        <v>46000.58565</v>
      </c>
      <c r="B1596" s="1" t="str">
        <f>IFERROR(__xludf.DUMMYFUNCTION("""COMPUTED_VALUE"""),"Santosh kumar ji")</f>
        <v>Santosh kumar ji</v>
      </c>
      <c r="C1596" s="1">
        <f>IFERROR(__xludf.DUMMYFUNCTION("""COMPUTED_VALUE"""),9.716579227E9)</f>
        <v>9716579227</v>
      </c>
      <c r="D1596" s="1">
        <f>IFERROR(__xludf.DUMMYFUNCTION("""COMPUTED_VALUE"""),2.0)</f>
        <v>2</v>
      </c>
      <c r="E1596" s="3">
        <f>IFERROR(__xludf.DUMMYFUNCTION("""COMPUTED_VALUE"""),0.75)</f>
        <v>0.75</v>
      </c>
      <c r="F1596" s="1" t="str">
        <f>IFERROR(__xludf.DUMMYFUNCTION("""COMPUTED_VALUE"""),"Silver Items")</f>
        <v>Silver Items</v>
      </c>
      <c r="G1596" s="1"/>
      <c r="H1596" s="1" t="str">
        <f>IFERROR(__xludf.DUMMYFUNCTION("""COMPUTED_VALUE"""),"Gold coin mmtc")</f>
        <v>Gold coin mmtc</v>
      </c>
      <c r="I1596" s="1"/>
      <c r="J1596" s="1"/>
      <c r="K1596" s="3">
        <f>IFERROR(__xludf.DUMMYFUNCTION("""COMPUTED_VALUE"""),0.78125)</f>
        <v>0.78125</v>
      </c>
      <c r="L1596" s="1" t="str">
        <f>IFERROR(__xludf.DUMMYFUNCTION("""COMPUTED_VALUE"""),"No")</f>
        <v>No</v>
      </c>
      <c r="M1596" s="1" t="str">
        <f>IFERROR(__xludf.DUMMYFUNCTION("""COMPUTED_VALUE"""),"No")</f>
        <v>No</v>
      </c>
      <c r="N1596" s="1" t="str">
        <f>IFERROR(__xludf.DUMMYFUNCTION("""COMPUTED_VALUE"""),"No")</f>
        <v>No</v>
      </c>
      <c r="O1596" s="1" t="str">
        <f>IFERROR(__xludf.DUMMYFUNCTION("""COMPUTED_VALUE"""),"WA ONLY")</f>
        <v>WA ONLY</v>
      </c>
      <c r="P1596" s="1" t="str">
        <f>IFERROR(__xludf.DUMMYFUNCTION("""COMPUTED_VALUE"""),"Sir")</f>
        <v>Sir</v>
      </c>
      <c r="Q1596" s="1" t="str">
        <f>IFERROR(__xludf.DUMMYFUNCTION("""COMPUTED_VALUE"""),"No")</f>
        <v>No</v>
      </c>
      <c r="R1596" s="1" t="str">
        <f>IFERROR(__xludf.DUMMYFUNCTION("""COMPUTED_VALUE"""),"NEW WALK IN")</f>
        <v>NEW WALK IN</v>
      </c>
      <c r="S1596" s="1" t="str">
        <f>IFERROR(__xludf.DUMMYFUNCTION("""COMPUTED_VALUE"""),"No")</f>
        <v>No</v>
      </c>
    </row>
    <row r="1597">
      <c r="A1597" s="2">
        <f>IFERROR(__xludf.DUMMYFUNCTION("""COMPUTED_VALUE"""),46001.492818865736)</f>
        <v>46001.49282</v>
      </c>
      <c r="B1597" s="1" t="str">
        <f>IFERROR(__xludf.DUMMYFUNCTION("""COMPUTED_VALUE"""),"Kuki Sandhu ji")</f>
        <v>Kuki Sandhu ji</v>
      </c>
      <c r="C1597" s="1">
        <f>IFERROR(__xludf.DUMMYFUNCTION("""COMPUTED_VALUE"""),9.899965297E9)</f>
        <v>9899965297</v>
      </c>
      <c r="D1597" s="1">
        <f>IFERROR(__xludf.DUMMYFUNCTION("""COMPUTED_VALUE"""),1.0)</f>
        <v>1</v>
      </c>
      <c r="E1597" s="3">
        <f>IFERROR(__xludf.DUMMYFUNCTION("""COMPUTED_VALUE"""),0.5416666666642413)</f>
        <v>0.5416666667</v>
      </c>
      <c r="F1597" s="1" t="str">
        <f>IFERROR(__xludf.DUMMYFUNCTION("""COMPUTED_VALUE"""),"Silver Items")</f>
        <v>Silver Items</v>
      </c>
      <c r="G1597" s="1"/>
      <c r="H1597" s="1" t="str">
        <f>IFERROR(__xludf.DUMMYFUNCTION("""COMPUTED_VALUE"""),"Silver 1gm 3 coins 1 gold coin 50 mg")</f>
        <v>Silver 1gm 3 coins 1 gold coin 50 mg</v>
      </c>
      <c r="I1597" s="1"/>
      <c r="J1597" s="1"/>
      <c r="K1597" s="3">
        <f>IFERROR(__xludf.DUMMYFUNCTION("""COMPUTED_VALUE"""),0.5694444444452529)</f>
        <v>0.5694444444</v>
      </c>
      <c r="L1597" s="1" t="str">
        <f>IFERROR(__xludf.DUMMYFUNCTION("""COMPUTED_VALUE"""),"Yes")</f>
        <v>Yes</v>
      </c>
      <c r="M1597" s="1" t="str">
        <f>IFERROR(__xludf.DUMMYFUNCTION("""COMPUTED_VALUE"""),"Yes")</f>
        <v>Yes</v>
      </c>
      <c r="N1597" s="1" t="str">
        <f>IFERROR(__xludf.DUMMYFUNCTION("""COMPUTED_VALUE"""),"Yes")</f>
        <v>Yes</v>
      </c>
      <c r="O1597" s="1" t="str">
        <f>IFERROR(__xludf.DUMMYFUNCTION("""COMPUTED_VALUE"""),"WA ONLY")</f>
        <v>WA ONLY</v>
      </c>
      <c r="P1597" s="1" t="str">
        <f>IFERROR(__xludf.DUMMYFUNCTION("""COMPUTED_VALUE"""),"Madam")</f>
        <v>Madam</v>
      </c>
      <c r="Q1597" s="1" t="str">
        <f>IFERROR(__xludf.DUMMYFUNCTION("""COMPUTED_VALUE"""),"No")</f>
        <v>No</v>
      </c>
      <c r="R1597" s="1" t="str">
        <f>IFERROR(__xludf.DUMMYFUNCTION("""COMPUTED_VALUE"""),"NEW WALK IN")</f>
        <v>NEW WALK IN</v>
      </c>
      <c r="S1597" s="1" t="str">
        <f>IFERROR(__xludf.DUMMYFUNCTION("""COMPUTED_VALUE"""),"Yes")</f>
        <v>Yes</v>
      </c>
    </row>
    <row r="1598">
      <c r="A1598" s="2">
        <f>IFERROR(__xludf.DUMMYFUNCTION("""COMPUTED_VALUE"""),46002.5356009838)</f>
        <v>46002.5356</v>
      </c>
      <c r="B1598" s="1" t="str">
        <f>IFERROR(__xludf.DUMMYFUNCTION("""COMPUTED_VALUE"""),"Simi ji")</f>
        <v>Simi ji</v>
      </c>
      <c r="C1598" s="1">
        <f>IFERROR(__xludf.DUMMYFUNCTION("""COMPUTED_VALUE"""),7.011744188E9)</f>
        <v>7011744188</v>
      </c>
      <c r="D1598" s="1">
        <f>IFERROR(__xludf.DUMMYFUNCTION("""COMPUTED_VALUE"""),2.0)</f>
        <v>2</v>
      </c>
      <c r="E1598" s="3">
        <f>IFERROR(__xludf.DUMMYFUNCTION("""COMPUTED_VALUE"""),0.7569444444452529)</f>
        <v>0.7569444444</v>
      </c>
      <c r="F1598" s="1" t="str">
        <f>IFERROR(__xludf.DUMMYFUNCTION("""COMPUTED_VALUE"""),"Plain Gold")</f>
        <v>Plain Gold</v>
      </c>
      <c r="G1598" s="1" t="str">
        <f>IFERROR(__xludf.DUMMYFUNCTION("""COMPUTED_VALUE"""),"Pooja")</f>
        <v>Pooja</v>
      </c>
      <c r="H1598" s="1" t="str">
        <f>IFERROR(__xludf.DUMMYFUNCTION("""COMPUTED_VALUE"""),"Here for repair")</f>
        <v>Here for repair</v>
      </c>
      <c r="I1598" s="1"/>
      <c r="J1598" s="1"/>
      <c r="K1598" s="3">
        <f>IFERROR(__xludf.DUMMYFUNCTION("""COMPUTED_VALUE"""),0.7638888888905058)</f>
        <v>0.7638888889</v>
      </c>
      <c r="L1598" s="1" t="str">
        <f>IFERROR(__xludf.DUMMYFUNCTION("""COMPUTED_VALUE"""),"No")</f>
        <v>No</v>
      </c>
      <c r="M1598" s="1" t="str">
        <f>IFERROR(__xludf.DUMMYFUNCTION("""COMPUTED_VALUE"""),"No")</f>
        <v>No</v>
      </c>
      <c r="N1598" s="1" t="str">
        <f>IFERROR(__xludf.DUMMYFUNCTION("""COMPUTED_VALUE"""),"No")</f>
        <v>No</v>
      </c>
      <c r="O1598" s="1" t="str">
        <f>IFERROR(__xludf.DUMMYFUNCTION("""COMPUTED_VALUE"""),"WA ONLY")</f>
        <v>WA ONLY</v>
      </c>
      <c r="P1598" s="1" t="str">
        <f>IFERROR(__xludf.DUMMYFUNCTION("""COMPUTED_VALUE"""),"Madam")</f>
        <v>Madam</v>
      </c>
      <c r="Q1598" s="1" t="str">
        <f>IFERROR(__xludf.DUMMYFUNCTION("""COMPUTED_VALUE"""),"No")</f>
        <v>No</v>
      </c>
      <c r="R1598" s="1" t="str">
        <f>IFERROR(__xludf.DUMMYFUNCTION("""COMPUTED_VALUE"""),"NEW WALK IN")</f>
        <v>NEW WALK IN</v>
      </c>
      <c r="S1598" s="1" t="str">
        <f>IFERROR(__xludf.DUMMYFUNCTION("""COMPUTED_VALUE"""),"No")</f>
        <v>No</v>
      </c>
    </row>
    <row r="1599">
      <c r="A1599" s="2">
        <f>IFERROR(__xludf.DUMMYFUNCTION("""COMPUTED_VALUE"""),46002.53670471065)</f>
        <v>46002.5367</v>
      </c>
      <c r="B1599" s="1" t="str">
        <f>IFERROR(__xludf.DUMMYFUNCTION("""COMPUTED_VALUE"""),"Sadhan ji")</f>
        <v>Sadhan ji</v>
      </c>
      <c r="C1599" s="1">
        <f>IFERROR(__xludf.DUMMYFUNCTION("""COMPUTED_VALUE"""),9.911385399E9)</f>
        <v>9911385399</v>
      </c>
      <c r="D1599" s="1">
        <f>IFERROR(__xludf.DUMMYFUNCTION("""COMPUTED_VALUE"""),2.0)</f>
        <v>2</v>
      </c>
      <c r="E1599" s="3">
        <f>IFERROR(__xludf.DUMMYFUNCTION("""COMPUTED_VALUE"""),0.8055555555547471)</f>
        <v>0.8055555556</v>
      </c>
      <c r="F1599" s="1" t="str">
        <f>IFERROR(__xludf.DUMMYFUNCTION("""COMPUTED_VALUE"""),"Plain Gold")</f>
        <v>Plain Gold</v>
      </c>
      <c r="G1599" s="1" t="str">
        <f>IFERROR(__xludf.DUMMYFUNCTION("""COMPUTED_VALUE"""),"Pooja")</f>
        <v>Pooja</v>
      </c>
      <c r="H1599" s="1" t="str">
        <f>IFERROR(__xludf.DUMMYFUNCTION("""COMPUTED_VALUE"""),"Italian bracelet ")</f>
        <v>Italian bracelet </v>
      </c>
      <c r="I1599" s="1" t="str">
        <f>IFERROR(__xludf.DUMMYFUNCTION("""COMPUTED_VALUE"""),"Gave advance will come back again")</f>
        <v>Gave advance will come back again</v>
      </c>
      <c r="J1599" s="1"/>
      <c r="K1599" s="3">
        <f>IFERROR(__xludf.DUMMYFUNCTION("""COMPUTED_VALUE"""),0.8541666666642413)</f>
        <v>0.8541666667</v>
      </c>
      <c r="L1599" s="1" t="str">
        <f>IFERROR(__xludf.DUMMYFUNCTION("""COMPUTED_VALUE"""),"No")</f>
        <v>No</v>
      </c>
      <c r="M1599" s="1" t="str">
        <f>IFERROR(__xludf.DUMMYFUNCTION("""COMPUTED_VALUE"""),"No")</f>
        <v>No</v>
      </c>
      <c r="N1599" s="1" t="str">
        <f>IFERROR(__xludf.DUMMYFUNCTION("""COMPUTED_VALUE"""),"No")</f>
        <v>No</v>
      </c>
      <c r="O1599" s="1" t="str">
        <f>IFERROR(__xludf.DUMMYFUNCTION("""COMPUTED_VALUE"""),"WA ONLY")</f>
        <v>WA ONLY</v>
      </c>
      <c r="P1599" s="1" t="str">
        <f>IFERROR(__xludf.DUMMYFUNCTION("""COMPUTED_VALUE"""),"Madam")</f>
        <v>Madam</v>
      </c>
      <c r="Q1599" s="1" t="str">
        <f>IFERROR(__xludf.DUMMYFUNCTION("""COMPUTED_VALUE"""),"No")</f>
        <v>No</v>
      </c>
      <c r="R1599" s="1" t="str">
        <f>IFERROR(__xludf.DUMMYFUNCTION("""COMPUTED_VALUE"""),"NEW WALK IN")</f>
        <v>NEW WALK IN</v>
      </c>
      <c r="S1599" s="1" t="str">
        <f>IFERROR(__xludf.DUMMYFUNCTION("""COMPUTED_VALUE"""),"No")</f>
        <v>No</v>
      </c>
    </row>
    <row r="1600">
      <c r="A1600" s="2">
        <f>IFERROR(__xludf.DUMMYFUNCTION("""COMPUTED_VALUE"""),46004.51444326389)</f>
        <v>46004.51444</v>
      </c>
      <c r="B1600" s="1" t="str">
        <f>IFERROR(__xludf.DUMMYFUNCTION("""COMPUTED_VALUE"""),"Aakash garg ji")</f>
        <v>Aakash garg ji</v>
      </c>
      <c r="C1600" s="1">
        <f>IFERROR(__xludf.DUMMYFUNCTION("""COMPUTED_VALUE"""),9.205976385E9)</f>
        <v>9205976385</v>
      </c>
      <c r="D1600" s="1">
        <f>IFERROR(__xludf.DUMMYFUNCTION("""COMPUTED_VALUE"""),1.0)</f>
        <v>1</v>
      </c>
      <c r="E1600" s="3">
        <f>IFERROR(__xludf.DUMMYFUNCTION("""COMPUTED_VALUE"""),0.6875)</f>
        <v>0.6875</v>
      </c>
      <c r="F1600" s="1" t="str">
        <f>IFERROR(__xludf.DUMMYFUNCTION("""COMPUTED_VALUE"""),"Diamond")</f>
        <v>Diamond</v>
      </c>
      <c r="G1600" s="1"/>
      <c r="H1600" s="1" t="str">
        <f>IFERROR(__xludf.DUMMYFUNCTION("""COMPUTED_VALUE"""),"Gold set")</f>
        <v>Gold set</v>
      </c>
      <c r="I1600" s="1"/>
      <c r="J1600" s="1"/>
      <c r="K1600" s="3">
        <f>IFERROR(__xludf.DUMMYFUNCTION("""COMPUTED_VALUE"""),0.7708333333357587)</f>
        <v>0.7708333333</v>
      </c>
      <c r="L1600" s="1" t="str">
        <f>IFERROR(__xludf.DUMMYFUNCTION("""COMPUTED_VALUE"""),"No")</f>
        <v>No</v>
      </c>
      <c r="M1600" s="1" t="str">
        <f>IFERROR(__xludf.DUMMYFUNCTION("""COMPUTED_VALUE"""),"No")</f>
        <v>No</v>
      </c>
      <c r="N1600" s="1" t="str">
        <f>IFERROR(__xludf.DUMMYFUNCTION("""COMPUTED_VALUE"""),"No")</f>
        <v>No</v>
      </c>
      <c r="O1600" s="1" t="str">
        <f>IFERROR(__xludf.DUMMYFUNCTION("""COMPUTED_VALUE"""),"WA ONLY")</f>
        <v>WA ONLY</v>
      </c>
      <c r="P1600" s="1" t="str">
        <f>IFERROR(__xludf.DUMMYFUNCTION("""COMPUTED_VALUE"""),"Sir")</f>
        <v>Sir</v>
      </c>
      <c r="Q1600" s="1" t="str">
        <f>IFERROR(__xludf.DUMMYFUNCTION("""COMPUTED_VALUE"""),"No")</f>
        <v>No</v>
      </c>
      <c r="R1600" s="1" t="str">
        <f>IFERROR(__xludf.DUMMYFUNCTION("""COMPUTED_VALUE"""),"NEW WALK IN")</f>
        <v>NEW WALK IN</v>
      </c>
      <c r="S1600" s="1" t="str">
        <f>IFERROR(__xludf.DUMMYFUNCTION("""COMPUTED_VALUE"""),"Yes")</f>
        <v>Yes</v>
      </c>
    </row>
    <row r="1601">
      <c r="A1601" s="2">
        <f>IFERROR(__xludf.DUMMYFUNCTION("""COMPUTED_VALUE"""),46008.52790994213)</f>
        <v>46008.52791</v>
      </c>
      <c r="B1601" s="1" t="str">
        <f>IFERROR(__xludf.DUMMYFUNCTION("""COMPUTED_VALUE"""),"Sanyam ")</f>
        <v>Sanyam </v>
      </c>
      <c r="C1601" s="1">
        <f>IFERROR(__xludf.DUMMYFUNCTION("""COMPUTED_VALUE"""),9.643268623E9)</f>
        <v>9643268623</v>
      </c>
      <c r="D1601" s="1">
        <f>IFERROR(__xludf.DUMMYFUNCTION("""COMPUTED_VALUE"""),2.0)</f>
        <v>2</v>
      </c>
      <c r="E1601" s="3">
        <f>IFERROR(__xludf.DUMMYFUNCTION("""COMPUTED_VALUE"""),0.6458333333357587)</f>
        <v>0.6458333333</v>
      </c>
      <c r="F1601" s="1" t="str">
        <f>IFERROR(__xludf.DUMMYFUNCTION("""COMPUTED_VALUE"""),"Silver Items")</f>
        <v>Silver Items</v>
      </c>
      <c r="G1601" s="1"/>
      <c r="H1601" s="1" t="str">
        <f>IFERROR(__xludf.DUMMYFUNCTION("""COMPUTED_VALUE"""),"Mangalsutra ")</f>
        <v>Mangalsutra </v>
      </c>
      <c r="I1601" s="1" t="str">
        <f>IFERROR(__xludf.DUMMYFUNCTION("""COMPUTED_VALUE"""),"Here for repair ")</f>
        <v>Here for repair </v>
      </c>
      <c r="J1601" s="1"/>
      <c r="K1601" s="3">
        <f>IFERROR(__xludf.DUMMYFUNCTION("""COMPUTED_VALUE"""),0.6875)</f>
        <v>0.6875</v>
      </c>
      <c r="L1601" s="1" t="str">
        <f>IFERROR(__xludf.DUMMYFUNCTION("""COMPUTED_VALUE"""),"No")</f>
        <v>No</v>
      </c>
      <c r="M1601" s="1" t="str">
        <f>IFERROR(__xludf.DUMMYFUNCTION("""COMPUTED_VALUE"""),"No")</f>
        <v>No</v>
      </c>
      <c r="N1601" s="1" t="str">
        <f>IFERROR(__xludf.DUMMYFUNCTION("""COMPUTED_VALUE"""),"No")</f>
        <v>No</v>
      </c>
      <c r="O1601" s="1" t="str">
        <f>IFERROR(__xludf.DUMMYFUNCTION("""COMPUTED_VALUE"""),"WA ONLY")</f>
        <v>WA ONLY</v>
      </c>
      <c r="P1601" s="1" t="str">
        <f>IFERROR(__xludf.DUMMYFUNCTION("""COMPUTED_VALUE"""),"Madam")</f>
        <v>Madam</v>
      </c>
      <c r="Q1601" s="1" t="str">
        <f>IFERROR(__xludf.DUMMYFUNCTION("""COMPUTED_VALUE"""),"No")</f>
        <v>No</v>
      </c>
      <c r="R1601" s="1" t="str">
        <f>IFERROR(__xludf.DUMMYFUNCTION("""COMPUTED_VALUE"""),"OLD")</f>
        <v>OLD</v>
      </c>
      <c r="S1601" s="1" t="str">
        <f>IFERROR(__xludf.DUMMYFUNCTION("""COMPUTED_VALUE"""),"No")</f>
        <v>No</v>
      </c>
    </row>
    <row r="1602">
      <c r="A1602" s="2">
        <f>IFERROR(__xludf.DUMMYFUNCTION("""COMPUTED_VALUE"""),46008.52895061343)</f>
        <v>46008.52895</v>
      </c>
      <c r="B1602" s="1" t="str">
        <f>IFERROR(__xludf.DUMMYFUNCTION("""COMPUTED_VALUE"""),"Shivam (fabric)")</f>
        <v>Shivam (fabric)</v>
      </c>
      <c r="C1602" s="1">
        <f>IFERROR(__xludf.DUMMYFUNCTION("""COMPUTED_VALUE"""),9.8911032336E10)</f>
        <v>98911032336</v>
      </c>
      <c r="D1602" s="1">
        <f>IFERROR(__xludf.DUMMYFUNCTION("""COMPUTED_VALUE"""),2.0)</f>
        <v>2</v>
      </c>
      <c r="E1602" s="3">
        <f>IFERROR(__xludf.DUMMYFUNCTION("""COMPUTED_VALUE"""),0.6458333333357587)</f>
        <v>0.6458333333</v>
      </c>
      <c r="F1602" s="1" t="str">
        <f>IFERROR(__xludf.DUMMYFUNCTION("""COMPUTED_VALUE"""),"Silver Items")</f>
        <v>Silver Items</v>
      </c>
      <c r="G1602" s="1"/>
      <c r="H1602" s="1" t="str">
        <f>IFERROR(__xludf.DUMMYFUNCTION("""COMPUTED_VALUE"""),"Idols")</f>
        <v>Idols</v>
      </c>
      <c r="I1602" s="1"/>
      <c r="J1602" s="1"/>
      <c r="K1602" s="3">
        <f>IFERROR(__xludf.DUMMYFUNCTION("""COMPUTED_VALUE"""),0.7083333333357587)</f>
        <v>0.7083333333</v>
      </c>
      <c r="L1602" s="1" t="str">
        <f>IFERROR(__xludf.DUMMYFUNCTION("""COMPUTED_VALUE"""),"Yes")</f>
        <v>Yes</v>
      </c>
      <c r="M1602" s="1" t="str">
        <f>IFERROR(__xludf.DUMMYFUNCTION("""COMPUTED_VALUE"""),"No")</f>
        <v>No</v>
      </c>
      <c r="N1602" s="1" t="str">
        <f>IFERROR(__xludf.DUMMYFUNCTION("""COMPUTED_VALUE"""),"No")</f>
        <v>No</v>
      </c>
      <c r="O1602" s="1" t="str">
        <f>IFERROR(__xludf.DUMMYFUNCTION("""COMPUTED_VALUE"""),"WA ONLY")</f>
        <v>WA ONLY</v>
      </c>
      <c r="P1602" s="1" t="str">
        <f>IFERROR(__xludf.DUMMYFUNCTION("""COMPUTED_VALUE"""),"Sir")</f>
        <v>Sir</v>
      </c>
      <c r="Q1602" s="1" t="str">
        <f>IFERROR(__xludf.DUMMYFUNCTION("""COMPUTED_VALUE"""),"No")</f>
        <v>No</v>
      </c>
      <c r="R1602" s="1" t="str">
        <f>IFERROR(__xludf.DUMMYFUNCTION("""COMPUTED_VALUE"""),"OLD")</f>
        <v>OLD</v>
      </c>
      <c r="S1602" s="1" t="str">
        <f>IFERROR(__xludf.DUMMYFUNCTION("""COMPUTED_VALUE"""),"Yes")</f>
        <v>Yes</v>
      </c>
    </row>
    <row r="1603">
      <c r="A1603" s="2">
        <f>IFERROR(__xludf.DUMMYFUNCTION("""COMPUTED_VALUE"""),46008.52993959491)</f>
        <v>46008.52994</v>
      </c>
      <c r="B1603" s="1" t="str">
        <f>IFERROR(__xludf.DUMMYFUNCTION("""COMPUTED_VALUE"""),"Kavita ")</f>
        <v>Kavita </v>
      </c>
      <c r="C1603" s="1">
        <f>IFERROR(__xludf.DUMMYFUNCTION("""COMPUTED_VALUE"""),9.796224005E9)</f>
        <v>9796224005</v>
      </c>
      <c r="D1603" s="1">
        <f>IFERROR(__xludf.DUMMYFUNCTION("""COMPUTED_VALUE"""),2.0)</f>
        <v>2</v>
      </c>
      <c r="E1603" s="3">
        <f>IFERROR(__xludf.DUMMYFUNCTION("""COMPUTED_VALUE"""),0.7916666666642413)</f>
        <v>0.7916666667</v>
      </c>
      <c r="F1603" s="1" t="str">
        <f>IFERROR(__xludf.DUMMYFUNCTION("""COMPUTED_VALUE"""),"Silver Items")</f>
        <v>Silver Items</v>
      </c>
      <c r="G1603" s="1"/>
      <c r="H1603" s="1" t="str">
        <f>IFERROR(__xludf.DUMMYFUNCTION("""COMPUTED_VALUE"""),"Chains")</f>
        <v>Chains</v>
      </c>
      <c r="I1603" s="1" t="str">
        <f>IFERROR(__xludf.DUMMYFUNCTION("""COMPUTED_VALUE"""),"Visit Again in 1 Month")</f>
        <v>Visit Again in 1 Month</v>
      </c>
      <c r="J1603" s="1"/>
      <c r="K1603" s="3">
        <f>IFERROR(__xludf.DUMMYFUNCTION("""COMPUTED_VALUE"""),0.8229166666642413)</f>
        <v>0.8229166667</v>
      </c>
      <c r="L1603" s="1" t="str">
        <f>IFERROR(__xludf.DUMMYFUNCTION("""COMPUTED_VALUE"""),"No")</f>
        <v>No</v>
      </c>
      <c r="M1603" s="1" t="str">
        <f>IFERROR(__xludf.DUMMYFUNCTION("""COMPUTED_VALUE"""),"No")</f>
        <v>No</v>
      </c>
      <c r="N1603" s="1" t="str">
        <f>IFERROR(__xludf.DUMMYFUNCTION("""COMPUTED_VALUE"""),"No")</f>
        <v>No</v>
      </c>
      <c r="O1603" s="1" t="str">
        <f>IFERROR(__xludf.DUMMYFUNCTION("""COMPUTED_VALUE"""),"WA ONLY")</f>
        <v>WA ONLY</v>
      </c>
      <c r="P1603" s="1" t="str">
        <f>IFERROR(__xludf.DUMMYFUNCTION("""COMPUTED_VALUE"""),"Madam")</f>
        <v>Madam</v>
      </c>
      <c r="Q1603" s="1" t="str">
        <f>IFERROR(__xludf.DUMMYFUNCTION("""COMPUTED_VALUE"""),"No")</f>
        <v>No</v>
      </c>
      <c r="R1603" s="1" t="str">
        <f>IFERROR(__xludf.DUMMYFUNCTION("""COMPUTED_VALUE"""),"OLD")</f>
        <v>OLD</v>
      </c>
      <c r="S1603" s="1" t="str">
        <f>IFERROR(__xludf.DUMMYFUNCTION("""COMPUTED_VALUE"""),"No")</f>
        <v>No</v>
      </c>
    </row>
    <row r="1604">
      <c r="A1604" s="2">
        <f>IFERROR(__xludf.DUMMYFUNCTION("""COMPUTED_VALUE"""),46008.53179980324)</f>
        <v>46008.5318</v>
      </c>
      <c r="B1604" s="1" t="str">
        <f>IFERROR(__xludf.DUMMYFUNCTION("""COMPUTED_VALUE"""),"Diksha ji")</f>
        <v>Diksha ji</v>
      </c>
      <c r="C1604" s="1">
        <f>IFERROR(__xludf.DUMMYFUNCTION("""COMPUTED_VALUE"""),8.860183073E9)</f>
        <v>8860183073</v>
      </c>
      <c r="D1604" s="1">
        <f>IFERROR(__xludf.DUMMYFUNCTION("""COMPUTED_VALUE"""),4.0)</f>
        <v>4</v>
      </c>
      <c r="E1604" s="3">
        <f>IFERROR(__xludf.DUMMYFUNCTION("""COMPUTED_VALUE"""),0.5486111111094942)</f>
        <v>0.5486111111</v>
      </c>
      <c r="F1604" s="1" t="str">
        <f>IFERROR(__xludf.DUMMYFUNCTION("""COMPUTED_VALUE"""),"Plain Gold")</f>
        <v>Plain Gold</v>
      </c>
      <c r="G1604" s="1"/>
      <c r="H1604" s="1" t="str">
        <f>IFERROR(__xludf.DUMMYFUNCTION("""COMPUTED_VALUE"""),"Bracelet")</f>
        <v>Bracelet</v>
      </c>
      <c r="I1604" s="1"/>
      <c r="J1604" s="1"/>
      <c r="K1604" s="3">
        <f>IFERROR(__xludf.DUMMYFUNCTION("""COMPUTED_VALUE"""),0.6458333333357587)</f>
        <v>0.6458333333</v>
      </c>
      <c r="L1604" s="1" t="str">
        <f>IFERROR(__xludf.DUMMYFUNCTION("""COMPUTED_VALUE"""),"Yes")</f>
        <v>Yes</v>
      </c>
      <c r="M1604" s="1" t="str">
        <f>IFERROR(__xludf.DUMMYFUNCTION("""COMPUTED_VALUE"""),"Yes")</f>
        <v>Yes</v>
      </c>
      <c r="N1604" s="1" t="str">
        <f>IFERROR(__xludf.DUMMYFUNCTION("""COMPUTED_VALUE"""),"Yes")</f>
        <v>Yes</v>
      </c>
      <c r="O1604" s="1" t="str">
        <f>IFERROR(__xludf.DUMMYFUNCTION("""COMPUTED_VALUE"""),"WA ONLY, OWNER CONTACT ONLY")</f>
        <v>WA ONLY, OWNER CONTACT ONLY</v>
      </c>
      <c r="P1604" s="1" t="str">
        <f>IFERROR(__xludf.DUMMYFUNCTION("""COMPUTED_VALUE"""),"Madam")</f>
        <v>Madam</v>
      </c>
      <c r="Q1604" s="1" t="str">
        <f>IFERROR(__xludf.DUMMYFUNCTION("""COMPUTED_VALUE"""),"No")</f>
        <v>No</v>
      </c>
      <c r="R1604" s="1" t="str">
        <f>IFERROR(__xludf.DUMMYFUNCTION("""COMPUTED_VALUE"""),"OLD")</f>
        <v>OLD</v>
      </c>
      <c r="S1604" s="1" t="str">
        <f>IFERROR(__xludf.DUMMYFUNCTION("""COMPUTED_VALUE"""),"Yes")</f>
        <v>Yes</v>
      </c>
    </row>
    <row r="1605">
      <c r="A1605" s="2">
        <f>IFERROR(__xludf.DUMMYFUNCTION("""COMPUTED_VALUE"""),46008.532954305556)</f>
        <v>46008.53295</v>
      </c>
      <c r="B1605" s="1" t="str">
        <f>IFERROR(__xludf.DUMMYFUNCTION("""COMPUTED_VALUE"""),"Poonam ")</f>
        <v>Poonam </v>
      </c>
      <c r="C1605" s="1">
        <f>IFERROR(__xludf.DUMMYFUNCTION("""COMPUTED_VALUE"""),8.595342299E9)</f>
        <v>8595342299</v>
      </c>
      <c r="D1605" s="1">
        <f>IFERROR(__xludf.DUMMYFUNCTION("""COMPUTED_VALUE"""),5.0)</f>
        <v>5</v>
      </c>
      <c r="E1605" s="3">
        <f>IFERROR(__xludf.DUMMYFUNCTION("""COMPUTED_VALUE"""),0.6458333333357587)</f>
        <v>0.6458333333</v>
      </c>
      <c r="F1605" s="1" t="str">
        <f>IFERROR(__xludf.DUMMYFUNCTION("""COMPUTED_VALUE"""),"Diamond")</f>
        <v>Diamond</v>
      </c>
      <c r="G1605" s="1"/>
      <c r="H1605" s="1" t="str">
        <f>IFERROR(__xludf.DUMMYFUNCTION("""COMPUTED_VALUE"""),"Diamond set")</f>
        <v>Diamond set</v>
      </c>
      <c r="I1605" s="1" t="str">
        <f>IFERROR(__xludf.DUMMYFUNCTION("""COMPUTED_VALUE"""),"Took stuff on approval they gave back later on")</f>
        <v>Took stuff on approval they gave back later on</v>
      </c>
      <c r="J1605" s="1"/>
      <c r="K1605" s="3">
        <f>IFERROR(__xludf.DUMMYFUNCTION("""COMPUTED_VALUE"""),0.7083333333357587)</f>
        <v>0.7083333333</v>
      </c>
      <c r="L1605" s="1" t="str">
        <f>IFERROR(__xludf.DUMMYFUNCTION("""COMPUTED_VALUE"""),"Yes")</f>
        <v>Yes</v>
      </c>
      <c r="M1605" s="1" t="str">
        <f>IFERROR(__xludf.DUMMYFUNCTION("""COMPUTED_VALUE"""),"Yes")</f>
        <v>Yes</v>
      </c>
      <c r="N1605" s="1" t="str">
        <f>IFERROR(__xludf.DUMMYFUNCTION("""COMPUTED_VALUE"""),"Yes")</f>
        <v>Yes</v>
      </c>
      <c r="O1605" s="1" t="str">
        <f>IFERROR(__xludf.DUMMYFUNCTION("""COMPUTED_VALUE"""),"WA ONLY")</f>
        <v>WA ONLY</v>
      </c>
      <c r="P1605" s="1" t="str">
        <f>IFERROR(__xludf.DUMMYFUNCTION("""COMPUTED_VALUE"""),"Madam")</f>
        <v>Madam</v>
      </c>
      <c r="Q1605" s="1" t="str">
        <f>IFERROR(__xludf.DUMMYFUNCTION("""COMPUTED_VALUE"""),"No")</f>
        <v>No</v>
      </c>
      <c r="R1605" s="1" t="str">
        <f>IFERROR(__xludf.DUMMYFUNCTION("""COMPUTED_VALUE"""),"OLD")</f>
        <v>OLD</v>
      </c>
      <c r="S1605" s="1" t="str">
        <f>IFERROR(__xludf.DUMMYFUNCTION("""COMPUTED_VALUE"""),"No")</f>
        <v>No</v>
      </c>
    </row>
    <row r="1606">
      <c r="A1606" s="2">
        <f>IFERROR(__xludf.DUMMYFUNCTION("""COMPUTED_VALUE"""),46008.53401554398)</f>
        <v>46008.53402</v>
      </c>
      <c r="B1606" s="1" t="str">
        <f>IFERROR(__xludf.DUMMYFUNCTION("""COMPUTED_VALUE"""),"Mariyam ")</f>
        <v>Mariyam </v>
      </c>
      <c r="C1606" s="1">
        <f>IFERROR(__xludf.DUMMYFUNCTION("""COMPUTED_VALUE"""),8.130302299E9)</f>
        <v>8130302299</v>
      </c>
      <c r="D1606" s="1">
        <f>IFERROR(__xludf.DUMMYFUNCTION("""COMPUTED_VALUE"""),6.0)</f>
        <v>6</v>
      </c>
      <c r="E1606" s="3">
        <f>IFERROR(__xludf.DUMMYFUNCTION("""COMPUTED_VALUE"""),0.6736111111094942)</f>
        <v>0.6736111111</v>
      </c>
      <c r="F1606" s="1" t="str">
        <f>IFERROR(__xludf.DUMMYFUNCTION("""COMPUTED_VALUE"""),"Silver Items")</f>
        <v>Silver Items</v>
      </c>
      <c r="G1606" s="1"/>
      <c r="H1606" s="1" t="str">
        <f>IFERROR(__xludf.DUMMYFUNCTION("""COMPUTED_VALUE"""),"Anklets")</f>
        <v>Anklets</v>
      </c>
      <c r="I1606" s="1" t="str">
        <f>IFERROR(__xludf.DUMMYFUNCTION("""COMPUTED_VALUE"""),"Making High or Wants Discount")</f>
        <v>Making High or Wants Discount</v>
      </c>
      <c r="J1606" s="1"/>
      <c r="K1606" s="3">
        <f>IFERROR(__xludf.DUMMYFUNCTION("""COMPUTED_VALUE"""),0.6979166666642413)</f>
        <v>0.6979166667</v>
      </c>
      <c r="L1606" s="1" t="str">
        <f>IFERROR(__xludf.DUMMYFUNCTION("""COMPUTED_VALUE"""),"No")</f>
        <v>No</v>
      </c>
      <c r="M1606" s="1" t="str">
        <f>IFERROR(__xludf.DUMMYFUNCTION("""COMPUTED_VALUE"""),"No")</f>
        <v>No</v>
      </c>
      <c r="N1606" s="1" t="str">
        <f>IFERROR(__xludf.DUMMYFUNCTION("""COMPUTED_VALUE"""),"No")</f>
        <v>No</v>
      </c>
      <c r="O1606" s="1" t="str">
        <f>IFERROR(__xludf.DUMMYFUNCTION("""COMPUTED_VALUE"""),"WA ONLY")</f>
        <v>WA ONLY</v>
      </c>
      <c r="P1606" s="1" t="str">
        <f>IFERROR(__xludf.DUMMYFUNCTION("""COMPUTED_VALUE"""),"Madam")</f>
        <v>Madam</v>
      </c>
      <c r="Q1606" s="1" t="str">
        <f>IFERROR(__xludf.DUMMYFUNCTION("""COMPUTED_VALUE"""),"No")</f>
        <v>No</v>
      </c>
      <c r="R1606" s="1" t="str">
        <f>IFERROR(__xludf.DUMMYFUNCTION("""COMPUTED_VALUE"""),"NEW WALK IN")</f>
        <v>NEW WALK IN</v>
      </c>
      <c r="S1606" s="1" t="str">
        <f>IFERROR(__xludf.DUMMYFUNCTION("""COMPUTED_VALUE"""),"No")</f>
        <v>No</v>
      </c>
    </row>
    <row r="1607">
      <c r="A1607" s="2">
        <f>IFERROR(__xludf.DUMMYFUNCTION("""COMPUTED_VALUE"""),46008.535085173615)</f>
        <v>46008.53509</v>
      </c>
      <c r="B1607" s="1" t="str">
        <f>IFERROR(__xludf.DUMMYFUNCTION("""COMPUTED_VALUE"""),"Charanjeet ")</f>
        <v>Charanjeet </v>
      </c>
      <c r="C1607" s="1">
        <f>IFERROR(__xludf.DUMMYFUNCTION("""COMPUTED_VALUE"""),8.920524024E9)</f>
        <v>8920524024</v>
      </c>
      <c r="D1607" s="1">
        <f>IFERROR(__xludf.DUMMYFUNCTION("""COMPUTED_VALUE"""),1.0)</f>
        <v>1</v>
      </c>
      <c r="E1607" s="3">
        <f>IFERROR(__xludf.DUMMYFUNCTION("""COMPUTED_VALUE"""),0.6909722222189885)</f>
        <v>0.6909722222</v>
      </c>
      <c r="F1607" s="1" t="str">
        <f>IFERROR(__xludf.DUMMYFUNCTION("""COMPUTED_VALUE"""),"Plain Gold")</f>
        <v>Plain Gold</v>
      </c>
      <c r="G1607" s="1"/>
      <c r="H1607" s="1" t="str">
        <f>IFERROR(__xludf.DUMMYFUNCTION("""COMPUTED_VALUE"""),"Ring ")</f>
        <v>Ring </v>
      </c>
      <c r="I1607" s="1" t="str">
        <f>IFERROR(__xludf.DUMMYFUNCTION("""COMPUTED_VALUE"""),"Designs Not Liked")</f>
        <v>Designs Not Liked</v>
      </c>
      <c r="J1607" s="1"/>
      <c r="K1607" s="3">
        <f>IFERROR(__xludf.DUMMYFUNCTION("""COMPUTED_VALUE"""),0.75)</f>
        <v>0.75</v>
      </c>
      <c r="L1607" s="1" t="str">
        <f>IFERROR(__xludf.DUMMYFUNCTION("""COMPUTED_VALUE"""),"No")</f>
        <v>No</v>
      </c>
      <c r="M1607" s="1" t="str">
        <f>IFERROR(__xludf.DUMMYFUNCTION("""COMPUTED_VALUE"""),"Already done ")</f>
        <v>Already done </v>
      </c>
      <c r="N1607" s="1" t="str">
        <f>IFERROR(__xludf.DUMMYFUNCTION("""COMPUTED_VALUE"""),"Already done ")</f>
        <v>Already done </v>
      </c>
      <c r="O1607" s="1" t="str">
        <f>IFERROR(__xludf.DUMMYFUNCTION("""COMPUTED_VALUE"""),"WA ONLY")</f>
        <v>WA ONLY</v>
      </c>
      <c r="P1607" s="1" t="str">
        <f>IFERROR(__xludf.DUMMYFUNCTION("""COMPUTED_VALUE"""),"Sir")</f>
        <v>Sir</v>
      </c>
      <c r="Q1607" s="1" t="str">
        <f>IFERROR(__xludf.DUMMYFUNCTION("""COMPUTED_VALUE"""),"No")</f>
        <v>No</v>
      </c>
      <c r="R1607" s="1" t="str">
        <f>IFERROR(__xludf.DUMMYFUNCTION("""COMPUTED_VALUE"""),"OLD")</f>
        <v>OLD</v>
      </c>
      <c r="S1607" s="1" t="str">
        <f>IFERROR(__xludf.DUMMYFUNCTION("""COMPUTED_VALUE"""),"No")</f>
        <v>No</v>
      </c>
    </row>
    <row r="1608">
      <c r="A1608" s="2">
        <f>IFERROR(__xludf.DUMMYFUNCTION("""COMPUTED_VALUE"""),46008.53603798611)</f>
        <v>46008.53604</v>
      </c>
      <c r="B1608" s="1" t="str">
        <f>IFERROR(__xludf.DUMMYFUNCTION("""COMPUTED_VALUE"""),"Rajvir ")</f>
        <v>Rajvir </v>
      </c>
      <c r="C1608" s="1">
        <f>IFERROR(__xludf.DUMMYFUNCTION("""COMPUTED_VALUE"""),9.21729979E9)</f>
        <v>9217299790</v>
      </c>
      <c r="D1608" s="1">
        <f>IFERROR(__xludf.DUMMYFUNCTION("""COMPUTED_VALUE"""),1.0)</f>
        <v>1</v>
      </c>
      <c r="E1608" s="3">
        <f>IFERROR(__xludf.DUMMYFUNCTION("""COMPUTED_VALUE"""),0.7083333333357587)</f>
        <v>0.7083333333</v>
      </c>
      <c r="F1608" s="1" t="str">
        <f>IFERROR(__xludf.DUMMYFUNCTION("""COMPUTED_VALUE"""),"Diamond")</f>
        <v>Diamond</v>
      </c>
      <c r="G1608" s="1" t="str">
        <f>IFERROR(__xludf.DUMMYFUNCTION("""COMPUTED_VALUE"""),"Pooja")</f>
        <v>Pooja</v>
      </c>
      <c r="H1608" s="1" t="str">
        <f>IFERROR(__xludf.DUMMYFUNCTION("""COMPUTED_VALUE"""),"Gold chain ")</f>
        <v>Gold chain </v>
      </c>
      <c r="I1608" s="1"/>
      <c r="J1608" s="1"/>
      <c r="K1608" s="3">
        <f>IFERROR(__xludf.DUMMYFUNCTION("""COMPUTED_VALUE"""),0.75)</f>
        <v>0.75</v>
      </c>
      <c r="L1608" s="1" t="str">
        <f>IFERROR(__xludf.DUMMYFUNCTION("""COMPUTED_VALUE"""),"Yes")</f>
        <v>Yes</v>
      </c>
      <c r="M1608" s="1" t="str">
        <f>IFERROR(__xludf.DUMMYFUNCTION("""COMPUTED_VALUE"""),"Yes")</f>
        <v>Yes</v>
      </c>
      <c r="N1608" s="1" t="str">
        <f>IFERROR(__xludf.DUMMYFUNCTION("""COMPUTED_VALUE"""),"No")</f>
        <v>No</v>
      </c>
      <c r="O1608" s="1" t="str">
        <f>IFERROR(__xludf.DUMMYFUNCTION("""COMPUTED_VALUE"""),"OWNER CONTACT ONLY")</f>
        <v>OWNER CONTACT ONLY</v>
      </c>
      <c r="P1608" s="1" t="str">
        <f>IFERROR(__xludf.DUMMYFUNCTION("""COMPUTED_VALUE"""),"Sir")</f>
        <v>Sir</v>
      </c>
      <c r="Q1608" s="1" t="str">
        <f>IFERROR(__xludf.DUMMYFUNCTION("""COMPUTED_VALUE"""),"No")</f>
        <v>No</v>
      </c>
      <c r="R1608" s="1" t="str">
        <f>IFERROR(__xludf.DUMMYFUNCTION("""COMPUTED_VALUE"""),"NEW WALK IN")</f>
        <v>NEW WALK IN</v>
      </c>
      <c r="S1608" s="1" t="str">
        <f>IFERROR(__xludf.DUMMYFUNCTION("""COMPUTED_VALUE"""),"Yes")</f>
        <v>Yes</v>
      </c>
    </row>
    <row r="1609">
      <c r="A1609" s="2">
        <f>IFERROR(__xludf.DUMMYFUNCTION("""COMPUTED_VALUE"""),46008.53742869213)</f>
        <v>46008.53743</v>
      </c>
      <c r="B1609" s="1" t="str">
        <f>IFERROR(__xludf.DUMMYFUNCTION("""COMPUTED_VALUE"""),"Pallavi mahajan")</f>
        <v>Pallavi mahajan</v>
      </c>
      <c r="C1609" s="1">
        <f>IFERROR(__xludf.DUMMYFUNCTION("""COMPUTED_VALUE"""),8.095720564E9)</f>
        <v>8095720564</v>
      </c>
      <c r="D1609" s="1">
        <f>IFERROR(__xludf.DUMMYFUNCTION("""COMPUTED_VALUE"""),1.0)</f>
        <v>1</v>
      </c>
      <c r="E1609" s="3">
        <f>IFERROR(__xludf.DUMMYFUNCTION("""COMPUTED_VALUE"""),0.6458333333357587)</f>
        <v>0.6458333333</v>
      </c>
      <c r="F1609" s="1" t="str">
        <f>IFERROR(__xludf.DUMMYFUNCTION("""COMPUTED_VALUE"""),"Diamond")</f>
        <v>Diamond</v>
      </c>
      <c r="G1609" s="1"/>
      <c r="H1609" s="1" t="str">
        <f>IFERROR(__xludf.DUMMYFUNCTION("""COMPUTED_VALUE"""),"Diamond pieces ")</f>
        <v>Diamond pieces </v>
      </c>
      <c r="I1609" s="1" t="str">
        <f>IFERROR(__xludf.DUMMYFUNCTION("""COMPUTED_VALUE"""),"Will come back after the stock update ")</f>
        <v>Will come back after the stock update </v>
      </c>
      <c r="J1609" s="1"/>
      <c r="K1609" s="3">
        <f>IFERROR(__xludf.DUMMYFUNCTION("""COMPUTED_VALUE"""),0.7083333333357587)</f>
        <v>0.7083333333</v>
      </c>
      <c r="L1609" s="1" t="str">
        <f>IFERROR(__xludf.DUMMYFUNCTION("""COMPUTED_VALUE"""),"No")</f>
        <v>No</v>
      </c>
      <c r="M1609" s="1" t="str">
        <f>IFERROR(__xludf.DUMMYFUNCTION("""COMPUTED_VALUE"""),"No")</f>
        <v>No</v>
      </c>
      <c r="N1609" s="1" t="str">
        <f>IFERROR(__xludf.DUMMYFUNCTION("""COMPUTED_VALUE"""),"Yes")</f>
        <v>Yes</v>
      </c>
      <c r="O1609" s="1" t="str">
        <f>IFERROR(__xludf.DUMMYFUNCTION("""COMPUTED_VALUE"""),"WA ONLY")</f>
        <v>WA ONLY</v>
      </c>
      <c r="P1609" s="1" t="str">
        <f>IFERROR(__xludf.DUMMYFUNCTION("""COMPUTED_VALUE"""),"Madam")</f>
        <v>Madam</v>
      </c>
      <c r="Q1609" s="1" t="str">
        <f>IFERROR(__xludf.DUMMYFUNCTION("""COMPUTED_VALUE"""),"No")</f>
        <v>No</v>
      </c>
      <c r="R1609" s="1" t="str">
        <f>IFERROR(__xludf.DUMMYFUNCTION("""COMPUTED_VALUE"""),"OLD")</f>
        <v>OLD</v>
      </c>
      <c r="S1609" s="1" t="str">
        <f>IFERROR(__xludf.DUMMYFUNCTION("""COMPUTED_VALUE"""),"No")</f>
        <v>No</v>
      </c>
    </row>
    <row r="1610">
      <c r="A1610" s="2">
        <f>IFERROR(__xludf.DUMMYFUNCTION("""COMPUTED_VALUE"""),46009.53612820602)</f>
        <v>46009.53613</v>
      </c>
      <c r="B1610" s="1" t="str">
        <f>IFERROR(__xludf.DUMMYFUNCTION("""COMPUTED_VALUE"""),"Shivam (fabric)")</f>
        <v>Shivam (fabric)</v>
      </c>
      <c r="C1610" s="1">
        <f>IFERROR(__xludf.DUMMYFUNCTION("""COMPUTED_VALUE"""),9.891102336E9)</f>
        <v>9891102336</v>
      </c>
      <c r="D1610" s="1">
        <f>IFERROR(__xludf.DUMMYFUNCTION("""COMPUTED_VALUE"""),2.0)</f>
        <v>2</v>
      </c>
      <c r="E1610" s="3">
        <f>IFERROR(__xludf.DUMMYFUNCTION("""COMPUTED_VALUE"""),0.5243055555547471)</f>
        <v>0.5243055556</v>
      </c>
      <c r="F1610" s="1" t="str">
        <f>IFERROR(__xludf.DUMMYFUNCTION("""COMPUTED_VALUE"""),"Plain Gold")</f>
        <v>Plain Gold</v>
      </c>
      <c r="G1610" s="1" t="str">
        <f>IFERROR(__xludf.DUMMYFUNCTION("""COMPUTED_VALUE"""),"Pooja")</f>
        <v>Pooja</v>
      </c>
      <c r="H1610" s="1" t="str">
        <f>IFERROR(__xludf.DUMMYFUNCTION("""COMPUTED_VALUE"""),"Baali")</f>
        <v>Baali</v>
      </c>
      <c r="I1610" s="1"/>
      <c r="J1610" s="1"/>
      <c r="K1610" s="3">
        <f>IFERROR(__xludf.DUMMYFUNCTION("""COMPUTED_VALUE"""),0.625)</f>
        <v>0.625</v>
      </c>
      <c r="L1610" s="1" t="str">
        <f>IFERROR(__xludf.DUMMYFUNCTION("""COMPUTED_VALUE"""),"Yes")</f>
        <v>Yes</v>
      </c>
      <c r="M1610" s="1" t="str">
        <f>IFERROR(__xludf.DUMMYFUNCTION("""COMPUTED_VALUE"""),"Yes")</f>
        <v>Yes</v>
      </c>
      <c r="N1610" s="1" t="str">
        <f>IFERROR(__xludf.DUMMYFUNCTION("""COMPUTED_VALUE"""),"Yes")</f>
        <v>Yes</v>
      </c>
      <c r="O1610" s="1" t="str">
        <f>IFERROR(__xludf.DUMMYFUNCTION("""COMPUTED_VALUE"""),"WA ONLY")</f>
        <v>WA ONLY</v>
      </c>
      <c r="P1610" s="1" t="str">
        <f>IFERROR(__xludf.DUMMYFUNCTION("""COMPUTED_VALUE"""),"Sir")</f>
        <v>Sir</v>
      </c>
      <c r="Q1610" s="1" t="str">
        <f>IFERROR(__xludf.DUMMYFUNCTION("""COMPUTED_VALUE"""),"No")</f>
        <v>No</v>
      </c>
      <c r="R1610" s="1" t="str">
        <f>IFERROR(__xludf.DUMMYFUNCTION("""COMPUTED_VALUE"""),"OLD")</f>
        <v>OLD</v>
      </c>
      <c r="S1610" s="1" t="str">
        <f>IFERROR(__xludf.DUMMYFUNCTION("""COMPUTED_VALUE"""),"Yes")</f>
        <v>Yes</v>
      </c>
    </row>
    <row r="1611">
      <c r="A1611" s="2">
        <f>IFERROR(__xludf.DUMMYFUNCTION("""COMPUTED_VALUE"""),46009.5372965162)</f>
        <v>46009.5373</v>
      </c>
      <c r="B1611" s="1" t="str">
        <f>IFERROR(__xludf.DUMMYFUNCTION("""COMPUTED_VALUE"""),"Dev")</f>
        <v>Dev</v>
      </c>
      <c r="C1611" s="1">
        <f>IFERROR(__xludf.DUMMYFUNCTION("""COMPUTED_VALUE"""),8.218191244E9)</f>
        <v>8218191244</v>
      </c>
      <c r="D1611" s="1">
        <f>IFERROR(__xludf.DUMMYFUNCTION("""COMPUTED_VALUE"""),1.0)</f>
        <v>1</v>
      </c>
      <c r="E1611" s="3">
        <f>IFERROR(__xludf.DUMMYFUNCTION("""COMPUTED_VALUE"""),0.6833333333343035)</f>
        <v>0.6833333333</v>
      </c>
      <c r="F1611" s="1" t="str">
        <f>IFERROR(__xludf.DUMMYFUNCTION("""COMPUTED_VALUE"""),"Silver Items")</f>
        <v>Silver Items</v>
      </c>
      <c r="G1611" s="1"/>
      <c r="H1611" s="1" t="str">
        <f>IFERROR(__xludf.DUMMYFUNCTION("""COMPUTED_VALUE"""),"Gold plated chain")</f>
        <v>Gold plated chain</v>
      </c>
      <c r="I1611" s="1" t="str">
        <f>IFERROR(__xludf.DUMMYFUNCTION("""COMPUTED_VALUE"""),"Visit Again in 1 Month")</f>
        <v>Visit Again in 1 Month</v>
      </c>
      <c r="J1611" s="1"/>
      <c r="K1611" s="3">
        <f>IFERROR(__xludf.DUMMYFUNCTION("""COMPUTED_VALUE"""),0.7687500000029104)</f>
        <v>0.76875</v>
      </c>
      <c r="L1611" s="1" t="str">
        <f>IFERROR(__xludf.DUMMYFUNCTION("""COMPUTED_VALUE"""),"No")</f>
        <v>No</v>
      </c>
      <c r="M1611" s="1" t="str">
        <f>IFERROR(__xludf.DUMMYFUNCTION("""COMPUTED_VALUE"""),"No")</f>
        <v>No</v>
      </c>
      <c r="N1611" s="1" t="str">
        <f>IFERROR(__xludf.DUMMYFUNCTION("""COMPUTED_VALUE"""),"No")</f>
        <v>No</v>
      </c>
      <c r="O1611" s="1" t="str">
        <f>IFERROR(__xludf.DUMMYFUNCTION("""COMPUTED_VALUE"""),"WA ONLY")</f>
        <v>WA ONLY</v>
      </c>
      <c r="P1611" s="1" t="str">
        <f>IFERROR(__xludf.DUMMYFUNCTION("""COMPUTED_VALUE"""),"Sir")</f>
        <v>Sir</v>
      </c>
      <c r="Q1611" s="1" t="str">
        <f>IFERROR(__xludf.DUMMYFUNCTION("""COMPUTED_VALUE"""),"No")</f>
        <v>No</v>
      </c>
      <c r="R1611" s="1" t="str">
        <f>IFERROR(__xludf.DUMMYFUNCTION("""COMPUTED_VALUE"""),"NEW WALK IN")</f>
        <v>NEW WALK IN</v>
      </c>
      <c r="S1611" s="1" t="str">
        <f>IFERROR(__xludf.DUMMYFUNCTION("""COMPUTED_VALUE"""),"No")</f>
        <v>No</v>
      </c>
    </row>
    <row r="1612">
      <c r="A1612" s="2">
        <f>IFERROR(__xludf.DUMMYFUNCTION("""COMPUTED_VALUE"""),46009.5383758449)</f>
        <v>46009.53838</v>
      </c>
      <c r="B1612" s="1" t="str">
        <f>IFERROR(__xludf.DUMMYFUNCTION("""COMPUTED_VALUE"""),"Nayadu")</f>
        <v>Nayadu</v>
      </c>
      <c r="C1612" s="1">
        <f>IFERROR(__xludf.DUMMYFUNCTION("""COMPUTED_VALUE"""),9.910116364E9)</f>
        <v>9910116364</v>
      </c>
      <c r="D1612" s="1">
        <f>IFERROR(__xludf.DUMMYFUNCTION("""COMPUTED_VALUE"""),2.0)</f>
        <v>2</v>
      </c>
      <c r="E1612" s="3">
        <f>IFERROR(__xludf.DUMMYFUNCTION("""COMPUTED_VALUE"""),0.6944444444452529)</f>
        <v>0.6944444444</v>
      </c>
      <c r="F1612" s="1" t="str">
        <f>IFERROR(__xludf.DUMMYFUNCTION("""COMPUTED_VALUE"""),"Plain Gold")</f>
        <v>Plain Gold</v>
      </c>
      <c r="G1612" s="1" t="str">
        <f>IFERROR(__xludf.DUMMYFUNCTION("""COMPUTED_VALUE"""),"Pooja")</f>
        <v>Pooja</v>
      </c>
      <c r="H1612" s="1" t="str">
        <f>IFERROR(__xludf.DUMMYFUNCTION("""COMPUTED_VALUE"""),"Baali")</f>
        <v>Baali</v>
      </c>
      <c r="I1612" s="1"/>
      <c r="J1612" s="1"/>
      <c r="K1612" s="3">
        <f>IFERROR(__xludf.DUMMYFUNCTION("""COMPUTED_VALUE"""),0.7604166666642413)</f>
        <v>0.7604166667</v>
      </c>
      <c r="L1612" s="1" t="str">
        <f>IFERROR(__xludf.DUMMYFUNCTION("""COMPUTED_VALUE"""),"Yes")</f>
        <v>Yes</v>
      </c>
      <c r="M1612" s="1" t="str">
        <f>IFERROR(__xludf.DUMMYFUNCTION("""COMPUTED_VALUE"""),"Yes")</f>
        <v>Yes</v>
      </c>
      <c r="N1612" s="1" t="str">
        <f>IFERROR(__xludf.DUMMYFUNCTION("""COMPUTED_VALUE"""),"No")</f>
        <v>No</v>
      </c>
      <c r="O1612" s="1" t="str">
        <f>IFERROR(__xludf.DUMMYFUNCTION("""COMPUTED_VALUE"""),"WA ONLY")</f>
        <v>WA ONLY</v>
      </c>
      <c r="P1612" s="1" t="str">
        <f>IFERROR(__xludf.DUMMYFUNCTION("""COMPUTED_VALUE"""),"Sir")</f>
        <v>Sir</v>
      </c>
      <c r="Q1612" s="1" t="str">
        <f>IFERROR(__xludf.DUMMYFUNCTION("""COMPUTED_VALUE"""),"No")</f>
        <v>No</v>
      </c>
      <c r="R1612" s="1" t="str">
        <f>IFERROR(__xludf.DUMMYFUNCTION("""COMPUTED_VALUE"""),"OLD")</f>
        <v>OLD</v>
      </c>
      <c r="S1612" s="1" t="str">
        <f>IFERROR(__xludf.DUMMYFUNCTION("""COMPUTED_VALUE"""),"Yes")</f>
        <v>Yes</v>
      </c>
    </row>
    <row r="1613">
      <c r="A1613" s="2">
        <f>IFERROR(__xludf.DUMMYFUNCTION("""COMPUTED_VALUE"""),46010.54074888889)</f>
        <v>46010.54075</v>
      </c>
      <c r="B1613" s="1" t="str">
        <f>IFERROR(__xludf.DUMMYFUNCTION("""COMPUTED_VALUE"""),"Nikhil ")</f>
        <v>Nikhil </v>
      </c>
      <c r="C1613" s="1">
        <f>IFERROR(__xludf.DUMMYFUNCTION("""COMPUTED_VALUE"""),8.826871984E9)</f>
        <v>8826871984</v>
      </c>
      <c r="D1613" s="1">
        <f>IFERROR(__xludf.DUMMYFUNCTION("""COMPUTED_VALUE"""),1.0)</f>
        <v>1</v>
      </c>
      <c r="E1613" s="3">
        <f>IFERROR(__xludf.DUMMYFUNCTION("""COMPUTED_VALUE"""),0.6916666666656965)</f>
        <v>0.6916666667</v>
      </c>
      <c r="F1613" s="1" t="str">
        <f>IFERROR(__xludf.DUMMYFUNCTION("""COMPUTED_VALUE"""),"Diamond")</f>
        <v>Diamond</v>
      </c>
      <c r="G1613" s="1"/>
      <c r="H1613" s="1" t="str">
        <f>IFERROR(__xludf.DUMMYFUNCTION("""COMPUTED_VALUE"""),"Ring")</f>
        <v>Ring</v>
      </c>
      <c r="I1613" s="1" t="str">
        <f>IFERROR(__xludf.DUMMYFUNCTION("""COMPUTED_VALUE"""),"Will visit again here to see the designs first")</f>
        <v>Will visit again here to see the designs first</v>
      </c>
      <c r="J1613" s="1"/>
      <c r="K1613" s="3">
        <f>IFERROR(__xludf.DUMMYFUNCTION("""COMPUTED_VALUE"""),0.6666666666642413)</f>
        <v>0.6666666667</v>
      </c>
      <c r="L1613" s="1" t="str">
        <f>IFERROR(__xludf.DUMMYFUNCTION("""COMPUTED_VALUE"""),"No")</f>
        <v>No</v>
      </c>
      <c r="M1613" s="1" t="str">
        <f>IFERROR(__xludf.DUMMYFUNCTION("""COMPUTED_VALUE"""),"No")</f>
        <v>No</v>
      </c>
      <c r="N1613" s="1" t="str">
        <f>IFERROR(__xludf.DUMMYFUNCTION("""COMPUTED_VALUE"""),"No")</f>
        <v>No</v>
      </c>
      <c r="O1613" s="1" t="str">
        <f>IFERROR(__xludf.DUMMYFUNCTION("""COMPUTED_VALUE"""),"WA ONLY")</f>
        <v>WA ONLY</v>
      </c>
      <c r="P1613" s="1" t="str">
        <f>IFERROR(__xludf.DUMMYFUNCTION("""COMPUTED_VALUE"""),"Sir")</f>
        <v>Sir</v>
      </c>
      <c r="Q1613" s="1" t="str">
        <f>IFERROR(__xludf.DUMMYFUNCTION("""COMPUTED_VALUE"""),"No")</f>
        <v>No</v>
      </c>
      <c r="R1613" s="1" t="str">
        <f>IFERROR(__xludf.DUMMYFUNCTION("""COMPUTED_VALUE"""),"NEW WALK IN")</f>
        <v>NEW WALK IN</v>
      </c>
      <c r="S1613" s="1" t="str">
        <f>IFERROR(__xludf.DUMMYFUNCTION("""COMPUTED_VALUE"""),"No")</f>
        <v>No</v>
      </c>
    </row>
    <row r="1614">
      <c r="A1614" s="2">
        <f>IFERROR(__xludf.DUMMYFUNCTION("""COMPUTED_VALUE"""),46015.56843322917)</f>
        <v>46015.56843</v>
      </c>
      <c r="B1614" s="1" t="str">
        <f>IFERROR(__xludf.DUMMYFUNCTION("""COMPUTED_VALUE"""),"Nayadu ")</f>
        <v>Nayadu </v>
      </c>
      <c r="C1614" s="1">
        <f>IFERROR(__xludf.DUMMYFUNCTION("""COMPUTED_VALUE"""),9.910116304E9)</f>
        <v>9910116304</v>
      </c>
      <c r="D1614" s="1">
        <f>IFERROR(__xludf.DUMMYFUNCTION("""COMPUTED_VALUE"""),2.0)</f>
        <v>2</v>
      </c>
      <c r="E1614" s="3">
        <f>IFERROR(__xludf.DUMMYFUNCTION("""COMPUTED_VALUE"""),0.6944444444452529)</f>
        <v>0.6944444444</v>
      </c>
      <c r="F1614" s="1" t="str">
        <f>IFERROR(__xludf.DUMMYFUNCTION("""COMPUTED_VALUE"""),"Plain Gold")</f>
        <v>Plain Gold</v>
      </c>
      <c r="G1614" s="1" t="str">
        <f>IFERROR(__xludf.DUMMYFUNCTION("""COMPUTED_VALUE"""),"Pooja")</f>
        <v>Pooja</v>
      </c>
      <c r="H1614" s="1" t="str">
        <f>IFERROR(__xludf.DUMMYFUNCTION("""COMPUTED_VALUE"""),"Baali")</f>
        <v>Baali</v>
      </c>
      <c r="I1614" s="1"/>
      <c r="J1614" s="1"/>
      <c r="K1614" s="3">
        <f>IFERROR(__xludf.DUMMYFUNCTION("""COMPUTED_VALUE"""),0.7604166666642413)</f>
        <v>0.7604166667</v>
      </c>
      <c r="L1614" s="1" t="str">
        <f>IFERROR(__xludf.DUMMYFUNCTION("""COMPUTED_VALUE"""),"Yes")</f>
        <v>Yes</v>
      </c>
      <c r="M1614" s="1" t="str">
        <f>IFERROR(__xludf.DUMMYFUNCTION("""COMPUTED_VALUE"""),"Yes")</f>
        <v>Yes</v>
      </c>
      <c r="N1614" s="1" t="str">
        <f>IFERROR(__xludf.DUMMYFUNCTION("""COMPUTED_VALUE"""),"No")</f>
        <v>No</v>
      </c>
      <c r="O1614" s="1" t="str">
        <f>IFERROR(__xludf.DUMMYFUNCTION("""COMPUTED_VALUE"""),"WA ONLY")</f>
        <v>WA ONLY</v>
      </c>
      <c r="P1614" s="1" t="str">
        <f>IFERROR(__xludf.DUMMYFUNCTION("""COMPUTED_VALUE"""),"Sir")</f>
        <v>Sir</v>
      </c>
      <c r="Q1614" s="1" t="str">
        <f>IFERROR(__xludf.DUMMYFUNCTION("""COMPUTED_VALUE"""),"No")</f>
        <v>No</v>
      </c>
      <c r="R1614" s="1" t="str">
        <f>IFERROR(__xludf.DUMMYFUNCTION("""COMPUTED_VALUE"""),"OLD")</f>
        <v>OLD</v>
      </c>
      <c r="S1614" s="1" t="str">
        <f>IFERROR(__xludf.DUMMYFUNCTION("""COMPUTED_VALUE"""),"Yes")</f>
        <v>Yes</v>
      </c>
    </row>
    <row r="1615">
      <c r="A1615" s="2">
        <f>IFERROR(__xludf.DUMMYFUNCTION("""COMPUTED_VALUE"""),46015.569530810186)</f>
        <v>46015.56953</v>
      </c>
      <c r="B1615" s="1" t="str">
        <f>IFERROR(__xludf.DUMMYFUNCTION("""COMPUTED_VALUE"""),"Nikhil ji")</f>
        <v>Nikhil ji</v>
      </c>
      <c r="C1615" s="1">
        <f>IFERROR(__xludf.DUMMYFUNCTION("""COMPUTED_VALUE"""),8.826871984E9)</f>
        <v>8826871984</v>
      </c>
      <c r="D1615" s="1">
        <f>IFERROR(__xludf.DUMMYFUNCTION("""COMPUTED_VALUE"""),1.0)</f>
        <v>1</v>
      </c>
      <c r="E1615" s="3">
        <f>IFERROR(__xludf.DUMMYFUNCTION("""COMPUTED_VALUE"""),0.6916666666656965)</f>
        <v>0.6916666667</v>
      </c>
      <c r="F1615" s="1" t="str">
        <f>IFERROR(__xludf.DUMMYFUNCTION("""COMPUTED_VALUE"""),"Diamond")</f>
        <v>Diamond</v>
      </c>
      <c r="G1615" s="1"/>
      <c r="H1615" s="1" t="str">
        <f>IFERROR(__xludf.DUMMYFUNCTION("""COMPUTED_VALUE"""),"Ring")</f>
        <v>Ring</v>
      </c>
      <c r="I1615" s="1" t="str">
        <f>IFERROR(__xludf.DUMMYFUNCTION("""COMPUTED_VALUE"""),"Visit Again in 1 Month")</f>
        <v>Visit Again in 1 Month</v>
      </c>
      <c r="J1615" s="1"/>
      <c r="K1615" s="3">
        <f>IFERROR(__xludf.DUMMYFUNCTION("""COMPUTED_VALUE"""),0.6666666666642413)</f>
        <v>0.6666666667</v>
      </c>
      <c r="L1615" s="1" t="str">
        <f>IFERROR(__xludf.DUMMYFUNCTION("""COMPUTED_VALUE"""),"No")</f>
        <v>No</v>
      </c>
      <c r="M1615" s="1" t="str">
        <f>IFERROR(__xludf.DUMMYFUNCTION("""COMPUTED_VALUE"""),"No")</f>
        <v>No</v>
      </c>
      <c r="N1615" s="1" t="str">
        <f>IFERROR(__xludf.DUMMYFUNCTION("""COMPUTED_VALUE"""),"No")</f>
        <v>No</v>
      </c>
      <c r="O1615" s="1" t="str">
        <f>IFERROR(__xludf.DUMMYFUNCTION("""COMPUTED_VALUE"""),"WA ONLY")</f>
        <v>WA ONLY</v>
      </c>
      <c r="P1615" s="1" t="str">
        <f>IFERROR(__xludf.DUMMYFUNCTION("""COMPUTED_VALUE"""),"Sir")</f>
        <v>Sir</v>
      </c>
      <c r="Q1615" s="1" t="str">
        <f>IFERROR(__xludf.DUMMYFUNCTION("""COMPUTED_VALUE"""),"No")</f>
        <v>No</v>
      </c>
      <c r="R1615" s="1" t="str">
        <f>IFERROR(__xludf.DUMMYFUNCTION("""COMPUTED_VALUE"""),"NEW WALK IN")</f>
        <v>NEW WALK IN</v>
      </c>
      <c r="S1615" s="1" t="str">
        <f>IFERROR(__xludf.DUMMYFUNCTION("""COMPUTED_VALUE"""),"No")</f>
        <v>No</v>
      </c>
    </row>
    <row r="1616">
      <c r="A1616" s="2">
        <f>IFERROR(__xludf.DUMMYFUNCTION("""COMPUTED_VALUE"""),46015.57207552083)</f>
        <v>46015.57208</v>
      </c>
      <c r="B1616" s="1" t="str">
        <f>IFERROR(__xludf.DUMMYFUNCTION("""COMPUTED_VALUE"""),"Poonam ji")</f>
        <v>Poonam ji</v>
      </c>
      <c r="C1616" s="1">
        <f>IFERROR(__xludf.DUMMYFUNCTION("""COMPUTED_VALUE"""),9.350104287E9)</f>
        <v>9350104287</v>
      </c>
      <c r="D1616" s="1">
        <f>IFERROR(__xludf.DUMMYFUNCTION("""COMPUTED_VALUE"""),1.0)</f>
        <v>1</v>
      </c>
      <c r="E1616" s="3">
        <f>IFERROR(__xludf.DUMMYFUNCTION("""COMPUTED_VALUE"""),0.6111111111094942)</f>
        <v>0.6111111111</v>
      </c>
      <c r="F1616" s="1" t="str">
        <f>IFERROR(__xludf.DUMMYFUNCTION("""COMPUTED_VALUE"""),"Diamond")</f>
        <v>Diamond</v>
      </c>
      <c r="G1616" s="1" t="str">
        <f>IFERROR(__xludf.DUMMYFUNCTION("""COMPUTED_VALUE"""),"Pooja")</f>
        <v>Pooja</v>
      </c>
      <c r="H1616" s="1" t="str">
        <f>IFERROR(__xludf.DUMMYFUNCTION("""COMPUTED_VALUE"""),"Earrings ")</f>
        <v>Earrings </v>
      </c>
      <c r="I1616" s="1"/>
      <c r="J1616" s="1"/>
      <c r="K1616" s="3">
        <f>IFERROR(__xludf.DUMMYFUNCTION("""COMPUTED_VALUE"""),0.65625)</f>
        <v>0.65625</v>
      </c>
      <c r="L1616" s="1" t="str">
        <f>IFERROR(__xludf.DUMMYFUNCTION("""COMPUTED_VALUE"""),"Yes")</f>
        <v>Yes</v>
      </c>
      <c r="M1616" s="1" t="str">
        <f>IFERROR(__xludf.DUMMYFUNCTION("""COMPUTED_VALUE"""),"No")</f>
        <v>No</v>
      </c>
      <c r="N1616" s="1" t="str">
        <f>IFERROR(__xludf.DUMMYFUNCTION("""COMPUTED_VALUE"""),"No")</f>
        <v>No</v>
      </c>
      <c r="O1616" s="1" t="str">
        <f>IFERROR(__xludf.DUMMYFUNCTION("""COMPUTED_VALUE"""),"WA ONLY")</f>
        <v>WA ONLY</v>
      </c>
      <c r="P1616" s="1" t="str">
        <f>IFERROR(__xludf.DUMMYFUNCTION("""COMPUTED_VALUE"""),"Madam")</f>
        <v>Madam</v>
      </c>
      <c r="Q1616" s="1" t="str">
        <f>IFERROR(__xludf.DUMMYFUNCTION("""COMPUTED_VALUE"""),"No")</f>
        <v>No</v>
      </c>
      <c r="R1616" s="1" t="str">
        <f>IFERROR(__xludf.DUMMYFUNCTION("""COMPUTED_VALUE"""),"OLD")</f>
        <v>OLD</v>
      </c>
      <c r="S1616" s="1" t="str">
        <f>IFERROR(__xludf.DUMMYFUNCTION("""COMPUTED_VALUE"""),"Yes")</f>
        <v>Yes</v>
      </c>
    </row>
    <row r="1617">
      <c r="A1617" s="2">
        <f>IFERROR(__xludf.DUMMYFUNCTION("""COMPUTED_VALUE"""),46015.57421013889)</f>
        <v>46015.57421</v>
      </c>
      <c r="B1617" s="1" t="str">
        <f>IFERROR(__xludf.DUMMYFUNCTION("""COMPUTED_VALUE"""),"Aydan (ajarbaijan)")</f>
        <v>Aydan (ajarbaijan)</v>
      </c>
      <c r="C1617" s="1" t="str">
        <f>IFERROR(__xludf.DUMMYFUNCTION("""COMPUTED_VALUE"""),"±994502057700")</f>
        <v>±994502057700</v>
      </c>
      <c r="D1617" s="1">
        <f>IFERROR(__xludf.DUMMYFUNCTION("""COMPUTED_VALUE"""),2.0)</f>
        <v>2</v>
      </c>
      <c r="E1617" s="3">
        <f>IFERROR(__xludf.DUMMYFUNCTION("""COMPUTED_VALUE"""),0.5715277777781012)</f>
        <v>0.5715277778</v>
      </c>
      <c r="F1617" s="1" t="str">
        <f>IFERROR(__xludf.DUMMYFUNCTION("""COMPUTED_VALUE"""),"Diamond")</f>
        <v>Diamond</v>
      </c>
      <c r="G1617" s="1"/>
      <c r="H1617" s="1" t="str">
        <f>IFERROR(__xludf.DUMMYFUNCTION("""COMPUTED_VALUE"""),"Earrings ")</f>
        <v>Earrings </v>
      </c>
      <c r="I1617" s="1" t="str">
        <f>IFERROR(__xludf.DUMMYFUNCTION("""COMPUTED_VALUE"""),"They were here for stones")</f>
        <v>They were here for stones</v>
      </c>
      <c r="J1617" s="1"/>
      <c r="K1617" s="3">
        <f>IFERROR(__xludf.DUMMYFUNCTION("""COMPUTED_VALUE"""),0.6145833333357587)</f>
        <v>0.6145833333</v>
      </c>
      <c r="L1617" s="1" t="str">
        <f>IFERROR(__xludf.DUMMYFUNCTION("""COMPUTED_VALUE"""),"Yes")</f>
        <v>Yes</v>
      </c>
      <c r="M1617" s="1" t="str">
        <f>IFERROR(__xludf.DUMMYFUNCTION("""COMPUTED_VALUE"""),"No")</f>
        <v>No</v>
      </c>
      <c r="N1617" s="1" t="str">
        <f>IFERROR(__xludf.DUMMYFUNCTION("""COMPUTED_VALUE"""),"No")</f>
        <v>No</v>
      </c>
      <c r="O1617" s="1" t="str">
        <f>IFERROR(__xludf.DUMMYFUNCTION("""COMPUTED_VALUE"""),"WA ONLY")</f>
        <v>WA ONLY</v>
      </c>
      <c r="P1617" s="1" t="str">
        <f>IFERROR(__xludf.DUMMYFUNCTION("""COMPUTED_VALUE"""),"Madam")</f>
        <v>Madam</v>
      </c>
      <c r="Q1617" s="1" t="str">
        <f>IFERROR(__xludf.DUMMYFUNCTION("""COMPUTED_VALUE"""),"No")</f>
        <v>No</v>
      </c>
      <c r="R1617" s="1" t="str">
        <f>IFERROR(__xludf.DUMMYFUNCTION("""COMPUTED_VALUE"""),"NEW WALK IN")</f>
        <v>NEW WALK IN</v>
      </c>
      <c r="S1617" s="1" t="str">
        <f>IFERROR(__xludf.DUMMYFUNCTION("""COMPUTED_VALUE"""),"No")</f>
        <v>No</v>
      </c>
    </row>
    <row r="1618">
      <c r="A1618" s="2">
        <f>IFERROR(__xludf.DUMMYFUNCTION("""COMPUTED_VALUE"""),46015.57615648148)</f>
        <v>46015.57616</v>
      </c>
      <c r="B1618" s="1" t="str">
        <f>IFERROR(__xludf.DUMMYFUNCTION("""COMPUTED_VALUE"""),"Sanjeev Jalan ji")</f>
        <v>Sanjeev Jalan ji</v>
      </c>
      <c r="C1618" s="1">
        <f>IFERROR(__xludf.DUMMYFUNCTION("""COMPUTED_VALUE"""),9.899725515E9)</f>
        <v>9899725515</v>
      </c>
      <c r="D1618" s="1">
        <f>IFERROR(__xludf.DUMMYFUNCTION("""COMPUTED_VALUE"""),2.0)</f>
        <v>2</v>
      </c>
      <c r="E1618" s="3">
        <f>IFERROR(__xludf.DUMMYFUNCTION("""COMPUTED_VALUE"""),0.5729166666642413)</f>
        <v>0.5729166667</v>
      </c>
      <c r="F1618" s="1" t="str">
        <f>IFERROR(__xludf.DUMMYFUNCTION("""COMPUTED_VALUE"""),"Plain Gold")</f>
        <v>Plain Gold</v>
      </c>
      <c r="G1618" s="1" t="str">
        <f>IFERROR(__xludf.DUMMYFUNCTION("""COMPUTED_VALUE"""),"Pooja")</f>
        <v>Pooja</v>
      </c>
      <c r="H1618" s="1" t="str">
        <f>IFERROR(__xludf.DUMMYFUNCTION("""COMPUTED_VALUE"""),"Chains")</f>
        <v>Chains</v>
      </c>
      <c r="I1618" s="1"/>
      <c r="J1618" s="1"/>
      <c r="K1618" s="3">
        <f>IFERROR(__xludf.DUMMYFUNCTION("""COMPUTED_VALUE"""),0.6666666666642413)</f>
        <v>0.6666666667</v>
      </c>
      <c r="L1618" s="1" t="str">
        <f>IFERROR(__xludf.DUMMYFUNCTION("""COMPUTED_VALUE"""),"No")</f>
        <v>No</v>
      </c>
      <c r="M1618" s="1" t="str">
        <f>IFERROR(__xludf.DUMMYFUNCTION("""COMPUTED_VALUE"""),"Already done ")</f>
        <v>Already done </v>
      </c>
      <c r="N1618" s="1" t="str">
        <f>IFERROR(__xludf.DUMMYFUNCTION("""COMPUTED_VALUE"""),"Already done ")</f>
        <v>Already done </v>
      </c>
      <c r="O1618" s="1" t="str">
        <f>IFERROR(__xludf.DUMMYFUNCTION("""COMPUTED_VALUE"""),"WA ONLY")</f>
        <v>WA ONLY</v>
      </c>
      <c r="P1618" s="1" t="str">
        <f>IFERROR(__xludf.DUMMYFUNCTION("""COMPUTED_VALUE"""),"Sir")</f>
        <v>Sir</v>
      </c>
      <c r="Q1618" s="1" t="str">
        <f>IFERROR(__xludf.DUMMYFUNCTION("""COMPUTED_VALUE"""),"No")</f>
        <v>No</v>
      </c>
      <c r="R1618" s="1" t="str">
        <f>IFERROR(__xludf.DUMMYFUNCTION("""COMPUTED_VALUE"""),"OLD")</f>
        <v>OLD</v>
      </c>
      <c r="S1618" s="1" t="str">
        <f>IFERROR(__xludf.DUMMYFUNCTION("""COMPUTED_VALUE"""),"Yes")</f>
        <v>Yes</v>
      </c>
    </row>
    <row r="1619">
      <c r="A1619" s="2">
        <f>IFERROR(__xludf.DUMMYFUNCTION("""COMPUTED_VALUE"""),46015.57719938658)</f>
        <v>46015.5772</v>
      </c>
      <c r="B1619" s="1" t="str">
        <f>IFERROR(__xludf.DUMMYFUNCTION("""COMPUTED_VALUE"""),"Deepti ji")</f>
        <v>Deepti ji</v>
      </c>
      <c r="C1619" s="1">
        <f>IFERROR(__xludf.DUMMYFUNCTION("""COMPUTED_VALUE"""),9.350115868E9)</f>
        <v>9350115868</v>
      </c>
      <c r="D1619" s="1">
        <f>IFERROR(__xludf.DUMMYFUNCTION("""COMPUTED_VALUE"""),2.0)</f>
        <v>2</v>
      </c>
      <c r="E1619" s="3">
        <f>IFERROR(__xludf.DUMMYFUNCTION("""COMPUTED_VALUE"""),0.5763888888905058)</f>
        <v>0.5763888889</v>
      </c>
      <c r="F1619" s="1" t="str">
        <f>IFERROR(__xludf.DUMMYFUNCTION("""COMPUTED_VALUE"""),"Plain Gold")</f>
        <v>Plain Gold</v>
      </c>
      <c r="G1619" s="1"/>
      <c r="H1619" s="1" t="str">
        <f>IFERROR(__xludf.DUMMYFUNCTION("""COMPUTED_VALUE"""),"Kitty")</f>
        <v>Kitty</v>
      </c>
      <c r="I1619" s="1"/>
      <c r="J1619" s="1"/>
      <c r="K1619" s="3">
        <f>IFERROR(__xludf.DUMMYFUNCTION("""COMPUTED_VALUE"""),0.6291666666656965)</f>
        <v>0.6291666667</v>
      </c>
      <c r="L1619" s="1" t="str">
        <f>IFERROR(__xludf.DUMMYFUNCTION("""COMPUTED_VALUE"""),"No")</f>
        <v>No</v>
      </c>
      <c r="M1619" s="1" t="str">
        <f>IFERROR(__xludf.DUMMYFUNCTION("""COMPUTED_VALUE"""),"No")</f>
        <v>No</v>
      </c>
      <c r="N1619" s="1" t="str">
        <f>IFERROR(__xludf.DUMMYFUNCTION("""COMPUTED_VALUE"""),"No")</f>
        <v>No</v>
      </c>
      <c r="O1619" s="1" t="str">
        <f>IFERROR(__xludf.DUMMYFUNCTION("""COMPUTED_VALUE"""),"WA ONLY")</f>
        <v>WA ONLY</v>
      </c>
      <c r="P1619" s="1" t="str">
        <f>IFERROR(__xludf.DUMMYFUNCTION("""COMPUTED_VALUE"""),"Madam")</f>
        <v>Madam</v>
      </c>
      <c r="Q1619" s="1" t="str">
        <f>IFERROR(__xludf.DUMMYFUNCTION("""COMPUTED_VALUE"""),"Yes")</f>
        <v>Yes</v>
      </c>
      <c r="R1619" s="1" t="str">
        <f>IFERROR(__xludf.DUMMYFUNCTION("""COMPUTED_VALUE"""),"OLD")</f>
        <v>OLD</v>
      </c>
      <c r="S1619" s="1" t="str">
        <f>IFERROR(__xludf.DUMMYFUNCTION("""COMPUTED_VALUE"""),"No")</f>
        <v>No</v>
      </c>
    </row>
    <row r="1620">
      <c r="A1620" s="2">
        <f>IFERROR(__xludf.DUMMYFUNCTION("""COMPUTED_VALUE"""),46015.57837461805)</f>
        <v>46015.57837</v>
      </c>
      <c r="B1620" s="1" t="str">
        <f>IFERROR(__xludf.DUMMYFUNCTION("""COMPUTED_VALUE"""),"Shubha ")</f>
        <v>Shubha </v>
      </c>
      <c r="C1620" s="1">
        <f>IFERROR(__xludf.DUMMYFUNCTION("""COMPUTED_VALUE"""),9.110083501E9)</f>
        <v>9110083501</v>
      </c>
      <c r="D1620" s="1">
        <f>IFERROR(__xludf.DUMMYFUNCTION("""COMPUTED_VALUE"""),2.0)</f>
        <v>2</v>
      </c>
      <c r="E1620" s="3">
        <f>IFERROR(__xludf.DUMMYFUNCTION("""COMPUTED_VALUE"""),0.6041666666642413)</f>
        <v>0.6041666667</v>
      </c>
      <c r="F1620" s="1" t="str">
        <f>IFERROR(__xludf.DUMMYFUNCTION("""COMPUTED_VALUE"""),"Silver Items")</f>
        <v>Silver Items</v>
      </c>
      <c r="G1620" s="1"/>
      <c r="H1620" s="1" t="str">
        <f>IFERROR(__xludf.DUMMYFUNCTION("""COMPUTED_VALUE"""),"For kitty")</f>
        <v>For kitty</v>
      </c>
      <c r="I1620" s="1"/>
      <c r="J1620" s="1"/>
      <c r="K1620" s="3">
        <f>IFERROR(__xludf.DUMMYFUNCTION("""COMPUTED_VALUE"""),0.6875)</f>
        <v>0.6875</v>
      </c>
      <c r="L1620" s="1" t="str">
        <f>IFERROR(__xludf.DUMMYFUNCTION("""COMPUTED_VALUE"""),"Yes")</f>
        <v>Yes</v>
      </c>
      <c r="M1620" s="1" t="str">
        <f>IFERROR(__xludf.DUMMYFUNCTION("""COMPUTED_VALUE"""),"No")</f>
        <v>No</v>
      </c>
      <c r="N1620" s="1" t="str">
        <f>IFERROR(__xludf.DUMMYFUNCTION("""COMPUTED_VALUE"""),"No")</f>
        <v>No</v>
      </c>
      <c r="O1620" s="1" t="str">
        <f>IFERROR(__xludf.DUMMYFUNCTION("""COMPUTED_VALUE"""),"WA ONLY")</f>
        <v>WA ONLY</v>
      </c>
      <c r="P1620" s="1" t="str">
        <f>IFERROR(__xludf.DUMMYFUNCTION("""COMPUTED_VALUE"""),"Madam")</f>
        <v>Madam</v>
      </c>
      <c r="Q1620" s="1" t="str">
        <f>IFERROR(__xludf.DUMMYFUNCTION("""COMPUTED_VALUE"""),"Yes")</f>
        <v>Yes</v>
      </c>
      <c r="R1620" s="1" t="str">
        <f>IFERROR(__xludf.DUMMYFUNCTION("""COMPUTED_VALUE"""),"OLD")</f>
        <v>OLD</v>
      </c>
      <c r="S1620" s="1" t="str">
        <f>IFERROR(__xludf.DUMMYFUNCTION("""COMPUTED_VALUE"""),"No")</f>
        <v>No</v>
      </c>
    </row>
    <row r="1621">
      <c r="A1621" s="2">
        <f>IFERROR(__xludf.DUMMYFUNCTION("""COMPUTED_VALUE"""),46015.57924464121)</f>
        <v>46015.57924</v>
      </c>
      <c r="B1621" s="1" t="str">
        <f>IFERROR(__xludf.DUMMYFUNCTION("""COMPUTED_VALUE"""),"Tarun")</f>
        <v>Tarun</v>
      </c>
      <c r="C1621" s="1">
        <f>IFERROR(__xludf.DUMMYFUNCTION("""COMPUTED_VALUE"""),9.891184225E9)</f>
        <v>9891184225</v>
      </c>
      <c r="D1621" s="1">
        <f>IFERROR(__xludf.DUMMYFUNCTION("""COMPUTED_VALUE"""),1.0)</f>
        <v>1</v>
      </c>
      <c r="E1621" s="3">
        <f>IFERROR(__xludf.DUMMYFUNCTION("""COMPUTED_VALUE"""),0.75)</f>
        <v>0.75</v>
      </c>
      <c r="F1621" s="1" t="str">
        <f>IFERROR(__xludf.DUMMYFUNCTION("""COMPUTED_VALUE"""),"Diamond")</f>
        <v>Diamond</v>
      </c>
      <c r="G1621" s="1"/>
      <c r="H1621" s="1" t="str">
        <f>IFERROR(__xludf.DUMMYFUNCTION("""COMPUTED_VALUE"""),"Gold mmtc coin")</f>
        <v>Gold mmtc coin</v>
      </c>
      <c r="I1621" s="1"/>
      <c r="J1621" s="1"/>
      <c r="K1621" s="3">
        <f>IFERROR(__xludf.DUMMYFUNCTION("""COMPUTED_VALUE"""),0.7673611111094942)</f>
        <v>0.7673611111</v>
      </c>
      <c r="L1621" s="1" t="str">
        <f>IFERROR(__xludf.DUMMYFUNCTION("""COMPUTED_VALUE"""),"Yes")</f>
        <v>Yes</v>
      </c>
      <c r="M1621" s="1" t="str">
        <f>IFERROR(__xludf.DUMMYFUNCTION("""COMPUTED_VALUE"""),"Yes")</f>
        <v>Yes</v>
      </c>
      <c r="N1621" s="1" t="str">
        <f>IFERROR(__xludf.DUMMYFUNCTION("""COMPUTED_VALUE"""),"No")</f>
        <v>No</v>
      </c>
      <c r="O1621" s="1" t="str">
        <f>IFERROR(__xludf.DUMMYFUNCTION("""COMPUTED_VALUE"""),"WA ONLY")</f>
        <v>WA ONLY</v>
      </c>
      <c r="P1621" s="1" t="str">
        <f>IFERROR(__xludf.DUMMYFUNCTION("""COMPUTED_VALUE"""),"Sir")</f>
        <v>Sir</v>
      </c>
      <c r="Q1621" s="1" t="str">
        <f>IFERROR(__xludf.DUMMYFUNCTION("""COMPUTED_VALUE"""),"No")</f>
        <v>No</v>
      </c>
      <c r="R1621" s="1" t="str">
        <f>IFERROR(__xludf.DUMMYFUNCTION("""COMPUTED_VALUE"""),"NEW WALK IN")</f>
        <v>NEW WALK IN</v>
      </c>
      <c r="S1621" s="1" t="str">
        <f>IFERROR(__xludf.DUMMYFUNCTION("""COMPUTED_VALUE"""),"Yes")</f>
        <v>Yes</v>
      </c>
    </row>
    <row r="1622">
      <c r="A1622" s="2">
        <f>IFERROR(__xludf.DUMMYFUNCTION("""COMPUTED_VALUE"""),46016.54333215278)</f>
        <v>46016.54333</v>
      </c>
      <c r="B1622" s="1" t="str">
        <f>IFERROR(__xludf.DUMMYFUNCTION("""COMPUTED_VALUE"""),"Deepak ")</f>
        <v>Deepak </v>
      </c>
      <c r="C1622" s="1">
        <f>IFERROR(__xludf.DUMMYFUNCTION("""COMPUTED_VALUE"""),9.416519794E9)</f>
        <v>9416519794</v>
      </c>
      <c r="D1622" s="1">
        <f>IFERROR(__xludf.DUMMYFUNCTION("""COMPUTED_VALUE"""),1.0)</f>
        <v>1</v>
      </c>
      <c r="E1622" s="3">
        <f>IFERROR(__xludf.DUMMYFUNCTION("""COMPUTED_VALUE"""),0.6006944444452529)</f>
        <v>0.6006944444</v>
      </c>
      <c r="F1622" s="1" t="str">
        <f>IFERROR(__xludf.DUMMYFUNCTION("""COMPUTED_VALUE"""),"Plain Gold")</f>
        <v>Plain Gold</v>
      </c>
      <c r="G1622" s="1" t="str">
        <f>IFERROR(__xludf.DUMMYFUNCTION("""COMPUTED_VALUE"""),"Pooja")</f>
        <v>Pooja</v>
      </c>
      <c r="H1622" s="1" t="str">
        <f>IFERROR(__xludf.DUMMYFUNCTION("""COMPUTED_VALUE"""),"10 gm gold coin")</f>
        <v>10 gm gold coin</v>
      </c>
      <c r="I1622" s="1"/>
      <c r="J1622" s="1"/>
      <c r="K1622" s="3">
        <f>IFERROR(__xludf.DUMMYFUNCTION("""COMPUTED_VALUE"""),0.625)</f>
        <v>0.625</v>
      </c>
      <c r="L1622" s="1" t="str">
        <f>IFERROR(__xludf.DUMMYFUNCTION("""COMPUTED_VALUE"""),"Yes")</f>
        <v>Yes</v>
      </c>
      <c r="M1622" s="1" t="str">
        <f>IFERROR(__xludf.DUMMYFUNCTION("""COMPUTED_VALUE"""),"Yes")</f>
        <v>Yes</v>
      </c>
      <c r="N1622" s="1" t="str">
        <f>IFERROR(__xludf.DUMMYFUNCTION("""COMPUTED_VALUE"""),"Yes")</f>
        <v>Yes</v>
      </c>
      <c r="O1622" s="1" t="str">
        <f>IFERROR(__xludf.DUMMYFUNCTION("""COMPUTED_VALUE"""),"WA ONLY")</f>
        <v>WA ONLY</v>
      </c>
      <c r="P1622" s="1" t="str">
        <f>IFERROR(__xludf.DUMMYFUNCTION("""COMPUTED_VALUE"""),"Sir")</f>
        <v>Sir</v>
      </c>
      <c r="Q1622" s="1" t="str">
        <f>IFERROR(__xludf.DUMMYFUNCTION("""COMPUTED_VALUE"""),"No")</f>
        <v>No</v>
      </c>
      <c r="R1622" s="1" t="str">
        <f>IFERROR(__xludf.DUMMYFUNCTION("""COMPUTED_VALUE"""),"NEW WALK IN")</f>
        <v>NEW WALK IN</v>
      </c>
      <c r="S1622" s="1" t="str">
        <f>IFERROR(__xludf.DUMMYFUNCTION("""COMPUTED_VALUE"""),"Yes")</f>
        <v>Yes</v>
      </c>
    </row>
    <row r="1623">
      <c r="A1623" s="2">
        <f>IFERROR(__xludf.DUMMYFUNCTION("""COMPUTED_VALUE"""),46016.544374247685)</f>
        <v>46016.54437</v>
      </c>
      <c r="B1623" s="1" t="str">
        <f>IFERROR(__xludf.DUMMYFUNCTION("""COMPUTED_VALUE"""),"Beena ji")</f>
        <v>Beena ji</v>
      </c>
      <c r="C1623" s="1">
        <f>IFERROR(__xludf.DUMMYFUNCTION("""COMPUTED_VALUE"""),8.800939462E9)</f>
        <v>8800939462</v>
      </c>
      <c r="D1623" s="1">
        <f>IFERROR(__xludf.DUMMYFUNCTION("""COMPUTED_VALUE"""),2.0)</f>
        <v>2</v>
      </c>
      <c r="E1623" s="3">
        <f>IFERROR(__xludf.DUMMYFUNCTION("""COMPUTED_VALUE"""),0.6354166666642413)</f>
        <v>0.6354166667</v>
      </c>
      <c r="F1623" s="1" t="str">
        <f>IFERROR(__xludf.DUMMYFUNCTION("""COMPUTED_VALUE"""),"Silver Items")</f>
        <v>Silver Items</v>
      </c>
      <c r="G1623" s="1" t="str">
        <f>IFERROR(__xludf.DUMMYFUNCTION("""COMPUTED_VALUE"""),"Pooja")</f>
        <v>Pooja</v>
      </c>
      <c r="H1623" s="1" t="str">
        <f>IFERROR(__xludf.DUMMYFUNCTION("""COMPUTED_VALUE"""),"Repair")</f>
        <v>Repair</v>
      </c>
      <c r="I1623" s="1"/>
      <c r="J1623" s="1"/>
      <c r="K1623" s="3">
        <f>IFERROR(__xludf.DUMMYFUNCTION("""COMPUTED_VALUE"""),0.6458333333357587)</f>
        <v>0.6458333333</v>
      </c>
      <c r="L1623" s="1" t="str">
        <f>IFERROR(__xludf.DUMMYFUNCTION("""COMPUTED_VALUE"""),"Yes")</f>
        <v>Yes</v>
      </c>
      <c r="M1623" s="1" t="str">
        <f>IFERROR(__xludf.DUMMYFUNCTION("""COMPUTED_VALUE"""),"Already done ")</f>
        <v>Already done </v>
      </c>
      <c r="N1623" s="1" t="str">
        <f>IFERROR(__xludf.DUMMYFUNCTION("""COMPUTED_VALUE"""),"Already done ")</f>
        <v>Already done </v>
      </c>
      <c r="O1623" s="1" t="str">
        <f>IFERROR(__xludf.DUMMYFUNCTION("""COMPUTED_VALUE"""),"WA ONLY, OWNER CONTACT ONLY")</f>
        <v>WA ONLY, OWNER CONTACT ONLY</v>
      </c>
      <c r="P1623" s="1" t="str">
        <f>IFERROR(__xludf.DUMMYFUNCTION("""COMPUTED_VALUE"""),"Madam")</f>
        <v>Madam</v>
      </c>
      <c r="Q1623" s="1" t="str">
        <f>IFERROR(__xludf.DUMMYFUNCTION("""COMPUTED_VALUE"""),"No")</f>
        <v>No</v>
      </c>
      <c r="R1623" s="1" t="str">
        <f>IFERROR(__xludf.DUMMYFUNCTION("""COMPUTED_VALUE"""),"OLD")</f>
        <v>OLD</v>
      </c>
      <c r="S1623" s="1" t="str">
        <f>IFERROR(__xludf.DUMMYFUNCTION("""COMPUTED_VALUE"""),"No")</f>
        <v>No</v>
      </c>
    </row>
    <row r="1624">
      <c r="A1624" s="2">
        <f>IFERROR(__xludf.DUMMYFUNCTION("""COMPUTED_VALUE"""),46016.545192314814)</f>
        <v>46016.54519</v>
      </c>
      <c r="B1624" s="1" t="str">
        <f>IFERROR(__xludf.DUMMYFUNCTION("""COMPUTED_VALUE"""),"Ramkishore")</f>
        <v>Ramkishore</v>
      </c>
      <c r="C1624" s="1">
        <f>IFERROR(__xludf.DUMMYFUNCTION("""COMPUTED_VALUE"""),8.491028157E9)</f>
        <v>8491028157</v>
      </c>
      <c r="D1624" s="1">
        <f>IFERROR(__xludf.DUMMYFUNCTION("""COMPUTED_VALUE"""),2.0)</f>
        <v>2</v>
      </c>
      <c r="E1624" s="3">
        <f>IFERROR(__xludf.DUMMYFUNCTION("""COMPUTED_VALUE"""),0.6666666666642413)</f>
        <v>0.6666666667</v>
      </c>
      <c r="F1624" s="1" t="str">
        <f>IFERROR(__xludf.DUMMYFUNCTION("""COMPUTED_VALUE"""),"Diamond")</f>
        <v>Diamond</v>
      </c>
      <c r="G1624" s="1" t="str">
        <f>IFERROR(__xludf.DUMMYFUNCTION("""COMPUTED_VALUE"""),"Pooja")</f>
        <v>Pooja</v>
      </c>
      <c r="H1624" s="1" t="str">
        <f>IFERROR(__xludf.DUMMYFUNCTION("""COMPUTED_VALUE"""),"Mmtc coin")</f>
        <v>Mmtc coin</v>
      </c>
      <c r="I1624" s="1"/>
      <c r="J1624" s="1"/>
      <c r="K1624" s="3">
        <f>IFERROR(__xludf.DUMMYFUNCTION("""COMPUTED_VALUE"""),0.71875)</f>
        <v>0.71875</v>
      </c>
      <c r="L1624" s="1" t="str">
        <f>IFERROR(__xludf.DUMMYFUNCTION("""COMPUTED_VALUE"""),"Yes")</f>
        <v>Yes</v>
      </c>
      <c r="M1624" s="1" t="str">
        <f>IFERROR(__xludf.DUMMYFUNCTION("""COMPUTED_VALUE"""),"Yes")</f>
        <v>Yes</v>
      </c>
      <c r="N1624" s="1" t="str">
        <f>IFERROR(__xludf.DUMMYFUNCTION("""COMPUTED_VALUE"""),"Yes")</f>
        <v>Yes</v>
      </c>
      <c r="O1624" s="1" t="str">
        <f>IFERROR(__xludf.DUMMYFUNCTION("""COMPUTED_VALUE"""),"WA ONLY")</f>
        <v>WA ONLY</v>
      </c>
      <c r="P1624" s="1" t="str">
        <f>IFERROR(__xludf.DUMMYFUNCTION("""COMPUTED_VALUE"""),"Sir")</f>
        <v>Sir</v>
      </c>
      <c r="Q1624" s="1" t="str">
        <f>IFERROR(__xludf.DUMMYFUNCTION("""COMPUTED_VALUE"""),"No")</f>
        <v>No</v>
      </c>
      <c r="R1624" s="1" t="str">
        <f>IFERROR(__xludf.DUMMYFUNCTION("""COMPUTED_VALUE"""),"NEW WALK IN")</f>
        <v>NEW WALK IN</v>
      </c>
      <c r="S1624" s="1" t="str">
        <f>IFERROR(__xludf.DUMMYFUNCTION("""COMPUTED_VALUE"""),"Yes")</f>
        <v>Yes</v>
      </c>
    </row>
    <row r="1625">
      <c r="A1625" s="2">
        <f>IFERROR(__xludf.DUMMYFUNCTION("""COMPUTED_VALUE"""),46017.542514016204)</f>
        <v>46017.54251</v>
      </c>
      <c r="B1625" s="1" t="str">
        <f>IFERROR(__xludf.DUMMYFUNCTION("""COMPUTED_VALUE"""),"Nikita ")</f>
        <v>Nikita </v>
      </c>
      <c r="C1625" s="1">
        <f>IFERROR(__xludf.DUMMYFUNCTION("""COMPUTED_VALUE"""),9.034107797E9)</f>
        <v>9034107797</v>
      </c>
      <c r="D1625" s="1">
        <f>IFERROR(__xludf.DUMMYFUNCTION("""COMPUTED_VALUE"""),2.0)</f>
        <v>2</v>
      </c>
      <c r="E1625" s="3">
        <f>IFERROR(__xludf.DUMMYFUNCTION("""COMPUTED_VALUE"""),0.53125)</f>
        <v>0.53125</v>
      </c>
      <c r="F1625" s="1" t="str">
        <f>IFERROR(__xludf.DUMMYFUNCTION("""COMPUTED_VALUE"""),"Plain Gold")</f>
        <v>Plain Gold</v>
      </c>
      <c r="G1625" s="1" t="str">
        <f>IFERROR(__xludf.DUMMYFUNCTION("""COMPUTED_VALUE"""),"Pooja")</f>
        <v>Pooja</v>
      </c>
      <c r="H1625" s="1" t="str">
        <f>IFERROR(__xludf.DUMMYFUNCTION("""COMPUTED_VALUE"""),"Nosepin")</f>
        <v>Nosepin</v>
      </c>
      <c r="I1625" s="1" t="str">
        <f>IFERROR(__xludf.DUMMYFUNCTION("""COMPUTED_VALUE"""),"Urgently needed a specific design we didn't had")</f>
        <v>Urgently needed a specific design we didn't had</v>
      </c>
      <c r="J1625" s="1"/>
      <c r="K1625" s="3">
        <f>IFERROR(__xludf.DUMMYFUNCTION("""COMPUTED_VALUE"""),0.5416666666642413)</f>
        <v>0.5416666667</v>
      </c>
      <c r="L1625" s="1" t="str">
        <f>IFERROR(__xludf.DUMMYFUNCTION("""COMPUTED_VALUE"""),"No")</f>
        <v>No</v>
      </c>
      <c r="M1625" s="1" t="str">
        <f>IFERROR(__xludf.DUMMYFUNCTION("""COMPUTED_VALUE"""),"No")</f>
        <v>No</v>
      </c>
      <c r="N1625" s="1" t="str">
        <f>IFERROR(__xludf.DUMMYFUNCTION("""COMPUTED_VALUE"""),"No")</f>
        <v>No</v>
      </c>
      <c r="O1625" s="1" t="str">
        <f>IFERROR(__xludf.DUMMYFUNCTION("""COMPUTED_VALUE"""),"WA ONLY")</f>
        <v>WA ONLY</v>
      </c>
      <c r="P1625" s="1" t="str">
        <f>IFERROR(__xludf.DUMMYFUNCTION("""COMPUTED_VALUE"""),"Madam")</f>
        <v>Madam</v>
      </c>
      <c r="Q1625" s="1" t="str">
        <f>IFERROR(__xludf.DUMMYFUNCTION("""COMPUTED_VALUE"""),"No")</f>
        <v>No</v>
      </c>
      <c r="R1625" s="1" t="str">
        <f>IFERROR(__xludf.DUMMYFUNCTION("""COMPUTED_VALUE"""),"NEW WALK IN")</f>
        <v>NEW WALK IN</v>
      </c>
      <c r="S1625" s="1" t="str">
        <f>IFERROR(__xludf.DUMMYFUNCTION("""COMPUTED_VALUE"""),"No")</f>
        <v>No</v>
      </c>
    </row>
    <row r="1626">
      <c r="A1626" s="2">
        <f>IFERROR(__xludf.DUMMYFUNCTION("""COMPUTED_VALUE"""),46017.543516527774)</f>
        <v>46017.54352</v>
      </c>
      <c r="B1626" s="1" t="str">
        <f>IFERROR(__xludf.DUMMYFUNCTION("""COMPUTED_VALUE"""),"Swati ji")</f>
        <v>Swati ji</v>
      </c>
      <c r="C1626" s="1">
        <f>IFERROR(__xludf.DUMMYFUNCTION("""COMPUTED_VALUE"""),9.821722208E9)</f>
        <v>9821722208</v>
      </c>
      <c r="D1626" s="1">
        <f>IFERROR(__xludf.DUMMYFUNCTION("""COMPUTED_VALUE"""),2.0)</f>
        <v>2</v>
      </c>
      <c r="E1626" s="3">
        <f>IFERROR(__xludf.DUMMYFUNCTION("""COMPUTED_VALUE"""),0.6847222222204437)</f>
        <v>0.6847222222</v>
      </c>
      <c r="F1626" s="1" t="str">
        <f>IFERROR(__xludf.DUMMYFUNCTION("""COMPUTED_VALUE"""),"Plain Gold")</f>
        <v>Plain Gold</v>
      </c>
      <c r="G1626" s="1"/>
      <c r="H1626" s="1" t="str">
        <f>IFERROR(__xludf.DUMMYFUNCTION("""COMPUTED_VALUE"""),"Matarmala")</f>
        <v>Matarmala</v>
      </c>
      <c r="I1626" s="1"/>
      <c r="J1626" s="1"/>
      <c r="K1626" s="3">
        <f>IFERROR(__xludf.DUMMYFUNCTION("""COMPUTED_VALUE"""),0.7354166666627862)</f>
        <v>0.7354166667</v>
      </c>
      <c r="L1626" s="1" t="str">
        <f>IFERROR(__xludf.DUMMYFUNCTION("""COMPUTED_VALUE"""),"Yes")</f>
        <v>Yes</v>
      </c>
      <c r="M1626" s="1" t="str">
        <f>IFERROR(__xludf.DUMMYFUNCTION("""COMPUTED_VALUE"""),"Yes")</f>
        <v>Yes</v>
      </c>
      <c r="N1626" s="1" t="str">
        <f>IFERROR(__xludf.DUMMYFUNCTION("""COMPUTED_VALUE"""),"Yes")</f>
        <v>Yes</v>
      </c>
      <c r="O1626" s="1" t="str">
        <f>IFERROR(__xludf.DUMMYFUNCTION("""COMPUTED_VALUE"""),"WA ONLY")</f>
        <v>WA ONLY</v>
      </c>
      <c r="P1626" s="1" t="str">
        <f>IFERROR(__xludf.DUMMYFUNCTION("""COMPUTED_VALUE"""),"Madam")</f>
        <v>Madam</v>
      </c>
      <c r="Q1626" s="1" t="str">
        <f>IFERROR(__xludf.DUMMYFUNCTION("""COMPUTED_VALUE"""),"No")</f>
        <v>No</v>
      </c>
      <c r="R1626" s="1" t="str">
        <f>IFERROR(__xludf.DUMMYFUNCTION("""COMPUTED_VALUE"""),"OLD")</f>
        <v>OLD</v>
      </c>
      <c r="S1626" s="1" t="str">
        <f>IFERROR(__xludf.DUMMYFUNCTION("""COMPUTED_VALUE"""),"Yes")</f>
        <v>Yes</v>
      </c>
    </row>
    <row r="1627">
      <c r="A1627" s="2">
        <f>IFERROR(__xludf.DUMMYFUNCTION("""COMPUTED_VALUE"""),46017.54560415509)</f>
        <v>46017.5456</v>
      </c>
      <c r="B1627" s="1" t="str">
        <f>IFERROR(__xludf.DUMMYFUNCTION("""COMPUTED_VALUE"""),"Ankita Rana")</f>
        <v>Ankita Rana</v>
      </c>
      <c r="C1627" s="1">
        <f>IFERROR(__xludf.DUMMYFUNCTION("""COMPUTED_VALUE"""),9.013362005E9)</f>
        <v>9013362005</v>
      </c>
      <c r="D1627" s="1">
        <f>IFERROR(__xludf.DUMMYFUNCTION("""COMPUTED_VALUE"""),2.0)</f>
        <v>2</v>
      </c>
      <c r="E1627" s="3">
        <f>IFERROR(__xludf.DUMMYFUNCTION("""COMPUTED_VALUE"""),0.6965277777781012)</f>
        <v>0.6965277778</v>
      </c>
      <c r="F1627" s="1" t="str">
        <f>IFERROR(__xludf.DUMMYFUNCTION("""COMPUTED_VALUE"""),"Plain Gold")</f>
        <v>Plain Gold</v>
      </c>
      <c r="G1627" s="1"/>
      <c r="H1627" s="1" t="str">
        <f>IFERROR(__xludf.DUMMYFUNCTION("""COMPUTED_VALUE"""),"Baali (2)")</f>
        <v>Baali (2)</v>
      </c>
      <c r="I1627" s="1"/>
      <c r="J1627" s="1"/>
      <c r="K1627" s="3">
        <f>IFERROR(__xludf.DUMMYFUNCTION("""COMPUTED_VALUE"""),0.71875)</f>
        <v>0.71875</v>
      </c>
      <c r="L1627" s="1" t="str">
        <f>IFERROR(__xludf.DUMMYFUNCTION("""COMPUTED_VALUE"""),"Yes")</f>
        <v>Yes</v>
      </c>
      <c r="M1627" s="1" t="str">
        <f>IFERROR(__xludf.DUMMYFUNCTION("""COMPUTED_VALUE"""),"Yes")</f>
        <v>Yes</v>
      </c>
      <c r="N1627" s="1" t="str">
        <f>IFERROR(__xludf.DUMMYFUNCTION("""COMPUTED_VALUE"""),"Yes")</f>
        <v>Yes</v>
      </c>
      <c r="O1627" s="1" t="str">
        <f>IFERROR(__xludf.DUMMYFUNCTION("""COMPUTED_VALUE"""),"WA ONLY")</f>
        <v>WA ONLY</v>
      </c>
      <c r="P1627" s="1" t="str">
        <f>IFERROR(__xludf.DUMMYFUNCTION("""COMPUTED_VALUE"""),"Madam")</f>
        <v>Madam</v>
      </c>
      <c r="Q1627" s="1" t="str">
        <f>IFERROR(__xludf.DUMMYFUNCTION("""COMPUTED_VALUE"""),"No")</f>
        <v>No</v>
      </c>
      <c r="R1627" s="1" t="str">
        <f>IFERROR(__xludf.DUMMYFUNCTION("""COMPUTED_VALUE"""),"OLD")</f>
        <v>OLD</v>
      </c>
      <c r="S1627" s="1" t="str">
        <f>IFERROR(__xludf.DUMMYFUNCTION("""COMPUTED_VALUE"""),"Yes")</f>
        <v>Yes</v>
      </c>
    </row>
    <row r="1628">
      <c r="A1628" s="2">
        <f>IFERROR(__xludf.DUMMYFUNCTION("""COMPUTED_VALUE"""),46017.54702261574)</f>
        <v>46017.54702</v>
      </c>
      <c r="B1628" s="1" t="str">
        <f>IFERROR(__xludf.DUMMYFUNCTION("""COMPUTED_VALUE"""),"Manoj")</f>
        <v>Manoj</v>
      </c>
      <c r="C1628" s="1">
        <f>IFERROR(__xludf.DUMMYFUNCTION("""COMPUTED_VALUE"""),9.810578174E9)</f>
        <v>9810578174</v>
      </c>
      <c r="D1628" s="1">
        <f>IFERROR(__xludf.DUMMYFUNCTION("""COMPUTED_VALUE"""),2.0)</f>
        <v>2</v>
      </c>
      <c r="E1628" s="3">
        <f>IFERROR(__xludf.DUMMYFUNCTION("""COMPUTED_VALUE"""),0.742361111115315)</f>
        <v>0.7423611111</v>
      </c>
      <c r="F1628" s="1" t="str">
        <f>IFERROR(__xludf.DUMMYFUNCTION("""COMPUTED_VALUE"""),"Silver Items")</f>
        <v>Silver Items</v>
      </c>
      <c r="G1628" s="1"/>
      <c r="H1628" s="1" t="str">
        <f>IFERROR(__xludf.DUMMYFUNCTION("""COMPUTED_VALUE"""),"Silver bar")</f>
        <v>Silver bar</v>
      </c>
      <c r="I1628" s="1"/>
      <c r="J1628" s="1"/>
      <c r="K1628" s="3">
        <f>IFERROR(__xludf.DUMMYFUNCTION("""COMPUTED_VALUE"""),0.7916666666642413)</f>
        <v>0.7916666667</v>
      </c>
      <c r="L1628" s="1" t="str">
        <f>IFERROR(__xludf.DUMMYFUNCTION("""COMPUTED_VALUE"""),"Yes")</f>
        <v>Yes</v>
      </c>
      <c r="M1628" s="1" t="str">
        <f>IFERROR(__xludf.DUMMYFUNCTION("""COMPUTED_VALUE"""),"Yes")</f>
        <v>Yes</v>
      </c>
      <c r="N1628" s="1" t="str">
        <f>IFERROR(__xludf.DUMMYFUNCTION("""COMPUTED_VALUE"""),"Yes")</f>
        <v>Yes</v>
      </c>
      <c r="O1628" s="1" t="str">
        <f>IFERROR(__xludf.DUMMYFUNCTION("""COMPUTED_VALUE"""),"WA ONLY")</f>
        <v>WA ONLY</v>
      </c>
      <c r="P1628" s="1" t="str">
        <f>IFERROR(__xludf.DUMMYFUNCTION("""COMPUTED_VALUE"""),"Sir")</f>
        <v>Sir</v>
      </c>
      <c r="Q1628" s="1" t="str">
        <f>IFERROR(__xludf.DUMMYFUNCTION("""COMPUTED_VALUE"""),"No")</f>
        <v>No</v>
      </c>
      <c r="R1628" s="1" t="str">
        <f>IFERROR(__xludf.DUMMYFUNCTION("""COMPUTED_VALUE"""),"OLD")</f>
        <v>OLD</v>
      </c>
      <c r="S1628" s="1" t="str">
        <f>IFERROR(__xludf.DUMMYFUNCTION("""COMPUTED_VALUE"""),"Yes")</f>
        <v>Yes</v>
      </c>
    </row>
    <row r="1629">
      <c r="A1629" s="2">
        <f>IFERROR(__xludf.DUMMYFUNCTION("""COMPUTED_VALUE"""),46018.537258275464)</f>
        <v>46018.53726</v>
      </c>
      <c r="B1629" s="1" t="str">
        <f>IFERROR(__xludf.DUMMYFUNCTION("""COMPUTED_VALUE"""),"Manoj")</f>
        <v>Manoj</v>
      </c>
      <c r="C1629" s="1">
        <f>IFERROR(__xludf.DUMMYFUNCTION("""COMPUTED_VALUE"""),9.810578174E9)</f>
        <v>9810578174</v>
      </c>
      <c r="D1629" s="1">
        <f>IFERROR(__xludf.DUMMYFUNCTION("""COMPUTED_VALUE"""),2.0)</f>
        <v>2</v>
      </c>
      <c r="E1629" s="3">
        <f>IFERROR(__xludf.DUMMYFUNCTION("""COMPUTED_VALUE"""),0.5263888888875954)</f>
        <v>0.5263888889</v>
      </c>
      <c r="F1629" s="1" t="str">
        <f>IFERROR(__xludf.DUMMYFUNCTION("""COMPUTED_VALUE"""),"Silver Items")</f>
        <v>Silver Items</v>
      </c>
      <c r="G1629" s="1"/>
      <c r="H1629" s="1" t="str">
        <f>IFERROR(__xludf.DUMMYFUNCTION("""COMPUTED_VALUE"""),"Gold coin ")</f>
        <v>Gold coin </v>
      </c>
      <c r="I1629" s="1"/>
      <c r="J1629" s="1"/>
      <c r="K1629" s="3">
        <f>IFERROR(__xludf.DUMMYFUNCTION("""COMPUTED_VALUE"""),0.5347222222189885)</f>
        <v>0.5347222222</v>
      </c>
      <c r="L1629" s="1" t="str">
        <f>IFERROR(__xludf.DUMMYFUNCTION("""COMPUTED_VALUE"""),"No")</f>
        <v>No</v>
      </c>
      <c r="M1629" s="1" t="str">
        <f>IFERROR(__xludf.DUMMYFUNCTION("""COMPUTED_VALUE"""),"Already done ")</f>
        <v>Already done </v>
      </c>
      <c r="N1629" s="1" t="str">
        <f>IFERROR(__xludf.DUMMYFUNCTION("""COMPUTED_VALUE"""),"Already done ")</f>
        <v>Already done </v>
      </c>
      <c r="O1629" s="1" t="str">
        <f>IFERROR(__xludf.DUMMYFUNCTION("""COMPUTED_VALUE"""),"WA ONLY")</f>
        <v>WA ONLY</v>
      </c>
      <c r="P1629" s="1" t="str">
        <f>IFERROR(__xludf.DUMMYFUNCTION("""COMPUTED_VALUE"""),"Sir")</f>
        <v>Sir</v>
      </c>
      <c r="Q1629" s="1" t="str">
        <f>IFERROR(__xludf.DUMMYFUNCTION("""COMPUTED_VALUE"""),"No")</f>
        <v>No</v>
      </c>
      <c r="R1629" s="1" t="str">
        <f>IFERROR(__xludf.DUMMYFUNCTION("""COMPUTED_VALUE"""),"OLD")</f>
        <v>OLD</v>
      </c>
      <c r="S1629" s="1" t="str">
        <f>IFERROR(__xludf.DUMMYFUNCTION("""COMPUTED_VALUE"""),"Yes")</f>
        <v>Yes</v>
      </c>
    </row>
    <row r="1630">
      <c r="A1630" s="2">
        <f>IFERROR(__xludf.DUMMYFUNCTION("""COMPUTED_VALUE"""),46018.538357997684)</f>
        <v>46018.53836</v>
      </c>
      <c r="B1630" s="1" t="str">
        <f>IFERROR(__xludf.DUMMYFUNCTION("""COMPUTED_VALUE"""),"Sanjeev jalan ji")</f>
        <v>Sanjeev jalan ji</v>
      </c>
      <c r="C1630" s="1">
        <f>IFERROR(__xludf.DUMMYFUNCTION("""COMPUTED_VALUE"""),9.899725515E9)</f>
        <v>9899725515</v>
      </c>
      <c r="D1630" s="1">
        <f>IFERROR(__xludf.DUMMYFUNCTION("""COMPUTED_VALUE"""),1.0)</f>
        <v>1</v>
      </c>
      <c r="E1630" s="3">
        <f>IFERROR(__xludf.DUMMYFUNCTION("""COMPUTED_VALUE"""),0.5569444444408873)</f>
        <v>0.5569444444</v>
      </c>
      <c r="F1630" s="1" t="str">
        <f>IFERROR(__xludf.DUMMYFUNCTION("""COMPUTED_VALUE"""),"Plain Gold")</f>
        <v>Plain Gold</v>
      </c>
      <c r="G1630" s="1" t="str">
        <f>IFERROR(__xludf.DUMMYFUNCTION("""COMPUTED_VALUE"""),"Pooja")</f>
        <v>Pooja</v>
      </c>
      <c r="H1630" s="1" t="str">
        <f>IFERROR(__xludf.DUMMYFUNCTION("""COMPUTED_VALUE"""),"For billing ")</f>
        <v>For billing </v>
      </c>
      <c r="I1630" s="1"/>
      <c r="J1630" s="1"/>
      <c r="K1630" s="3">
        <f>IFERROR(__xludf.DUMMYFUNCTION("""COMPUTED_VALUE"""),0.5972222222189885)</f>
        <v>0.5972222222</v>
      </c>
      <c r="L1630" s="1" t="str">
        <f>IFERROR(__xludf.DUMMYFUNCTION("""COMPUTED_VALUE"""),"No")</f>
        <v>No</v>
      </c>
      <c r="M1630" s="1" t="str">
        <f>IFERROR(__xludf.DUMMYFUNCTION("""COMPUTED_VALUE"""),"Already done ")</f>
        <v>Already done </v>
      </c>
      <c r="N1630" s="1" t="str">
        <f>IFERROR(__xludf.DUMMYFUNCTION("""COMPUTED_VALUE"""),"Already done ")</f>
        <v>Already done </v>
      </c>
      <c r="O1630" s="1" t="str">
        <f>IFERROR(__xludf.DUMMYFUNCTION("""COMPUTED_VALUE"""),"WA ONLY")</f>
        <v>WA ONLY</v>
      </c>
      <c r="P1630" s="1" t="str">
        <f>IFERROR(__xludf.DUMMYFUNCTION("""COMPUTED_VALUE"""),"Sir")</f>
        <v>Sir</v>
      </c>
      <c r="Q1630" s="1" t="str">
        <f>IFERROR(__xludf.DUMMYFUNCTION("""COMPUTED_VALUE"""),"No")</f>
        <v>No</v>
      </c>
      <c r="R1630" s="1" t="str">
        <f>IFERROR(__xludf.DUMMYFUNCTION("""COMPUTED_VALUE"""),"OLD")</f>
        <v>OLD</v>
      </c>
      <c r="S1630" s="1" t="str">
        <f>IFERROR(__xludf.DUMMYFUNCTION("""COMPUTED_VALUE"""),"No")</f>
        <v>No</v>
      </c>
    </row>
    <row r="1631">
      <c r="A1631" s="2">
        <f>IFERROR(__xludf.DUMMYFUNCTION("""COMPUTED_VALUE"""),46018.539538310186)</f>
        <v>46018.53954</v>
      </c>
      <c r="B1631" s="1" t="str">
        <f>IFERROR(__xludf.DUMMYFUNCTION("""COMPUTED_VALUE"""),"Brahmdev")</f>
        <v>Brahmdev</v>
      </c>
      <c r="C1631" s="1">
        <f>IFERROR(__xludf.DUMMYFUNCTION("""COMPUTED_VALUE"""),9.821776055E9)</f>
        <v>9821776055</v>
      </c>
      <c r="D1631" s="1">
        <f>IFERROR(__xludf.DUMMYFUNCTION("""COMPUTED_VALUE"""),1.0)</f>
        <v>1</v>
      </c>
      <c r="E1631" s="3">
        <f>IFERROR(__xludf.DUMMYFUNCTION("""COMPUTED_VALUE"""),0.5569444444408873)</f>
        <v>0.5569444444</v>
      </c>
      <c r="F1631" s="1" t="str">
        <f>IFERROR(__xludf.DUMMYFUNCTION("""COMPUTED_VALUE"""),"Silver Items")</f>
        <v>Silver Items</v>
      </c>
      <c r="G1631" s="1"/>
      <c r="H1631" s="1" t="str">
        <f>IFERROR(__xludf.DUMMYFUNCTION("""COMPUTED_VALUE"""),"Mmtc silver coin")</f>
        <v>Mmtc silver coin</v>
      </c>
      <c r="I1631" s="1"/>
      <c r="J1631" s="1"/>
      <c r="K1631" s="3">
        <f>IFERROR(__xludf.DUMMYFUNCTION("""COMPUTED_VALUE"""),0.6472222222218988)</f>
        <v>0.6472222222</v>
      </c>
      <c r="L1631" s="1" t="str">
        <f>IFERROR(__xludf.DUMMYFUNCTION("""COMPUTED_VALUE"""),"Yes")</f>
        <v>Yes</v>
      </c>
      <c r="M1631" s="1" t="str">
        <f>IFERROR(__xludf.DUMMYFUNCTION("""COMPUTED_VALUE"""),"No")</f>
        <v>No</v>
      </c>
      <c r="N1631" s="1" t="str">
        <f>IFERROR(__xludf.DUMMYFUNCTION("""COMPUTED_VALUE"""),"No")</f>
        <v>No</v>
      </c>
      <c r="O1631" s="1" t="str">
        <f>IFERROR(__xludf.DUMMYFUNCTION("""COMPUTED_VALUE"""),"WA ONLY")</f>
        <v>WA ONLY</v>
      </c>
      <c r="P1631" s="1" t="str">
        <f>IFERROR(__xludf.DUMMYFUNCTION("""COMPUTED_VALUE"""),"Sir")</f>
        <v>Sir</v>
      </c>
      <c r="Q1631" s="1" t="str">
        <f>IFERROR(__xludf.DUMMYFUNCTION("""COMPUTED_VALUE"""),"No")</f>
        <v>No</v>
      </c>
      <c r="R1631" s="1" t="str">
        <f>IFERROR(__xludf.DUMMYFUNCTION("""COMPUTED_VALUE"""),"NEW WALK IN")</f>
        <v>NEW WALK IN</v>
      </c>
      <c r="S1631" s="1" t="str">
        <f>IFERROR(__xludf.DUMMYFUNCTION("""COMPUTED_VALUE"""),"Yes")</f>
        <v>Yes</v>
      </c>
    </row>
    <row r="1632">
      <c r="A1632" s="2">
        <f>IFERROR(__xludf.DUMMYFUNCTION("""COMPUTED_VALUE"""),46018.540535416665)</f>
        <v>46018.54054</v>
      </c>
      <c r="B1632" s="1" t="str">
        <f>IFERROR(__xludf.DUMMYFUNCTION("""COMPUTED_VALUE"""),"Kusum")</f>
        <v>Kusum</v>
      </c>
      <c r="C1632" s="1">
        <f>IFERROR(__xludf.DUMMYFUNCTION("""COMPUTED_VALUE"""),8.368953488E9)</f>
        <v>8368953488</v>
      </c>
      <c r="D1632" s="1">
        <f>IFERROR(__xludf.DUMMYFUNCTION("""COMPUTED_VALUE"""),3.0)</f>
        <v>3</v>
      </c>
      <c r="E1632" s="3">
        <f>IFERROR(__xludf.DUMMYFUNCTION("""COMPUTED_VALUE"""),0.6666666666642413)</f>
        <v>0.6666666667</v>
      </c>
      <c r="F1632" s="1" t="str">
        <f>IFERROR(__xludf.DUMMYFUNCTION("""COMPUTED_VALUE"""),"Plain Gold")</f>
        <v>Plain Gold</v>
      </c>
      <c r="G1632" s="1"/>
      <c r="H1632" s="1" t="str">
        <f>IFERROR(__xludf.DUMMYFUNCTION("""COMPUTED_VALUE"""),"Gold set")</f>
        <v>Gold set</v>
      </c>
      <c r="I1632" s="1"/>
      <c r="J1632" s="1"/>
      <c r="K1632" s="3">
        <f>IFERROR(__xludf.DUMMYFUNCTION("""COMPUTED_VALUE"""),0.7458333333343035)</f>
        <v>0.7458333333</v>
      </c>
      <c r="L1632" s="1" t="str">
        <f>IFERROR(__xludf.DUMMYFUNCTION("""COMPUTED_VALUE"""),"Yes")</f>
        <v>Yes</v>
      </c>
      <c r="M1632" s="1" t="str">
        <f>IFERROR(__xludf.DUMMYFUNCTION("""COMPUTED_VALUE"""),"No")</f>
        <v>No</v>
      </c>
      <c r="N1632" s="1" t="str">
        <f>IFERROR(__xludf.DUMMYFUNCTION("""COMPUTED_VALUE"""),"No")</f>
        <v>No</v>
      </c>
      <c r="O1632" s="1" t="str">
        <f>IFERROR(__xludf.DUMMYFUNCTION("""COMPUTED_VALUE"""),"WA ONLY")</f>
        <v>WA ONLY</v>
      </c>
      <c r="P1632" s="1" t="str">
        <f>IFERROR(__xludf.DUMMYFUNCTION("""COMPUTED_VALUE"""),"Madam")</f>
        <v>Madam</v>
      </c>
      <c r="Q1632" s="1" t="str">
        <f>IFERROR(__xludf.DUMMYFUNCTION("""COMPUTED_VALUE"""),"Yes")</f>
        <v>Yes</v>
      </c>
      <c r="R1632" s="1" t="str">
        <f>IFERROR(__xludf.DUMMYFUNCTION("""COMPUTED_VALUE"""),"OLD")</f>
        <v>OLD</v>
      </c>
      <c r="S1632" s="1" t="str">
        <f>IFERROR(__xludf.DUMMYFUNCTION("""COMPUTED_VALUE"""),"Yes")</f>
        <v>Yes</v>
      </c>
    </row>
    <row r="1633">
      <c r="A1633" s="2">
        <f>IFERROR(__xludf.DUMMYFUNCTION("""COMPUTED_VALUE"""),46018.54172238426)</f>
        <v>46018.54172</v>
      </c>
      <c r="B1633" s="1" t="str">
        <f>IFERROR(__xludf.DUMMYFUNCTION("""COMPUTED_VALUE"""),"Shahdab")</f>
        <v>Shahdab</v>
      </c>
      <c r="C1633" s="1">
        <f>IFERROR(__xludf.DUMMYFUNCTION("""COMPUTED_VALUE"""),8.92048752E9)</f>
        <v>8920487520</v>
      </c>
      <c r="D1633" s="1">
        <f>IFERROR(__xludf.DUMMYFUNCTION("""COMPUTED_VALUE"""),2.0)</f>
        <v>2</v>
      </c>
      <c r="E1633" s="3">
        <f>IFERROR(__xludf.DUMMYFUNCTION("""COMPUTED_VALUE"""),0.6736111111094942)</f>
        <v>0.6736111111</v>
      </c>
      <c r="F1633" s="1" t="str">
        <f>IFERROR(__xludf.DUMMYFUNCTION("""COMPUTED_VALUE"""),"Plain Gold")</f>
        <v>Plain Gold</v>
      </c>
      <c r="G1633" s="1" t="str">
        <f>IFERROR(__xludf.DUMMYFUNCTION("""COMPUTED_VALUE"""),"Pooja")</f>
        <v>Pooja</v>
      </c>
      <c r="H1633" s="1" t="str">
        <f>IFERROR(__xludf.DUMMYFUNCTION("""COMPUTED_VALUE"""),"Nosepin")</f>
        <v>Nosepin</v>
      </c>
      <c r="I1633" s="1" t="str">
        <f>IFERROR(__xludf.DUMMYFUNCTION("""COMPUTED_VALUE"""),"Their budget was less for the design they wanted")</f>
        <v>Their budget was less for the design they wanted</v>
      </c>
      <c r="J1633" s="1"/>
      <c r="K1633" s="3">
        <f>IFERROR(__xludf.DUMMYFUNCTION("""COMPUTED_VALUE"""),0.6861111111065838)</f>
        <v>0.6861111111</v>
      </c>
      <c r="L1633" s="1" t="str">
        <f>IFERROR(__xludf.DUMMYFUNCTION("""COMPUTED_VALUE"""),"No")</f>
        <v>No</v>
      </c>
      <c r="M1633" s="1" t="str">
        <f>IFERROR(__xludf.DUMMYFUNCTION("""COMPUTED_VALUE"""),"No")</f>
        <v>No</v>
      </c>
      <c r="N1633" s="1" t="str">
        <f>IFERROR(__xludf.DUMMYFUNCTION("""COMPUTED_VALUE"""),"No")</f>
        <v>No</v>
      </c>
      <c r="O1633" s="1" t="str">
        <f>IFERROR(__xludf.DUMMYFUNCTION("""COMPUTED_VALUE"""),"WA ONLY")</f>
        <v>WA ONLY</v>
      </c>
      <c r="P1633" s="1" t="str">
        <f>IFERROR(__xludf.DUMMYFUNCTION("""COMPUTED_VALUE"""),"Sir")</f>
        <v>Sir</v>
      </c>
      <c r="Q1633" s="1" t="str">
        <f>IFERROR(__xludf.DUMMYFUNCTION("""COMPUTED_VALUE"""),"No")</f>
        <v>No</v>
      </c>
      <c r="R1633" s="1" t="str">
        <f>IFERROR(__xludf.DUMMYFUNCTION("""COMPUTED_VALUE"""),"NEW WALK IN")</f>
        <v>NEW WALK IN</v>
      </c>
      <c r="S1633" s="1" t="str">
        <f>IFERROR(__xludf.DUMMYFUNCTION("""COMPUTED_VALUE"""),"No")</f>
        <v>No</v>
      </c>
    </row>
    <row r="1634">
      <c r="A1634" s="2">
        <f>IFERROR(__xludf.DUMMYFUNCTION("""COMPUTED_VALUE"""),46018.542639039355)</f>
        <v>46018.54264</v>
      </c>
      <c r="B1634" s="1" t="str">
        <f>IFERROR(__xludf.DUMMYFUNCTION("""COMPUTED_VALUE"""),"Deepak")</f>
        <v>Deepak</v>
      </c>
      <c r="C1634" s="1">
        <f>IFERROR(__xludf.DUMMYFUNCTION("""COMPUTED_VALUE"""),9.416519794E9)</f>
        <v>9416519794</v>
      </c>
      <c r="D1634" s="1">
        <f>IFERROR(__xludf.DUMMYFUNCTION("""COMPUTED_VALUE"""),2.0)</f>
        <v>2</v>
      </c>
      <c r="E1634" s="3">
        <f>IFERROR(__xludf.DUMMYFUNCTION("""COMPUTED_VALUE"""),0.6958333333313931)</f>
        <v>0.6958333333</v>
      </c>
      <c r="F1634" s="1" t="str">
        <f>IFERROR(__xludf.DUMMYFUNCTION("""COMPUTED_VALUE"""),"Plain Gold")</f>
        <v>Plain Gold</v>
      </c>
      <c r="G1634" s="1" t="str">
        <f>IFERROR(__xludf.DUMMYFUNCTION("""COMPUTED_VALUE"""),"Pooja")</f>
        <v>Pooja</v>
      </c>
      <c r="H1634" s="1" t="str">
        <f>IFERROR(__xludf.DUMMYFUNCTION("""COMPUTED_VALUE"""),"Gold coin")</f>
        <v>Gold coin</v>
      </c>
      <c r="I1634" s="1"/>
      <c r="J1634" s="1"/>
      <c r="K1634" s="3">
        <f>IFERROR(__xludf.DUMMYFUNCTION("""COMPUTED_VALUE"""),0.6979166666642413)</f>
        <v>0.6979166667</v>
      </c>
      <c r="L1634" s="1" t="str">
        <f>IFERROR(__xludf.DUMMYFUNCTION("""COMPUTED_VALUE"""),"No")</f>
        <v>No</v>
      </c>
      <c r="M1634" s="1" t="str">
        <f>IFERROR(__xludf.DUMMYFUNCTION("""COMPUTED_VALUE"""),"Already done ")</f>
        <v>Already done </v>
      </c>
      <c r="N1634" s="1" t="str">
        <f>IFERROR(__xludf.DUMMYFUNCTION("""COMPUTED_VALUE"""),"Already done ")</f>
        <v>Already done </v>
      </c>
      <c r="O1634" s="1" t="str">
        <f>IFERROR(__xludf.DUMMYFUNCTION("""COMPUTED_VALUE"""),"WA ONLY")</f>
        <v>WA ONLY</v>
      </c>
      <c r="P1634" s="1" t="str">
        <f>IFERROR(__xludf.DUMMYFUNCTION("""COMPUTED_VALUE"""),"Sir")</f>
        <v>Sir</v>
      </c>
      <c r="Q1634" s="1" t="str">
        <f>IFERROR(__xludf.DUMMYFUNCTION("""COMPUTED_VALUE"""),"No")</f>
        <v>No</v>
      </c>
      <c r="R1634" s="1" t="str">
        <f>IFERROR(__xludf.DUMMYFUNCTION("""COMPUTED_VALUE"""),"OLD")</f>
        <v>OLD</v>
      </c>
      <c r="S1634" s="1" t="str">
        <f>IFERROR(__xludf.DUMMYFUNCTION("""COMPUTED_VALUE"""),"Yes")</f>
        <v>Yes</v>
      </c>
    </row>
    <row r="1635">
      <c r="A1635" s="2">
        <f>IFERROR(__xludf.DUMMYFUNCTION("""COMPUTED_VALUE"""),46018.548995115736)</f>
        <v>46018.549</v>
      </c>
      <c r="B1635" s="1" t="str">
        <f>IFERROR(__xludf.DUMMYFUNCTION("""COMPUTED_VALUE"""),"Mrs. Ritu gupta")</f>
        <v>Mrs. Ritu gupta</v>
      </c>
      <c r="C1635" s="1">
        <f>IFERROR(__xludf.DUMMYFUNCTION("""COMPUTED_VALUE"""),9.810019487E9)</f>
        <v>9810019487</v>
      </c>
      <c r="D1635" s="1">
        <f>IFERROR(__xludf.DUMMYFUNCTION("""COMPUTED_VALUE"""),1.0)</f>
        <v>1</v>
      </c>
      <c r="E1635" s="3">
        <f>IFERROR(__xludf.DUMMYFUNCTION("""COMPUTED_VALUE"""),0.6986111111109494)</f>
        <v>0.6986111111</v>
      </c>
      <c r="F1635" s="1" t="str">
        <f>IFERROR(__xludf.DUMMYFUNCTION("""COMPUTED_VALUE"""),"Diamond")</f>
        <v>Diamond</v>
      </c>
      <c r="G1635" s="1"/>
      <c r="H1635" s="1" t="str">
        <f>IFERROR(__xludf.DUMMYFUNCTION("""COMPUTED_VALUE"""),"Silver set")</f>
        <v>Silver set</v>
      </c>
      <c r="I1635" s="1" t="str">
        <f>IFERROR(__xludf.DUMMYFUNCTION("""COMPUTED_VALUE"""),"Here to see the designs first")</f>
        <v>Here to see the designs first</v>
      </c>
      <c r="J1635" s="1"/>
      <c r="K1635" s="3">
        <f>IFERROR(__xludf.DUMMYFUNCTION("""COMPUTED_VALUE"""),0.7708333333357587)</f>
        <v>0.7708333333</v>
      </c>
      <c r="L1635" s="1" t="str">
        <f>IFERROR(__xludf.DUMMYFUNCTION("""COMPUTED_VALUE"""),"No")</f>
        <v>No</v>
      </c>
      <c r="M1635" s="1" t="str">
        <f>IFERROR(__xludf.DUMMYFUNCTION("""COMPUTED_VALUE"""),"Already done ")</f>
        <v>Already done </v>
      </c>
      <c r="N1635" s="1" t="str">
        <f>IFERROR(__xludf.DUMMYFUNCTION("""COMPUTED_VALUE"""),"Already done ")</f>
        <v>Already done </v>
      </c>
      <c r="O1635" s="1" t="str">
        <f>IFERROR(__xludf.DUMMYFUNCTION("""COMPUTED_VALUE"""),"WA ONLY, OWNER CONTACT ONLY")</f>
        <v>WA ONLY, OWNER CONTACT ONLY</v>
      </c>
      <c r="P1635" s="1" t="str">
        <f>IFERROR(__xludf.DUMMYFUNCTION("""COMPUTED_VALUE"""),"Madam")</f>
        <v>Madam</v>
      </c>
      <c r="Q1635" s="1" t="str">
        <f>IFERROR(__xludf.DUMMYFUNCTION("""COMPUTED_VALUE"""),"No")</f>
        <v>No</v>
      </c>
      <c r="R1635" s="1" t="str">
        <f>IFERROR(__xludf.DUMMYFUNCTION("""COMPUTED_VALUE"""),"OLD")</f>
        <v>OLD</v>
      </c>
      <c r="S1635" s="1" t="str">
        <f>IFERROR(__xludf.DUMMYFUNCTION("""COMPUTED_VALUE"""),"No")</f>
        <v>No</v>
      </c>
    </row>
    <row r="1636">
      <c r="A1636" s="2">
        <f>IFERROR(__xludf.DUMMYFUNCTION("""COMPUTED_VALUE"""),46019.5557793287)</f>
        <v>46019.55578</v>
      </c>
      <c r="B1636" s="1" t="str">
        <f>IFERROR(__xludf.DUMMYFUNCTION("""COMPUTED_VALUE"""),"Jamyung")</f>
        <v>Jamyung</v>
      </c>
      <c r="C1636" s="1">
        <f>IFERROR(__xludf.DUMMYFUNCTION("""COMPUTED_VALUE"""),9.46473538E8)</f>
        <v>946473538</v>
      </c>
      <c r="D1636" s="1">
        <f>IFERROR(__xludf.DUMMYFUNCTION("""COMPUTED_VALUE"""),2.0)</f>
        <v>2</v>
      </c>
      <c r="E1636" s="3">
        <f>IFERROR(__xludf.DUMMYFUNCTION("""COMPUTED_VALUE"""),0.47916666666424135)</f>
        <v>0.4791666667</v>
      </c>
      <c r="F1636" s="1" t="str">
        <f>IFERROR(__xludf.DUMMYFUNCTION("""COMPUTED_VALUE"""),"Silver Items")</f>
        <v>Silver Items</v>
      </c>
      <c r="G1636" s="1"/>
      <c r="H1636" s="1" t="str">
        <f>IFERROR(__xludf.DUMMYFUNCTION("""COMPUTED_VALUE"""),"Repair")</f>
        <v>Repair</v>
      </c>
      <c r="I1636" s="1"/>
      <c r="J1636" s="1"/>
      <c r="K1636" s="3">
        <f>IFERROR(__xludf.DUMMYFUNCTION("""COMPUTED_VALUE"""),0.5729166666642413)</f>
        <v>0.5729166667</v>
      </c>
      <c r="L1636" s="1" t="str">
        <f>IFERROR(__xludf.DUMMYFUNCTION("""COMPUTED_VALUE"""),"No")</f>
        <v>No</v>
      </c>
      <c r="M1636" s="1" t="str">
        <f>IFERROR(__xludf.DUMMYFUNCTION("""COMPUTED_VALUE"""),"Already done ")</f>
        <v>Already done </v>
      </c>
      <c r="N1636" s="1" t="str">
        <f>IFERROR(__xludf.DUMMYFUNCTION("""COMPUTED_VALUE"""),"Already done ")</f>
        <v>Already done </v>
      </c>
      <c r="O1636" s="1" t="str">
        <f>IFERROR(__xludf.DUMMYFUNCTION("""COMPUTED_VALUE"""),"WA ONLY")</f>
        <v>WA ONLY</v>
      </c>
      <c r="P1636" s="1" t="str">
        <f>IFERROR(__xludf.DUMMYFUNCTION("""COMPUTED_VALUE"""),"Sir")</f>
        <v>Sir</v>
      </c>
      <c r="Q1636" s="1" t="str">
        <f>IFERROR(__xludf.DUMMYFUNCTION("""COMPUTED_VALUE"""),"No")</f>
        <v>No</v>
      </c>
      <c r="R1636" s="1" t="str">
        <f>IFERROR(__xludf.DUMMYFUNCTION("""COMPUTED_VALUE"""),"OLD")</f>
        <v>OLD</v>
      </c>
      <c r="S1636" s="1" t="str">
        <f>IFERROR(__xludf.DUMMYFUNCTION("""COMPUTED_VALUE"""),"No")</f>
        <v>No</v>
      </c>
    </row>
    <row r="1637">
      <c r="A1637" s="2">
        <f>IFERROR(__xludf.DUMMYFUNCTION("""COMPUTED_VALUE"""),46019.556713391205)</f>
        <v>46019.55671</v>
      </c>
      <c r="B1637" s="1" t="str">
        <f>IFERROR(__xludf.DUMMYFUNCTION("""COMPUTED_VALUE"""),"Mamta")</f>
        <v>Mamta</v>
      </c>
      <c r="C1637" s="1">
        <f>IFERROR(__xludf.DUMMYFUNCTION("""COMPUTED_VALUE"""),9.896059501E9)</f>
        <v>9896059501</v>
      </c>
      <c r="D1637" s="1">
        <f>IFERROR(__xludf.DUMMYFUNCTION("""COMPUTED_VALUE"""),1.0)</f>
        <v>1</v>
      </c>
      <c r="E1637" s="3">
        <f>IFERROR(__xludf.DUMMYFUNCTION("""COMPUTED_VALUE"""),0.6597222222189885)</f>
        <v>0.6597222222</v>
      </c>
      <c r="F1637" s="1" t="str">
        <f>IFERROR(__xludf.DUMMYFUNCTION("""COMPUTED_VALUE"""),"Plain Gold")</f>
        <v>Plain Gold</v>
      </c>
      <c r="G1637" s="1" t="str">
        <f>IFERROR(__xludf.DUMMYFUNCTION("""COMPUTED_VALUE"""),"Pooja")</f>
        <v>Pooja</v>
      </c>
      <c r="H1637" s="1" t="str">
        <f>IFERROR(__xludf.DUMMYFUNCTION("""COMPUTED_VALUE"""),"Chain")</f>
        <v>Chain</v>
      </c>
      <c r="I1637" s="1"/>
      <c r="J1637" s="1"/>
      <c r="K1637" s="3">
        <f>IFERROR(__xludf.DUMMYFUNCTION("""COMPUTED_VALUE"""),0.6895833333328483)</f>
        <v>0.6895833333</v>
      </c>
      <c r="L1637" s="1" t="str">
        <f>IFERROR(__xludf.DUMMYFUNCTION("""COMPUTED_VALUE"""),"No")</f>
        <v>No</v>
      </c>
      <c r="M1637" s="1" t="str">
        <f>IFERROR(__xludf.DUMMYFUNCTION("""COMPUTED_VALUE"""),"Already done ")</f>
        <v>Already done </v>
      </c>
      <c r="N1637" s="1" t="str">
        <f>IFERROR(__xludf.DUMMYFUNCTION("""COMPUTED_VALUE"""),"Already done ")</f>
        <v>Already done </v>
      </c>
      <c r="O1637" s="1" t="str">
        <f>IFERROR(__xludf.DUMMYFUNCTION("""COMPUTED_VALUE"""),"WA ONLY")</f>
        <v>WA ONLY</v>
      </c>
      <c r="P1637" s="1" t="str">
        <f>IFERROR(__xludf.DUMMYFUNCTION("""COMPUTED_VALUE"""),"Madam")</f>
        <v>Madam</v>
      </c>
      <c r="Q1637" s="1" t="str">
        <f>IFERROR(__xludf.DUMMYFUNCTION("""COMPUTED_VALUE"""),"No")</f>
        <v>No</v>
      </c>
      <c r="R1637" s="1" t="str">
        <f>IFERROR(__xludf.DUMMYFUNCTION("""COMPUTED_VALUE"""),"OLD")</f>
        <v>OLD</v>
      </c>
      <c r="S1637" s="1" t="str">
        <f>IFERROR(__xludf.DUMMYFUNCTION("""COMPUTED_VALUE"""),"Yes")</f>
        <v>Yes</v>
      </c>
    </row>
    <row r="1638">
      <c r="A1638" s="2">
        <f>IFERROR(__xludf.DUMMYFUNCTION("""COMPUTED_VALUE"""),46019.55881018519)</f>
        <v>46019.55881</v>
      </c>
      <c r="B1638" s="1" t="str">
        <f>IFERROR(__xludf.DUMMYFUNCTION("""COMPUTED_VALUE"""),"Jagriti")</f>
        <v>Jagriti</v>
      </c>
      <c r="C1638" s="1">
        <f>IFERROR(__xludf.DUMMYFUNCTION("""COMPUTED_VALUE"""),9.958149785E9)</f>
        <v>9958149785</v>
      </c>
      <c r="D1638" s="1">
        <f>IFERROR(__xludf.DUMMYFUNCTION("""COMPUTED_VALUE"""),1.0)</f>
        <v>1</v>
      </c>
      <c r="E1638" s="3">
        <f>IFERROR(__xludf.DUMMYFUNCTION("""COMPUTED_VALUE"""),0.6631944444452529)</f>
        <v>0.6631944444</v>
      </c>
      <c r="F1638" s="1" t="str">
        <f>IFERROR(__xludf.DUMMYFUNCTION("""COMPUTED_VALUE"""),"Silver Items")</f>
        <v>Silver Items</v>
      </c>
      <c r="G1638" s="1"/>
      <c r="H1638" s="1" t="str">
        <f>IFERROR(__xludf.DUMMYFUNCTION("""COMPUTED_VALUE"""),"Bichiya")</f>
        <v>Bichiya</v>
      </c>
      <c r="I1638" s="1"/>
      <c r="J1638" s="1"/>
      <c r="K1638" s="3">
        <f>IFERROR(__xludf.DUMMYFUNCTION("""COMPUTED_VALUE"""),0.6743055555562023)</f>
        <v>0.6743055556</v>
      </c>
      <c r="L1638" s="1" t="str">
        <f>IFERROR(__xludf.DUMMYFUNCTION("""COMPUTED_VALUE"""),"No")</f>
        <v>No</v>
      </c>
      <c r="M1638" s="1" t="str">
        <f>IFERROR(__xludf.DUMMYFUNCTION("""COMPUTED_VALUE"""),"Already done ")</f>
        <v>Already done </v>
      </c>
      <c r="N1638" s="1" t="str">
        <f>IFERROR(__xludf.DUMMYFUNCTION("""COMPUTED_VALUE"""),"Already done ")</f>
        <v>Already done </v>
      </c>
      <c r="O1638" s="1" t="str">
        <f>IFERROR(__xludf.DUMMYFUNCTION("""COMPUTED_VALUE"""),"WA ONLY")</f>
        <v>WA ONLY</v>
      </c>
      <c r="P1638" s="1" t="str">
        <f>IFERROR(__xludf.DUMMYFUNCTION("""COMPUTED_VALUE"""),"Madam")</f>
        <v>Madam</v>
      </c>
      <c r="Q1638" s="1" t="str">
        <f>IFERROR(__xludf.DUMMYFUNCTION("""COMPUTED_VALUE"""),"No")</f>
        <v>No</v>
      </c>
      <c r="R1638" s="1" t="str">
        <f>IFERROR(__xludf.DUMMYFUNCTION("""COMPUTED_VALUE"""),"OLD")</f>
        <v>OLD</v>
      </c>
      <c r="S1638" s="1" t="str">
        <f>IFERROR(__xludf.DUMMYFUNCTION("""COMPUTED_VALUE"""),"Yes")</f>
        <v>Yes</v>
      </c>
    </row>
    <row r="1639">
      <c r="A1639" s="2">
        <f>IFERROR(__xludf.DUMMYFUNCTION("""COMPUTED_VALUE"""),46019.55997012732)</f>
        <v>46019.55997</v>
      </c>
      <c r="B1639" s="1" t="str">
        <f>IFERROR(__xludf.DUMMYFUNCTION("""COMPUTED_VALUE"""),"Jahaaara")</f>
        <v>Jahaaara</v>
      </c>
      <c r="C1639" s="1">
        <f>IFERROR(__xludf.DUMMYFUNCTION("""COMPUTED_VALUE"""),8.267693002E9)</f>
        <v>8267693002</v>
      </c>
      <c r="D1639" s="1">
        <f>IFERROR(__xludf.DUMMYFUNCTION("""COMPUTED_VALUE"""),5.0)</f>
        <v>5</v>
      </c>
      <c r="E1639" s="3">
        <f>IFERROR(__xludf.DUMMYFUNCTION("""COMPUTED_VALUE"""),0.711111111115315)</f>
        <v>0.7111111111</v>
      </c>
      <c r="F1639" s="1" t="str">
        <f>IFERROR(__xludf.DUMMYFUNCTION("""COMPUTED_VALUE"""),"Plain Gold")</f>
        <v>Plain Gold</v>
      </c>
      <c r="G1639" s="1"/>
      <c r="H1639" s="1" t="str">
        <f>IFERROR(__xludf.DUMMYFUNCTION("""COMPUTED_VALUE"""),"Baali")</f>
        <v>Baali</v>
      </c>
      <c r="I1639" s="1" t="str">
        <f>IFERROR(__xludf.DUMMYFUNCTION("""COMPUTED_VALUE"""),"Here for designs only")</f>
        <v>Here for designs only</v>
      </c>
      <c r="J1639" s="1"/>
      <c r="K1639" s="3">
        <f>IFERROR(__xludf.DUMMYFUNCTION("""COMPUTED_VALUE"""),0.71875)</f>
        <v>0.71875</v>
      </c>
      <c r="L1639" s="1" t="str">
        <f>IFERROR(__xludf.DUMMYFUNCTION("""COMPUTED_VALUE"""),"No")</f>
        <v>No</v>
      </c>
      <c r="M1639" s="1" t="str">
        <f>IFERROR(__xludf.DUMMYFUNCTION("""COMPUTED_VALUE"""),"No")</f>
        <v>No</v>
      </c>
      <c r="N1639" s="1" t="str">
        <f>IFERROR(__xludf.DUMMYFUNCTION("""COMPUTED_VALUE"""),"No")</f>
        <v>No</v>
      </c>
      <c r="O1639" s="1" t="str">
        <f>IFERROR(__xludf.DUMMYFUNCTION("""COMPUTED_VALUE"""),"WA ONLY")</f>
        <v>WA ONLY</v>
      </c>
      <c r="P1639" s="1" t="str">
        <f>IFERROR(__xludf.DUMMYFUNCTION("""COMPUTED_VALUE"""),"Madam")</f>
        <v>Madam</v>
      </c>
      <c r="Q1639" s="1" t="str">
        <f>IFERROR(__xludf.DUMMYFUNCTION("""COMPUTED_VALUE"""),"No")</f>
        <v>No</v>
      </c>
      <c r="R1639" s="1" t="str">
        <f>IFERROR(__xludf.DUMMYFUNCTION("""COMPUTED_VALUE"""),"NEW WALK IN")</f>
        <v>NEW WALK IN</v>
      </c>
      <c r="S1639" s="1" t="str">
        <f>IFERROR(__xludf.DUMMYFUNCTION("""COMPUTED_VALUE"""),"No")</f>
        <v>No</v>
      </c>
    </row>
    <row r="1640">
      <c r="A1640" s="2">
        <f>IFERROR(__xludf.DUMMYFUNCTION("""COMPUTED_VALUE"""),46019.56088650463)</f>
        <v>46019.56089</v>
      </c>
      <c r="B1640" s="1" t="str">
        <f>IFERROR(__xludf.DUMMYFUNCTION("""COMPUTED_VALUE"""),"Aditi ji")</f>
        <v>Aditi ji</v>
      </c>
      <c r="C1640" s="1">
        <f>IFERROR(__xludf.DUMMYFUNCTION("""COMPUTED_VALUE"""),9.910950257E9)</f>
        <v>9910950257</v>
      </c>
      <c r="D1640" s="1">
        <f>IFERROR(__xludf.DUMMYFUNCTION("""COMPUTED_VALUE"""),2.0)</f>
        <v>2</v>
      </c>
      <c r="E1640" s="3">
        <f>IFERROR(__xludf.DUMMYFUNCTION("""COMPUTED_VALUE"""),0.7534722222189885)</f>
        <v>0.7534722222</v>
      </c>
      <c r="F1640" s="1" t="str">
        <f>IFERROR(__xludf.DUMMYFUNCTION("""COMPUTED_VALUE"""),"Plain Gold")</f>
        <v>Plain Gold</v>
      </c>
      <c r="G1640" s="1"/>
      <c r="H1640" s="1" t="str">
        <f>IFERROR(__xludf.DUMMYFUNCTION("""COMPUTED_VALUE"""),"Here for kitty")</f>
        <v>Here for kitty</v>
      </c>
      <c r="I1640" s="1"/>
      <c r="J1640" s="1"/>
      <c r="K1640" s="3">
        <f>IFERROR(__xludf.DUMMYFUNCTION("""COMPUTED_VALUE"""),0.78125)</f>
        <v>0.78125</v>
      </c>
      <c r="L1640" s="1" t="str">
        <f>IFERROR(__xludf.DUMMYFUNCTION("""COMPUTED_VALUE"""),"No")</f>
        <v>No</v>
      </c>
      <c r="M1640" s="1" t="str">
        <f>IFERROR(__xludf.DUMMYFUNCTION("""COMPUTED_VALUE"""),"No")</f>
        <v>No</v>
      </c>
      <c r="N1640" s="1" t="str">
        <f>IFERROR(__xludf.DUMMYFUNCTION("""COMPUTED_VALUE"""),"No")</f>
        <v>No</v>
      </c>
      <c r="O1640" s="1" t="str">
        <f>IFERROR(__xludf.DUMMYFUNCTION("""COMPUTED_VALUE"""),"WA ONLY")</f>
        <v>WA ONLY</v>
      </c>
      <c r="P1640" s="1" t="str">
        <f>IFERROR(__xludf.DUMMYFUNCTION("""COMPUTED_VALUE"""),"Madam")</f>
        <v>Madam</v>
      </c>
      <c r="Q1640" s="1" t="str">
        <f>IFERROR(__xludf.DUMMYFUNCTION("""COMPUTED_VALUE"""),"Yes")</f>
        <v>Yes</v>
      </c>
      <c r="R1640" s="1" t="str">
        <f>IFERROR(__xludf.DUMMYFUNCTION("""COMPUTED_VALUE"""),"OLD")</f>
        <v>OLD</v>
      </c>
      <c r="S1640" s="1" t="str">
        <f>IFERROR(__xludf.DUMMYFUNCTION("""COMPUTED_VALUE"""),"No")</f>
        <v>No</v>
      </c>
    </row>
    <row r="1641">
      <c r="A1641" s="1"/>
      <c r="B1641" s="1"/>
      <c r="C1641" s="1"/>
      <c r="D1641" s="1"/>
      <c r="E1641" s="1"/>
      <c r="F1641" s="1"/>
      <c r="G1641" s="1"/>
      <c r="H1641" s="1"/>
      <c r="I1641" s="1"/>
      <c r="J1641" s="1"/>
      <c r="K1641" s="1"/>
      <c r="L1641" s="1"/>
      <c r="M1641" s="1"/>
      <c r="N1641" s="1"/>
      <c r="O1641" s="1"/>
      <c r="P1641" s="1"/>
      <c r="Q1641" s="1"/>
      <c r="R1641" s="1"/>
      <c r="S1641" s="1"/>
    </row>
    <row r="1642">
      <c r="A1642" s="1"/>
      <c r="B1642" s="1"/>
      <c r="C1642" s="1"/>
      <c r="D1642" s="1"/>
      <c r="E1642" s="1"/>
      <c r="F1642" s="1"/>
      <c r="G1642" s="1"/>
      <c r="H1642" s="1"/>
      <c r="I1642" s="1"/>
      <c r="J1642" s="1"/>
      <c r="K1642" s="1"/>
      <c r="L1642" s="1"/>
      <c r="M1642" s="1"/>
      <c r="N1642" s="1"/>
      <c r="O1642" s="1"/>
      <c r="P1642" s="1"/>
      <c r="Q1642" s="1"/>
      <c r="R1642" s="1"/>
      <c r="S1642" s="1"/>
    </row>
    <row r="1643">
      <c r="A1643" s="1"/>
      <c r="B1643" s="1"/>
      <c r="C1643" s="1"/>
      <c r="D1643" s="1"/>
      <c r="E1643" s="1"/>
      <c r="F1643" s="1"/>
      <c r="G1643" s="1"/>
      <c r="H1643" s="1"/>
      <c r="I1643" s="1"/>
      <c r="J1643" s="1"/>
      <c r="K1643" s="1"/>
      <c r="L1643" s="1"/>
      <c r="M1643" s="1"/>
      <c r="N1643" s="1"/>
      <c r="O1643" s="1"/>
      <c r="P1643" s="1"/>
      <c r="Q1643" s="1"/>
      <c r="R1643" s="1"/>
      <c r="S1643" s="1"/>
    </row>
    <row r="1644">
      <c r="A1644" s="1"/>
      <c r="B1644" s="1"/>
      <c r="C1644" s="1"/>
      <c r="D1644" s="1"/>
      <c r="E1644" s="1"/>
      <c r="F1644" s="1"/>
      <c r="G1644" s="1"/>
      <c r="H1644" s="1"/>
      <c r="I1644" s="1"/>
      <c r="J1644" s="1"/>
      <c r="K1644" s="1"/>
      <c r="L1644" s="1"/>
      <c r="M1644" s="1"/>
      <c r="N1644" s="1"/>
      <c r="O1644" s="1"/>
      <c r="P1644" s="1"/>
      <c r="Q1644" s="1"/>
      <c r="R1644" s="1"/>
      <c r="S1644" s="1"/>
    </row>
    <row r="1645">
      <c r="A1645" s="1"/>
      <c r="B1645" s="1"/>
      <c r="C1645" s="1"/>
      <c r="D1645" s="1"/>
      <c r="E1645" s="1"/>
      <c r="F1645" s="1"/>
      <c r="G1645" s="1"/>
      <c r="H1645" s="1"/>
      <c r="I1645" s="1"/>
      <c r="J1645" s="1"/>
      <c r="K1645" s="1"/>
      <c r="L1645" s="1"/>
      <c r="M1645" s="1"/>
      <c r="N1645" s="1"/>
      <c r="O1645" s="1"/>
      <c r="P1645" s="1"/>
      <c r="Q1645" s="1"/>
      <c r="R1645" s="1"/>
      <c r="S1645" s="1"/>
    </row>
    <row r="1646">
      <c r="A1646" s="1"/>
      <c r="B1646" s="1"/>
      <c r="C1646" s="1"/>
      <c r="D1646" s="1"/>
      <c r="E1646" s="1"/>
      <c r="F1646" s="1"/>
      <c r="G1646" s="1"/>
      <c r="H1646" s="1"/>
      <c r="I1646" s="1"/>
      <c r="J1646" s="1"/>
      <c r="K1646" s="1"/>
      <c r="L1646" s="1"/>
      <c r="M1646" s="1"/>
      <c r="N1646" s="1"/>
      <c r="O1646" s="1"/>
      <c r="P1646" s="1"/>
      <c r="Q1646" s="1"/>
      <c r="R1646" s="1"/>
      <c r="S1646" s="1"/>
    </row>
    <row r="1647">
      <c r="A1647" s="1"/>
      <c r="B1647" s="1"/>
      <c r="C1647" s="1"/>
      <c r="D1647" s="1"/>
      <c r="E1647" s="1"/>
      <c r="F1647" s="1"/>
      <c r="G1647" s="1"/>
      <c r="H1647" s="1"/>
      <c r="I1647" s="1"/>
      <c r="J1647" s="1"/>
      <c r="K1647" s="1"/>
      <c r="L1647" s="1"/>
      <c r="M1647" s="1"/>
      <c r="N1647" s="1"/>
      <c r="O1647" s="1"/>
      <c r="P1647" s="1"/>
      <c r="Q1647" s="1"/>
      <c r="R1647" s="1"/>
      <c r="S1647" s="1"/>
    </row>
    <row r="1648">
      <c r="A1648" s="1"/>
      <c r="B1648" s="1"/>
      <c r="C1648" s="1"/>
      <c r="D1648" s="1"/>
      <c r="E1648" s="1"/>
      <c r="F1648" s="1"/>
      <c r="G1648" s="1"/>
      <c r="H1648" s="1"/>
      <c r="I1648" s="1"/>
      <c r="J1648" s="1"/>
      <c r="K1648" s="1"/>
      <c r="L1648" s="1"/>
      <c r="M1648" s="1"/>
      <c r="N1648" s="1"/>
      <c r="O1648" s="1"/>
      <c r="P1648" s="1"/>
      <c r="Q1648" s="1"/>
      <c r="R1648" s="1"/>
      <c r="S1648" s="1"/>
    </row>
    <row r="1649">
      <c r="A1649" s="1"/>
      <c r="B1649" s="1"/>
      <c r="C1649" s="1"/>
      <c r="D1649" s="1"/>
      <c r="E1649" s="1"/>
      <c r="F1649" s="1"/>
      <c r="G1649" s="1"/>
      <c r="H1649" s="1"/>
      <c r="I1649" s="1"/>
      <c r="J1649" s="1"/>
      <c r="K1649" s="1"/>
      <c r="L1649" s="1"/>
      <c r="M1649" s="1"/>
      <c r="N1649" s="1"/>
      <c r="O1649" s="1"/>
      <c r="P1649" s="1"/>
      <c r="Q1649" s="1"/>
      <c r="R1649" s="1"/>
      <c r="S1649" s="1"/>
    </row>
    <row r="1650">
      <c r="A1650" s="1"/>
      <c r="B1650" s="1"/>
      <c r="C1650" s="1"/>
      <c r="D1650" s="1"/>
      <c r="E1650" s="1"/>
      <c r="F1650" s="1"/>
      <c r="G1650" s="1"/>
      <c r="H1650" s="1"/>
      <c r="I1650" s="1"/>
      <c r="J1650" s="1"/>
      <c r="K1650" s="1"/>
      <c r="L1650" s="1"/>
      <c r="M1650" s="1"/>
      <c r="N1650" s="1"/>
      <c r="O1650" s="1"/>
      <c r="P1650" s="1"/>
      <c r="Q1650" s="1"/>
      <c r="R1650" s="1"/>
      <c r="S1650" s="1"/>
    </row>
    <row r="1651">
      <c r="A1651" s="1"/>
      <c r="B1651" s="1"/>
      <c r="C1651" s="1"/>
      <c r="D1651" s="1"/>
      <c r="E1651" s="1"/>
      <c r="F1651" s="1"/>
      <c r="G1651" s="1"/>
      <c r="H1651" s="1"/>
      <c r="I1651" s="1"/>
      <c r="J1651" s="1"/>
      <c r="K1651" s="1"/>
      <c r="L1651" s="1"/>
      <c r="M1651" s="1"/>
      <c r="N1651" s="1"/>
      <c r="O1651" s="1"/>
      <c r="P1651" s="1"/>
      <c r="Q1651" s="1"/>
      <c r="R1651" s="1"/>
      <c r="S1651" s="1"/>
    </row>
    <row r="1652">
      <c r="A1652" s="1"/>
      <c r="B1652" s="1"/>
      <c r="C1652" s="1"/>
      <c r="D1652" s="1"/>
      <c r="E1652" s="1"/>
      <c r="F1652" s="1"/>
      <c r="G1652" s="1"/>
      <c r="H1652" s="1"/>
      <c r="I1652" s="1"/>
      <c r="J1652" s="1"/>
      <c r="K1652" s="1"/>
      <c r="L1652" s="1"/>
      <c r="M1652" s="1"/>
      <c r="N1652" s="1"/>
      <c r="O1652" s="1"/>
      <c r="P1652" s="1"/>
      <c r="Q1652" s="1"/>
      <c r="R1652" s="1"/>
      <c r="S1652" s="1"/>
    </row>
    <row r="1653">
      <c r="A1653" s="1"/>
      <c r="B1653" s="1"/>
      <c r="C1653" s="1"/>
      <c r="D1653" s="1"/>
      <c r="E1653" s="1"/>
      <c r="F1653" s="1"/>
      <c r="G1653" s="1"/>
      <c r="H1653" s="1"/>
      <c r="I1653" s="1"/>
      <c r="J1653" s="1"/>
      <c r="K1653" s="1"/>
      <c r="L1653" s="1"/>
      <c r="M1653" s="1"/>
      <c r="N1653" s="1"/>
      <c r="O1653" s="1"/>
      <c r="P1653" s="1"/>
      <c r="Q1653" s="1"/>
      <c r="R1653" s="1"/>
      <c r="S1653" s="1"/>
    </row>
    <row r="1654">
      <c r="A1654" s="1"/>
      <c r="B1654" s="1"/>
      <c r="C1654" s="1"/>
      <c r="D1654" s="1"/>
      <c r="E1654" s="1"/>
      <c r="F1654" s="1"/>
      <c r="G1654" s="1"/>
      <c r="H1654" s="1"/>
      <c r="I1654" s="1"/>
      <c r="J1654" s="1"/>
      <c r="K1654" s="1"/>
      <c r="L1654" s="1"/>
      <c r="M1654" s="1"/>
      <c r="N1654" s="1"/>
      <c r="O1654" s="1"/>
      <c r="P1654" s="1"/>
      <c r="Q1654" s="1"/>
      <c r="R1654" s="1"/>
      <c r="S1654" s="1"/>
    </row>
    <row r="1655">
      <c r="A1655" s="1"/>
      <c r="B1655" s="1"/>
      <c r="C1655" s="1"/>
      <c r="D1655" s="1"/>
      <c r="E1655" s="1"/>
      <c r="F1655" s="1"/>
      <c r="G1655" s="1"/>
      <c r="H1655" s="1"/>
      <c r="I1655" s="1"/>
      <c r="J1655" s="1"/>
      <c r="K1655" s="1"/>
      <c r="L1655" s="1"/>
      <c r="M1655" s="1"/>
      <c r="N1655" s="1"/>
      <c r="O1655" s="1"/>
      <c r="P1655" s="1"/>
      <c r="Q1655" s="1"/>
      <c r="R1655" s="1"/>
      <c r="S1655" s="1"/>
    </row>
    <row r="1656">
      <c r="A1656" s="1"/>
      <c r="B1656" s="1"/>
      <c r="C1656" s="1"/>
      <c r="D1656" s="1"/>
      <c r="E1656" s="1"/>
      <c r="F1656" s="1"/>
      <c r="G1656" s="1"/>
      <c r="H1656" s="1"/>
      <c r="I1656" s="1"/>
      <c r="J1656" s="1"/>
      <c r="K1656" s="1"/>
      <c r="L1656" s="1"/>
      <c r="M1656" s="1"/>
      <c r="N1656" s="1"/>
      <c r="O1656" s="1"/>
      <c r="P1656" s="1"/>
      <c r="Q1656" s="1"/>
      <c r="R1656" s="1"/>
      <c r="S1656" s="1"/>
    </row>
    <row r="1657">
      <c r="A1657" s="1"/>
      <c r="B1657" s="1"/>
      <c r="C1657" s="1"/>
      <c r="D1657" s="1"/>
      <c r="E1657" s="1"/>
      <c r="F1657" s="1"/>
      <c r="G1657" s="1"/>
      <c r="H1657" s="1"/>
      <c r="I1657" s="1"/>
      <c r="J1657" s="1"/>
      <c r="K1657" s="1"/>
      <c r="L1657" s="1"/>
      <c r="M1657" s="1"/>
      <c r="N1657" s="1"/>
      <c r="O1657" s="1"/>
      <c r="P1657" s="1"/>
      <c r="Q1657" s="1"/>
      <c r="R1657" s="1"/>
      <c r="S1657" s="1"/>
    </row>
    <row r="1658">
      <c r="A1658" s="1"/>
      <c r="B1658" s="1"/>
      <c r="C1658" s="1"/>
      <c r="D1658" s="1"/>
      <c r="E1658" s="1"/>
      <c r="F1658" s="1"/>
      <c r="G1658" s="1"/>
      <c r="H1658" s="1"/>
      <c r="I1658" s="1"/>
      <c r="J1658" s="1"/>
      <c r="K1658" s="1"/>
      <c r="L1658" s="1"/>
      <c r="M1658" s="1"/>
      <c r="N1658" s="1"/>
      <c r="O1658" s="1"/>
      <c r="P1658" s="1"/>
      <c r="Q1658" s="1"/>
      <c r="R1658" s="1"/>
      <c r="S1658" s="1"/>
    </row>
    <row r="1659">
      <c r="A1659" s="1"/>
      <c r="B1659" s="1"/>
      <c r="C1659" s="1"/>
      <c r="D1659" s="1"/>
      <c r="E1659" s="1"/>
      <c r="F1659" s="1"/>
      <c r="G1659" s="1"/>
      <c r="H1659" s="1"/>
      <c r="I1659" s="1"/>
      <c r="J1659" s="1"/>
      <c r="K1659" s="1"/>
      <c r="L1659" s="1"/>
      <c r="M1659" s="1"/>
      <c r="N1659" s="1"/>
      <c r="O1659" s="1"/>
      <c r="P1659" s="1"/>
      <c r="Q1659" s="1"/>
      <c r="R1659" s="1"/>
      <c r="S1659" s="1"/>
    </row>
    <row r="1660">
      <c r="A1660" s="1"/>
      <c r="B1660" s="1"/>
      <c r="C1660" s="1"/>
      <c r="D1660" s="1"/>
      <c r="E1660" s="1"/>
      <c r="F1660" s="1"/>
      <c r="G1660" s="1"/>
      <c r="H1660" s="1"/>
      <c r="I1660" s="1"/>
      <c r="J1660" s="1"/>
      <c r="K1660" s="1"/>
      <c r="L1660" s="1"/>
      <c r="M1660" s="1"/>
      <c r="N1660" s="1"/>
      <c r="O1660" s="1"/>
      <c r="P1660" s="1"/>
      <c r="Q1660" s="1"/>
      <c r="R1660" s="1"/>
      <c r="S1660" s="1"/>
    </row>
    <row r="1661">
      <c r="A1661" s="1"/>
      <c r="B1661" s="1"/>
      <c r="C1661" s="1"/>
      <c r="D1661" s="1"/>
      <c r="E1661" s="1"/>
      <c r="F1661" s="1"/>
      <c r="G1661" s="1"/>
      <c r="H1661" s="1"/>
      <c r="I1661" s="1"/>
      <c r="J1661" s="1"/>
      <c r="K1661" s="1"/>
      <c r="L1661" s="1"/>
      <c r="M1661" s="1"/>
      <c r="N1661" s="1"/>
      <c r="O1661" s="1"/>
      <c r="P1661" s="1"/>
      <c r="Q1661" s="1"/>
      <c r="R1661" s="1"/>
      <c r="S1661" s="1"/>
    </row>
    <row r="1662">
      <c r="A1662" s="1"/>
      <c r="B1662" s="1"/>
      <c r="C1662" s="1"/>
      <c r="D1662" s="1"/>
      <c r="E1662" s="1"/>
      <c r="F1662" s="1"/>
      <c r="G1662" s="1"/>
      <c r="H1662" s="1"/>
      <c r="I1662" s="1"/>
      <c r="J1662" s="1"/>
      <c r="K1662" s="1"/>
      <c r="L1662" s="1"/>
      <c r="M1662" s="1"/>
      <c r="N1662" s="1"/>
      <c r="O1662" s="1"/>
      <c r="P1662" s="1"/>
      <c r="Q1662" s="1"/>
      <c r="R1662" s="1"/>
      <c r="S1662" s="1"/>
    </row>
    <row r="1663">
      <c r="A1663" s="1"/>
      <c r="B1663" s="1"/>
      <c r="C1663" s="1"/>
      <c r="D1663" s="1"/>
      <c r="E1663" s="1"/>
      <c r="F1663" s="1"/>
      <c r="G1663" s="1"/>
      <c r="H1663" s="1"/>
      <c r="I1663" s="1"/>
      <c r="J1663" s="1"/>
      <c r="K1663" s="1"/>
      <c r="L1663" s="1"/>
      <c r="M1663" s="1"/>
      <c r="N1663" s="1"/>
      <c r="O1663" s="1"/>
      <c r="P1663" s="1"/>
      <c r="Q1663" s="1"/>
      <c r="R1663" s="1"/>
      <c r="S1663" s="1"/>
    </row>
    <row r="1664">
      <c r="A1664" s="1"/>
      <c r="B1664" s="1"/>
      <c r="C1664" s="1"/>
      <c r="D1664" s="1"/>
      <c r="E1664" s="1"/>
      <c r="F1664" s="1"/>
      <c r="G1664" s="1"/>
      <c r="H1664" s="1"/>
      <c r="I1664" s="1"/>
      <c r="J1664" s="1"/>
      <c r="K1664" s="1"/>
      <c r="L1664" s="1"/>
      <c r="M1664" s="1"/>
      <c r="N1664" s="1"/>
      <c r="O1664" s="1"/>
      <c r="P1664" s="1"/>
      <c r="Q1664" s="1"/>
      <c r="R1664" s="1"/>
      <c r="S1664" s="1"/>
    </row>
    <row r="1665">
      <c r="A1665" s="1"/>
      <c r="B1665" s="1"/>
      <c r="C1665" s="1"/>
      <c r="D1665" s="1"/>
      <c r="E1665" s="1"/>
      <c r="F1665" s="1"/>
      <c r="G1665" s="1"/>
      <c r="H1665" s="1"/>
      <c r="I1665" s="1"/>
      <c r="J1665" s="1"/>
      <c r="K1665" s="1"/>
      <c r="L1665" s="1"/>
      <c r="M1665" s="1"/>
      <c r="N1665" s="1"/>
      <c r="O1665" s="1"/>
      <c r="P1665" s="1"/>
      <c r="Q1665" s="1"/>
      <c r="R1665" s="1"/>
      <c r="S1665" s="1"/>
    </row>
    <row r="1666">
      <c r="A1666" s="1"/>
      <c r="B1666" s="1"/>
      <c r="C1666" s="1"/>
      <c r="D1666" s="1"/>
      <c r="E1666" s="1"/>
      <c r="F1666" s="1"/>
      <c r="G1666" s="1"/>
      <c r="H1666" s="1"/>
      <c r="I1666" s="1"/>
      <c r="J1666" s="1"/>
      <c r="K1666" s="1"/>
      <c r="L1666" s="1"/>
      <c r="M1666" s="1"/>
      <c r="N1666" s="1"/>
      <c r="O1666" s="1"/>
      <c r="P1666" s="1"/>
      <c r="Q1666" s="1"/>
      <c r="R1666" s="1"/>
      <c r="S1666" s="1"/>
    </row>
    <row r="1667">
      <c r="A1667" s="1"/>
      <c r="B1667" s="1"/>
      <c r="C1667" s="1"/>
      <c r="D1667" s="1"/>
      <c r="E1667" s="1"/>
      <c r="F1667" s="1"/>
      <c r="G1667" s="1"/>
      <c r="H1667" s="1"/>
      <c r="I1667" s="1"/>
      <c r="J1667" s="1"/>
      <c r="K1667" s="1"/>
      <c r="L1667" s="1"/>
      <c r="M1667" s="1"/>
      <c r="N1667" s="1"/>
      <c r="O1667" s="1"/>
      <c r="P1667" s="1"/>
      <c r="Q1667" s="1"/>
      <c r="R1667" s="1"/>
      <c r="S1667" s="1"/>
    </row>
    <row r="1668">
      <c r="A1668" s="1"/>
      <c r="B1668" s="1"/>
      <c r="C1668" s="1"/>
      <c r="D1668" s="1"/>
      <c r="E1668" s="1"/>
      <c r="F1668" s="1"/>
      <c r="G1668" s="1"/>
      <c r="H1668" s="1"/>
      <c r="I1668" s="1"/>
      <c r="J1668" s="1"/>
      <c r="K1668" s="1"/>
      <c r="L1668" s="1"/>
      <c r="M1668" s="1"/>
      <c r="N1668" s="1"/>
      <c r="O1668" s="1"/>
      <c r="P1668" s="1"/>
      <c r="Q1668" s="1"/>
      <c r="R1668" s="1"/>
      <c r="S1668" s="1"/>
    </row>
    <row r="1669">
      <c r="A1669" s="1"/>
      <c r="B1669" s="1"/>
      <c r="C1669" s="1"/>
      <c r="D1669" s="1"/>
      <c r="E1669" s="1"/>
      <c r="F1669" s="1"/>
      <c r="G1669" s="1"/>
      <c r="H1669" s="1"/>
      <c r="I1669" s="1"/>
      <c r="J1669" s="1"/>
      <c r="K1669" s="1"/>
      <c r="L1669" s="1"/>
      <c r="M1669" s="1"/>
      <c r="N1669" s="1"/>
      <c r="O1669" s="1"/>
      <c r="P1669" s="1"/>
      <c r="Q1669" s="1"/>
      <c r="R1669" s="1"/>
      <c r="S1669" s="1"/>
    </row>
    <row r="1670">
      <c r="A1670" s="1"/>
      <c r="B1670" s="1"/>
      <c r="C1670" s="1"/>
      <c r="D1670" s="1"/>
      <c r="E1670" s="1"/>
      <c r="F1670" s="1"/>
      <c r="G1670" s="1"/>
      <c r="H1670" s="1"/>
      <c r="I1670" s="1"/>
      <c r="J1670" s="1"/>
      <c r="K1670" s="1"/>
      <c r="L1670" s="1"/>
      <c r="M1670" s="1"/>
      <c r="N1670" s="1"/>
      <c r="O1670" s="1"/>
      <c r="P1670" s="1"/>
      <c r="Q1670" s="1"/>
      <c r="R1670" s="1"/>
      <c r="S1670" s="1"/>
    </row>
    <row r="1671">
      <c r="A1671" s="1"/>
      <c r="B1671" s="1"/>
      <c r="C1671" s="1"/>
      <c r="D1671" s="1"/>
      <c r="E1671" s="1"/>
      <c r="F1671" s="1"/>
      <c r="G1671" s="1"/>
      <c r="H1671" s="1"/>
      <c r="I1671" s="1"/>
      <c r="J1671" s="1"/>
      <c r="K1671" s="1"/>
      <c r="L1671" s="1"/>
      <c r="M1671" s="1"/>
      <c r="N1671" s="1"/>
      <c r="O1671" s="1"/>
      <c r="P1671" s="1"/>
      <c r="Q1671" s="1"/>
      <c r="R1671" s="1"/>
      <c r="S1671" s="1"/>
    </row>
    <row r="1672">
      <c r="A1672" s="1"/>
      <c r="B1672" s="1"/>
      <c r="C1672" s="1"/>
      <c r="D1672" s="1"/>
      <c r="E1672" s="1"/>
      <c r="F1672" s="1"/>
      <c r="G1672" s="1"/>
      <c r="H1672" s="1"/>
      <c r="I1672" s="1"/>
      <c r="J1672" s="1"/>
      <c r="K1672" s="1"/>
      <c r="L1672" s="1"/>
      <c r="M1672" s="1"/>
      <c r="N1672" s="1"/>
      <c r="O1672" s="1"/>
      <c r="P1672" s="1"/>
      <c r="Q1672" s="1"/>
      <c r="R1672" s="1"/>
      <c r="S1672" s="1"/>
    </row>
    <row r="1673">
      <c r="A1673" s="1"/>
      <c r="B1673" s="1"/>
      <c r="C1673" s="1"/>
      <c r="D1673" s="1"/>
      <c r="E1673" s="1"/>
      <c r="F1673" s="1"/>
      <c r="G1673" s="1"/>
      <c r="H1673" s="1"/>
      <c r="I1673" s="1"/>
      <c r="J1673" s="1"/>
      <c r="K1673" s="1"/>
      <c r="L1673" s="1"/>
      <c r="M1673" s="1"/>
      <c r="N1673" s="1"/>
      <c r="O1673" s="1"/>
      <c r="P1673" s="1"/>
      <c r="Q1673" s="1"/>
      <c r="R1673" s="1"/>
      <c r="S1673" s="1"/>
    </row>
    <row r="1674">
      <c r="A1674" s="1"/>
      <c r="B1674" s="1"/>
      <c r="C1674" s="1"/>
      <c r="D1674" s="1"/>
      <c r="E1674" s="1"/>
      <c r="F1674" s="1"/>
      <c r="G1674" s="1"/>
      <c r="H1674" s="1"/>
      <c r="I1674" s="1"/>
      <c r="J1674" s="1"/>
      <c r="K1674" s="1"/>
      <c r="L1674" s="1"/>
      <c r="M1674" s="1"/>
      <c r="N1674" s="1"/>
      <c r="O1674" s="1"/>
      <c r="P1674" s="1"/>
      <c r="Q1674" s="1"/>
      <c r="R1674" s="1"/>
      <c r="S1674" s="1"/>
    </row>
    <row r="1675">
      <c r="A1675" s="1"/>
      <c r="B1675" s="1"/>
      <c r="C1675" s="1"/>
      <c r="D1675" s="1"/>
      <c r="E1675" s="1"/>
      <c r="F1675" s="1"/>
      <c r="G1675" s="1"/>
      <c r="H1675" s="1"/>
      <c r="I1675" s="1"/>
      <c r="J1675" s="1"/>
      <c r="K1675" s="1"/>
      <c r="L1675" s="1"/>
      <c r="M1675" s="1"/>
      <c r="N1675" s="1"/>
      <c r="O1675" s="1"/>
      <c r="P1675" s="1"/>
      <c r="Q1675" s="1"/>
      <c r="R1675" s="1"/>
      <c r="S1675" s="1"/>
    </row>
    <row r="1676">
      <c r="A1676" s="1"/>
      <c r="B1676" s="1"/>
      <c r="C1676" s="1"/>
      <c r="D1676" s="1"/>
      <c r="E1676" s="1"/>
      <c r="F1676" s="1"/>
      <c r="G1676" s="1"/>
      <c r="H1676" s="1"/>
      <c r="I1676" s="1"/>
      <c r="J1676" s="1"/>
      <c r="K1676" s="1"/>
      <c r="L1676" s="1"/>
      <c r="M1676" s="1"/>
      <c r="N1676" s="1"/>
      <c r="O1676" s="1"/>
      <c r="P1676" s="1"/>
      <c r="Q1676" s="1"/>
      <c r="R1676" s="1"/>
      <c r="S1676" s="1"/>
    </row>
    <row r="1677">
      <c r="A1677" s="1"/>
      <c r="B1677" s="1"/>
      <c r="C1677" s="1"/>
      <c r="D1677" s="1"/>
      <c r="E1677" s="1"/>
      <c r="F1677" s="1"/>
      <c r="G1677" s="1"/>
      <c r="H1677" s="1"/>
      <c r="I1677" s="1"/>
      <c r="J1677" s="1"/>
      <c r="K1677" s="1"/>
      <c r="L1677" s="1"/>
      <c r="M1677" s="1"/>
      <c r="N1677" s="1"/>
      <c r="O1677" s="1"/>
      <c r="P1677" s="1"/>
      <c r="Q1677" s="1"/>
      <c r="R1677" s="1"/>
      <c r="S1677" s="1"/>
    </row>
    <row r="1678">
      <c r="A1678" s="1"/>
      <c r="B1678" s="1"/>
      <c r="C1678" s="1"/>
      <c r="D1678" s="1"/>
      <c r="E1678" s="1"/>
      <c r="F1678" s="1"/>
      <c r="G1678" s="1"/>
      <c r="H1678" s="1"/>
      <c r="I1678" s="1"/>
      <c r="J1678" s="1"/>
      <c r="K1678" s="1"/>
      <c r="L1678" s="1"/>
      <c r="M1678" s="1"/>
      <c r="N1678" s="1"/>
      <c r="O1678" s="1"/>
      <c r="P1678" s="1"/>
      <c r="Q1678" s="1"/>
      <c r="R1678" s="1"/>
      <c r="S1678" s="1"/>
    </row>
    <row r="1679">
      <c r="A1679" s="1"/>
      <c r="B1679" s="1"/>
      <c r="C1679" s="1"/>
      <c r="D1679" s="1"/>
      <c r="E1679" s="1"/>
      <c r="F1679" s="1"/>
      <c r="G1679" s="1"/>
      <c r="H1679" s="1"/>
      <c r="I1679" s="1"/>
      <c r="J1679" s="1"/>
      <c r="K1679" s="1"/>
      <c r="L1679" s="1"/>
      <c r="M1679" s="1"/>
      <c r="N1679" s="1"/>
      <c r="O1679" s="1"/>
      <c r="P1679" s="1"/>
      <c r="Q1679" s="1"/>
      <c r="R1679" s="1"/>
      <c r="S1679" s="1"/>
    </row>
    <row r="1680">
      <c r="A1680" s="1"/>
      <c r="B1680" s="1"/>
      <c r="C1680" s="1"/>
      <c r="D1680" s="1"/>
      <c r="E1680" s="1"/>
      <c r="F1680" s="1"/>
      <c r="G1680" s="1"/>
      <c r="H1680" s="1"/>
      <c r="I1680" s="1"/>
      <c r="J1680" s="1"/>
      <c r="K1680" s="1"/>
      <c r="L1680" s="1"/>
      <c r="M1680" s="1"/>
      <c r="N1680" s="1"/>
      <c r="O1680" s="1"/>
      <c r="P1680" s="1"/>
      <c r="Q1680" s="1"/>
      <c r="R1680" s="1"/>
      <c r="S1680" s="1"/>
    </row>
    <row r="1681">
      <c r="A1681" s="1"/>
      <c r="B1681" s="1"/>
      <c r="C1681" s="1"/>
      <c r="D1681" s="1"/>
      <c r="E1681" s="1"/>
      <c r="F1681" s="1"/>
      <c r="G1681" s="1"/>
      <c r="H1681" s="1"/>
      <c r="I1681" s="1"/>
      <c r="J1681" s="1"/>
      <c r="K1681" s="1"/>
      <c r="L1681" s="1"/>
      <c r="M1681" s="1"/>
      <c r="N1681" s="1"/>
      <c r="O1681" s="1"/>
      <c r="P1681" s="1"/>
      <c r="Q1681" s="1"/>
      <c r="R1681" s="1"/>
      <c r="S1681" s="1"/>
    </row>
    <row r="1682">
      <c r="A1682" s="1"/>
      <c r="B1682" s="1"/>
      <c r="C1682" s="1"/>
      <c r="D1682" s="1"/>
      <c r="E1682" s="1"/>
      <c r="F1682" s="1"/>
      <c r="G1682" s="1"/>
      <c r="H1682" s="1"/>
      <c r="I1682" s="1"/>
      <c r="J1682" s="1"/>
      <c r="K1682" s="1"/>
      <c r="L1682" s="1"/>
      <c r="M1682" s="1"/>
      <c r="N1682" s="1"/>
      <c r="O1682" s="1"/>
      <c r="P1682" s="1"/>
      <c r="Q1682" s="1"/>
      <c r="R1682" s="1"/>
      <c r="S1682" s="1"/>
    </row>
    <row r="1683">
      <c r="A1683" s="1"/>
      <c r="B1683" s="1"/>
      <c r="C1683" s="1"/>
      <c r="D1683" s="1"/>
      <c r="E1683" s="1"/>
      <c r="F1683" s="1"/>
      <c r="G1683" s="1"/>
      <c r="H1683" s="1"/>
      <c r="I1683" s="1"/>
      <c r="J1683" s="1"/>
      <c r="K1683" s="1"/>
      <c r="L1683" s="1"/>
      <c r="M1683" s="1"/>
      <c r="N1683" s="1"/>
      <c r="O1683" s="1"/>
      <c r="P1683" s="1"/>
      <c r="Q1683" s="1"/>
      <c r="R1683" s="1"/>
      <c r="S1683" s="1"/>
    </row>
    <row r="1684">
      <c r="A1684" s="1"/>
      <c r="B1684" s="1"/>
      <c r="C1684" s="1"/>
      <c r="D1684" s="1"/>
      <c r="E1684" s="1"/>
      <c r="F1684" s="1"/>
      <c r="G1684" s="1"/>
      <c r="H1684" s="1"/>
      <c r="I1684" s="1"/>
      <c r="J1684" s="1"/>
      <c r="K1684" s="1"/>
      <c r="L1684" s="1"/>
      <c r="M1684" s="1"/>
      <c r="N1684" s="1"/>
      <c r="O1684" s="1"/>
      <c r="P1684" s="1"/>
      <c r="Q1684" s="1"/>
      <c r="R1684" s="1"/>
      <c r="S1684" s="1"/>
    </row>
    <row r="1685">
      <c r="A1685" s="1"/>
      <c r="B1685" s="1"/>
      <c r="C1685" s="1"/>
      <c r="D1685" s="1"/>
      <c r="E1685" s="1"/>
      <c r="F1685" s="1"/>
      <c r="G1685" s="1"/>
      <c r="H1685" s="1"/>
      <c r="I1685" s="1"/>
      <c r="J1685" s="1"/>
      <c r="K1685" s="1"/>
      <c r="L1685" s="1"/>
      <c r="M1685" s="1"/>
      <c r="N1685" s="1"/>
      <c r="O1685" s="1"/>
      <c r="P1685" s="1"/>
      <c r="Q1685" s="1"/>
      <c r="R1685" s="1"/>
      <c r="S1685" s="1"/>
    </row>
    <row r="1686">
      <c r="A1686" s="1"/>
      <c r="B1686" s="1"/>
      <c r="C1686" s="1"/>
      <c r="D1686" s="1"/>
      <c r="E1686" s="1"/>
      <c r="F1686" s="1"/>
      <c r="G1686" s="1"/>
      <c r="H1686" s="1"/>
      <c r="I1686" s="1"/>
      <c r="J1686" s="1"/>
      <c r="K1686" s="1"/>
      <c r="L1686" s="1"/>
      <c r="M1686" s="1"/>
      <c r="N1686" s="1"/>
      <c r="O1686" s="1"/>
      <c r="P1686" s="1"/>
      <c r="Q1686" s="1"/>
      <c r="R1686" s="1"/>
      <c r="S1686" s="1"/>
    </row>
    <row r="1687">
      <c r="A1687" s="1"/>
      <c r="B1687" s="1"/>
      <c r="C1687" s="1"/>
      <c r="D1687" s="1"/>
      <c r="E1687" s="1"/>
      <c r="F1687" s="1"/>
      <c r="G1687" s="1"/>
      <c r="H1687" s="1"/>
      <c r="I1687" s="1"/>
      <c r="J1687" s="1"/>
      <c r="K1687" s="1"/>
      <c r="L1687" s="1"/>
      <c r="M1687" s="1"/>
      <c r="N1687" s="1"/>
      <c r="O1687" s="1"/>
      <c r="P1687" s="1"/>
      <c r="Q1687" s="1"/>
      <c r="R1687" s="1"/>
      <c r="S1687" s="1"/>
    </row>
    <row r="1688">
      <c r="A1688" s="1"/>
      <c r="B1688" s="1"/>
      <c r="C1688" s="1"/>
      <c r="D1688" s="1"/>
      <c r="E1688" s="1"/>
      <c r="F1688" s="1"/>
      <c r="G1688" s="1"/>
      <c r="H1688" s="1"/>
      <c r="I1688" s="1"/>
      <c r="J1688" s="1"/>
      <c r="K1688" s="1"/>
      <c r="L1688" s="1"/>
      <c r="M1688" s="1"/>
      <c r="N1688" s="1"/>
      <c r="O1688" s="1"/>
      <c r="P1688" s="1"/>
      <c r="Q1688" s="1"/>
      <c r="R1688" s="1"/>
      <c r="S1688" s="1"/>
    </row>
    <row r="1689">
      <c r="A1689" s="1"/>
      <c r="B1689" s="1"/>
      <c r="C1689" s="1"/>
      <c r="D1689" s="1"/>
      <c r="E1689" s="1"/>
      <c r="F1689" s="1"/>
      <c r="G1689" s="1"/>
      <c r="H1689" s="1"/>
      <c r="I1689" s="1"/>
      <c r="J1689" s="1"/>
      <c r="K1689" s="1"/>
      <c r="L1689" s="1"/>
      <c r="M1689" s="1"/>
      <c r="N1689" s="1"/>
      <c r="O1689" s="1"/>
      <c r="P1689" s="1"/>
      <c r="Q1689" s="1"/>
      <c r="R1689" s="1"/>
      <c r="S1689" s="1"/>
    </row>
    <row r="1690">
      <c r="A1690" s="1"/>
      <c r="B1690" s="1"/>
      <c r="C1690" s="1"/>
      <c r="D1690" s="1"/>
      <c r="E1690" s="1"/>
      <c r="F1690" s="1"/>
      <c r="G1690" s="1"/>
      <c r="H1690" s="1"/>
      <c r="I1690" s="1"/>
      <c r="J1690" s="1"/>
      <c r="K1690" s="1"/>
      <c r="L1690" s="1"/>
      <c r="M1690" s="1"/>
      <c r="N1690" s="1"/>
      <c r="O1690" s="1"/>
      <c r="P1690" s="1"/>
      <c r="Q1690" s="1"/>
      <c r="R1690" s="1"/>
      <c r="S1690" s="1"/>
    </row>
    <row r="1691">
      <c r="A1691" s="1"/>
      <c r="B1691" s="1"/>
      <c r="C1691" s="1"/>
      <c r="D1691" s="1"/>
      <c r="E1691" s="1"/>
      <c r="F1691" s="1"/>
      <c r="G1691" s="1"/>
      <c r="H1691" s="1"/>
      <c r="I1691" s="1"/>
      <c r="J1691" s="1"/>
      <c r="K1691" s="1"/>
      <c r="L1691" s="1"/>
      <c r="M1691" s="1"/>
      <c r="N1691" s="1"/>
      <c r="O1691" s="1"/>
      <c r="P1691" s="1"/>
      <c r="Q1691" s="1"/>
      <c r="R1691" s="1"/>
      <c r="S1691" s="1"/>
    </row>
    <row r="1692">
      <c r="A1692" s="1"/>
      <c r="B1692" s="1"/>
      <c r="C1692" s="1"/>
      <c r="D1692" s="1"/>
      <c r="E1692" s="1"/>
      <c r="F1692" s="1"/>
      <c r="G1692" s="1"/>
      <c r="H1692" s="1"/>
      <c r="I1692" s="1"/>
      <c r="J1692" s="1"/>
      <c r="K1692" s="1"/>
      <c r="L1692" s="1"/>
      <c r="M1692" s="1"/>
      <c r="N1692" s="1"/>
      <c r="O1692" s="1"/>
      <c r="P1692" s="1"/>
      <c r="Q1692" s="1"/>
      <c r="R1692" s="1"/>
      <c r="S1692" s="1"/>
    </row>
    <row r="1693">
      <c r="A1693" s="1"/>
      <c r="B1693" s="1"/>
      <c r="C1693" s="1"/>
      <c r="D1693" s="1"/>
      <c r="E1693" s="1"/>
      <c r="F1693" s="1"/>
      <c r="G1693" s="1"/>
      <c r="H1693" s="1"/>
      <c r="I1693" s="1"/>
      <c r="J1693" s="1"/>
      <c r="K1693" s="1"/>
      <c r="L1693" s="1"/>
      <c r="M1693" s="1"/>
      <c r="N1693" s="1"/>
      <c r="O1693" s="1"/>
      <c r="P1693" s="1"/>
      <c r="Q1693" s="1"/>
      <c r="R1693" s="1"/>
      <c r="S1693" s="1"/>
    </row>
    <row r="1694">
      <c r="A1694" s="1"/>
      <c r="B1694" s="1"/>
      <c r="C1694" s="1"/>
      <c r="D1694" s="1"/>
      <c r="E1694" s="1"/>
      <c r="F1694" s="1"/>
      <c r="G1694" s="1"/>
      <c r="H1694" s="1"/>
      <c r="I1694" s="1"/>
      <c r="J1694" s="1"/>
      <c r="K1694" s="1"/>
      <c r="L1694" s="1"/>
      <c r="M1694" s="1"/>
      <c r="N1694" s="1"/>
      <c r="O1694" s="1"/>
      <c r="P1694" s="1"/>
      <c r="Q1694" s="1"/>
      <c r="R1694" s="1"/>
      <c r="S1694" s="1"/>
    </row>
    <row r="1695">
      <c r="A1695" s="1"/>
      <c r="B1695" s="1"/>
      <c r="C1695" s="1"/>
      <c r="D1695" s="1"/>
      <c r="E1695" s="1"/>
      <c r="F1695" s="1"/>
      <c r="G1695" s="1"/>
      <c r="H1695" s="1"/>
      <c r="I1695" s="1"/>
      <c r="J1695" s="1"/>
      <c r="K1695" s="1"/>
      <c r="L1695" s="1"/>
      <c r="M1695" s="1"/>
      <c r="N1695" s="1"/>
      <c r="O1695" s="1"/>
      <c r="P1695" s="1"/>
      <c r="Q1695" s="1"/>
      <c r="R1695" s="1"/>
      <c r="S1695" s="1"/>
    </row>
    <row r="1696">
      <c r="A1696" s="1"/>
      <c r="B1696" s="1"/>
      <c r="C1696" s="1"/>
      <c r="D1696" s="1"/>
      <c r="E1696" s="1"/>
      <c r="F1696" s="1"/>
      <c r="G1696" s="1"/>
      <c r="H1696" s="1"/>
      <c r="I1696" s="1"/>
      <c r="J1696" s="1"/>
      <c r="K1696" s="1"/>
      <c r="L1696" s="1"/>
      <c r="M1696" s="1"/>
      <c r="N1696" s="1"/>
      <c r="O1696" s="1"/>
      <c r="P1696" s="1"/>
      <c r="Q1696" s="1"/>
      <c r="R1696" s="1"/>
      <c r="S1696" s="1"/>
    </row>
    <row r="1697">
      <c r="A1697" s="1"/>
      <c r="B1697" s="1"/>
      <c r="C1697" s="1"/>
      <c r="D1697" s="1"/>
      <c r="E1697" s="1"/>
      <c r="F1697" s="1"/>
      <c r="G1697" s="1"/>
      <c r="H1697" s="1"/>
      <c r="I1697" s="1"/>
      <c r="J1697" s="1"/>
      <c r="K1697" s="1"/>
      <c r="L1697" s="1"/>
      <c r="M1697" s="1"/>
      <c r="N1697" s="1"/>
      <c r="O1697" s="1"/>
      <c r="P1697" s="1"/>
      <c r="Q1697" s="1"/>
      <c r="R1697" s="1"/>
      <c r="S1697" s="1"/>
    </row>
    <row r="1698">
      <c r="A1698" s="1"/>
      <c r="B1698" s="1"/>
      <c r="C1698" s="1"/>
      <c r="D1698" s="1"/>
      <c r="E1698" s="1"/>
      <c r="F1698" s="1"/>
      <c r="G1698" s="1"/>
      <c r="H1698" s="1"/>
      <c r="I1698" s="1"/>
      <c r="J1698" s="1"/>
      <c r="K1698" s="1"/>
      <c r="L1698" s="1"/>
      <c r="M1698" s="1"/>
      <c r="N1698" s="1"/>
      <c r="O1698" s="1"/>
      <c r="P1698" s="1"/>
      <c r="Q1698" s="1"/>
      <c r="R1698" s="1"/>
      <c r="S1698" s="1"/>
    </row>
    <row r="1699">
      <c r="A1699" s="1"/>
      <c r="B1699" s="1"/>
      <c r="C1699" s="1"/>
      <c r="D1699" s="1"/>
      <c r="E1699" s="1"/>
      <c r="F1699" s="1"/>
      <c r="G1699" s="1"/>
      <c r="H1699" s="1"/>
      <c r="I1699" s="1"/>
      <c r="J1699" s="1"/>
      <c r="K1699" s="1"/>
      <c r="L1699" s="1"/>
      <c r="M1699" s="1"/>
      <c r="N1699" s="1"/>
      <c r="O1699" s="1"/>
      <c r="P1699" s="1"/>
      <c r="Q1699" s="1"/>
      <c r="R1699" s="1"/>
      <c r="S1699" s="1"/>
    </row>
    <row r="1700">
      <c r="A1700" s="1"/>
      <c r="B1700" s="1"/>
      <c r="C1700" s="1"/>
      <c r="D1700" s="1"/>
      <c r="E1700" s="1"/>
      <c r="F1700" s="1"/>
      <c r="G1700" s="1"/>
      <c r="H1700" s="1"/>
      <c r="I1700" s="1"/>
      <c r="J1700" s="1"/>
      <c r="K1700" s="1"/>
      <c r="L1700" s="1"/>
      <c r="M1700" s="1"/>
      <c r="N1700" s="1"/>
      <c r="O1700" s="1"/>
      <c r="P1700" s="1"/>
      <c r="Q1700" s="1"/>
      <c r="R1700" s="1"/>
      <c r="S1700" s="1"/>
    </row>
    <row r="1701">
      <c r="A1701" s="1"/>
      <c r="B1701" s="1"/>
      <c r="C1701" s="1"/>
      <c r="D1701" s="1"/>
      <c r="E1701" s="1"/>
      <c r="F1701" s="1"/>
      <c r="G1701" s="1"/>
      <c r="H1701" s="1"/>
      <c r="I1701" s="1"/>
      <c r="J1701" s="1"/>
      <c r="K1701" s="1"/>
      <c r="L1701" s="1"/>
      <c r="M1701" s="1"/>
      <c r="N1701" s="1"/>
      <c r="O1701" s="1"/>
      <c r="P1701" s="1"/>
      <c r="Q1701" s="1"/>
      <c r="R1701" s="1"/>
      <c r="S1701" s="1"/>
    </row>
    <row r="1702">
      <c r="A1702" s="1"/>
      <c r="B1702" s="1"/>
      <c r="C1702" s="1"/>
      <c r="D1702" s="1"/>
      <c r="E1702" s="1"/>
      <c r="F1702" s="1"/>
      <c r="G1702" s="1"/>
      <c r="H1702" s="1"/>
      <c r="I1702" s="1"/>
      <c r="J1702" s="1"/>
      <c r="K1702" s="1"/>
      <c r="L1702" s="1"/>
      <c r="M1702" s="1"/>
      <c r="N1702" s="1"/>
      <c r="O1702" s="1"/>
      <c r="P1702" s="1"/>
      <c r="Q1702" s="1"/>
      <c r="R1702" s="1"/>
      <c r="S1702" s="1"/>
    </row>
    <row r="1703">
      <c r="A1703" s="1"/>
      <c r="B1703" s="1"/>
      <c r="C1703" s="1"/>
      <c r="D1703" s="1"/>
      <c r="E1703" s="1"/>
      <c r="F1703" s="1"/>
      <c r="G1703" s="1"/>
      <c r="H1703" s="1"/>
      <c r="I1703" s="1"/>
      <c r="J1703" s="1"/>
      <c r="K1703" s="1"/>
      <c r="L1703" s="1"/>
      <c r="M1703" s="1"/>
      <c r="N1703" s="1"/>
      <c r="O1703" s="1"/>
      <c r="P1703" s="1"/>
      <c r="Q1703" s="1"/>
      <c r="R1703" s="1"/>
      <c r="S1703" s="1"/>
    </row>
    <row r="1704">
      <c r="A1704" s="1"/>
      <c r="B1704" s="1"/>
      <c r="C1704" s="1"/>
      <c r="D1704" s="1"/>
      <c r="E1704" s="1"/>
      <c r="F1704" s="1"/>
      <c r="G1704" s="1"/>
      <c r="H1704" s="1"/>
      <c r="I1704" s="1"/>
      <c r="J1704" s="1"/>
      <c r="K1704" s="1"/>
      <c r="L1704" s="1"/>
      <c r="M1704" s="1"/>
      <c r="N1704" s="1"/>
      <c r="O1704" s="1"/>
      <c r="P1704" s="1"/>
      <c r="Q1704" s="1"/>
      <c r="R1704" s="1"/>
      <c r="S1704" s="1"/>
    </row>
    <row r="1705">
      <c r="A1705" s="1"/>
      <c r="B1705" s="1"/>
      <c r="C1705" s="1"/>
      <c r="D1705" s="1"/>
      <c r="E1705" s="1"/>
      <c r="F1705" s="1"/>
      <c r="G1705" s="1"/>
      <c r="H1705" s="1"/>
      <c r="I1705" s="1"/>
      <c r="J1705" s="1"/>
      <c r="K1705" s="1"/>
      <c r="L1705" s="1"/>
      <c r="M1705" s="1"/>
      <c r="N1705" s="1"/>
      <c r="O1705" s="1"/>
      <c r="P1705" s="1"/>
      <c r="Q1705" s="1"/>
      <c r="R1705" s="1"/>
      <c r="S1705" s="1"/>
    </row>
    <row r="1706">
      <c r="A1706" s="1"/>
      <c r="B1706" s="1"/>
      <c r="C1706" s="1"/>
      <c r="D1706" s="1"/>
      <c r="E1706" s="1"/>
      <c r="F1706" s="1"/>
      <c r="G1706" s="1"/>
      <c r="H1706" s="1"/>
      <c r="I1706" s="1"/>
      <c r="J1706" s="1"/>
      <c r="K1706" s="1"/>
      <c r="L1706" s="1"/>
      <c r="M1706" s="1"/>
      <c r="N1706" s="1"/>
      <c r="O1706" s="1"/>
      <c r="P1706" s="1"/>
      <c r="Q1706" s="1"/>
      <c r="R1706" s="1"/>
      <c r="S1706" s="1"/>
    </row>
    <row r="1707">
      <c r="A1707" s="1"/>
      <c r="B1707" s="1"/>
      <c r="C1707" s="1"/>
      <c r="D1707" s="1"/>
      <c r="E1707" s="1"/>
      <c r="F1707" s="1"/>
      <c r="G1707" s="1"/>
      <c r="H1707" s="1"/>
      <c r="I1707" s="1"/>
      <c r="J1707" s="1"/>
      <c r="K1707" s="1"/>
      <c r="L1707" s="1"/>
      <c r="M1707" s="1"/>
      <c r="N1707" s="1"/>
      <c r="O1707" s="1"/>
      <c r="P1707" s="1"/>
      <c r="Q1707" s="1"/>
      <c r="R1707" s="1"/>
      <c r="S1707" s="1"/>
    </row>
    <row r="1708">
      <c r="A1708" s="1"/>
      <c r="B1708" s="1"/>
      <c r="C1708" s="1"/>
      <c r="D1708" s="1"/>
      <c r="E1708" s="1"/>
      <c r="F1708" s="1"/>
      <c r="G1708" s="1"/>
      <c r="H1708" s="1"/>
      <c r="I1708" s="1"/>
      <c r="J1708" s="1"/>
      <c r="K1708" s="1"/>
      <c r="L1708" s="1"/>
      <c r="M1708" s="1"/>
      <c r="N1708" s="1"/>
      <c r="O1708" s="1"/>
      <c r="P1708" s="1"/>
      <c r="Q1708" s="1"/>
      <c r="R1708" s="1"/>
      <c r="S1708" s="1"/>
    </row>
    <row r="1709">
      <c r="A1709" s="1"/>
      <c r="B1709" s="1"/>
      <c r="C1709" s="1"/>
      <c r="D1709" s="1"/>
      <c r="E1709" s="1"/>
      <c r="F1709" s="1"/>
      <c r="G1709" s="1"/>
      <c r="H1709" s="1"/>
      <c r="I1709" s="1"/>
      <c r="J1709" s="1"/>
      <c r="K1709" s="1"/>
      <c r="L1709" s="1"/>
      <c r="M1709" s="1"/>
      <c r="N1709" s="1"/>
      <c r="O1709" s="1"/>
      <c r="P1709" s="1"/>
      <c r="Q1709" s="1"/>
      <c r="R1709" s="1"/>
      <c r="S1709" s="1"/>
    </row>
    <row r="1710">
      <c r="A1710" s="1"/>
      <c r="B1710" s="1"/>
      <c r="C1710" s="1"/>
      <c r="D1710" s="1"/>
      <c r="E1710" s="1"/>
      <c r="F1710" s="1"/>
      <c r="G1710" s="1"/>
      <c r="H1710" s="1"/>
      <c r="I1710" s="1"/>
      <c r="J1710" s="1"/>
      <c r="K1710" s="1"/>
      <c r="L1710" s="1"/>
      <c r="M1710" s="1"/>
      <c r="N1710" s="1"/>
      <c r="O1710" s="1"/>
      <c r="P1710" s="1"/>
      <c r="Q1710" s="1"/>
      <c r="R1710" s="1"/>
      <c r="S1710" s="1"/>
    </row>
    <row r="1711">
      <c r="A1711" s="1"/>
      <c r="B1711" s="1"/>
      <c r="C1711" s="1"/>
      <c r="D1711" s="1"/>
      <c r="E1711" s="1"/>
      <c r="F1711" s="1"/>
      <c r="G1711" s="1"/>
      <c r="H1711" s="1"/>
      <c r="I1711" s="1"/>
      <c r="J1711" s="1"/>
      <c r="K1711" s="1"/>
      <c r="L1711" s="1"/>
      <c r="M1711" s="1"/>
      <c r="N1711" s="1"/>
      <c r="O1711" s="1"/>
      <c r="P1711" s="1"/>
      <c r="Q1711" s="1"/>
      <c r="R1711" s="1"/>
      <c r="S1711" s="1"/>
    </row>
    <row r="1712">
      <c r="A1712" s="1"/>
      <c r="B1712" s="1"/>
      <c r="C1712" s="1"/>
      <c r="D1712" s="1"/>
      <c r="E1712" s="1"/>
      <c r="F1712" s="1"/>
      <c r="G1712" s="1"/>
      <c r="H1712" s="1"/>
      <c r="I1712" s="1"/>
      <c r="J1712" s="1"/>
      <c r="K1712" s="1"/>
      <c r="L1712" s="1"/>
      <c r="M1712" s="1"/>
      <c r="N1712" s="1"/>
      <c r="O1712" s="1"/>
      <c r="P1712" s="1"/>
      <c r="Q1712" s="1"/>
      <c r="R1712" s="1"/>
      <c r="S1712" s="1"/>
    </row>
    <row r="1713">
      <c r="A1713" s="1"/>
      <c r="B1713" s="1"/>
      <c r="C1713" s="1"/>
      <c r="D1713" s="1"/>
      <c r="E1713" s="1"/>
      <c r="F1713" s="1"/>
      <c r="G1713" s="1"/>
      <c r="H1713" s="1"/>
      <c r="I1713" s="1"/>
      <c r="J1713" s="1"/>
      <c r="K1713" s="1"/>
      <c r="L1713" s="1"/>
      <c r="M1713" s="1"/>
      <c r="N1713" s="1"/>
      <c r="O1713" s="1"/>
      <c r="P1713" s="1"/>
      <c r="Q1713" s="1"/>
      <c r="R1713" s="1"/>
      <c r="S1713" s="1"/>
    </row>
    <row r="1714">
      <c r="A1714" s="1"/>
      <c r="B1714" s="1"/>
      <c r="C1714" s="1"/>
      <c r="D1714" s="1"/>
      <c r="E1714" s="1"/>
      <c r="F1714" s="1"/>
      <c r="G1714" s="1"/>
      <c r="H1714" s="1"/>
      <c r="I1714" s="1"/>
      <c r="J1714" s="1"/>
      <c r="K1714" s="1"/>
      <c r="L1714" s="1"/>
      <c r="M1714" s="1"/>
      <c r="N1714" s="1"/>
      <c r="O1714" s="1"/>
      <c r="P1714" s="1"/>
      <c r="Q1714" s="1"/>
      <c r="R1714" s="1"/>
      <c r="S1714" s="1"/>
    </row>
    <row r="1715">
      <c r="A1715" s="1"/>
      <c r="B1715" s="1"/>
      <c r="C1715" s="1"/>
      <c r="D1715" s="1"/>
      <c r="E1715" s="1"/>
      <c r="F1715" s="1"/>
      <c r="G1715" s="1"/>
      <c r="H1715" s="1"/>
      <c r="I1715" s="1"/>
      <c r="J1715" s="1"/>
      <c r="K1715" s="1"/>
      <c r="L1715" s="1"/>
      <c r="M1715" s="1"/>
      <c r="N1715" s="1"/>
      <c r="O1715" s="1"/>
      <c r="P1715" s="1"/>
      <c r="Q1715" s="1"/>
      <c r="R1715" s="1"/>
      <c r="S1715" s="1"/>
    </row>
    <row r="1716">
      <c r="A1716" s="1"/>
      <c r="B1716" s="1"/>
      <c r="C1716" s="1"/>
      <c r="D1716" s="1"/>
      <c r="E1716" s="1"/>
      <c r="F1716" s="1"/>
      <c r="G1716" s="1"/>
      <c r="H1716" s="1"/>
      <c r="I1716" s="1"/>
      <c r="J1716" s="1"/>
      <c r="K1716" s="1"/>
      <c r="L1716" s="1"/>
      <c r="M1716" s="1"/>
      <c r="N1716" s="1"/>
      <c r="O1716" s="1"/>
      <c r="P1716" s="1"/>
      <c r="Q1716" s="1"/>
      <c r="R1716" s="1"/>
      <c r="S1716" s="1"/>
    </row>
    <row r="1717">
      <c r="A1717" s="1"/>
      <c r="B1717" s="1"/>
      <c r="C1717" s="1"/>
      <c r="D1717" s="1"/>
      <c r="E1717" s="1"/>
      <c r="F1717" s="1"/>
      <c r="G1717" s="1"/>
      <c r="H1717" s="1"/>
      <c r="I1717" s="1"/>
      <c r="J1717" s="1"/>
      <c r="K1717" s="1"/>
      <c r="L1717" s="1"/>
      <c r="M1717" s="1"/>
      <c r="N1717" s="1"/>
      <c r="O1717" s="1"/>
      <c r="P1717" s="1"/>
      <c r="Q1717" s="1"/>
      <c r="R1717" s="1"/>
      <c r="S1717" s="1"/>
    </row>
    <row r="1718">
      <c r="A1718" s="1"/>
      <c r="B1718" s="1"/>
      <c r="C1718" s="1"/>
      <c r="D1718" s="1"/>
      <c r="E1718" s="1"/>
      <c r="F1718" s="1"/>
      <c r="G1718" s="1"/>
      <c r="H1718" s="1"/>
      <c r="I1718" s="1"/>
      <c r="J1718" s="1"/>
      <c r="K1718" s="1"/>
      <c r="L1718" s="1"/>
      <c r="M1718" s="1"/>
      <c r="N1718" s="1"/>
      <c r="O1718" s="1"/>
      <c r="P1718" s="1"/>
      <c r="Q1718" s="1"/>
      <c r="R1718" s="1"/>
      <c r="S1718" s="1"/>
    </row>
    <row r="1719">
      <c r="A1719" s="1"/>
      <c r="B1719" s="1"/>
      <c r="C1719" s="1"/>
      <c r="D1719" s="1"/>
      <c r="E1719" s="1"/>
      <c r="F1719" s="1"/>
      <c r="G1719" s="1"/>
      <c r="H1719" s="1"/>
      <c r="I1719" s="1"/>
      <c r="J1719" s="1"/>
      <c r="K1719" s="1"/>
      <c r="L1719" s="1"/>
      <c r="M1719" s="1"/>
      <c r="N1719" s="1"/>
      <c r="O1719" s="1"/>
      <c r="P1719" s="1"/>
      <c r="Q1719" s="1"/>
      <c r="R1719" s="1"/>
      <c r="S1719" s="1"/>
    </row>
    <row r="1720">
      <c r="A1720" s="1"/>
      <c r="B1720" s="1"/>
      <c r="C1720" s="1"/>
      <c r="D1720" s="1"/>
      <c r="E1720" s="1"/>
      <c r="F1720" s="1"/>
      <c r="G1720" s="1"/>
      <c r="H1720" s="1"/>
      <c r="I1720" s="1"/>
      <c r="J1720" s="1"/>
      <c r="K1720" s="1"/>
      <c r="L1720" s="1"/>
      <c r="M1720" s="1"/>
      <c r="N1720" s="1"/>
      <c r="O1720" s="1"/>
      <c r="P1720" s="1"/>
      <c r="Q1720" s="1"/>
      <c r="R1720" s="1"/>
      <c r="S1720" s="1"/>
    </row>
    <row r="1721">
      <c r="A1721" s="1"/>
      <c r="B1721" s="1"/>
      <c r="C1721" s="1"/>
      <c r="D1721" s="1"/>
      <c r="E1721" s="1"/>
      <c r="F1721" s="1"/>
      <c r="G1721" s="1"/>
      <c r="H1721" s="1"/>
      <c r="I1721" s="1"/>
      <c r="J1721" s="1"/>
      <c r="K1721" s="1"/>
      <c r="L1721" s="1"/>
      <c r="M1721" s="1"/>
      <c r="N1721" s="1"/>
      <c r="O1721" s="1"/>
      <c r="P1721" s="1"/>
      <c r="Q1721" s="1"/>
      <c r="R1721" s="1"/>
      <c r="S1721" s="1"/>
    </row>
    <row r="1722">
      <c r="A1722" s="1"/>
      <c r="B1722" s="1"/>
      <c r="C1722" s="1"/>
      <c r="D1722" s="1"/>
      <c r="E1722" s="1"/>
      <c r="F1722" s="1"/>
      <c r="G1722" s="1"/>
      <c r="H1722" s="1"/>
      <c r="I1722" s="1"/>
      <c r="J1722" s="1"/>
      <c r="K1722" s="1"/>
      <c r="L1722" s="1"/>
      <c r="M1722" s="1"/>
      <c r="N1722" s="1"/>
      <c r="O1722" s="1"/>
      <c r="P1722" s="1"/>
      <c r="Q1722" s="1"/>
      <c r="R1722" s="1"/>
      <c r="S1722" s="1"/>
    </row>
    <row r="1723">
      <c r="A1723" s="1"/>
      <c r="B1723" s="1"/>
      <c r="C1723" s="1"/>
      <c r="D1723" s="1"/>
      <c r="E1723" s="1"/>
      <c r="F1723" s="1"/>
      <c r="G1723" s="1"/>
      <c r="H1723" s="1"/>
      <c r="I1723" s="1"/>
      <c r="J1723" s="1"/>
      <c r="K1723" s="1"/>
      <c r="L1723" s="1"/>
      <c r="M1723" s="1"/>
      <c r="N1723" s="1"/>
      <c r="O1723" s="1"/>
      <c r="P1723" s="1"/>
      <c r="Q1723" s="1"/>
      <c r="R1723" s="1"/>
      <c r="S1723" s="1"/>
    </row>
    <row r="1724">
      <c r="A1724" s="1"/>
      <c r="B1724" s="1"/>
      <c r="C1724" s="1"/>
      <c r="D1724" s="1"/>
      <c r="E1724" s="1"/>
      <c r="F1724" s="1"/>
      <c r="G1724" s="1"/>
      <c r="H1724" s="1"/>
      <c r="I1724" s="1"/>
      <c r="J1724" s="1"/>
      <c r="K1724" s="1"/>
      <c r="L1724" s="1"/>
      <c r="M1724" s="1"/>
      <c r="N1724" s="1"/>
      <c r="O1724" s="1"/>
      <c r="P1724" s="1"/>
      <c r="Q1724" s="1"/>
      <c r="R1724" s="1"/>
      <c r="S1724" s="1"/>
    </row>
    <row r="1725">
      <c r="A1725" s="1"/>
      <c r="B1725" s="1"/>
      <c r="C1725" s="1"/>
      <c r="D1725" s="1"/>
      <c r="E1725" s="1"/>
      <c r="F1725" s="1"/>
      <c r="G1725" s="1"/>
      <c r="H1725" s="1"/>
      <c r="I1725" s="1"/>
      <c r="J1725" s="1"/>
      <c r="K1725" s="1"/>
      <c r="L1725" s="1"/>
      <c r="M1725" s="1"/>
      <c r="N1725" s="1"/>
      <c r="O1725" s="1"/>
      <c r="P1725" s="1"/>
      <c r="Q1725" s="1"/>
      <c r="R1725" s="1"/>
      <c r="S1725" s="1"/>
    </row>
    <row r="1726">
      <c r="A1726" s="1"/>
      <c r="B1726" s="1"/>
      <c r="C1726" s="1"/>
      <c r="D1726" s="1"/>
      <c r="E1726" s="1"/>
      <c r="F1726" s="1"/>
      <c r="G1726" s="1"/>
      <c r="H1726" s="1"/>
      <c r="I1726" s="1"/>
      <c r="J1726" s="1"/>
      <c r="K1726" s="1"/>
      <c r="L1726" s="1"/>
      <c r="M1726" s="1"/>
      <c r="N1726" s="1"/>
      <c r="O1726" s="1"/>
      <c r="P1726" s="1"/>
      <c r="Q1726" s="1"/>
      <c r="R1726" s="1"/>
      <c r="S1726" s="1"/>
    </row>
    <row r="1727">
      <c r="A1727" s="1"/>
      <c r="B1727" s="1"/>
      <c r="C1727" s="1"/>
      <c r="D1727" s="1"/>
      <c r="E1727" s="1"/>
      <c r="F1727" s="1"/>
      <c r="G1727" s="1"/>
      <c r="H1727" s="1"/>
      <c r="I1727" s="1"/>
      <c r="J1727" s="1"/>
      <c r="K1727" s="1"/>
      <c r="L1727" s="1"/>
      <c r="M1727" s="1"/>
      <c r="N1727" s="1"/>
      <c r="O1727" s="1"/>
      <c r="P1727" s="1"/>
      <c r="Q1727" s="1"/>
      <c r="R1727" s="1"/>
      <c r="S1727" s="1"/>
    </row>
    <row r="1728">
      <c r="A1728" s="1"/>
      <c r="B1728" s="1"/>
      <c r="C1728" s="1"/>
      <c r="D1728" s="1"/>
      <c r="E1728" s="1"/>
      <c r="F1728" s="1"/>
      <c r="G1728" s="1"/>
      <c r="H1728" s="1"/>
      <c r="I1728" s="1"/>
      <c r="J1728" s="1"/>
      <c r="K1728" s="1"/>
      <c r="L1728" s="1"/>
      <c r="M1728" s="1"/>
      <c r="N1728" s="1"/>
      <c r="O1728" s="1"/>
      <c r="P1728" s="1"/>
      <c r="Q1728" s="1"/>
      <c r="R1728" s="1"/>
      <c r="S1728" s="1"/>
    </row>
    <row r="1729">
      <c r="A1729" s="1"/>
      <c r="B1729" s="1"/>
      <c r="C1729" s="1"/>
      <c r="D1729" s="1"/>
      <c r="E1729" s="1"/>
      <c r="F1729" s="1"/>
      <c r="G1729" s="1"/>
      <c r="H1729" s="1"/>
      <c r="I1729" s="1"/>
      <c r="J1729" s="1"/>
      <c r="K1729" s="1"/>
      <c r="L1729" s="1"/>
      <c r="M1729" s="1"/>
      <c r="N1729" s="1"/>
      <c r="O1729" s="1"/>
      <c r="P1729" s="1"/>
      <c r="Q1729" s="1"/>
      <c r="R1729" s="1"/>
      <c r="S1729" s="1"/>
    </row>
    <row r="1730">
      <c r="A1730" s="1"/>
      <c r="B1730" s="1"/>
      <c r="C1730" s="1"/>
      <c r="D1730" s="1"/>
      <c r="E1730" s="1"/>
      <c r="F1730" s="1"/>
      <c r="G1730" s="1"/>
      <c r="H1730" s="1"/>
      <c r="I1730" s="1"/>
      <c r="J1730" s="1"/>
      <c r="K1730" s="1"/>
      <c r="L1730" s="1"/>
      <c r="M1730" s="1"/>
      <c r="N1730" s="1"/>
      <c r="O1730" s="1"/>
      <c r="P1730" s="1"/>
      <c r="Q1730" s="1"/>
      <c r="R1730" s="1"/>
      <c r="S1730" s="1"/>
    </row>
    <row r="1731">
      <c r="A1731" s="1"/>
      <c r="B1731" s="1"/>
      <c r="C1731" s="1"/>
      <c r="D1731" s="1"/>
      <c r="E1731" s="1"/>
      <c r="F1731" s="1"/>
      <c r="G1731" s="1"/>
      <c r="H1731" s="1"/>
      <c r="I1731" s="1"/>
      <c r="J1731" s="1"/>
      <c r="K1731" s="1"/>
      <c r="L1731" s="1"/>
      <c r="M1731" s="1"/>
      <c r="N1731" s="1"/>
      <c r="O1731" s="1"/>
      <c r="P1731" s="1"/>
      <c r="Q1731" s="1"/>
      <c r="R1731" s="1"/>
      <c r="S1731" s="1"/>
    </row>
    <row r="1732">
      <c r="A1732" s="1"/>
      <c r="B1732" s="1"/>
      <c r="C1732" s="1"/>
      <c r="D1732" s="1"/>
      <c r="E1732" s="1"/>
      <c r="F1732" s="1"/>
      <c r="G1732" s="1"/>
      <c r="H1732" s="1"/>
      <c r="I1732" s="1"/>
      <c r="J1732" s="1"/>
      <c r="K1732" s="1"/>
      <c r="L1732" s="1"/>
      <c r="M1732" s="1"/>
      <c r="N1732" s="1"/>
      <c r="O1732" s="1"/>
      <c r="P1732" s="1"/>
      <c r="Q1732" s="1"/>
      <c r="R1732" s="1"/>
      <c r="S1732" s="1"/>
    </row>
    <row r="1733">
      <c r="A1733" s="1"/>
      <c r="B1733" s="1"/>
      <c r="C1733" s="1"/>
      <c r="D1733" s="1"/>
      <c r="E1733" s="1"/>
      <c r="F1733" s="1"/>
      <c r="G1733" s="1"/>
      <c r="H1733" s="1"/>
      <c r="I1733" s="1"/>
      <c r="J1733" s="1"/>
      <c r="K1733" s="1"/>
      <c r="L1733" s="1"/>
      <c r="M1733" s="1"/>
      <c r="N1733" s="1"/>
      <c r="O1733" s="1"/>
      <c r="P1733" s="1"/>
      <c r="Q1733" s="1"/>
      <c r="R1733" s="1"/>
      <c r="S1733" s="1"/>
    </row>
    <row r="1734">
      <c r="A1734" s="1"/>
      <c r="B1734" s="1"/>
      <c r="C1734" s="1"/>
      <c r="D1734" s="1"/>
      <c r="E1734" s="1"/>
      <c r="F1734" s="1"/>
      <c r="G1734" s="1"/>
      <c r="H1734" s="1"/>
      <c r="I1734" s="1"/>
      <c r="J1734" s="1"/>
      <c r="K1734" s="1"/>
      <c r="L1734" s="1"/>
      <c r="M1734" s="1"/>
      <c r="N1734" s="1"/>
      <c r="O1734" s="1"/>
      <c r="P1734" s="1"/>
      <c r="Q1734" s="1"/>
      <c r="R1734" s="1"/>
      <c r="S1734" s="1"/>
    </row>
    <row r="1735">
      <c r="A1735" s="1"/>
      <c r="B1735" s="1"/>
      <c r="C1735" s="1"/>
      <c r="D1735" s="1"/>
      <c r="E1735" s="1"/>
      <c r="F1735" s="1"/>
      <c r="G1735" s="1"/>
      <c r="H1735" s="1"/>
      <c r="I1735" s="1"/>
      <c r="J1735" s="1"/>
      <c r="K1735" s="1"/>
      <c r="L1735" s="1"/>
      <c r="M1735" s="1"/>
      <c r="N1735" s="1"/>
      <c r="O1735" s="1"/>
      <c r="P1735" s="1"/>
      <c r="Q1735" s="1"/>
      <c r="R1735" s="1"/>
      <c r="S1735" s="1"/>
    </row>
    <row r="1736">
      <c r="A1736" s="1"/>
      <c r="B1736" s="1"/>
      <c r="C1736" s="1"/>
      <c r="D1736" s="1"/>
      <c r="E1736" s="1"/>
      <c r="F1736" s="1"/>
      <c r="G1736" s="1"/>
      <c r="H1736" s="1"/>
      <c r="I1736" s="1"/>
      <c r="J1736" s="1"/>
      <c r="K1736" s="1"/>
      <c r="L1736" s="1"/>
      <c r="M1736" s="1"/>
      <c r="N1736" s="1"/>
      <c r="O1736" s="1"/>
      <c r="P1736" s="1"/>
      <c r="Q1736" s="1"/>
      <c r="R1736" s="1"/>
      <c r="S1736" s="1"/>
    </row>
    <row r="1737">
      <c r="A1737" s="1"/>
      <c r="B1737" s="1"/>
      <c r="C1737" s="1"/>
      <c r="D1737" s="1"/>
      <c r="E1737" s="1"/>
      <c r="F1737" s="1"/>
      <c r="G1737" s="1"/>
      <c r="H1737" s="1"/>
      <c r="I1737" s="1"/>
      <c r="J1737" s="1"/>
      <c r="K1737" s="1"/>
      <c r="L1737" s="1"/>
      <c r="M1737" s="1"/>
      <c r="N1737" s="1"/>
      <c r="O1737" s="1"/>
      <c r="P1737" s="1"/>
      <c r="Q1737" s="1"/>
      <c r="R1737" s="1"/>
      <c r="S1737" s="1"/>
    </row>
    <row r="1738">
      <c r="A1738" s="1"/>
      <c r="B1738" s="1"/>
      <c r="C1738" s="1"/>
      <c r="D1738" s="1"/>
      <c r="E1738" s="1"/>
      <c r="F1738" s="1"/>
      <c r="G1738" s="1"/>
      <c r="H1738" s="1"/>
      <c r="I1738" s="1"/>
      <c r="J1738" s="1"/>
      <c r="K1738" s="1"/>
      <c r="L1738" s="1"/>
      <c r="M1738" s="1"/>
      <c r="N1738" s="1"/>
      <c r="O1738" s="1"/>
      <c r="P1738" s="1"/>
      <c r="Q1738" s="1"/>
      <c r="R1738" s="1"/>
      <c r="S1738" s="1"/>
    </row>
    <row r="1739">
      <c r="A1739" s="1"/>
      <c r="B1739" s="1"/>
      <c r="C1739" s="1"/>
      <c r="D1739" s="1"/>
      <c r="E1739" s="1"/>
      <c r="F1739" s="1"/>
      <c r="G1739" s="1"/>
      <c r="H1739" s="1"/>
      <c r="I1739" s="1"/>
      <c r="J1739" s="1"/>
      <c r="K1739" s="1"/>
      <c r="L1739" s="1"/>
      <c r="M1739" s="1"/>
      <c r="N1739" s="1"/>
      <c r="O1739" s="1"/>
      <c r="P1739" s="1"/>
      <c r="Q1739" s="1"/>
      <c r="R1739" s="1"/>
      <c r="S1739" s="1"/>
    </row>
    <row r="1740">
      <c r="A1740" s="1"/>
      <c r="B1740" s="1"/>
      <c r="C1740" s="1"/>
      <c r="D1740" s="1"/>
      <c r="E1740" s="1"/>
      <c r="F1740" s="1"/>
      <c r="G1740" s="1"/>
      <c r="H1740" s="1"/>
      <c r="I1740" s="1"/>
      <c r="J1740" s="1"/>
      <c r="K1740" s="1"/>
      <c r="L1740" s="1"/>
      <c r="M1740" s="1"/>
      <c r="N1740" s="1"/>
      <c r="O1740" s="1"/>
      <c r="P1740" s="1"/>
      <c r="Q1740" s="1"/>
      <c r="R1740" s="1"/>
      <c r="S1740" s="1"/>
    </row>
    <row r="1741">
      <c r="A1741" s="1"/>
      <c r="B1741" s="1"/>
      <c r="C1741" s="1"/>
      <c r="D1741" s="1"/>
      <c r="E1741" s="1"/>
      <c r="F1741" s="1"/>
      <c r="G1741" s="1"/>
      <c r="H1741" s="1"/>
      <c r="I1741" s="1"/>
      <c r="J1741" s="1"/>
      <c r="K1741" s="1"/>
      <c r="L1741" s="1"/>
      <c r="M1741" s="1"/>
      <c r="N1741" s="1"/>
      <c r="O1741" s="1"/>
      <c r="P1741" s="1"/>
      <c r="Q1741" s="1"/>
      <c r="R1741" s="1"/>
      <c r="S1741" s="1"/>
    </row>
    <row r="1742">
      <c r="A1742" s="1"/>
      <c r="B1742" s="1"/>
      <c r="C1742" s="1"/>
      <c r="D1742" s="1"/>
      <c r="E1742" s="1"/>
      <c r="F1742" s="1"/>
      <c r="G1742" s="1"/>
      <c r="H1742" s="1"/>
      <c r="I1742" s="1"/>
      <c r="J1742" s="1"/>
      <c r="K1742" s="1"/>
      <c r="L1742" s="1"/>
      <c r="M1742" s="1"/>
      <c r="N1742" s="1"/>
      <c r="O1742" s="1"/>
      <c r="P1742" s="1"/>
      <c r="Q1742" s="1"/>
      <c r="R1742" s="1"/>
      <c r="S1742" s="1"/>
    </row>
    <row r="1743">
      <c r="A1743" s="1"/>
      <c r="B1743" s="1"/>
      <c r="C1743" s="1"/>
      <c r="D1743" s="1"/>
      <c r="E1743" s="1"/>
      <c r="F1743" s="1"/>
      <c r="G1743" s="1"/>
      <c r="H1743" s="1"/>
      <c r="I1743" s="1"/>
      <c r="J1743" s="1"/>
      <c r="K1743" s="1"/>
      <c r="L1743" s="1"/>
      <c r="M1743" s="1"/>
      <c r="N1743" s="1"/>
      <c r="O1743" s="1"/>
      <c r="P1743" s="1"/>
      <c r="Q1743" s="1"/>
      <c r="R1743" s="1"/>
      <c r="S1743" s="1"/>
    </row>
    <row r="1744">
      <c r="A1744" s="1"/>
      <c r="B1744" s="1"/>
      <c r="C1744" s="1"/>
      <c r="D1744" s="1"/>
      <c r="E1744" s="1"/>
      <c r="F1744" s="1"/>
      <c r="G1744" s="1"/>
      <c r="H1744" s="1"/>
      <c r="I1744" s="1"/>
      <c r="J1744" s="1"/>
      <c r="K1744" s="1"/>
      <c r="L1744" s="1"/>
      <c r="M1744" s="1"/>
      <c r="N1744" s="1"/>
      <c r="O1744" s="1"/>
      <c r="P1744" s="1"/>
      <c r="Q1744" s="1"/>
      <c r="R1744" s="1"/>
      <c r="S1744" s="1"/>
    </row>
    <row r="1745">
      <c r="A1745" s="1"/>
      <c r="B1745" s="1"/>
      <c r="C1745" s="1"/>
      <c r="D1745" s="1"/>
      <c r="E1745" s="1"/>
      <c r="F1745" s="1"/>
      <c r="G1745" s="1"/>
      <c r="H1745" s="1"/>
      <c r="I1745" s="1"/>
      <c r="J1745" s="1"/>
      <c r="K1745" s="1"/>
      <c r="L1745" s="1"/>
      <c r="M1745" s="1"/>
      <c r="N1745" s="1"/>
      <c r="O1745" s="1"/>
      <c r="P1745" s="1"/>
      <c r="Q1745" s="1"/>
      <c r="R1745" s="1"/>
      <c r="S1745" s="1"/>
    </row>
    <row r="1746">
      <c r="A1746" s="1"/>
      <c r="B1746" s="1"/>
      <c r="C1746" s="1"/>
      <c r="D1746" s="1"/>
      <c r="E1746" s="1"/>
      <c r="F1746" s="1"/>
      <c r="G1746" s="1"/>
      <c r="H1746" s="1"/>
      <c r="I1746" s="1"/>
      <c r="J1746" s="1"/>
      <c r="K1746" s="1"/>
      <c r="L1746" s="1"/>
      <c r="M1746" s="1"/>
      <c r="N1746" s="1"/>
      <c r="O1746" s="1"/>
      <c r="P1746" s="1"/>
      <c r="Q1746" s="1"/>
      <c r="R1746" s="1"/>
      <c r="S1746" s="1"/>
    </row>
    <row r="1747">
      <c r="A1747" s="1"/>
      <c r="B1747" s="1"/>
      <c r="C1747" s="1"/>
      <c r="D1747" s="1"/>
      <c r="E1747" s="1"/>
      <c r="F1747" s="1"/>
      <c r="G1747" s="1"/>
      <c r="H1747" s="1"/>
      <c r="I1747" s="1"/>
      <c r="J1747" s="1"/>
      <c r="K1747" s="1"/>
      <c r="L1747" s="1"/>
      <c r="M1747" s="1"/>
      <c r="N1747" s="1"/>
      <c r="O1747" s="1"/>
      <c r="P1747" s="1"/>
      <c r="Q1747" s="1"/>
      <c r="R1747" s="1"/>
      <c r="S1747" s="1"/>
    </row>
    <row r="1748">
      <c r="A1748" s="1"/>
      <c r="B1748" s="1"/>
      <c r="C1748" s="1"/>
      <c r="D1748" s="1"/>
      <c r="E1748" s="1"/>
      <c r="F1748" s="1"/>
      <c r="G1748" s="1"/>
      <c r="H1748" s="1"/>
      <c r="I1748" s="1"/>
      <c r="J1748" s="1"/>
      <c r="K1748" s="1"/>
      <c r="L1748" s="1"/>
      <c r="M1748" s="1"/>
      <c r="N1748" s="1"/>
      <c r="O1748" s="1"/>
      <c r="P1748" s="1"/>
      <c r="Q1748" s="1"/>
      <c r="R1748" s="1"/>
      <c r="S1748" s="1"/>
    </row>
    <row r="1749">
      <c r="A1749" s="1"/>
      <c r="B1749" s="1"/>
      <c r="C1749" s="1"/>
      <c r="D1749" s="1"/>
      <c r="E1749" s="1"/>
      <c r="F1749" s="1"/>
      <c r="G1749" s="1"/>
      <c r="H1749" s="1"/>
      <c r="I1749" s="1"/>
      <c r="J1749" s="1"/>
      <c r="K1749" s="1"/>
      <c r="L1749" s="1"/>
      <c r="M1749" s="1"/>
      <c r="N1749" s="1"/>
      <c r="O1749" s="1"/>
      <c r="P1749" s="1"/>
      <c r="Q1749" s="1"/>
      <c r="R1749" s="1"/>
      <c r="S1749" s="1"/>
    </row>
    <row r="1750">
      <c r="A1750" s="1"/>
      <c r="B1750" s="1"/>
      <c r="C1750" s="1"/>
      <c r="D1750" s="1"/>
      <c r="E1750" s="1"/>
      <c r="F1750" s="1"/>
      <c r="G1750" s="1"/>
      <c r="H1750" s="1"/>
      <c r="I1750" s="1"/>
      <c r="J1750" s="1"/>
      <c r="K1750" s="1"/>
      <c r="L1750" s="1"/>
      <c r="M1750" s="1"/>
      <c r="N1750" s="1"/>
      <c r="O1750" s="1"/>
      <c r="P1750" s="1"/>
      <c r="Q1750" s="1"/>
      <c r="R1750" s="1"/>
      <c r="S1750" s="1"/>
    </row>
    <row r="1751">
      <c r="A1751" s="1"/>
      <c r="B1751" s="1"/>
      <c r="C1751" s="1"/>
      <c r="D1751" s="1"/>
      <c r="E1751" s="1"/>
      <c r="F1751" s="1"/>
      <c r="G1751" s="1"/>
      <c r="H1751" s="1"/>
      <c r="I1751" s="1"/>
      <c r="J1751" s="1"/>
      <c r="K1751" s="1"/>
      <c r="L1751" s="1"/>
      <c r="M1751" s="1"/>
      <c r="N1751" s="1"/>
      <c r="O1751" s="1"/>
      <c r="P1751" s="1"/>
      <c r="Q1751" s="1"/>
      <c r="R1751" s="1"/>
      <c r="S1751" s="1"/>
    </row>
    <row r="1752">
      <c r="A1752" s="1"/>
      <c r="B1752" s="1"/>
      <c r="C1752" s="1"/>
      <c r="D1752" s="1"/>
      <c r="E1752" s="1"/>
      <c r="F1752" s="1"/>
      <c r="G1752" s="1"/>
      <c r="H1752" s="1"/>
      <c r="I1752" s="1"/>
      <c r="J1752" s="1"/>
      <c r="K1752" s="1"/>
      <c r="L1752" s="1"/>
      <c r="M1752" s="1"/>
      <c r="N1752" s="1"/>
      <c r="O1752" s="1"/>
      <c r="P1752" s="1"/>
      <c r="Q1752" s="1"/>
      <c r="R1752" s="1"/>
      <c r="S1752" s="1"/>
    </row>
    <row r="1753">
      <c r="A1753" s="1"/>
      <c r="B1753" s="1"/>
      <c r="C1753" s="1"/>
      <c r="D1753" s="1"/>
      <c r="E1753" s="1"/>
      <c r="F1753" s="1"/>
      <c r="G1753" s="1"/>
      <c r="H1753" s="1"/>
      <c r="I1753" s="1"/>
      <c r="J1753" s="1"/>
      <c r="K1753" s="1"/>
      <c r="L1753" s="1"/>
      <c r="M1753" s="1"/>
      <c r="N1753" s="1"/>
      <c r="O1753" s="1"/>
      <c r="P1753" s="1"/>
      <c r="Q1753" s="1"/>
      <c r="R1753" s="1"/>
      <c r="S1753" s="1"/>
    </row>
    <row r="1754">
      <c r="A1754" s="1"/>
      <c r="B1754" s="1"/>
      <c r="C1754" s="1"/>
      <c r="D1754" s="1"/>
      <c r="E1754" s="1"/>
      <c r="F1754" s="1"/>
      <c r="G1754" s="1"/>
      <c r="H1754" s="1"/>
      <c r="I1754" s="1"/>
      <c r="J1754" s="1"/>
      <c r="K1754" s="1"/>
      <c r="L1754" s="1"/>
      <c r="M1754" s="1"/>
      <c r="N1754" s="1"/>
      <c r="O1754" s="1"/>
      <c r="P1754" s="1"/>
      <c r="Q1754" s="1"/>
      <c r="R1754" s="1"/>
      <c r="S1754" s="1"/>
    </row>
    <row r="1755">
      <c r="A1755" s="1"/>
      <c r="B1755" s="1"/>
      <c r="C1755" s="1"/>
      <c r="D1755" s="1"/>
      <c r="E1755" s="1"/>
      <c r="F1755" s="1"/>
      <c r="G1755" s="1"/>
      <c r="H1755" s="1"/>
      <c r="I1755" s="1"/>
      <c r="J1755" s="1"/>
      <c r="K1755" s="1"/>
      <c r="L1755" s="1"/>
      <c r="M1755" s="1"/>
      <c r="N1755" s="1"/>
      <c r="O1755" s="1"/>
      <c r="P1755" s="1"/>
      <c r="Q1755" s="1"/>
      <c r="R1755" s="1"/>
      <c r="S1755" s="1"/>
    </row>
    <row r="1756">
      <c r="A1756" s="1"/>
      <c r="B1756" s="1"/>
      <c r="C1756" s="1"/>
      <c r="D1756" s="1"/>
      <c r="E1756" s="1"/>
      <c r="F1756" s="1"/>
      <c r="G1756" s="1"/>
      <c r="H1756" s="1"/>
      <c r="I1756" s="1"/>
      <c r="J1756" s="1"/>
      <c r="K1756" s="1"/>
      <c r="L1756" s="1"/>
      <c r="M1756" s="1"/>
      <c r="N1756" s="1"/>
      <c r="O1756" s="1"/>
      <c r="P1756" s="1"/>
      <c r="Q1756" s="1"/>
      <c r="R1756" s="1"/>
      <c r="S1756" s="1"/>
    </row>
    <row r="1757">
      <c r="A1757" s="1"/>
      <c r="B1757" s="1"/>
      <c r="C1757" s="1"/>
      <c r="D1757" s="1"/>
      <c r="E1757" s="1"/>
      <c r="F1757" s="1"/>
      <c r="G1757" s="1"/>
      <c r="H1757" s="1"/>
      <c r="I1757" s="1"/>
      <c r="J1757" s="1"/>
      <c r="K1757" s="1"/>
      <c r="L1757" s="1"/>
      <c r="M1757" s="1"/>
      <c r="N1757" s="1"/>
      <c r="O1757" s="1"/>
      <c r="P1757" s="1"/>
      <c r="Q1757" s="1"/>
      <c r="R1757" s="1"/>
      <c r="S1757" s="1"/>
    </row>
    <row r="1758">
      <c r="A1758" s="1"/>
      <c r="B1758" s="1"/>
      <c r="C1758" s="1"/>
      <c r="D1758" s="1"/>
      <c r="E1758" s="1"/>
      <c r="F1758" s="1"/>
      <c r="G1758" s="1"/>
      <c r="H1758" s="1"/>
      <c r="I1758" s="1"/>
      <c r="J1758" s="1"/>
      <c r="K1758" s="1"/>
      <c r="L1758" s="1"/>
      <c r="M1758" s="1"/>
      <c r="N1758" s="1"/>
      <c r="O1758" s="1"/>
      <c r="P1758" s="1"/>
      <c r="Q1758" s="1"/>
      <c r="R1758" s="1"/>
      <c r="S1758" s="1"/>
    </row>
    <row r="1759">
      <c r="A1759" s="1"/>
      <c r="B1759" s="1"/>
      <c r="C1759" s="1"/>
      <c r="D1759" s="1"/>
      <c r="E1759" s="1"/>
      <c r="F1759" s="1"/>
      <c r="G1759" s="1"/>
      <c r="H1759" s="1"/>
      <c r="I1759" s="1"/>
      <c r="J1759" s="1"/>
      <c r="K1759" s="1"/>
      <c r="L1759" s="1"/>
      <c r="M1759" s="1"/>
      <c r="N1759" s="1"/>
      <c r="O1759" s="1"/>
      <c r="P1759" s="1"/>
      <c r="Q1759" s="1"/>
      <c r="R1759" s="1"/>
      <c r="S1759" s="1"/>
    </row>
    <row r="1760">
      <c r="A1760" s="1"/>
      <c r="B1760" s="1"/>
      <c r="C1760" s="1"/>
      <c r="D1760" s="1"/>
      <c r="E1760" s="1"/>
      <c r="F1760" s="1"/>
      <c r="G1760" s="1"/>
      <c r="H1760" s="1"/>
      <c r="I1760" s="1"/>
      <c r="J1760" s="1"/>
      <c r="K1760" s="1"/>
      <c r="L1760" s="1"/>
      <c r="M1760" s="1"/>
      <c r="N1760" s="1"/>
      <c r="O1760" s="1"/>
      <c r="P1760" s="1"/>
      <c r="Q1760" s="1"/>
      <c r="R1760" s="1"/>
      <c r="S1760" s="1"/>
    </row>
    <row r="1761">
      <c r="A1761" s="1"/>
      <c r="B1761" s="1"/>
      <c r="C1761" s="1"/>
      <c r="D1761" s="1"/>
      <c r="E1761" s="1"/>
      <c r="F1761" s="1"/>
      <c r="G1761" s="1"/>
      <c r="H1761" s="1"/>
      <c r="I1761" s="1"/>
      <c r="J1761" s="1"/>
      <c r="K1761" s="1"/>
      <c r="L1761" s="1"/>
      <c r="M1761" s="1"/>
      <c r="N1761" s="1"/>
      <c r="O1761" s="1"/>
      <c r="P1761" s="1"/>
      <c r="Q1761" s="1"/>
      <c r="R1761" s="1"/>
      <c r="S1761" s="1"/>
    </row>
    <row r="1762">
      <c r="A1762" s="1"/>
      <c r="B1762" s="1"/>
      <c r="C1762" s="1"/>
      <c r="D1762" s="1"/>
      <c r="E1762" s="1"/>
      <c r="F1762" s="1"/>
      <c r="G1762" s="1"/>
      <c r="H1762" s="1"/>
      <c r="I1762" s="1"/>
      <c r="J1762" s="1"/>
      <c r="K1762" s="1"/>
      <c r="L1762" s="1"/>
      <c r="M1762" s="1"/>
      <c r="N1762" s="1"/>
      <c r="O1762" s="1"/>
      <c r="P1762" s="1"/>
      <c r="Q1762" s="1"/>
      <c r="R1762" s="1"/>
      <c r="S1762" s="1"/>
    </row>
    <row r="1763">
      <c r="A1763" s="1"/>
      <c r="B1763" s="1"/>
      <c r="C1763" s="1"/>
      <c r="D1763" s="1"/>
      <c r="E1763" s="1"/>
      <c r="F1763" s="1"/>
      <c r="G1763" s="1"/>
      <c r="H1763" s="1"/>
      <c r="I1763" s="1"/>
      <c r="J1763" s="1"/>
      <c r="K1763" s="1"/>
      <c r="L1763" s="1"/>
      <c r="M1763" s="1"/>
      <c r="N1763" s="1"/>
      <c r="O1763" s="1"/>
      <c r="P1763" s="1"/>
      <c r="Q1763" s="1"/>
      <c r="R1763" s="1"/>
      <c r="S1763" s="1"/>
    </row>
    <row r="1764">
      <c r="A1764" s="1"/>
      <c r="B1764" s="1"/>
      <c r="C1764" s="1"/>
      <c r="D1764" s="1"/>
      <c r="E1764" s="1"/>
      <c r="F1764" s="1"/>
      <c r="G1764" s="1"/>
      <c r="H1764" s="1"/>
      <c r="I1764" s="1"/>
      <c r="J1764" s="1"/>
      <c r="K1764" s="1"/>
      <c r="L1764" s="1"/>
      <c r="M1764" s="1"/>
      <c r="N1764" s="1"/>
      <c r="O1764" s="1"/>
      <c r="P1764" s="1"/>
      <c r="Q1764" s="1"/>
      <c r="R1764" s="1"/>
      <c r="S1764" s="1"/>
    </row>
    <row r="1765">
      <c r="A1765" s="1"/>
      <c r="B1765" s="1"/>
      <c r="C1765" s="1"/>
      <c r="D1765" s="1"/>
      <c r="E1765" s="1"/>
      <c r="F1765" s="1"/>
      <c r="G1765" s="1"/>
      <c r="H1765" s="1"/>
      <c r="I1765" s="1"/>
      <c r="J1765" s="1"/>
      <c r="K1765" s="1"/>
      <c r="L1765" s="1"/>
      <c r="M1765" s="1"/>
      <c r="N1765" s="1"/>
      <c r="O1765" s="1"/>
      <c r="P1765" s="1"/>
      <c r="Q1765" s="1"/>
      <c r="R1765" s="1"/>
      <c r="S1765" s="1"/>
    </row>
    <row r="1766">
      <c r="A1766" s="1"/>
      <c r="B1766" s="1"/>
      <c r="C1766" s="1"/>
      <c r="D1766" s="1"/>
      <c r="E1766" s="1"/>
      <c r="F1766" s="1"/>
      <c r="G1766" s="1"/>
      <c r="H1766" s="1"/>
      <c r="I1766" s="1"/>
      <c r="J1766" s="1"/>
      <c r="K1766" s="1"/>
      <c r="L1766" s="1"/>
      <c r="M1766" s="1"/>
      <c r="N1766" s="1"/>
      <c r="O1766" s="1"/>
      <c r="P1766" s="1"/>
      <c r="Q1766" s="1"/>
      <c r="R1766" s="1"/>
      <c r="S1766" s="1"/>
    </row>
    <row r="1767">
      <c r="A1767" s="1"/>
      <c r="B1767" s="1"/>
      <c r="C1767" s="1"/>
      <c r="D1767" s="1"/>
      <c r="E1767" s="1"/>
      <c r="F1767" s="1"/>
      <c r="G1767" s="1"/>
      <c r="H1767" s="1"/>
      <c r="I1767" s="1"/>
      <c r="J1767" s="1"/>
      <c r="K1767" s="1"/>
      <c r="L1767" s="1"/>
      <c r="M1767" s="1"/>
      <c r="N1767" s="1"/>
      <c r="O1767" s="1"/>
      <c r="P1767" s="1"/>
      <c r="Q1767" s="1"/>
      <c r="R1767" s="1"/>
      <c r="S1767" s="1"/>
    </row>
    <row r="1768">
      <c r="A1768" s="1"/>
      <c r="B1768" s="1"/>
      <c r="C1768" s="1"/>
      <c r="D1768" s="1"/>
      <c r="E1768" s="1"/>
      <c r="F1768" s="1"/>
      <c r="G1768" s="1"/>
      <c r="H1768" s="1"/>
      <c r="I1768" s="1"/>
      <c r="J1768" s="1"/>
      <c r="K1768" s="1"/>
      <c r="L1768" s="1"/>
      <c r="M1768" s="1"/>
      <c r="N1768" s="1"/>
      <c r="O1768" s="1"/>
      <c r="P1768" s="1"/>
      <c r="Q1768" s="1"/>
      <c r="R1768" s="1"/>
      <c r="S1768" s="1"/>
    </row>
    <row r="1769">
      <c r="A1769" s="1"/>
      <c r="B1769" s="1"/>
      <c r="C1769" s="1"/>
      <c r="D1769" s="1"/>
      <c r="E1769" s="1"/>
      <c r="F1769" s="1"/>
      <c r="G1769" s="1"/>
      <c r="H1769" s="1"/>
      <c r="I1769" s="1"/>
      <c r="J1769" s="1"/>
      <c r="K1769" s="1"/>
      <c r="L1769" s="1"/>
      <c r="M1769" s="1"/>
      <c r="N1769" s="1"/>
      <c r="O1769" s="1"/>
      <c r="P1769" s="1"/>
      <c r="Q1769" s="1"/>
      <c r="R1769" s="1"/>
      <c r="S1769" s="1"/>
    </row>
    <row r="1770">
      <c r="A1770" s="1"/>
      <c r="B1770" s="1"/>
      <c r="C1770" s="1"/>
      <c r="D1770" s="1"/>
      <c r="E1770" s="1"/>
      <c r="F1770" s="1"/>
      <c r="G1770" s="1"/>
      <c r="H1770" s="1"/>
      <c r="I1770" s="1"/>
      <c r="J1770" s="1"/>
      <c r="K1770" s="1"/>
      <c r="L1770" s="1"/>
      <c r="M1770" s="1"/>
      <c r="N1770" s="1"/>
      <c r="O1770" s="1"/>
      <c r="P1770" s="1"/>
      <c r="Q1770" s="1"/>
      <c r="R1770" s="1"/>
      <c r="S1770" s="1"/>
    </row>
    <row r="1771">
      <c r="A1771" s="1"/>
      <c r="B1771" s="1"/>
      <c r="C1771" s="1"/>
      <c r="D1771" s="1"/>
      <c r="E1771" s="1"/>
      <c r="F1771" s="1"/>
      <c r="G1771" s="1"/>
      <c r="H1771" s="1"/>
      <c r="I1771" s="1"/>
      <c r="J1771" s="1"/>
      <c r="K1771" s="1"/>
      <c r="L1771" s="1"/>
      <c r="M1771" s="1"/>
      <c r="N1771" s="1"/>
      <c r="O1771" s="1"/>
      <c r="P1771" s="1"/>
      <c r="Q1771" s="1"/>
      <c r="R1771" s="1"/>
      <c r="S1771" s="1"/>
    </row>
    <row r="1772">
      <c r="A1772" s="1"/>
      <c r="B1772" s="1"/>
      <c r="C1772" s="1"/>
      <c r="D1772" s="1"/>
      <c r="E1772" s="1"/>
      <c r="F1772" s="1"/>
      <c r="G1772" s="1"/>
      <c r="H1772" s="1"/>
      <c r="I1772" s="1"/>
      <c r="J1772" s="1"/>
      <c r="K1772" s="1"/>
      <c r="L1772" s="1"/>
      <c r="M1772" s="1"/>
      <c r="N1772" s="1"/>
      <c r="O1772" s="1"/>
      <c r="P1772" s="1"/>
      <c r="Q1772" s="1"/>
      <c r="R1772" s="1"/>
      <c r="S1772" s="1"/>
    </row>
    <row r="1773">
      <c r="A1773" s="1"/>
      <c r="B1773" s="1"/>
      <c r="C1773" s="1"/>
      <c r="D1773" s="1"/>
      <c r="E1773" s="1"/>
      <c r="F1773" s="1"/>
      <c r="G1773" s="1"/>
      <c r="H1773" s="1"/>
      <c r="I1773" s="1"/>
      <c r="J1773" s="1"/>
      <c r="K1773" s="1"/>
      <c r="L1773" s="1"/>
      <c r="M1773" s="1"/>
      <c r="N1773" s="1"/>
      <c r="O1773" s="1"/>
      <c r="P1773" s="1"/>
      <c r="Q1773" s="1"/>
      <c r="R1773" s="1"/>
      <c r="S1773" s="1"/>
    </row>
    <row r="1774">
      <c r="A1774" s="1"/>
      <c r="B1774" s="1"/>
      <c r="C1774" s="1"/>
      <c r="D1774" s="1"/>
      <c r="E1774" s="1"/>
      <c r="F1774" s="1"/>
      <c r="G1774" s="1"/>
      <c r="H1774" s="1"/>
      <c r="I1774" s="1"/>
      <c r="J1774" s="1"/>
      <c r="K1774" s="1"/>
      <c r="L1774" s="1"/>
      <c r="M1774" s="1"/>
      <c r="N1774" s="1"/>
      <c r="O1774" s="1"/>
      <c r="P1774" s="1"/>
      <c r="Q1774" s="1"/>
      <c r="R1774" s="1"/>
      <c r="S1774" s="1"/>
    </row>
    <row r="1775">
      <c r="A1775" s="1"/>
      <c r="B1775" s="1"/>
      <c r="C1775" s="1"/>
      <c r="D1775" s="1"/>
      <c r="E1775" s="1"/>
      <c r="F1775" s="1"/>
      <c r="G1775" s="1"/>
      <c r="H1775" s="1"/>
      <c r="I1775" s="1"/>
      <c r="J1775" s="1"/>
      <c r="K1775" s="1"/>
      <c r="L1775" s="1"/>
      <c r="M1775" s="1"/>
      <c r="N1775" s="1"/>
      <c r="O1775" s="1"/>
      <c r="P1775" s="1"/>
      <c r="Q1775" s="1"/>
      <c r="R1775" s="1"/>
      <c r="S1775" s="1"/>
    </row>
    <row r="1776">
      <c r="A1776" s="1"/>
      <c r="B1776" s="1"/>
      <c r="C1776" s="1"/>
      <c r="D1776" s="1"/>
      <c r="E1776" s="1"/>
      <c r="F1776" s="1"/>
      <c r="G1776" s="1"/>
      <c r="H1776" s="1"/>
      <c r="I1776" s="1"/>
      <c r="J1776" s="1"/>
      <c r="K1776" s="1"/>
      <c r="L1776" s="1"/>
      <c r="M1776" s="1"/>
      <c r="N1776" s="1"/>
      <c r="O1776" s="1"/>
      <c r="P1776" s="1"/>
      <c r="Q1776" s="1"/>
      <c r="R1776" s="1"/>
      <c r="S1776" s="1"/>
    </row>
    <row r="1777">
      <c r="A1777" s="1"/>
      <c r="B1777" s="1"/>
      <c r="C1777" s="1"/>
      <c r="D1777" s="1"/>
      <c r="E1777" s="1"/>
      <c r="F1777" s="1"/>
      <c r="G1777" s="1"/>
      <c r="H1777" s="1"/>
      <c r="I1777" s="1"/>
      <c r="J1777" s="1"/>
      <c r="K1777" s="1"/>
      <c r="L1777" s="1"/>
      <c r="M1777" s="1"/>
      <c r="N1777" s="1"/>
      <c r="O1777" s="1"/>
      <c r="P1777" s="1"/>
      <c r="Q1777" s="1"/>
      <c r="R1777" s="1"/>
      <c r="S1777" s="1"/>
    </row>
    <row r="1778">
      <c r="A1778" s="1"/>
      <c r="B1778" s="1"/>
      <c r="C1778" s="1"/>
      <c r="D1778" s="1"/>
      <c r="E1778" s="1"/>
      <c r="F1778" s="1"/>
      <c r="G1778" s="1"/>
      <c r="H1778" s="1"/>
      <c r="I1778" s="1"/>
      <c r="J1778" s="1"/>
      <c r="K1778" s="1"/>
      <c r="L1778" s="1"/>
      <c r="M1778" s="1"/>
      <c r="N1778" s="1"/>
      <c r="O1778" s="1"/>
      <c r="P1778" s="1"/>
      <c r="Q1778" s="1"/>
      <c r="R1778" s="1"/>
      <c r="S1778" s="1"/>
    </row>
    <row r="1779">
      <c r="A1779" s="1"/>
      <c r="B1779" s="1"/>
      <c r="C1779" s="1"/>
      <c r="D1779" s="1"/>
      <c r="E1779" s="1"/>
      <c r="F1779" s="1"/>
      <c r="G1779" s="1"/>
      <c r="H1779" s="1"/>
      <c r="I1779" s="1"/>
      <c r="J1779" s="1"/>
      <c r="K1779" s="1"/>
      <c r="L1779" s="1"/>
      <c r="M1779" s="1"/>
      <c r="N1779" s="1"/>
      <c r="O1779" s="1"/>
      <c r="P1779" s="1"/>
      <c r="Q1779" s="1"/>
      <c r="R1779" s="1"/>
      <c r="S1779" s="1"/>
    </row>
    <row r="1780">
      <c r="A1780" s="1"/>
      <c r="B1780" s="1"/>
      <c r="C1780" s="1"/>
      <c r="D1780" s="1"/>
      <c r="E1780" s="1"/>
      <c r="F1780" s="1"/>
      <c r="G1780" s="1"/>
      <c r="H1780" s="1"/>
      <c r="I1780" s="1"/>
      <c r="J1780" s="1"/>
      <c r="K1780" s="1"/>
      <c r="L1780" s="1"/>
      <c r="M1780" s="1"/>
      <c r="N1780" s="1"/>
      <c r="O1780" s="1"/>
      <c r="P1780" s="1"/>
      <c r="Q1780" s="1"/>
      <c r="R1780" s="1"/>
      <c r="S1780" s="1"/>
    </row>
    <row r="1781">
      <c r="A1781" s="1"/>
      <c r="B1781" s="1"/>
      <c r="C1781" s="1"/>
      <c r="D1781" s="1"/>
      <c r="E1781" s="1"/>
      <c r="F1781" s="1"/>
      <c r="G1781" s="1"/>
      <c r="H1781" s="1"/>
      <c r="I1781" s="1"/>
      <c r="J1781" s="1"/>
      <c r="K1781" s="1"/>
      <c r="L1781" s="1"/>
      <c r="M1781" s="1"/>
      <c r="N1781" s="1"/>
      <c r="O1781" s="1"/>
      <c r="P1781" s="1"/>
      <c r="Q1781" s="1"/>
      <c r="R1781" s="1"/>
      <c r="S1781" s="1"/>
    </row>
    <row r="1782">
      <c r="A1782" s="1"/>
      <c r="B1782" s="1"/>
      <c r="C1782" s="1"/>
      <c r="D1782" s="1"/>
      <c r="E1782" s="1"/>
      <c r="F1782" s="1"/>
      <c r="G1782" s="1"/>
      <c r="H1782" s="1"/>
      <c r="I1782" s="1"/>
      <c r="J1782" s="1"/>
      <c r="K1782" s="1"/>
      <c r="L1782" s="1"/>
      <c r="M1782" s="1"/>
      <c r="N1782" s="1"/>
      <c r="O1782" s="1"/>
      <c r="P1782" s="1"/>
      <c r="Q1782" s="1"/>
      <c r="R1782" s="1"/>
      <c r="S1782" s="1"/>
    </row>
    <row r="1783">
      <c r="A1783" s="1"/>
      <c r="B1783" s="1"/>
      <c r="C1783" s="1"/>
      <c r="D1783" s="1"/>
      <c r="E1783" s="1"/>
      <c r="F1783" s="1"/>
      <c r="G1783" s="1"/>
      <c r="H1783" s="1"/>
      <c r="I1783" s="1"/>
      <c r="J1783" s="1"/>
      <c r="K1783" s="1"/>
      <c r="L1783" s="1"/>
      <c r="M1783" s="1"/>
      <c r="N1783" s="1"/>
      <c r="O1783" s="1"/>
      <c r="P1783" s="1"/>
      <c r="Q1783" s="1"/>
      <c r="R1783" s="1"/>
      <c r="S1783" s="1"/>
    </row>
    <row r="1784">
      <c r="A1784" s="1"/>
      <c r="B1784" s="1"/>
      <c r="C1784" s="1"/>
      <c r="D1784" s="1"/>
      <c r="E1784" s="1"/>
      <c r="F1784" s="1"/>
      <c r="G1784" s="1"/>
      <c r="H1784" s="1"/>
      <c r="I1784" s="1"/>
      <c r="J1784" s="1"/>
      <c r="K1784" s="1"/>
      <c r="L1784" s="1"/>
      <c r="M1784" s="1"/>
      <c r="N1784" s="1"/>
      <c r="O1784" s="1"/>
      <c r="P1784" s="1"/>
      <c r="Q1784" s="1"/>
      <c r="R1784" s="1"/>
      <c r="S1784" s="1"/>
    </row>
    <row r="1785">
      <c r="A1785" s="1"/>
      <c r="B1785" s="1"/>
      <c r="C1785" s="1"/>
      <c r="D1785" s="1"/>
      <c r="E1785" s="1"/>
      <c r="F1785" s="1"/>
      <c r="G1785" s="1"/>
      <c r="H1785" s="1"/>
      <c r="I1785" s="1"/>
      <c r="J1785" s="1"/>
      <c r="K1785" s="1"/>
      <c r="L1785" s="1"/>
      <c r="M1785" s="1"/>
      <c r="N1785" s="1"/>
      <c r="O1785" s="1"/>
      <c r="P1785" s="1"/>
      <c r="Q1785" s="1"/>
      <c r="R1785" s="1"/>
      <c r="S1785" s="1"/>
    </row>
    <row r="1786">
      <c r="A1786" s="1"/>
      <c r="B1786" s="1"/>
      <c r="C1786" s="1"/>
      <c r="D1786" s="1"/>
      <c r="E1786" s="1"/>
      <c r="F1786" s="1"/>
      <c r="G1786" s="1"/>
      <c r="H1786" s="1"/>
      <c r="I1786" s="1"/>
      <c r="J1786" s="1"/>
      <c r="K1786" s="1"/>
      <c r="L1786" s="1"/>
      <c r="M1786" s="1"/>
      <c r="N1786" s="1"/>
      <c r="O1786" s="1"/>
      <c r="P1786" s="1"/>
      <c r="Q1786" s="1"/>
      <c r="R1786" s="1"/>
      <c r="S1786" s="1"/>
    </row>
    <row r="1787">
      <c r="A1787" s="1"/>
      <c r="B1787" s="1"/>
      <c r="C1787" s="1"/>
      <c r="D1787" s="1"/>
      <c r="E1787" s="1"/>
      <c r="F1787" s="1"/>
      <c r="G1787" s="1"/>
      <c r="H1787" s="1"/>
      <c r="I1787" s="1"/>
      <c r="J1787" s="1"/>
      <c r="K1787" s="1"/>
      <c r="L1787" s="1"/>
      <c r="M1787" s="1"/>
      <c r="N1787" s="1"/>
      <c r="O1787" s="1"/>
      <c r="P1787" s="1"/>
      <c r="Q1787" s="1"/>
      <c r="R1787" s="1"/>
      <c r="S1787" s="1"/>
    </row>
    <row r="1788">
      <c r="A1788" s="1"/>
      <c r="B1788" s="1"/>
      <c r="C1788" s="1"/>
      <c r="D1788" s="1"/>
      <c r="E1788" s="1"/>
      <c r="F1788" s="1"/>
      <c r="G1788" s="1"/>
      <c r="H1788" s="1"/>
      <c r="I1788" s="1"/>
      <c r="J1788" s="1"/>
      <c r="K1788" s="1"/>
      <c r="L1788" s="1"/>
      <c r="M1788" s="1"/>
      <c r="N1788" s="1"/>
      <c r="O1788" s="1"/>
      <c r="P1788" s="1"/>
      <c r="Q1788" s="1"/>
      <c r="R1788" s="1"/>
      <c r="S1788" s="1"/>
    </row>
    <row r="1789">
      <c r="A1789" s="1"/>
      <c r="B1789" s="1"/>
      <c r="C1789" s="1"/>
      <c r="D1789" s="1"/>
      <c r="E1789" s="1"/>
      <c r="F1789" s="1"/>
      <c r="G1789" s="1"/>
      <c r="H1789" s="1"/>
      <c r="I1789" s="1"/>
      <c r="J1789" s="1"/>
      <c r="K1789" s="1"/>
      <c r="L1789" s="1"/>
      <c r="M1789" s="1"/>
      <c r="N1789" s="1"/>
      <c r="O1789" s="1"/>
      <c r="P1789" s="1"/>
      <c r="Q1789" s="1"/>
      <c r="R1789" s="1"/>
      <c r="S1789" s="1"/>
    </row>
    <row r="1790">
      <c r="A1790" s="1"/>
      <c r="B1790" s="1"/>
      <c r="C1790" s="1"/>
      <c r="D1790" s="1"/>
      <c r="E1790" s="1"/>
      <c r="F1790" s="1"/>
      <c r="G1790" s="1"/>
      <c r="H1790" s="1"/>
      <c r="I1790" s="1"/>
      <c r="J1790" s="1"/>
      <c r="K1790" s="1"/>
      <c r="L1790" s="1"/>
      <c r="M1790" s="1"/>
      <c r="N1790" s="1"/>
      <c r="O1790" s="1"/>
      <c r="P1790" s="1"/>
      <c r="Q1790" s="1"/>
      <c r="R1790" s="1"/>
      <c r="S1790" s="1"/>
    </row>
    <row r="1791">
      <c r="A1791" s="1"/>
      <c r="B1791" s="1"/>
      <c r="C1791" s="1"/>
      <c r="D1791" s="1"/>
      <c r="E1791" s="1"/>
      <c r="F1791" s="1"/>
      <c r="G1791" s="1"/>
      <c r="H1791" s="1"/>
      <c r="I1791" s="1"/>
      <c r="J1791" s="1"/>
      <c r="K1791" s="1"/>
      <c r="L1791" s="1"/>
      <c r="M1791" s="1"/>
      <c r="N1791" s="1"/>
      <c r="O1791" s="1"/>
      <c r="P1791" s="1"/>
      <c r="Q1791" s="1"/>
      <c r="R1791" s="1"/>
      <c r="S1791" s="1"/>
    </row>
    <row r="1792">
      <c r="A1792" s="1"/>
      <c r="B1792" s="1"/>
      <c r="C1792" s="1"/>
      <c r="D1792" s="1"/>
      <c r="E1792" s="1"/>
      <c r="F1792" s="1"/>
      <c r="G1792" s="1"/>
      <c r="H1792" s="1"/>
      <c r="I1792" s="1"/>
      <c r="J1792" s="1"/>
      <c r="K1792" s="1"/>
      <c r="L1792" s="1"/>
      <c r="M1792" s="1"/>
      <c r="N1792" s="1"/>
      <c r="O1792" s="1"/>
      <c r="P1792" s="1"/>
      <c r="Q1792" s="1"/>
      <c r="R1792" s="1"/>
      <c r="S1792" s="1"/>
    </row>
    <row r="1793">
      <c r="A1793" s="1"/>
      <c r="B1793" s="1"/>
      <c r="C1793" s="1"/>
      <c r="D1793" s="1"/>
      <c r="E1793" s="1"/>
      <c r="F1793" s="1"/>
      <c r="G1793" s="1"/>
      <c r="H1793" s="1"/>
      <c r="I1793" s="1"/>
      <c r="J1793" s="1"/>
      <c r="K1793" s="1"/>
      <c r="L1793" s="1"/>
      <c r="M1793" s="1"/>
      <c r="N1793" s="1"/>
      <c r="O1793" s="1"/>
      <c r="P1793" s="1"/>
      <c r="Q1793" s="1"/>
      <c r="R1793" s="1"/>
      <c r="S1793" s="1"/>
    </row>
    <row r="1794">
      <c r="A1794" s="1"/>
      <c r="B1794" s="1"/>
      <c r="C1794" s="1"/>
      <c r="D1794" s="1"/>
      <c r="E1794" s="1"/>
      <c r="F1794" s="1"/>
      <c r="G1794" s="1"/>
      <c r="H1794" s="1"/>
      <c r="I1794" s="1"/>
      <c r="J1794" s="1"/>
      <c r="K1794" s="1"/>
      <c r="L1794" s="1"/>
      <c r="M1794" s="1"/>
      <c r="N1794" s="1"/>
      <c r="O1794" s="1"/>
      <c r="P1794" s="1"/>
      <c r="Q1794" s="1"/>
      <c r="R1794" s="1"/>
      <c r="S1794" s="1"/>
    </row>
    <row r="1795">
      <c r="A1795" s="1"/>
      <c r="B1795" s="1"/>
      <c r="C1795" s="1"/>
      <c r="D1795" s="1"/>
      <c r="E1795" s="1"/>
      <c r="F1795" s="1"/>
      <c r="G1795" s="1"/>
      <c r="H1795" s="1"/>
      <c r="I1795" s="1"/>
      <c r="J1795" s="1"/>
      <c r="K1795" s="1"/>
      <c r="L1795" s="1"/>
      <c r="M1795" s="1"/>
      <c r="N1795" s="1"/>
      <c r="O1795" s="1"/>
      <c r="P1795" s="1"/>
      <c r="Q1795" s="1"/>
      <c r="R1795" s="1"/>
      <c r="S1795" s="1"/>
    </row>
    <row r="1796">
      <c r="A1796" s="1"/>
      <c r="B1796" s="1"/>
      <c r="C1796" s="1"/>
      <c r="D1796" s="1"/>
      <c r="E1796" s="1"/>
      <c r="F1796" s="1"/>
      <c r="G1796" s="1"/>
      <c r="H1796" s="1"/>
      <c r="I1796" s="1"/>
      <c r="J1796" s="1"/>
      <c r="K1796" s="1"/>
      <c r="L1796" s="1"/>
      <c r="M1796" s="1"/>
      <c r="N1796" s="1"/>
      <c r="O1796" s="1"/>
      <c r="P1796" s="1"/>
      <c r="Q1796" s="1"/>
      <c r="R1796" s="1"/>
      <c r="S1796" s="1"/>
    </row>
    <row r="1797">
      <c r="A1797" s="1"/>
      <c r="B1797" s="1"/>
      <c r="C1797" s="1"/>
      <c r="D1797" s="1"/>
      <c r="E1797" s="1"/>
      <c r="F1797" s="1"/>
      <c r="G1797" s="1"/>
      <c r="H1797" s="1"/>
      <c r="I1797" s="1"/>
      <c r="J1797" s="1"/>
      <c r="K1797" s="1"/>
      <c r="L1797" s="1"/>
      <c r="M1797" s="1"/>
      <c r="N1797" s="1"/>
      <c r="O1797" s="1"/>
      <c r="P1797" s="1"/>
      <c r="Q1797" s="1"/>
      <c r="R1797" s="1"/>
      <c r="S1797" s="1"/>
    </row>
    <row r="1798">
      <c r="A1798" s="1"/>
      <c r="B1798" s="1"/>
      <c r="C1798" s="1"/>
      <c r="D1798" s="1"/>
      <c r="E1798" s="1"/>
      <c r="F1798" s="1"/>
      <c r="G1798" s="1"/>
      <c r="H1798" s="1"/>
      <c r="I1798" s="1"/>
      <c r="J1798" s="1"/>
      <c r="K1798" s="1"/>
      <c r="L1798" s="1"/>
      <c r="M1798" s="1"/>
      <c r="N1798" s="1"/>
      <c r="O1798" s="1"/>
      <c r="P1798" s="1"/>
      <c r="Q1798" s="1"/>
      <c r="R1798" s="1"/>
      <c r="S1798" s="1"/>
    </row>
    <row r="1799">
      <c r="A1799" s="1"/>
      <c r="B1799" s="1"/>
      <c r="C1799" s="1"/>
      <c r="D1799" s="1"/>
      <c r="E1799" s="1"/>
      <c r="F1799" s="1"/>
      <c r="G1799" s="1"/>
      <c r="H1799" s="1"/>
      <c r="I1799" s="1"/>
      <c r="J1799" s="1"/>
      <c r="K1799" s="1"/>
      <c r="L1799" s="1"/>
      <c r="M1799" s="1"/>
      <c r="N1799" s="1"/>
      <c r="O1799" s="1"/>
      <c r="P1799" s="1"/>
      <c r="Q1799" s="1"/>
      <c r="R1799" s="1"/>
      <c r="S1799" s="1"/>
    </row>
    <row r="1800">
      <c r="A1800" s="1"/>
      <c r="B1800" s="1"/>
      <c r="C1800" s="1"/>
      <c r="D1800" s="1"/>
      <c r="E1800" s="1"/>
      <c r="F1800" s="1"/>
      <c r="G1800" s="1"/>
      <c r="H1800" s="1"/>
      <c r="I1800" s="1"/>
      <c r="J1800" s="1"/>
      <c r="K1800" s="1"/>
      <c r="L1800" s="1"/>
      <c r="M1800" s="1"/>
      <c r="N1800" s="1"/>
      <c r="O1800" s="1"/>
      <c r="P1800" s="1"/>
      <c r="Q1800" s="1"/>
      <c r="R1800" s="1"/>
      <c r="S1800" s="1"/>
    </row>
    <row r="1801">
      <c r="A1801" s="1"/>
      <c r="B1801" s="1"/>
      <c r="C1801" s="1"/>
      <c r="D1801" s="1"/>
      <c r="E1801" s="1"/>
      <c r="F1801" s="1"/>
      <c r="G1801" s="1"/>
      <c r="H1801" s="1"/>
      <c r="I1801" s="1"/>
      <c r="J1801" s="1"/>
      <c r="K1801" s="1"/>
      <c r="L1801" s="1"/>
      <c r="M1801" s="1"/>
      <c r="N1801" s="1"/>
      <c r="O1801" s="1"/>
      <c r="P1801" s="1"/>
      <c r="Q1801" s="1"/>
      <c r="R1801" s="1"/>
      <c r="S1801" s="1"/>
    </row>
    <row r="1802">
      <c r="A1802" s="1"/>
      <c r="B1802" s="1"/>
      <c r="C1802" s="1"/>
      <c r="D1802" s="1"/>
      <c r="E1802" s="1"/>
      <c r="F1802" s="1"/>
      <c r="G1802" s="1"/>
      <c r="H1802" s="1"/>
      <c r="I1802" s="1"/>
      <c r="J1802" s="1"/>
      <c r="K1802" s="1"/>
      <c r="L1802" s="1"/>
      <c r="M1802" s="1"/>
      <c r="N1802" s="1"/>
      <c r="O1802" s="1"/>
      <c r="P1802" s="1"/>
      <c r="Q1802" s="1"/>
      <c r="R1802" s="1"/>
      <c r="S1802" s="1"/>
    </row>
    <row r="1803">
      <c r="A1803" s="1"/>
      <c r="B1803" s="1"/>
      <c r="C1803" s="1"/>
      <c r="D1803" s="1"/>
      <c r="E1803" s="1"/>
      <c r="F1803" s="1"/>
      <c r="G1803" s="1"/>
      <c r="H1803" s="1"/>
      <c r="I1803" s="1"/>
      <c r="J1803" s="1"/>
      <c r="K1803" s="1"/>
      <c r="L1803" s="1"/>
      <c r="M1803" s="1"/>
      <c r="N1803" s="1"/>
      <c r="O1803" s="1"/>
      <c r="P1803" s="1"/>
      <c r="Q1803" s="1"/>
      <c r="R1803" s="1"/>
      <c r="S1803" s="1"/>
    </row>
    <row r="1804">
      <c r="A1804" s="1"/>
      <c r="B1804" s="1"/>
      <c r="C1804" s="1"/>
      <c r="D1804" s="1"/>
      <c r="E1804" s="1"/>
      <c r="F1804" s="1"/>
      <c r="G1804" s="1"/>
      <c r="H1804" s="1"/>
      <c r="I1804" s="1"/>
      <c r="J1804" s="1"/>
      <c r="K1804" s="1"/>
      <c r="L1804" s="1"/>
      <c r="M1804" s="1"/>
      <c r="N1804" s="1"/>
      <c r="O1804" s="1"/>
      <c r="P1804" s="1"/>
      <c r="Q1804" s="1"/>
      <c r="R1804" s="1"/>
      <c r="S1804" s="1"/>
    </row>
    <row r="1805">
      <c r="A1805" s="1"/>
      <c r="B1805" s="1"/>
      <c r="C1805" s="1"/>
      <c r="D1805" s="1"/>
      <c r="E1805" s="1"/>
      <c r="F1805" s="1"/>
      <c r="G1805" s="1"/>
      <c r="H1805" s="1"/>
      <c r="I1805" s="1"/>
      <c r="J1805" s="1"/>
      <c r="K1805" s="1"/>
      <c r="L1805" s="1"/>
      <c r="M1805" s="1"/>
      <c r="N1805" s="1"/>
      <c r="O1805" s="1"/>
      <c r="P1805" s="1"/>
      <c r="Q1805" s="1"/>
      <c r="R1805" s="1"/>
      <c r="S1805" s="1"/>
    </row>
    <row r="1806">
      <c r="A1806" s="1"/>
      <c r="B1806" s="1"/>
      <c r="C1806" s="1"/>
      <c r="D1806" s="1"/>
      <c r="E1806" s="1"/>
      <c r="F1806" s="1"/>
      <c r="G1806" s="1"/>
      <c r="H1806" s="1"/>
      <c r="I1806" s="1"/>
      <c r="J1806" s="1"/>
      <c r="K1806" s="1"/>
      <c r="L1806" s="1"/>
      <c r="M1806" s="1"/>
      <c r="N1806" s="1"/>
      <c r="O1806" s="1"/>
      <c r="P1806" s="1"/>
      <c r="Q1806" s="1"/>
      <c r="R1806" s="1"/>
      <c r="S1806" s="1"/>
    </row>
    <row r="1807">
      <c r="A1807" s="1"/>
      <c r="B1807" s="1"/>
      <c r="C1807" s="1"/>
      <c r="D1807" s="1"/>
      <c r="E1807" s="1"/>
      <c r="F1807" s="1"/>
      <c r="G1807" s="1"/>
      <c r="H1807" s="1"/>
      <c r="I1807" s="1"/>
      <c r="J1807" s="1"/>
      <c r="K1807" s="1"/>
      <c r="L1807" s="1"/>
      <c r="M1807" s="1"/>
      <c r="N1807" s="1"/>
      <c r="O1807" s="1"/>
      <c r="P1807" s="1"/>
      <c r="Q1807" s="1"/>
      <c r="R1807" s="1"/>
      <c r="S1807" s="1"/>
    </row>
    <row r="1808">
      <c r="A1808" s="1"/>
      <c r="B1808" s="1"/>
      <c r="C1808" s="1"/>
      <c r="D1808" s="1"/>
      <c r="E1808" s="1"/>
      <c r="F1808" s="1"/>
      <c r="G1808" s="1"/>
      <c r="H1808" s="1"/>
      <c r="I1808" s="1"/>
      <c r="J1808" s="1"/>
      <c r="K1808" s="1"/>
      <c r="L1808" s="1"/>
      <c r="M1808" s="1"/>
      <c r="N1808" s="1"/>
      <c r="O1808" s="1"/>
      <c r="P1808" s="1"/>
      <c r="Q1808" s="1"/>
      <c r="R1808" s="1"/>
      <c r="S1808" s="1"/>
    </row>
    <row r="1809">
      <c r="A1809" s="1"/>
      <c r="B1809" s="1"/>
      <c r="C1809" s="1"/>
      <c r="D1809" s="1"/>
      <c r="E1809" s="1"/>
      <c r="F1809" s="1"/>
      <c r="G1809" s="1"/>
      <c r="H1809" s="1"/>
      <c r="I1809" s="1"/>
      <c r="J1809" s="1"/>
      <c r="K1809" s="1"/>
      <c r="L1809" s="1"/>
      <c r="M1809" s="1"/>
      <c r="N1809" s="1"/>
      <c r="O1809" s="1"/>
      <c r="P1809" s="1"/>
      <c r="Q1809" s="1"/>
      <c r="R1809" s="1"/>
      <c r="S1809" s="1"/>
    </row>
    <row r="1810">
      <c r="A1810" s="1"/>
      <c r="B1810" s="1"/>
      <c r="C1810" s="1"/>
      <c r="D1810" s="1"/>
      <c r="E1810" s="1"/>
      <c r="F1810" s="1"/>
      <c r="G1810" s="1"/>
      <c r="H1810" s="1"/>
      <c r="I1810" s="1"/>
      <c r="J1810" s="1"/>
      <c r="K1810" s="1"/>
      <c r="L1810" s="1"/>
      <c r="M1810" s="1"/>
      <c r="N1810" s="1"/>
      <c r="O1810" s="1"/>
      <c r="P1810" s="1"/>
      <c r="Q1810" s="1"/>
      <c r="R1810" s="1"/>
      <c r="S1810" s="1"/>
    </row>
    <row r="1811">
      <c r="A1811" s="1"/>
      <c r="B1811" s="1"/>
      <c r="C1811" s="1"/>
      <c r="D1811" s="1"/>
      <c r="E1811" s="1"/>
      <c r="F1811" s="1"/>
      <c r="G1811" s="1"/>
      <c r="H1811" s="1"/>
      <c r="I1811" s="1"/>
      <c r="J1811" s="1"/>
      <c r="K1811" s="1"/>
      <c r="L1811" s="1"/>
      <c r="M1811" s="1"/>
      <c r="N1811" s="1"/>
      <c r="O1811" s="1"/>
      <c r="P1811" s="1"/>
      <c r="Q1811" s="1"/>
      <c r="R1811" s="1"/>
      <c r="S1811" s="1"/>
    </row>
    <row r="1812">
      <c r="A1812" s="1"/>
      <c r="B1812" s="1"/>
      <c r="C1812" s="1"/>
      <c r="D1812" s="1"/>
      <c r="E1812" s="1"/>
      <c r="F1812" s="1"/>
      <c r="G1812" s="1"/>
      <c r="H1812" s="1"/>
      <c r="I1812" s="1"/>
      <c r="J1812" s="1"/>
      <c r="K1812" s="1"/>
      <c r="L1812" s="1"/>
      <c r="M1812" s="1"/>
      <c r="N1812" s="1"/>
      <c r="O1812" s="1"/>
      <c r="P1812" s="1"/>
      <c r="Q1812" s="1"/>
      <c r="R1812" s="1"/>
      <c r="S1812" s="1"/>
    </row>
    <row r="1813">
      <c r="A1813" s="1"/>
      <c r="B1813" s="1"/>
      <c r="C1813" s="1"/>
      <c r="D1813" s="1"/>
      <c r="E1813" s="1"/>
      <c r="F1813" s="1"/>
      <c r="G1813" s="1"/>
      <c r="H1813" s="1"/>
      <c r="I1813" s="1"/>
      <c r="J1813" s="1"/>
      <c r="K1813" s="1"/>
      <c r="L1813" s="1"/>
      <c r="M1813" s="1"/>
      <c r="N1813" s="1"/>
      <c r="O1813" s="1"/>
      <c r="P1813" s="1"/>
      <c r="Q1813" s="1"/>
      <c r="R1813" s="1"/>
      <c r="S1813" s="1"/>
    </row>
    <row r="1814">
      <c r="A1814" s="1"/>
      <c r="B1814" s="1"/>
      <c r="C1814" s="1"/>
      <c r="D1814" s="1"/>
      <c r="E1814" s="1"/>
      <c r="F1814" s="1"/>
      <c r="G1814" s="1"/>
      <c r="H1814" s="1"/>
      <c r="I1814" s="1"/>
      <c r="J1814" s="1"/>
      <c r="K1814" s="1"/>
      <c r="L1814" s="1"/>
      <c r="M1814" s="1"/>
      <c r="N1814" s="1"/>
      <c r="O1814" s="1"/>
      <c r="P1814" s="1"/>
      <c r="Q1814" s="1"/>
      <c r="R1814" s="1"/>
      <c r="S1814" s="1"/>
    </row>
    <row r="1815">
      <c r="A1815" s="1"/>
      <c r="B1815" s="1"/>
      <c r="C1815" s="1"/>
      <c r="D1815" s="1"/>
      <c r="E1815" s="1"/>
      <c r="F1815" s="1"/>
      <c r="G1815" s="1"/>
      <c r="H1815" s="1"/>
      <c r="I1815" s="1"/>
      <c r="J1815" s="1"/>
      <c r="K1815" s="1"/>
      <c r="L1815" s="1"/>
      <c r="M1815" s="1"/>
      <c r="N1815" s="1"/>
      <c r="O1815" s="1"/>
      <c r="P1815" s="1"/>
      <c r="Q1815" s="1"/>
      <c r="R1815" s="1"/>
      <c r="S1815" s="1"/>
    </row>
    <row r="1816">
      <c r="A1816" s="1"/>
      <c r="B1816" s="1"/>
      <c r="C1816" s="1"/>
      <c r="D1816" s="1"/>
      <c r="E1816" s="1"/>
      <c r="F1816" s="1"/>
      <c r="G1816" s="1"/>
      <c r="H1816" s="1"/>
      <c r="I1816" s="1"/>
      <c r="J1816" s="1"/>
      <c r="K1816" s="1"/>
      <c r="L1816" s="1"/>
      <c r="M1816" s="1"/>
      <c r="N1816" s="1"/>
      <c r="O1816" s="1"/>
      <c r="P1816" s="1"/>
      <c r="Q1816" s="1"/>
      <c r="R1816" s="1"/>
      <c r="S1816" s="1"/>
    </row>
    <row r="1817">
      <c r="A1817" s="1"/>
      <c r="B1817" s="1"/>
      <c r="C1817" s="1"/>
      <c r="D1817" s="1"/>
      <c r="E1817" s="1"/>
      <c r="F1817" s="1"/>
      <c r="G1817" s="1"/>
      <c r="H1817" s="1"/>
      <c r="I1817" s="1"/>
      <c r="J1817" s="1"/>
      <c r="K1817" s="1"/>
      <c r="L1817" s="1"/>
      <c r="M1817" s="1"/>
      <c r="N1817" s="1"/>
      <c r="O1817" s="1"/>
      <c r="P1817" s="1"/>
      <c r="Q1817" s="1"/>
      <c r="R1817" s="1"/>
      <c r="S1817" s="1"/>
    </row>
    <row r="1818">
      <c r="A1818" s="1"/>
      <c r="B1818" s="1"/>
      <c r="C1818" s="1"/>
      <c r="D1818" s="1"/>
      <c r="E1818" s="1"/>
      <c r="F1818" s="1"/>
      <c r="G1818" s="1"/>
      <c r="H1818" s="1"/>
      <c r="I1818" s="1"/>
      <c r="J1818" s="1"/>
      <c r="K1818" s="1"/>
      <c r="L1818" s="1"/>
      <c r="M1818" s="1"/>
      <c r="N1818" s="1"/>
      <c r="O1818" s="1"/>
      <c r="P1818" s="1"/>
      <c r="Q1818" s="1"/>
      <c r="R1818" s="1"/>
      <c r="S1818" s="1"/>
    </row>
    <row r="1819">
      <c r="A1819" s="1"/>
      <c r="B1819" s="1"/>
      <c r="C1819" s="1"/>
      <c r="D1819" s="1"/>
      <c r="E1819" s="1"/>
      <c r="F1819" s="1"/>
      <c r="G1819" s="1"/>
      <c r="H1819" s="1"/>
      <c r="I1819" s="1"/>
      <c r="J1819" s="1"/>
      <c r="K1819" s="1"/>
      <c r="L1819" s="1"/>
      <c r="M1819" s="1"/>
      <c r="N1819" s="1"/>
      <c r="O1819" s="1"/>
      <c r="P1819" s="1"/>
      <c r="Q1819" s="1"/>
      <c r="R1819" s="1"/>
      <c r="S1819" s="1"/>
    </row>
    <row r="1820">
      <c r="A1820" s="1"/>
      <c r="B1820" s="1"/>
      <c r="C1820" s="1"/>
      <c r="D1820" s="1"/>
      <c r="E1820" s="1"/>
      <c r="F1820" s="1"/>
      <c r="G1820" s="1"/>
      <c r="H1820" s="1"/>
      <c r="I1820" s="1"/>
      <c r="J1820" s="1"/>
      <c r="K1820" s="1"/>
      <c r="L1820" s="1"/>
      <c r="M1820" s="1"/>
      <c r="N1820" s="1"/>
      <c r="O1820" s="1"/>
      <c r="P1820" s="1"/>
      <c r="Q1820" s="1"/>
      <c r="R1820" s="1"/>
      <c r="S1820" s="1"/>
    </row>
    <row r="1821">
      <c r="A1821" s="1"/>
      <c r="B1821" s="1"/>
      <c r="C1821" s="1"/>
      <c r="D1821" s="1"/>
      <c r="E1821" s="1"/>
      <c r="F1821" s="1"/>
      <c r="G1821" s="1"/>
      <c r="H1821" s="1"/>
      <c r="I1821" s="1"/>
      <c r="J1821" s="1"/>
      <c r="K1821" s="1"/>
      <c r="L1821" s="1"/>
      <c r="M1821" s="1"/>
      <c r="N1821" s="1"/>
      <c r="O1821" s="1"/>
      <c r="P1821" s="1"/>
      <c r="Q1821" s="1"/>
      <c r="R1821" s="1"/>
      <c r="S1821" s="1"/>
    </row>
    <row r="1822">
      <c r="A1822" s="1"/>
      <c r="B1822" s="1"/>
      <c r="C1822" s="1"/>
      <c r="D1822" s="1"/>
      <c r="E1822" s="1"/>
      <c r="F1822" s="1"/>
      <c r="G1822" s="1"/>
      <c r="H1822" s="1"/>
      <c r="I1822" s="1"/>
      <c r="J1822" s="1"/>
      <c r="K1822" s="1"/>
      <c r="L1822" s="1"/>
      <c r="M1822" s="1"/>
      <c r="N1822" s="1"/>
      <c r="O1822" s="1"/>
      <c r="P1822" s="1"/>
      <c r="Q1822" s="1"/>
      <c r="R1822" s="1"/>
      <c r="S1822" s="1"/>
    </row>
    <row r="1823">
      <c r="A1823" s="1"/>
      <c r="B1823" s="1"/>
      <c r="C1823" s="1"/>
      <c r="D1823" s="1"/>
      <c r="E1823" s="1"/>
      <c r="F1823" s="1"/>
      <c r="G1823" s="1"/>
      <c r="H1823" s="1"/>
      <c r="I1823" s="1"/>
      <c r="J1823" s="1"/>
      <c r="K1823" s="1"/>
      <c r="L1823" s="1"/>
      <c r="M1823" s="1"/>
      <c r="N1823" s="1"/>
      <c r="O1823" s="1"/>
      <c r="P1823" s="1"/>
      <c r="Q1823" s="1"/>
      <c r="R1823" s="1"/>
      <c r="S1823" s="1"/>
    </row>
    <row r="1824">
      <c r="A1824" s="1"/>
      <c r="B1824" s="1"/>
      <c r="C1824" s="1"/>
      <c r="D1824" s="1"/>
      <c r="E1824" s="1"/>
      <c r="F1824" s="1"/>
      <c r="G1824" s="1"/>
      <c r="H1824" s="1"/>
      <c r="I1824" s="1"/>
      <c r="J1824" s="1"/>
      <c r="K1824" s="1"/>
      <c r="L1824" s="1"/>
      <c r="M1824" s="1"/>
      <c r="N1824" s="1"/>
      <c r="O1824" s="1"/>
      <c r="P1824" s="1"/>
      <c r="Q1824" s="1"/>
      <c r="R1824" s="1"/>
      <c r="S1824" s="1"/>
    </row>
    <row r="1825">
      <c r="A1825" s="1"/>
      <c r="B1825" s="1"/>
      <c r="C1825" s="1"/>
      <c r="D1825" s="1"/>
      <c r="E1825" s="1"/>
      <c r="F1825" s="1"/>
      <c r="G1825" s="1"/>
      <c r="H1825" s="1"/>
      <c r="I1825" s="1"/>
      <c r="J1825" s="1"/>
      <c r="K1825" s="1"/>
      <c r="L1825" s="1"/>
      <c r="M1825" s="1"/>
      <c r="N1825" s="1"/>
      <c r="O1825" s="1"/>
      <c r="P1825" s="1"/>
      <c r="Q1825" s="1"/>
      <c r="R1825" s="1"/>
      <c r="S1825" s="1"/>
    </row>
    <row r="1826">
      <c r="A1826" s="1"/>
      <c r="B1826" s="1"/>
      <c r="C1826" s="1"/>
      <c r="D1826" s="1"/>
      <c r="E1826" s="1"/>
      <c r="F1826" s="1"/>
      <c r="G1826" s="1"/>
      <c r="H1826" s="1"/>
      <c r="I1826" s="1"/>
      <c r="J1826" s="1"/>
      <c r="K1826" s="1"/>
      <c r="L1826" s="1"/>
      <c r="M1826" s="1"/>
      <c r="N1826" s="1"/>
      <c r="O1826" s="1"/>
      <c r="P1826" s="1"/>
      <c r="Q1826" s="1"/>
      <c r="R1826" s="1"/>
      <c r="S1826" s="1"/>
    </row>
    <row r="1827">
      <c r="A1827" s="1"/>
      <c r="B1827" s="1"/>
      <c r="C1827" s="1"/>
      <c r="D1827" s="1"/>
      <c r="E1827" s="1"/>
      <c r="F1827" s="1"/>
      <c r="G1827" s="1"/>
      <c r="H1827" s="1"/>
      <c r="I1827" s="1"/>
      <c r="J1827" s="1"/>
      <c r="K1827" s="1"/>
      <c r="L1827" s="1"/>
      <c r="M1827" s="1"/>
      <c r="N1827" s="1"/>
      <c r="O1827" s="1"/>
      <c r="P1827" s="1"/>
      <c r="Q1827" s="1"/>
      <c r="R1827" s="1"/>
      <c r="S1827" s="1"/>
    </row>
    <row r="1828">
      <c r="A1828" s="1"/>
      <c r="B1828" s="1"/>
      <c r="C1828" s="1"/>
      <c r="D1828" s="1"/>
      <c r="E1828" s="1"/>
      <c r="F1828" s="1"/>
      <c r="G1828" s="1"/>
      <c r="H1828" s="1"/>
      <c r="I1828" s="1"/>
      <c r="J1828" s="1"/>
      <c r="K1828" s="1"/>
      <c r="L1828" s="1"/>
      <c r="M1828" s="1"/>
      <c r="N1828" s="1"/>
      <c r="O1828" s="1"/>
      <c r="P1828" s="1"/>
      <c r="Q1828" s="1"/>
      <c r="R1828" s="1"/>
      <c r="S1828" s="1"/>
    </row>
    <row r="1829">
      <c r="A1829" s="1"/>
      <c r="B1829" s="1"/>
      <c r="C1829" s="1"/>
      <c r="D1829" s="1"/>
      <c r="E1829" s="1"/>
      <c r="F1829" s="1"/>
      <c r="G1829" s="1"/>
      <c r="H1829" s="1"/>
      <c r="I1829" s="1"/>
      <c r="J1829" s="1"/>
      <c r="K1829" s="1"/>
      <c r="L1829" s="1"/>
      <c r="M1829" s="1"/>
      <c r="N1829" s="1"/>
      <c r="O1829" s="1"/>
      <c r="P1829" s="1"/>
      <c r="Q1829" s="1"/>
      <c r="R1829" s="1"/>
      <c r="S1829" s="1"/>
    </row>
    <row r="1830">
      <c r="A1830" s="1"/>
      <c r="B1830" s="1"/>
      <c r="C1830" s="1"/>
      <c r="D1830" s="1"/>
      <c r="E1830" s="1"/>
      <c r="F1830" s="1"/>
      <c r="G1830" s="1"/>
      <c r="H1830" s="1"/>
      <c r="I1830" s="1"/>
      <c r="J1830" s="1"/>
      <c r="K1830" s="1"/>
      <c r="L1830" s="1"/>
      <c r="M1830" s="1"/>
      <c r="N1830" s="1"/>
      <c r="O1830" s="1"/>
      <c r="P1830" s="1"/>
      <c r="Q1830" s="1"/>
      <c r="R1830" s="1"/>
      <c r="S1830" s="1"/>
    </row>
    <row r="1831">
      <c r="A1831" s="1"/>
      <c r="B1831" s="1"/>
      <c r="C1831" s="1"/>
      <c r="D1831" s="1"/>
      <c r="E1831" s="1"/>
      <c r="F1831" s="1"/>
      <c r="G1831" s="1"/>
      <c r="H1831" s="1"/>
      <c r="I1831" s="1"/>
      <c r="J1831" s="1"/>
      <c r="K1831" s="1"/>
      <c r="L1831" s="1"/>
      <c r="M1831" s="1"/>
      <c r="N1831" s="1"/>
      <c r="O1831" s="1"/>
      <c r="P1831" s="1"/>
      <c r="Q1831" s="1"/>
      <c r="R1831" s="1"/>
      <c r="S1831" s="1"/>
    </row>
    <row r="1832">
      <c r="A1832" s="1"/>
      <c r="B1832" s="1"/>
      <c r="C1832" s="1"/>
      <c r="D1832" s="1"/>
      <c r="E1832" s="1"/>
      <c r="F1832" s="1"/>
      <c r="G1832" s="1"/>
      <c r="H1832" s="1"/>
      <c r="I1832" s="1"/>
      <c r="J1832" s="1"/>
      <c r="K1832" s="1"/>
      <c r="L1832" s="1"/>
      <c r="M1832" s="1"/>
      <c r="N1832" s="1"/>
      <c r="O1832" s="1"/>
      <c r="P1832" s="1"/>
      <c r="Q1832" s="1"/>
      <c r="R1832" s="1"/>
      <c r="S1832" s="1"/>
    </row>
    <row r="1833">
      <c r="A1833" s="1"/>
      <c r="B1833" s="1"/>
      <c r="C1833" s="1"/>
      <c r="D1833" s="1"/>
      <c r="E1833" s="1"/>
      <c r="F1833" s="1"/>
      <c r="G1833" s="1"/>
      <c r="H1833" s="1"/>
      <c r="I1833" s="1"/>
      <c r="J1833" s="1"/>
      <c r="K1833" s="1"/>
      <c r="L1833" s="1"/>
      <c r="M1833" s="1"/>
      <c r="N1833" s="1"/>
      <c r="O1833" s="1"/>
      <c r="P1833" s="1"/>
      <c r="Q1833" s="1"/>
      <c r="R1833" s="1"/>
      <c r="S1833" s="1"/>
    </row>
    <row r="1834">
      <c r="A1834" s="1"/>
      <c r="B1834" s="1"/>
      <c r="C1834" s="1"/>
      <c r="D1834" s="1"/>
      <c r="E1834" s="1"/>
      <c r="F1834" s="1"/>
      <c r="G1834" s="1"/>
      <c r="H1834" s="1"/>
      <c r="I1834" s="1"/>
      <c r="J1834" s="1"/>
      <c r="K1834" s="1"/>
      <c r="L1834" s="1"/>
      <c r="M1834" s="1"/>
      <c r="N1834" s="1"/>
      <c r="O1834" s="1"/>
      <c r="P1834" s="1"/>
      <c r="Q1834" s="1"/>
      <c r="R1834" s="1"/>
      <c r="S1834" s="1"/>
    </row>
    <row r="1835">
      <c r="A1835" s="1"/>
      <c r="B1835" s="1"/>
      <c r="C1835" s="1"/>
      <c r="D1835" s="1"/>
      <c r="E1835" s="1"/>
      <c r="F1835" s="1"/>
      <c r="G1835" s="1"/>
      <c r="H1835" s="1"/>
      <c r="I1835" s="1"/>
      <c r="J1835" s="1"/>
      <c r="K1835" s="1"/>
      <c r="L1835" s="1"/>
      <c r="M1835" s="1"/>
      <c r="N1835" s="1"/>
      <c r="O1835" s="1"/>
      <c r="P1835" s="1"/>
      <c r="Q1835" s="1"/>
      <c r="R1835" s="1"/>
      <c r="S1835" s="1"/>
    </row>
    <row r="1836">
      <c r="A1836" s="1"/>
      <c r="B1836" s="1"/>
      <c r="C1836" s="1"/>
      <c r="D1836" s="1"/>
      <c r="E1836" s="1"/>
      <c r="F1836" s="1"/>
      <c r="G1836" s="1"/>
      <c r="H1836" s="1"/>
      <c r="I1836" s="1"/>
      <c r="J1836" s="1"/>
      <c r="K1836" s="1"/>
      <c r="L1836" s="1"/>
      <c r="M1836" s="1"/>
      <c r="N1836" s="1"/>
      <c r="O1836" s="1"/>
      <c r="P1836" s="1"/>
      <c r="Q1836" s="1"/>
      <c r="R1836" s="1"/>
      <c r="S1836" s="1"/>
    </row>
    <row r="1837">
      <c r="A1837" s="1"/>
      <c r="B1837" s="1"/>
      <c r="C1837" s="1"/>
      <c r="D1837" s="1"/>
      <c r="E1837" s="1"/>
      <c r="F1837" s="1"/>
      <c r="G1837" s="1"/>
      <c r="H1837" s="1"/>
      <c r="I1837" s="1"/>
      <c r="J1837" s="1"/>
      <c r="K1837" s="1"/>
      <c r="L1837" s="1"/>
      <c r="M1837" s="1"/>
      <c r="N1837" s="1"/>
      <c r="O1837" s="1"/>
      <c r="P1837" s="1"/>
      <c r="Q1837" s="1"/>
      <c r="R1837" s="1"/>
      <c r="S1837" s="1"/>
    </row>
    <row r="1838">
      <c r="A1838" s="1"/>
      <c r="B1838" s="1"/>
      <c r="C1838" s="1"/>
      <c r="D1838" s="1"/>
      <c r="E1838" s="1"/>
      <c r="F1838" s="1"/>
      <c r="G1838" s="1"/>
      <c r="H1838" s="1"/>
      <c r="I1838" s="1"/>
      <c r="J1838" s="1"/>
      <c r="K1838" s="1"/>
      <c r="L1838" s="1"/>
      <c r="M1838" s="1"/>
      <c r="N1838" s="1"/>
      <c r="O1838" s="1"/>
      <c r="P1838" s="1"/>
      <c r="Q1838" s="1"/>
      <c r="R1838" s="1"/>
      <c r="S1838" s="1"/>
    </row>
    <row r="1839">
      <c r="A1839" s="1"/>
      <c r="B1839" s="1"/>
      <c r="C1839" s="1"/>
      <c r="D1839" s="1"/>
      <c r="E1839" s="1"/>
      <c r="F1839" s="1"/>
      <c r="G1839" s="1"/>
      <c r="H1839" s="1"/>
      <c r="I1839" s="1"/>
      <c r="J1839" s="1"/>
      <c r="K1839" s="1"/>
      <c r="L1839" s="1"/>
      <c r="M1839" s="1"/>
      <c r="N1839" s="1"/>
      <c r="O1839" s="1"/>
      <c r="P1839" s="1"/>
      <c r="Q1839" s="1"/>
      <c r="R1839" s="1"/>
      <c r="S1839" s="1"/>
    </row>
    <row r="1840">
      <c r="A1840" s="1"/>
      <c r="B1840" s="1"/>
      <c r="C1840" s="1"/>
      <c r="D1840" s="1"/>
      <c r="E1840" s="1"/>
      <c r="F1840" s="1"/>
      <c r="G1840" s="1"/>
      <c r="H1840" s="1"/>
      <c r="I1840" s="1"/>
      <c r="J1840" s="1"/>
      <c r="K1840" s="1"/>
      <c r="L1840" s="1"/>
      <c r="M1840" s="1"/>
      <c r="N1840" s="1"/>
      <c r="O1840" s="1"/>
      <c r="P1840" s="1"/>
      <c r="Q1840" s="1"/>
      <c r="R1840" s="1"/>
      <c r="S1840" s="1"/>
    </row>
    <row r="1841">
      <c r="A1841" s="1"/>
      <c r="B1841" s="1"/>
      <c r="C1841" s="1"/>
      <c r="D1841" s="1"/>
      <c r="E1841" s="1"/>
      <c r="F1841" s="1"/>
      <c r="G1841" s="1"/>
      <c r="H1841" s="1"/>
      <c r="I1841" s="1"/>
      <c r="J1841" s="1"/>
      <c r="K1841" s="1"/>
      <c r="L1841" s="1"/>
      <c r="M1841" s="1"/>
      <c r="N1841" s="1"/>
      <c r="O1841" s="1"/>
      <c r="P1841" s="1"/>
      <c r="Q1841" s="1"/>
      <c r="R1841" s="1"/>
      <c r="S1841" s="1"/>
    </row>
    <row r="1842">
      <c r="A1842" s="1"/>
      <c r="B1842" s="1"/>
      <c r="C1842" s="1"/>
      <c r="D1842" s="1"/>
      <c r="E1842" s="1"/>
      <c r="F1842" s="1"/>
      <c r="G1842" s="1"/>
      <c r="H1842" s="1"/>
      <c r="I1842" s="1"/>
      <c r="J1842" s="1"/>
      <c r="K1842" s="1"/>
      <c r="L1842" s="1"/>
      <c r="M1842" s="1"/>
      <c r="N1842" s="1"/>
      <c r="O1842" s="1"/>
      <c r="P1842" s="1"/>
      <c r="Q1842" s="1"/>
      <c r="R1842" s="1"/>
      <c r="S1842" s="1"/>
    </row>
    <row r="1843">
      <c r="A1843" s="1"/>
      <c r="B1843" s="1"/>
      <c r="C1843" s="1"/>
      <c r="D1843" s="1"/>
      <c r="E1843" s="1"/>
      <c r="F1843" s="1"/>
      <c r="G1843" s="1"/>
      <c r="H1843" s="1"/>
      <c r="I1843" s="1"/>
      <c r="J1843" s="1"/>
      <c r="K1843" s="1"/>
      <c r="L1843" s="1"/>
      <c r="M1843" s="1"/>
      <c r="N1843" s="1"/>
      <c r="O1843" s="1"/>
      <c r="P1843" s="1"/>
      <c r="Q1843" s="1"/>
      <c r="R1843" s="1"/>
      <c r="S1843" s="1"/>
    </row>
    <row r="1844">
      <c r="A1844" s="1"/>
      <c r="B1844" s="1"/>
      <c r="C1844" s="1"/>
      <c r="D1844" s="1"/>
      <c r="E1844" s="1"/>
      <c r="F1844" s="1"/>
      <c r="G1844" s="1"/>
      <c r="H1844" s="1"/>
      <c r="I1844" s="1"/>
      <c r="J1844" s="1"/>
      <c r="K1844" s="1"/>
      <c r="L1844" s="1"/>
      <c r="M1844" s="1"/>
      <c r="N1844" s="1"/>
      <c r="O1844" s="1"/>
      <c r="P1844" s="1"/>
      <c r="Q1844" s="1"/>
      <c r="R1844" s="1"/>
      <c r="S1844" s="1"/>
    </row>
    <row r="1845">
      <c r="A1845" s="1"/>
      <c r="B1845" s="1"/>
      <c r="C1845" s="1"/>
      <c r="D1845" s="1"/>
      <c r="E1845" s="1"/>
      <c r="F1845" s="1"/>
      <c r="G1845" s="1"/>
      <c r="H1845" s="1"/>
      <c r="I1845" s="1"/>
      <c r="J1845" s="1"/>
      <c r="K1845" s="1"/>
      <c r="L1845" s="1"/>
      <c r="M1845" s="1"/>
      <c r="N1845" s="1"/>
      <c r="O1845" s="1"/>
      <c r="P1845" s="1"/>
      <c r="Q1845" s="1"/>
      <c r="R1845" s="1"/>
      <c r="S1845" s="1"/>
    </row>
    <row r="1846">
      <c r="A1846" s="1"/>
      <c r="B1846" s="1"/>
      <c r="C1846" s="1"/>
      <c r="D1846" s="1"/>
      <c r="E1846" s="1"/>
      <c r="F1846" s="1"/>
      <c r="G1846" s="1"/>
      <c r="H1846" s="1"/>
      <c r="I1846" s="1"/>
      <c r="J1846" s="1"/>
      <c r="K1846" s="1"/>
      <c r="L1846" s="1"/>
      <c r="M1846" s="1"/>
      <c r="N1846" s="1"/>
      <c r="O1846" s="1"/>
      <c r="P1846" s="1"/>
      <c r="Q1846" s="1"/>
      <c r="R1846" s="1"/>
      <c r="S1846" s="1"/>
    </row>
    <row r="1847">
      <c r="A1847" s="1"/>
      <c r="B1847" s="1"/>
      <c r="C1847" s="1"/>
      <c r="D1847" s="1"/>
      <c r="E1847" s="1"/>
      <c r="F1847" s="1"/>
      <c r="G1847" s="1"/>
      <c r="H1847" s="1"/>
      <c r="I1847" s="1"/>
      <c r="J1847" s="1"/>
      <c r="K1847" s="1"/>
      <c r="L1847" s="1"/>
      <c r="M1847" s="1"/>
      <c r="N1847" s="1"/>
      <c r="O1847" s="1"/>
      <c r="P1847" s="1"/>
      <c r="Q1847" s="1"/>
      <c r="R1847" s="1"/>
      <c r="S1847" s="1"/>
    </row>
    <row r="1848">
      <c r="A1848" s="1"/>
      <c r="B1848" s="1"/>
      <c r="C1848" s="1"/>
      <c r="D1848" s="1"/>
      <c r="E1848" s="1"/>
      <c r="F1848" s="1"/>
      <c r="G1848" s="1"/>
      <c r="H1848" s="1"/>
      <c r="I1848" s="1"/>
      <c r="J1848" s="1"/>
      <c r="K1848" s="1"/>
      <c r="L1848" s="1"/>
      <c r="M1848" s="1"/>
      <c r="N1848" s="1"/>
      <c r="O1848" s="1"/>
      <c r="P1848" s="1"/>
      <c r="Q1848" s="1"/>
      <c r="R1848" s="1"/>
      <c r="S1848" s="1"/>
    </row>
    <row r="1849">
      <c r="A1849" s="1"/>
      <c r="B1849" s="1"/>
      <c r="C1849" s="1"/>
      <c r="D1849" s="1"/>
      <c r="E1849" s="1"/>
      <c r="F1849" s="1"/>
      <c r="G1849" s="1"/>
      <c r="H1849" s="1"/>
      <c r="I1849" s="1"/>
      <c r="J1849" s="1"/>
      <c r="K1849" s="1"/>
      <c r="L1849" s="1"/>
      <c r="M1849" s="1"/>
      <c r="N1849" s="1"/>
      <c r="O1849" s="1"/>
      <c r="P1849" s="1"/>
      <c r="Q1849" s="1"/>
      <c r="R1849" s="1"/>
      <c r="S1849" s="1"/>
    </row>
    <row r="1850">
      <c r="A1850" s="1"/>
      <c r="B1850" s="1"/>
      <c r="C1850" s="1"/>
      <c r="D1850" s="1"/>
      <c r="E1850" s="1"/>
      <c r="F1850" s="1"/>
      <c r="G1850" s="1"/>
      <c r="H1850" s="1"/>
      <c r="I1850" s="1"/>
      <c r="J1850" s="1"/>
      <c r="K1850" s="1"/>
      <c r="L1850" s="1"/>
      <c r="M1850" s="1"/>
      <c r="N1850" s="1"/>
      <c r="O1850" s="1"/>
      <c r="P1850" s="1"/>
      <c r="Q1850" s="1"/>
      <c r="R1850" s="1"/>
      <c r="S1850" s="1"/>
    </row>
    <row r="1851">
      <c r="A1851" s="1"/>
      <c r="B1851" s="1"/>
      <c r="C1851" s="1"/>
      <c r="D1851" s="1"/>
      <c r="E1851" s="1"/>
      <c r="F1851" s="1"/>
      <c r="G1851" s="1"/>
      <c r="H1851" s="1"/>
      <c r="I1851" s="1"/>
      <c r="J1851" s="1"/>
      <c r="K1851" s="1"/>
      <c r="L1851" s="1"/>
      <c r="M1851" s="1"/>
      <c r="N1851" s="1"/>
      <c r="O1851" s="1"/>
      <c r="P1851" s="1"/>
      <c r="Q1851" s="1"/>
      <c r="R1851" s="1"/>
      <c r="S1851" s="1"/>
    </row>
    <row r="1852">
      <c r="A1852" s="1"/>
      <c r="B1852" s="1"/>
      <c r="C1852" s="1"/>
      <c r="D1852" s="1"/>
      <c r="E1852" s="1"/>
      <c r="F1852" s="1"/>
      <c r="G1852" s="1"/>
      <c r="H1852" s="1"/>
      <c r="I1852" s="1"/>
      <c r="J1852" s="1"/>
      <c r="K1852" s="1"/>
      <c r="L1852" s="1"/>
      <c r="M1852" s="1"/>
      <c r="N1852" s="1"/>
      <c r="O1852" s="1"/>
      <c r="P1852" s="1"/>
      <c r="Q1852" s="1"/>
      <c r="R1852" s="1"/>
      <c r="S1852" s="1"/>
    </row>
    <row r="1853">
      <c r="A1853" s="1"/>
      <c r="B1853" s="1"/>
      <c r="C1853" s="1"/>
      <c r="D1853" s="1"/>
      <c r="E1853" s="1"/>
      <c r="F1853" s="1"/>
      <c r="G1853" s="1"/>
      <c r="H1853" s="1"/>
      <c r="I1853" s="1"/>
      <c r="J1853" s="1"/>
      <c r="K1853" s="1"/>
      <c r="L1853" s="1"/>
      <c r="M1853" s="1"/>
      <c r="N1853" s="1"/>
      <c r="O1853" s="1"/>
      <c r="P1853" s="1"/>
      <c r="Q1853" s="1"/>
      <c r="R1853" s="1"/>
      <c r="S1853" s="1"/>
    </row>
    <row r="1854">
      <c r="A1854" s="1"/>
      <c r="B1854" s="1"/>
      <c r="C1854" s="1"/>
      <c r="D1854" s="1"/>
      <c r="E1854" s="1"/>
      <c r="F1854" s="1"/>
      <c r="G1854" s="1"/>
      <c r="H1854" s="1"/>
      <c r="I1854" s="1"/>
      <c r="J1854" s="1"/>
      <c r="K1854" s="1"/>
      <c r="L1854" s="1"/>
      <c r="M1854" s="1"/>
      <c r="N1854" s="1"/>
      <c r="O1854" s="1"/>
      <c r="P1854" s="1"/>
      <c r="Q1854" s="1"/>
      <c r="R1854" s="1"/>
      <c r="S1854" s="1"/>
    </row>
    <row r="1855">
      <c r="A1855" s="1"/>
      <c r="B1855" s="1"/>
      <c r="C1855" s="1"/>
      <c r="D1855" s="1"/>
      <c r="E1855" s="1"/>
      <c r="F1855" s="1"/>
      <c r="G1855" s="1"/>
      <c r="H1855" s="1"/>
      <c r="I1855" s="1"/>
      <c r="J1855" s="1"/>
      <c r="K1855" s="1"/>
      <c r="L1855" s="1"/>
      <c r="M1855" s="1"/>
      <c r="N1855" s="1"/>
      <c r="O1855" s="1"/>
      <c r="P1855" s="1"/>
      <c r="Q1855" s="1"/>
      <c r="R1855" s="1"/>
      <c r="S1855" s="1"/>
    </row>
    <row r="1856">
      <c r="A1856" s="1"/>
      <c r="B1856" s="1"/>
      <c r="C1856" s="1"/>
      <c r="D1856" s="1"/>
      <c r="E1856" s="1"/>
      <c r="F1856" s="1"/>
      <c r="G1856" s="1"/>
      <c r="H1856" s="1"/>
      <c r="I1856" s="1"/>
      <c r="J1856" s="1"/>
      <c r="K1856" s="1"/>
      <c r="L1856" s="1"/>
      <c r="M1856" s="1"/>
      <c r="N1856" s="1"/>
      <c r="O1856" s="1"/>
      <c r="P1856" s="1"/>
      <c r="Q1856" s="1"/>
      <c r="R1856" s="1"/>
      <c r="S1856" s="1"/>
    </row>
    <row r="1857">
      <c r="A1857" s="1"/>
      <c r="B1857" s="1"/>
      <c r="C1857" s="1"/>
      <c r="D1857" s="1"/>
      <c r="E1857" s="1"/>
      <c r="F1857" s="1"/>
      <c r="G1857" s="1"/>
      <c r="H1857" s="1"/>
      <c r="I1857" s="1"/>
      <c r="J1857" s="1"/>
      <c r="K1857" s="1"/>
      <c r="L1857" s="1"/>
      <c r="M1857" s="1"/>
      <c r="N1857" s="1"/>
      <c r="O1857" s="1"/>
      <c r="P1857" s="1"/>
      <c r="Q1857" s="1"/>
      <c r="R1857" s="1"/>
      <c r="S1857" s="1"/>
    </row>
    <row r="1858">
      <c r="A1858" s="1"/>
      <c r="B1858" s="1"/>
      <c r="C1858" s="1"/>
      <c r="D1858" s="1"/>
      <c r="E1858" s="1"/>
      <c r="F1858" s="1"/>
      <c r="G1858" s="1"/>
      <c r="H1858" s="1"/>
      <c r="I1858" s="1"/>
      <c r="J1858" s="1"/>
      <c r="K1858" s="1"/>
      <c r="L1858" s="1"/>
      <c r="M1858" s="1"/>
      <c r="N1858" s="1"/>
      <c r="O1858" s="1"/>
      <c r="P1858" s="1"/>
      <c r="Q1858" s="1"/>
      <c r="R1858" s="1"/>
      <c r="S1858" s="1"/>
    </row>
    <row r="1859">
      <c r="A1859" s="1"/>
      <c r="B1859" s="1"/>
      <c r="C1859" s="1"/>
      <c r="D1859" s="1"/>
      <c r="E1859" s="1"/>
      <c r="F1859" s="1"/>
      <c r="G1859" s="1"/>
      <c r="H1859" s="1"/>
      <c r="I1859" s="1"/>
      <c r="J1859" s="1"/>
      <c r="K1859" s="1"/>
      <c r="L1859" s="1"/>
      <c r="M1859" s="1"/>
      <c r="N1859" s="1"/>
      <c r="O1859" s="1"/>
      <c r="P1859" s="1"/>
      <c r="Q1859" s="1"/>
      <c r="R1859" s="1"/>
      <c r="S1859" s="1"/>
    </row>
    <row r="1860">
      <c r="A1860" s="1"/>
      <c r="B1860" s="1"/>
      <c r="C1860" s="1"/>
      <c r="D1860" s="1"/>
      <c r="E1860" s="1"/>
      <c r="F1860" s="1"/>
      <c r="G1860" s="1"/>
      <c r="H1860" s="1"/>
      <c r="I1860" s="1"/>
      <c r="J1860" s="1"/>
      <c r="K1860" s="1"/>
      <c r="L1860" s="1"/>
      <c r="M1860" s="1"/>
      <c r="N1860" s="1"/>
      <c r="O1860" s="1"/>
      <c r="P1860" s="1"/>
      <c r="Q1860" s="1"/>
      <c r="R1860" s="1"/>
      <c r="S1860" s="1"/>
    </row>
    <row r="1861">
      <c r="A1861" s="1"/>
      <c r="B1861" s="1"/>
      <c r="C1861" s="1"/>
      <c r="D1861" s="1"/>
      <c r="E1861" s="1"/>
      <c r="F1861" s="1"/>
      <c r="G1861" s="1"/>
      <c r="H1861" s="1"/>
      <c r="I1861" s="1"/>
      <c r="J1861" s="1"/>
      <c r="K1861" s="1"/>
      <c r="L1861" s="1"/>
      <c r="M1861" s="1"/>
      <c r="N1861" s="1"/>
      <c r="O1861" s="1"/>
      <c r="P1861" s="1"/>
      <c r="Q1861" s="1"/>
      <c r="R1861" s="1"/>
      <c r="S1861" s="1"/>
    </row>
    <row r="1862">
      <c r="A1862" s="1"/>
      <c r="B1862" s="1"/>
      <c r="C1862" s="1"/>
      <c r="D1862" s="1"/>
      <c r="E1862" s="1"/>
      <c r="F1862" s="1"/>
      <c r="G1862" s="1"/>
      <c r="H1862" s="1"/>
      <c r="I1862" s="1"/>
      <c r="J1862" s="1"/>
      <c r="K1862" s="1"/>
      <c r="L1862" s="1"/>
      <c r="M1862" s="1"/>
      <c r="N1862" s="1"/>
      <c r="O1862" s="1"/>
      <c r="P1862" s="1"/>
      <c r="Q1862" s="1"/>
      <c r="R1862" s="1"/>
      <c r="S1862" s="1"/>
    </row>
    <row r="1863">
      <c r="A1863" s="1"/>
      <c r="B1863" s="1"/>
      <c r="C1863" s="1"/>
      <c r="D1863" s="1"/>
      <c r="E1863" s="1"/>
      <c r="F1863" s="1"/>
      <c r="G1863" s="1"/>
      <c r="H1863" s="1"/>
      <c r="I1863" s="1"/>
      <c r="J1863" s="1"/>
      <c r="K1863" s="1"/>
      <c r="L1863" s="1"/>
      <c r="M1863" s="1"/>
      <c r="N1863" s="1"/>
      <c r="O1863" s="1"/>
      <c r="P1863" s="1"/>
      <c r="Q1863" s="1"/>
      <c r="R1863" s="1"/>
      <c r="S1863" s="1"/>
    </row>
    <row r="1864">
      <c r="A1864" s="1"/>
      <c r="B1864" s="1"/>
      <c r="C1864" s="1"/>
      <c r="D1864" s="1"/>
      <c r="E1864" s="1"/>
      <c r="F1864" s="1"/>
      <c r="G1864" s="1"/>
      <c r="H1864" s="1"/>
      <c r="I1864" s="1"/>
      <c r="J1864" s="1"/>
      <c r="K1864" s="1"/>
      <c r="L1864" s="1"/>
      <c r="M1864" s="1"/>
      <c r="N1864" s="1"/>
      <c r="O1864" s="1"/>
      <c r="P1864" s="1"/>
      <c r="Q1864" s="1"/>
      <c r="R1864" s="1"/>
      <c r="S1864" s="1"/>
    </row>
    <row r="1865">
      <c r="A1865" s="1"/>
      <c r="B1865" s="1"/>
      <c r="C1865" s="1"/>
      <c r="D1865" s="1"/>
      <c r="E1865" s="1"/>
      <c r="F1865" s="1"/>
      <c r="G1865" s="1"/>
      <c r="H1865" s="1"/>
      <c r="I1865" s="1"/>
      <c r="J1865" s="1"/>
      <c r="K1865" s="1"/>
      <c r="L1865" s="1"/>
      <c r="M1865" s="1"/>
      <c r="N1865" s="1"/>
      <c r="O1865" s="1"/>
      <c r="P1865" s="1"/>
      <c r="Q1865" s="1"/>
      <c r="R1865" s="1"/>
      <c r="S1865" s="1"/>
    </row>
    <row r="1866">
      <c r="A1866" s="1"/>
      <c r="B1866" s="1"/>
      <c r="C1866" s="1"/>
      <c r="D1866" s="1"/>
      <c r="E1866" s="1"/>
      <c r="F1866" s="1"/>
      <c r="G1866" s="1"/>
      <c r="H1866" s="1"/>
      <c r="I1866" s="1"/>
      <c r="J1866" s="1"/>
      <c r="K1866" s="1"/>
      <c r="L1866" s="1"/>
      <c r="M1866" s="1"/>
      <c r="N1866" s="1"/>
      <c r="O1866" s="1"/>
      <c r="P1866" s="1"/>
      <c r="Q1866" s="1"/>
      <c r="R1866" s="1"/>
      <c r="S1866" s="1"/>
    </row>
    <row r="1867">
      <c r="A1867" s="1"/>
      <c r="B1867" s="1"/>
      <c r="C1867" s="1"/>
      <c r="D1867" s="1"/>
      <c r="E1867" s="1"/>
      <c r="F1867" s="1"/>
      <c r="G1867" s="1"/>
      <c r="H1867" s="1"/>
      <c r="I1867" s="1"/>
      <c r="J1867" s="1"/>
      <c r="K1867" s="1"/>
      <c r="L1867" s="1"/>
      <c r="M1867" s="1"/>
      <c r="N1867" s="1"/>
      <c r="O1867" s="1"/>
      <c r="P1867" s="1"/>
      <c r="Q1867" s="1"/>
      <c r="R1867" s="1"/>
      <c r="S1867" s="1"/>
    </row>
    <row r="1868">
      <c r="A1868" s="1"/>
      <c r="B1868" s="1"/>
      <c r="C1868" s="1"/>
      <c r="D1868" s="1"/>
      <c r="E1868" s="1"/>
      <c r="F1868" s="1"/>
      <c r="G1868" s="1"/>
      <c r="H1868" s="1"/>
      <c r="I1868" s="1"/>
      <c r="J1868" s="1"/>
      <c r="K1868" s="1"/>
      <c r="L1868" s="1"/>
      <c r="M1868" s="1"/>
      <c r="N1868" s="1"/>
      <c r="O1868" s="1"/>
      <c r="P1868" s="1"/>
      <c r="Q1868" s="1"/>
      <c r="R1868" s="1"/>
      <c r="S1868" s="1"/>
    </row>
    <row r="1869">
      <c r="A1869" s="1"/>
      <c r="B1869" s="1"/>
      <c r="C1869" s="1"/>
      <c r="D1869" s="1"/>
      <c r="E1869" s="1"/>
      <c r="F1869" s="1"/>
      <c r="G1869" s="1"/>
      <c r="H1869" s="1"/>
      <c r="I1869" s="1"/>
      <c r="J1869" s="1"/>
      <c r="K1869" s="1"/>
      <c r="L1869" s="1"/>
      <c r="M1869" s="1"/>
      <c r="N1869" s="1"/>
      <c r="O1869" s="1"/>
      <c r="P1869" s="1"/>
      <c r="Q1869" s="1"/>
      <c r="R1869" s="1"/>
      <c r="S1869" s="1"/>
    </row>
    <row r="1870">
      <c r="A1870" s="1"/>
      <c r="B1870" s="1"/>
      <c r="C1870" s="1"/>
      <c r="D1870" s="1"/>
      <c r="E1870" s="1"/>
      <c r="F1870" s="1"/>
      <c r="G1870" s="1"/>
      <c r="H1870" s="1"/>
      <c r="I1870" s="1"/>
      <c r="J1870" s="1"/>
      <c r="K1870" s="1"/>
      <c r="L1870" s="1"/>
      <c r="M1870" s="1"/>
      <c r="N1870" s="1"/>
      <c r="O1870" s="1"/>
      <c r="P1870" s="1"/>
      <c r="Q1870" s="1"/>
      <c r="R1870" s="1"/>
      <c r="S1870" s="1"/>
    </row>
    <row r="1871">
      <c r="A1871" s="1"/>
      <c r="B1871" s="1"/>
      <c r="C1871" s="1"/>
      <c r="D1871" s="1"/>
      <c r="E1871" s="1"/>
      <c r="F1871" s="1"/>
      <c r="G1871" s="1"/>
      <c r="H1871" s="1"/>
      <c r="I1871" s="1"/>
      <c r="J1871" s="1"/>
      <c r="K1871" s="1"/>
      <c r="L1871" s="1"/>
      <c r="M1871" s="1"/>
      <c r="N1871" s="1"/>
      <c r="O1871" s="1"/>
      <c r="P1871" s="1"/>
      <c r="Q1871" s="1"/>
      <c r="R1871" s="1"/>
      <c r="S1871" s="1"/>
    </row>
    <row r="1872">
      <c r="A1872" s="1"/>
      <c r="B1872" s="1"/>
      <c r="C1872" s="1"/>
      <c r="D1872" s="1"/>
      <c r="E1872" s="1"/>
      <c r="F1872" s="1"/>
      <c r="G1872" s="1"/>
      <c r="H1872" s="1"/>
      <c r="I1872" s="1"/>
      <c r="J1872" s="1"/>
      <c r="K1872" s="1"/>
      <c r="L1872" s="1"/>
      <c r="M1872" s="1"/>
      <c r="N1872" s="1"/>
      <c r="O1872" s="1"/>
      <c r="P1872" s="1"/>
      <c r="Q1872" s="1"/>
      <c r="R1872" s="1"/>
      <c r="S1872" s="1"/>
    </row>
    <row r="1873">
      <c r="A1873" s="1"/>
      <c r="B1873" s="1"/>
      <c r="C1873" s="1"/>
      <c r="D1873" s="1"/>
      <c r="E1873" s="1"/>
      <c r="F1873" s="1"/>
      <c r="G1873" s="1"/>
      <c r="H1873" s="1"/>
      <c r="I1873" s="1"/>
      <c r="J1873" s="1"/>
      <c r="K1873" s="1"/>
      <c r="L1873" s="1"/>
      <c r="M1873" s="1"/>
      <c r="N1873" s="1"/>
      <c r="O1873" s="1"/>
      <c r="P1873" s="1"/>
      <c r="Q1873" s="1"/>
      <c r="R1873" s="1"/>
      <c r="S1873" s="1"/>
    </row>
    <row r="1874">
      <c r="A1874" s="1"/>
      <c r="B1874" s="1"/>
      <c r="C1874" s="1"/>
      <c r="D1874" s="1"/>
      <c r="E1874" s="1"/>
      <c r="F1874" s="1"/>
      <c r="G1874" s="1"/>
      <c r="H1874" s="1"/>
      <c r="I1874" s="1"/>
      <c r="J1874" s="1"/>
      <c r="K1874" s="1"/>
      <c r="L1874" s="1"/>
      <c r="M1874" s="1"/>
      <c r="N1874" s="1"/>
      <c r="O1874" s="1"/>
      <c r="P1874" s="1"/>
      <c r="Q1874" s="1"/>
      <c r="R1874" s="1"/>
      <c r="S1874" s="1"/>
    </row>
    <row r="1875">
      <c r="A1875" s="1"/>
      <c r="B1875" s="1"/>
      <c r="C1875" s="1"/>
      <c r="D1875" s="1"/>
      <c r="E1875" s="1"/>
      <c r="F1875" s="1"/>
      <c r="G1875" s="1"/>
      <c r="H1875" s="1"/>
      <c r="I1875" s="1"/>
      <c r="J1875" s="1"/>
      <c r="K1875" s="1"/>
      <c r="L1875" s="1"/>
      <c r="M1875" s="1"/>
      <c r="N1875" s="1"/>
      <c r="O1875" s="1"/>
      <c r="P1875" s="1"/>
      <c r="Q1875" s="1"/>
      <c r="R1875" s="1"/>
      <c r="S1875" s="1"/>
    </row>
    <row r="1876">
      <c r="A1876" s="1"/>
      <c r="B1876" s="1"/>
      <c r="C1876" s="1"/>
      <c r="D1876" s="1"/>
      <c r="E1876" s="1"/>
      <c r="F1876" s="1"/>
      <c r="G1876" s="1"/>
      <c r="H1876" s="1"/>
      <c r="I1876" s="1"/>
      <c r="J1876" s="1"/>
      <c r="K1876" s="1"/>
      <c r="L1876" s="1"/>
      <c r="M1876" s="1"/>
      <c r="N1876" s="1"/>
      <c r="O1876" s="1"/>
      <c r="P1876" s="1"/>
      <c r="Q1876" s="1"/>
      <c r="R1876" s="1"/>
      <c r="S1876" s="1"/>
    </row>
    <row r="1877">
      <c r="A1877" s="1"/>
      <c r="B1877" s="1"/>
      <c r="C1877" s="1"/>
      <c r="D1877" s="1"/>
      <c r="E1877" s="1"/>
      <c r="F1877" s="1"/>
      <c r="G1877" s="1"/>
      <c r="H1877" s="1"/>
      <c r="I1877" s="1"/>
      <c r="J1877" s="1"/>
      <c r="K1877" s="1"/>
      <c r="L1877" s="1"/>
      <c r="M1877" s="1"/>
      <c r="N1877" s="1"/>
      <c r="O1877" s="1"/>
      <c r="P1877" s="1"/>
      <c r="Q1877" s="1"/>
      <c r="R1877" s="1"/>
      <c r="S1877" s="1"/>
    </row>
    <row r="1878">
      <c r="A1878" s="1"/>
      <c r="B1878" s="1"/>
      <c r="C1878" s="1"/>
      <c r="D1878" s="1"/>
      <c r="E1878" s="1"/>
      <c r="F1878" s="1"/>
      <c r="G1878" s="1"/>
      <c r="H1878" s="1"/>
      <c r="I1878" s="1"/>
      <c r="J1878" s="1"/>
      <c r="K1878" s="1"/>
      <c r="L1878" s="1"/>
      <c r="M1878" s="1"/>
      <c r="N1878" s="1"/>
      <c r="O1878" s="1"/>
      <c r="P1878" s="1"/>
      <c r="Q1878" s="1"/>
      <c r="R1878" s="1"/>
      <c r="S1878" s="1"/>
    </row>
    <row r="1879">
      <c r="A1879" s="1"/>
      <c r="B1879" s="1"/>
      <c r="C1879" s="1"/>
      <c r="D1879" s="1"/>
      <c r="E1879" s="1"/>
      <c r="F1879" s="1"/>
      <c r="G1879" s="1"/>
      <c r="H1879" s="1"/>
      <c r="I1879" s="1"/>
      <c r="J1879" s="1"/>
      <c r="K1879" s="1"/>
      <c r="L1879" s="1"/>
      <c r="M1879" s="1"/>
      <c r="N1879" s="1"/>
      <c r="O1879" s="1"/>
      <c r="P1879" s="1"/>
      <c r="Q1879" s="1"/>
      <c r="R1879" s="1"/>
      <c r="S1879" s="1"/>
    </row>
    <row r="1880">
      <c r="A1880" s="1"/>
      <c r="B1880" s="1"/>
      <c r="C1880" s="1"/>
      <c r="D1880" s="1"/>
      <c r="E1880" s="1"/>
      <c r="F1880" s="1"/>
      <c r="G1880" s="1"/>
      <c r="H1880" s="1"/>
      <c r="I1880" s="1"/>
      <c r="J1880" s="1"/>
      <c r="K1880" s="1"/>
      <c r="L1880" s="1"/>
      <c r="M1880" s="1"/>
      <c r="N1880" s="1"/>
      <c r="O1880" s="1"/>
      <c r="P1880" s="1"/>
      <c r="Q1880" s="1"/>
      <c r="R1880" s="1"/>
      <c r="S1880" s="1"/>
    </row>
    <row r="1881">
      <c r="A1881" s="1"/>
      <c r="B1881" s="1"/>
      <c r="C1881" s="1"/>
      <c r="D1881" s="1"/>
      <c r="E1881" s="1"/>
      <c r="F1881" s="1"/>
      <c r="G1881" s="1"/>
      <c r="H1881" s="1"/>
      <c r="I1881" s="1"/>
      <c r="J1881" s="1"/>
      <c r="K1881" s="1"/>
      <c r="L1881" s="1"/>
      <c r="M1881" s="1"/>
      <c r="N1881" s="1"/>
      <c r="O1881" s="1"/>
      <c r="P1881" s="1"/>
      <c r="Q1881" s="1"/>
      <c r="R1881" s="1"/>
      <c r="S1881" s="1"/>
    </row>
    <row r="1882">
      <c r="A1882" s="1"/>
      <c r="B1882" s="1"/>
      <c r="C1882" s="1"/>
      <c r="D1882" s="1"/>
      <c r="E1882" s="1"/>
      <c r="F1882" s="1"/>
      <c r="G1882" s="1"/>
      <c r="H1882" s="1"/>
      <c r="I1882" s="1"/>
      <c r="J1882" s="1"/>
      <c r="K1882" s="1"/>
      <c r="L1882" s="1"/>
      <c r="M1882" s="1"/>
      <c r="N1882" s="1"/>
      <c r="O1882" s="1"/>
      <c r="P1882" s="1"/>
      <c r="Q1882" s="1"/>
      <c r="R1882" s="1"/>
      <c r="S1882" s="1"/>
    </row>
    <row r="1883">
      <c r="A1883" s="1"/>
      <c r="B1883" s="1"/>
      <c r="C1883" s="1"/>
      <c r="D1883" s="1"/>
      <c r="E1883" s="1"/>
      <c r="F1883" s="1"/>
      <c r="G1883" s="1"/>
      <c r="H1883" s="1"/>
      <c r="I1883" s="1"/>
      <c r="J1883" s="1"/>
      <c r="K1883" s="1"/>
      <c r="L1883" s="1"/>
      <c r="M1883" s="1"/>
      <c r="N1883" s="1"/>
      <c r="O1883" s="1"/>
      <c r="P1883" s="1"/>
      <c r="Q1883" s="1"/>
      <c r="R1883" s="1"/>
      <c r="S1883" s="1"/>
    </row>
    <row r="1884">
      <c r="A1884" s="1"/>
      <c r="B1884" s="1"/>
      <c r="C1884" s="1"/>
      <c r="D1884" s="1"/>
      <c r="E1884" s="1"/>
      <c r="F1884" s="1"/>
      <c r="G1884" s="1"/>
      <c r="H1884" s="1"/>
      <c r="I1884" s="1"/>
      <c r="J1884" s="1"/>
      <c r="K1884" s="1"/>
      <c r="L1884" s="1"/>
      <c r="M1884" s="1"/>
      <c r="N1884" s="1"/>
      <c r="O1884" s="1"/>
      <c r="P1884" s="1"/>
      <c r="Q1884" s="1"/>
      <c r="R1884" s="1"/>
      <c r="S1884" s="1"/>
    </row>
    <row r="1885">
      <c r="A1885" s="1"/>
      <c r="B1885" s="1"/>
      <c r="C1885" s="1"/>
      <c r="D1885" s="1"/>
      <c r="E1885" s="1"/>
      <c r="F1885" s="1"/>
      <c r="G1885" s="1"/>
      <c r="H1885" s="1"/>
      <c r="I1885" s="1"/>
      <c r="J1885" s="1"/>
      <c r="K1885" s="1"/>
      <c r="L1885" s="1"/>
      <c r="M1885" s="1"/>
      <c r="N1885" s="1"/>
      <c r="O1885" s="1"/>
      <c r="P1885" s="1"/>
      <c r="Q1885" s="1"/>
      <c r="R1885" s="1"/>
      <c r="S1885" s="1"/>
    </row>
    <row r="1886">
      <c r="A1886" s="1"/>
      <c r="B1886" s="1"/>
      <c r="C1886" s="1"/>
      <c r="D1886" s="1"/>
      <c r="E1886" s="1"/>
      <c r="F1886" s="1"/>
      <c r="G1886" s="1"/>
      <c r="H1886" s="1"/>
      <c r="I1886" s="1"/>
      <c r="J1886" s="1"/>
      <c r="K1886" s="1"/>
      <c r="L1886" s="1"/>
      <c r="M1886" s="1"/>
      <c r="N1886" s="1"/>
      <c r="O1886" s="1"/>
      <c r="P1886" s="1"/>
      <c r="Q1886" s="1"/>
      <c r="R1886" s="1"/>
      <c r="S1886" s="1"/>
    </row>
    <row r="1887">
      <c r="A1887" s="1"/>
      <c r="B1887" s="1"/>
      <c r="C1887" s="1"/>
      <c r="D1887" s="1"/>
      <c r="E1887" s="1"/>
      <c r="F1887" s="1"/>
      <c r="G1887" s="1"/>
      <c r="H1887" s="1"/>
      <c r="I1887" s="1"/>
      <c r="J1887" s="1"/>
      <c r="K1887" s="1"/>
      <c r="L1887" s="1"/>
      <c r="M1887" s="1"/>
      <c r="N1887" s="1"/>
      <c r="O1887" s="1"/>
      <c r="P1887" s="1"/>
      <c r="Q1887" s="1"/>
      <c r="R1887" s="1"/>
      <c r="S1887" s="1"/>
    </row>
    <row r="1888">
      <c r="A1888" s="1"/>
      <c r="B1888" s="1"/>
      <c r="C1888" s="1"/>
      <c r="D1888" s="1"/>
      <c r="E1888" s="1"/>
      <c r="F1888" s="1"/>
      <c r="G1888" s="1"/>
      <c r="H1888" s="1"/>
      <c r="I1888" s="1"/>
      <c r="J1888" s="1"/>
      <c r="K1888" s="1"/>
      <c r="L1888" s="1"/>
      <c r="M1888" s="1"/>
      <c r="N1888" s="1"/>
      <c r="O1888" s="1"/>
      <c r="P1888" s="1"/>
      <c r="Q1888" s="1"/>
      <c r="R1888" s="1"/>
      <c r="S1888" s="1"/>
    </row>
    <row r="1889">
      <c r="A1889" s="1"/>
      <c r="B1889" s="1"/>
      <c r="C1889" s="1"/>
      <c r="D1889" s="1"/>
      <c r="E1889" s="1"/>
      <c r="F1889" s="1"/>
      <c r="G1889" s="1"/>
      <c r="H1889" s="1"/>
      <c r="I1889" s="1"/>
      <c r="J1889" s="1"/>
      <c r="K1889" s="1"/>
      <c r="L1889" s="1"/>
      <c r="M1889" s="1"/>
      <c r="N1889" s="1"/>
      <c r="O1889" s="1"/>
      <c r="P1889" s="1"/>
      <c r="Q1889" s="1"/>
      <c r="R1889" s="1"/>
      <c r="S1889" s="1"/>
    </row>
    <row r="1890">
      <c r="A1890" s="1"/>
      <c r="B1890" s="1"/>
      <c r="C1890" s="1"/>
      <c r="D1890" s="1"/>
      <c r="E1890" s="1"/>
      <c r="F1890" s="1"/>
      <c r="G1890" s="1"/>
      <c r="H1890" s="1"/>
      <c r="I1890" s="1"/>
      <c r="J1890" s="1"/>
      <c r="K1890" s="1"/>
      <c r="L1890" s="1"/>
      <c r="M1890" s="1"/>
      <c r="N1890" s="1"/>
      <c r="O1890" s="1"/>
      <c r="P1890" s="1"/>
      <c r="Q1890" s="1"/>
      <c r="R1890" s="1"/>
      <c r="S1890" s="1"/>
    </row>
    <row r="1891">
      <c r="A1891" s="1"/>
      <c r="B1891" s="1"/>
      <c r="C1891" s="1"/>
      <c r="D1891" s="1"/>
      <c r="E1891" s="1"/>
      <c r="F1891" s="1"/>
      <c r="G1891" s="1"/>
      <c r="H1891" s="1"/>
      <c r="I1891" s="1"/>
      <c r="J1891" s="1"/>
      <c r="K1891" s="1"/>
      <c r="L1891" s="1"/>
      <c r="M1891" s="1"/>
      <c r="N1891" s="1"/>
      <c r="O1891" s="1"/>
      <c r="P1891" s="1"/>
      <c r="Q1891" s="1"/>
      <c r="R1891" s="1"/>
      <c r="S1891" s="1"/>
    </row>
    <row r="1892">
      <c r="A1892" s="1"/>
      <c r="B1892" s="1"/>
      <c r="C1892" s="1"/>
      <c r="D1892" s="1"/>
      <c r="E1892" s="1"/>
      <c r="F1892" s="1"/>
      <c r="G1892" s="1"/>
      <c r="H1892" s="1"/>
      <c r="I1892" s="1"/>
      <c r="J1892" s="1"/>
      <c r="K1892" s="1"/>
      <c r="L1892" s="1"/>
      <c r="M1892" s="1"/>
      <c r="N1892" s="1"/>
      <c r="O1892" s="1"/>
      <c r="P1892" s="1"/>
      <c r="Q1892" s="1"/>
      <c r="R1892" s="1"/>
      <c r="S1892" s="1"/>
    </row>
    <row r="1893">
      <c r="A1893" s="1"/>
      <c r="B1893" s="1"/>
      <c r="C1893" s="1"/>
      <c r="D1893" s="1"/>
      <c r="E1893" s="1"/>
      <c r="F1893" s="1"/>
      <c r="G1893" s="1"/>
      <c r="H1893" s="1"/>
      <c r="I1893" s="1"/>
      <c r="J1893" s="1"/>
      <c r="K1893" s="1"/>
      <c r="L1893" s="1"/>
      <c r="M1893" s="1"/>
      <c r="N1893" s="1"/>
      <c r="O1893" s="1"/>
      <c r="P1893" s="1"/>
      <c r="Q1893" s="1"/>
      <c r="R1893" s="1"/>
      <c r="S1893" s="1"/>
    </row>
    <row r="1894">
      <c r="A1894" s="1"/>
      <c r="B1894" s="1"/>
      <c r="C1894" s="1"/>
      <c r="D1894" s="1"/>
      <c r="E1894" s="1"/>
      <c r="F1894" s="1"/>
      <c r="G1894" s="1"/>
      <c r="H1894" s="1"/>
      <c r="I1894" s="1"/>
      <c r="J1894" s="1"/>
      <c r="K1894" s="1"/>
      <c r="L1894" s="1"/>
      <c r="M1894" s="1"/>
      <c r="N1894" s="1"/>
      <c r="O1894" s="1"/>
      <c r="P1894" s="1"/>
      <c r="Q1894" s="1"/>
      <c r="R1894" s="1"/>
      <c r="S1894" s="1"/>
    </row>
    <row r="1895">
      <c r="A1895" s="1"/>
      <c r="B1895" s="1"/>
      <c r="C1895" s="1"/>
      <c r="D1895" s="1"/>
      <c r="E1895" s="1"/>
      <c r="F1895" s="1"/>
      <c r="G1895" s="1"/>
      <c r="H1895" s="1"/>
      <c r="I1895" s="1"/>
      <c r="J1895" s="1"/>
      <c r="K1895" s="1"/>
      <c r="L1895" s="1"/>
      <c r="M1895" s="1"/>
      <c r="N1895" s="1"/>
      <c r="O1895" s="1"/>
      <c r="P1895" s="1"/>
      <c r="Q1895" s="1"/>
      <c r="R1895" s="1"/>
      <c r="S1895" s="1"/>
    </row>
    <row r="1896">
      <c r="A1896" s="1"/>
      <c r="B1896" s="1"/>
      <c r="C1896" s="1"/>
      <c r="D1896" s="1"/>
      <c r="E1896" s="1"/>
      <c r="F1896" s="1"/>
      <c r="G1896" s="1"/>
      <c r="H1896" s="1"/>
      <c r="I1896" s="1"/>
      <c r="J1896" s="1"/>
      <c r="K1896" s="1"/>
      <c r="L1896" s="1"/>
      <c r="M1896" s="1"/>
      <c r="N1896" s="1"/>
      <c r="O1896" s="1"/>
      <c r="P1896" s="1"/>
      <c r="Q1896" s="1"/>
      <c r="R1896" s="1"/>
      <c r="S1896" s="1"/>
    </row>
    <row r="1897">
      <c r="A1897" s="1"/>
      <c r="B1897" s="1"/>
      <c r="C1897" s="1"/>
      <c r="D1897" s="1"/>
      <c r="E1897" s="1"/>
      <c r="F1897" s="1"/>
      <c r="G1897" s="1"/>
      <c r="H1897" s="1"/>
      <c r="I1897" s="1"/>
      <c r="J1897" s="1"/>
      <c r="K1897" s="1"/>
      <c r="L1897" s="1"/>
      <c r="M1897" s="1"/>
      <c r="N1897" s="1"/>
      <c r="O1897" s="1"/>
      <c r="P1897" s="1"/>
      <c r="Q1897" s="1"/>
      <c r="R1897" s="1"/>
      <c r="S1897" s="1"/>
    </row>
    <row r="1898">
      <c r="A1898" s="1"/>
      <c r="B1898" s="1"/>
      <c r="C1898" s="1"/>
      <c r="D1898" s="1"/>
      <c r="E1898" s="1"/>
      <c r="F1898" s="1"/>
      <c r="G1898" s="1"/>
      <c r="H1898" s="1"/>
      <c r="I1898" s="1"/>
      <c r="J1898" s="1"/>
      <c r="K1898" s="1"/>
      <c r="L1898" s="1"/>
      <c r="M1898" s="1"/>
      <c r="N1898" s="1"/>
      <c r="O1898" s="1"/>
      <c r="P1898" s="1"/>
      <c r="Q1898" s="1"/>
      <c r="R1898" s="1"/>
      <c r="S1898" s="1"/>
    </row>
    <row r="1899">
      <c r="A1899" s="1"/>
      <c r="B1899" s="1"/>
      <c r="C1899" s="1"/>
      <c r="D1899" s="1"/>
      <c r="E1899" s="1"/>
      <c r="F1899" s="1"/>
      <c r="G1899" s="1"/>
      <c r="H1899" s="1"/>
      <c r="I1899" s="1"/>
      <c r="J1899" s="1"/>
      <c r="K1899" s="1"/>
      <c r="L1899" s="1"/>
      <c r="M1899" s="1"/>
      <c r="N1899" s="1"/>
      <c r="O1899" s="1"/>
      <c r="P1899" s="1"/>
      <c r="Q1899" s="1"/>
      <c r="R1899" s="1"/>
      <c r="S1899" s="1"/>
    </row>
    <row r="1900">
      <c r="A1900" s="1"/>
      <c r="B1900" s="1"/>
      <c r="C1900" s="1"/>
      <c r="D1900" s="1"/>
      <c r="E1900" s="1"/>
      <c r="F1900" s="1"/>
      <c r="G1900" s="1"/>
      <c r="H1900" s="1"/>
      <c r="I1900" s="1"/>
      <c r="J1900" s="1"/>
      <c r="K1900" s="1"/>
      <c r="L1900" s="1"/>
      <c r="M1900" s="1"/>
      <c r="N1900" s="1"/>
      <c r="O1900" s="1"/>
      <c r="P1900" s="1"/>
      <c r="Q1900" s="1"/>
      <c r="R1900" s="1"/>
      <c r="S1900" s="1"/>
    </row>
    <row r="1901">
      <c r="A1901" s="1"/>
      <c r="B1901" s="1"/>
      <c r="C1901" s="1"/>
      <c r="D1901" s="1"/>
      <c r="E1901" s="1"/>
      <c r="F1901" s="1"/>
      <c r="G1901" s="1"/>
      <c r="H1901" s="1"/>
      <c r="I1901" s="1"/>
      <c r="J1901" s="1"/>
      <c r="K1901" s="1"/>
      <c r="L1901" s="1"/>
      <c r="M1901" s="1"/>
      <c r="N1901" s="1"/>
      <c r="O1901" s="1"/>
      <c r="P1901" s="1"/>
      <c r="Q1901" s="1"/>
      <c r="R1901" s="1"/>
      <c r="S1901" s="1"/>
    </row>
    <row r="1902">
      <c r="A1902" s="1"/>
      <c r="B1902" s="1"/>
      <c r="C1902" s="1"/>
      <c r="D1902" s="1"/>
      <c r="E1902" s="1"/>
      <c r="F1902" s="1"/>
      <c r="G1902" s="1"/>
      <c r="H1902" s="1"/>
      <c r="I1902" s="1"/>
      <c r="J1902" s="1"/>
      <c r="K1902" s="1"/>
      <c r="L1902" s="1"/>
      <c r="M1902" s="1"/>
      <c r="N1902" s="1"/>
      <c r="O1902" s="1"/>
      <c r="P1902" s="1"/>
      <c r="Q1902" s="1"/>
      <c r="R1902" s="1"/>
      <c r="S1902" s="1"/>
    </row>
    <row r="1903">
      <c r="A1903" s="1"/>
      <c r="B1903" s="1"/>
      <c r="C1903" s="1"/>
      <c r="D1903" s="1"/>
      <c r="E1903" s="1"/>
      <c r="F1903" s="1"/>
      <c r="G1903" s="1"/>
      <c r="H1903" s="1"/>
      <c r="I1903" s="1"/>
      <c r="J1903" s="1"/>
      <c r="K1903" s="1"/>
      <c r="L1903" s="1"/>
      <c r="M1903" s="1"/>
      <c r="N1903" s="1"/>
      <c r="O1903" s="1"/>
      <c r="P1903" s="1"/>
      <c r="Q1903" s="1"/>
      <c r="R1903" s="1"/>
      <c r="S1903" s="1"/>
    </row>
    <row r="1904">
      <c r="A1904" s="1"/>
      <c r="B1904" s="1"/>
      <c r="C1904" s="1"/>
      <c r="D1904" s="1"/>
      <c r="E1904" s="1"/>
      <c r="F1904" s="1"/>
      <c r="G1904" s="1"/>
      <c r="H1904" s="1"/>
      <c r="I1904" s="1"/>
      <c r="J1904" s="1"/>
      <c r="K1904" s="1"/>
      <c r="L1904" s="1"/>
      <c r="M1904" s="1"/>
      <c r="N1904" s="1"/>
      <c r="O1904" s="1"/>
      <c r="P1904" s="1"/>
      <c r="Q1904" s="1"/>
      <c r="R1904" s="1"/>
      <c r="S1904" s="1"/>
    </row>
    <row r="1905">
      <c r="A1905" s="1"/>
      <c r="B1905" s="1"/>
      <c r="C1905" s="1"/>
      <c r="D1905" s="1"/>
      <c r="E1905" s="1"/>
      <c r="F1905" s="1"/>
      <c r="G1905" s="1"/>
      <c r="H1905" s="1"/>
      <c r="I1905" s="1"/>
      <c r="J1905" s="1"/>
      <c r="K1905" s="1"/>
      <c r="L1905" s="1"/>
      <c r="M1905" s="1"/>
      <c r="N1905" s="1"/>
      <c r="O1905" s="1"/>
      <c r="P1905" s="1"/>
      <c r="Q1905" s="1"/>
      <c r="R1905" s="1"/>
      <c r="S1905" s="1"/>
    </row>
    <row r="1906">
      <c r="A1906" s="1"/>
      <c r="B1906" s="1"/>
      <c r="C1906" s="1"/>
      <c r="D1906" s="1"/>
      <c r="E1906" s="1"/>
      <c r="F1906" s="1"/>
      <c r="G1906" s="1"/>
      <c r="H1906" s="1"/>
      <c r="I1906" s="1"/>
      <c r="J1906" s="1"/>
      <c r="K1906" s="1"/>
      <c r="L1906" s="1"/>
      <c r="M1906" s="1"/>
      <c r="N1906" s="1"/>
      <c r="O1906" s="1"/>
      <c r="P1906" s="1"/>
      <c r="Q1906" s="1"/>
      <c r="R1906" s="1"/>
      <c r="S1906" s="1"/>
    </row>
    <row r="1907">
      <c r="A1907" s="1"/>
      <c r="B1907" s="1"/>
      <c r="C1907" s="1"/>
      <c r="D1907" s="1"/>
      <c r="E1907" s="1"/>
      <c r="F1907" s="1"/>
      <c r="G1907" s="1"/>
      <c r="H1907" s="1"/>
      <c r="I1907" s="1"/>
      <c r="J1907" s="1"/>
      <c r="K1907" s="1"/>
      <c r="L1907" s="1"/>
      <c r="M1907" s="1"/>
      <c r="N1907" s="1"/>
      <c r="O1907" s="1"/>
      <c r="P1907" s="1"/>
      <c r="Q1907" s="1"/>
      <c r="R1907" s="1"/>
      <c r="S1907" s="1"/>
    </row>
    <row r="1908">
      <c r="A1908" s="1"/>
      <c r="B1908" s="1"/>
      <c r="C1908" s="1"/>
      <c r="D1908" s="1"/>
      <c r="E1908" s="1"/>
      <c r="F1908" s="1"/>
      <c r="G1908" s="1"/>
      <c r="H1908" s="1"/>
      <c r="I1908" s="1"/>
      <c r="J1908" s="1"/>
      <c r="K1908" s="1"/>
      <c r="L1908" s="1"/>
      <c r="M1908" s="1"/>
      <c r="N1908" s="1"/>
      <c r="O1908" s="1"/>
      <c r="P1908" s="1"/>
      <c r="Q1908" s="1"/>
      <c r="R1908" s="1"/>
      <c r="S1908" s="1"/>
    </row>
    <row r="1909">
      <c r="A1909" s="1"/>
      <c r="B1909" s="1"/>
      <c r="C1909" s="1"/>
      <c r="D1909" s="1"/>
      <c r="E1909" s="1"/>
      <c r="F1909" s="1"/>
      <c r="G1909" s="1"/>
      <c r="H1909" s="1"/>
      <c r="I1909" s="1"/>
      <c r="J1909" s="1"/>
      <c r="K1909" s="1"/>
      <c r="L1909" s="1"/>
      <c r="M1909" s="1"/>
      <c r="N1909" s="1"/>
      <c r="O1909" s="1"/>
      <c r="P1909" s="1"/>
      <c r="Q1909" s="1"/>
      <c r="R1909" s="1"/>
      <c r="S1909" s="1"/>
    </row>
    <row r="1910">
      <c r="A1910" s="1"/>
      <c r="B1910" s="1"/>
      <c r="C1910" s="1"/>
      <c r="D1910" s="1"/>
      <c r="E1910" s="1"/>
      <c r="F1910" s="1"/>
      <c r="G1910" s="1"/>
      <c r="H1910" s="1"/>
      <c r="I1910" s="1"/>
      <c r="J1910" s="1"/>
      <c r="K1910" s="1"/>
      <c r="L1910" s="1"/>
      <c r="M1910" s="1"/>
      <c r="N1910" s="1"/>
      <c r="O1910" s="1"/>
      <c r="P1910" s="1"/>
      <c r="Q1910" s="1"/>
      <c r="R1910" s="1"/>
      <c r="S1910" s="1"/>
    </row>
    <row r="1911">
      <c r="A1911" s="1"/>
      <c r="B1911" s="1"/>
      <c r="C1911" s="1"/>
      <c r="D1911" s="1"/>
      <c r="E1911" s="1"/>
      <c r="F1911" s="1"/>
      <c r="G1911" s="1"/>
      <c r="H1911" s="1"/>
      <c r="I1911" s="1"/>
      <c r="J1911" s="1"/>
      <c r="K1911" s="1"/>
      <c r="L1911" s="1"/>
      <c r="M1911" s="1"/>
      <c r="N1911" s="1"/>
      <c r="O1911" s="1"/>
      <c r="P1911" s="1"/>
      <c r="Q1911" s="1"/>
      <c r="R1911" s="1"/>
      <c r="S1911" s="1"/>
    </row>
    <row r="1912">
      <c r="A1912" s="1"/>
      <c r="B1912" s="1"/>
      <c r="C1912" s="1"/>
      <c r="D1912" s="1"/>
      <c r="E1912" s="1"/>
      <c r="F1912" s="1"/>
      <c r="G1912" s="1"/>
      <c r="H1912" s="1"/>
      <c r="I1912" s="1"/>
      <c r="J1912" s="1"/>
      <c r="K1912" s="1"/>
      <c r="L1912" s="1"/>
      <c r="M1912" s="1"/>
      <c r="N1912" s="1"/>
      <c r="O1912" s="1"/>
      <c r="P1912" s="1"/>
      <c r="Q1912" s="1"/>
      <c r="R1912" s="1"/>
      <c r="S1912" s="1"/>
    </row>
    <row r="1913">
      <c r="A1913" s="1"/>
      <c r="B1913" s="1"/>
      <c r="C1913" s="1"/>
      <c r="D1913" s="1"/>
      <c r="E1913" s="1"/>
      <c r="F1913" s="1"/>
      <c r="G1913" s="1"/>
      <c r="H1913" s="1"/>
      <c r="I1913" s="1"/>
      <c r="J1913" s="1"/>
      <c r="K1913" s="1"/>
      <c r="L1913" s="1"/>
      <c r="M1913" s="1"/>
      <c r="N1913" s="1"/>
      <c r="O1913" s="1"/>
      <c r="P1913" s="1"/>
      <c r="Q1913" s="1"/>
      <c r="R1913" s="1"/>
      <c r="S1913" s="1"/>
    </row>
    <row r="1914">
      <c r="A1914" s="1"/>
      <c r="B1914" s="1"/>
      <c r="C1914" s="1"/>
      <c r="D1914" s="1"/>
      <c r="E1914" s="1"/>
      <c r="F1914" s="1"/>
      <c r="G1914" s="1"/>
      <c r="H1914" s="1"/>
      <c r="I1914" s="1"/>
      <c r="J1914" s="1"/>
      <c r="K1914" s="1"/>
      <c r="L1914" s="1"/>
      <c r="M1914" s="1"/>
      <c r="N1914" s="1"/>
      <c r="O1914" s="1"/>
      <c r="P1914" s="1"/>
      <c r="Q1914" s="1"/>
      <c r="R1914" s="1"/>
      <c r="S1914" s="1"/>
    </row>
    <row r="1915">
      <c r="A1915" s="1"/>
      <c r="B1915" s="1"/>
      <c r="C1915" s="1"/>
      <c r="D1915" s="1"/>
      <c r="E1915" s="1"/>
      <c r="F1915" s="1"/>
      <c r="G1915" s="1"/>
      <c r="H1915" s="1"/>
      <c r="I1915" s="1"/>
      <c r="J1915" s="1"/>
      <c r="K1915" s="1"/>
      <c r="L1915" s="1"/>
      <c r="M1915" s="1"/>
      <c r="N1915" s="1"/>
      <c r="O1915" s="1"/>
      <c r="P1915" s="1"/>
      <c r="Q1915" s="1"/>
      <c r="R1915" s="1"/>
      <c r="S1915" s="1"/>
    </row>
    <row r="1916">
      <c r="A1916" s="1"/>
      <c r="B1916" s="1"/>
      <c r="C1916" s="1"/>
      <c r="D1916" s="1"/>
      <c r="E1916" s="1"/>
      <c r="F1916" s="1"/>
      <c r="G1916" s="1"/>
      <c r="H1916" s="1"/>
      <c r="I1916" s="1"/>
      <c r="J1916" s="1"/>
      <c r="K1916" s="1"/>
      <c r="L1916" s="1"/>
      <c r="M1916" s="1"/>
      <c r="N1916" s="1"/>
      <c r="O1916" s="1"/>
      <c r="P1916" s="1"/>
      <c r="Q1916" s="1"/>
      <c r="R1916" s="1"/>
      <c r="S1916" s="1"/>
    </row>
    <row r="1917">
      <c r="A1917" s="1"/>
      <c r="B1917" s="1"/>
      <c r="C1917" s="1"/>
      <c r="D1917" s="1"/>
      <c r="E1917" s="1"/>
      <c r="F1917" s="1"/>
      <c r="G1917" s="1"/>
      <c r="H1917" s="1"/>
      <c r="I1917" s="1"/>
      <c r="J1917" s="1"/>
      <c r="K1917" s="1"/>
      <c r="L1917" s="1"/>
      <c r="M1917" s="1"/>
      <c r="N1917" s="1"/>
      <c r="O1917" s="1"/>
      <c r="P1917" s="1"/>
      <c r="Q1917" s="1"/>
      <c r="R1917" s="1"/>
      <c r="S1917" s="1"/>
    </row>
    <row r="1918">
      <c r="A1918" s="1"/>
      <c r="B1918" s="1"/>
      <c r="C1918" s="1"/>
      <c r="D1918" s="1"/>
      <c r="E1918" s="1"/>
      <c r="F1918" s="1"/>
      <c r="G1918" s="1"/>
      <c r="H1918" s="1"/>
      <c r="I1918" s="1"/>
      <c r="J1918" s="1"/>
      <c r="K1918" s="1"/>
      <c r="L1918" s="1"/>
      <c r="M1918" s="1"/>
      <c r="N1918" s="1"/>
      <c r="O1918" s="1"/>
      <c r="P1918" s="1"/>
      <c r="Q1918" s="1"/>
      <c r="R1918" s="1"/>
      <c r="S1918" s="1"/>
    </row>
    <row r="1919">
      <c r="A1919" s="1"/>
      <c r="B1919" s="1"/>
      <c r="C1919" s="1"/>
      <c r="D1919" s="1"/>
      <c r="E1919" s="1"/>
      <c r="F1919" s="1"/>
      <c r="G1919" s="1"/>
      <c r="H1919" s="1"/>
      <c r="I1919" s="1"/>
      <c r="J1919" s="1"/>
      <c r="K1919" s="1"/>
      <c r="L1919" s="1"/>
      <c r="M1919" s="1"/>
      <c r="N1919" s="1"/>
      <c r="O1919" s="1"/>
      <c r="P1919" s="1"/>
      <c r="Q1919" s="1"/>
      <c r="R1919" s="1"/>
      <c r="S1919" s="1"/>
    </row>
    <row r="1920">
      <c r="A1920" s="1"/>
      <c r="B1920" s="1"/>
      <c r="C1920" s="1"/>
      <c r="D1920" s="1"/>
      <c r="E1920" s="1"/>
      <c r="F1920" s="1"/>
      <c r="G1920" s="1"/>
      <c r="H1920" s="1"/>
      <c r="I1920" s="1"/>
      <c r="J1920" s="1"/>
      <c r="K1920" s="1"/>
      <c r="L1920" s="1"/>
      <c r="M1920" s="1"/>
      <c r="N1920" s="1"/>
      <c r="O1920" s="1"/>
      <c r="P1920" s="1"/>
      <c r="Q1920" s="1"/>
      <c r="R1920" s="1"/>
      <c r="S1920" s="1"/>
    </row>
    <row r="1921">
      <c r="A1921" s="1"/>
      <c r="B1921" s="1"/>
      <c r="C1921" s="1"/>
      <c r="D1921" s="1"/>
      <c r="E1921" s="1"/>
      <c r="F1921" s="1"/>
      <c r="G1921" s="1"/>
      <c r="H1921" s="1"/>
      <c r="I1921" s="1"/>
      <c r="J1921" s="1"/>
      <c r="K1921" s="1"/>
      <c r="L1921" s="1"/>
      <c r="M1921" s="1"/>
      <c r="N1921" s="1"/>
      <c r="O1921" s="1"/>
      <c r="P1921" s="1"/>
      <c r="Q1921" s="1"/>
      <c r="R1921" s="1"/>
      <c r="S1921" s="1"/>
    </row>
    <row r="1922">
      <c r="A1922" s="1"/>
      <c r="B1922" s="1"/>
      <c r="C1922" s="1"/>
      <c r="D1922" s="1"/>
      <c r="E1922" s="1"/>
      <c r="F1922" s="1"/>
      <c r="G1922" s="1"/>
      <c r="H1922" s="1"/>
      <c r="I1922" s="1"/>
      <c r="J1922" s="1"/>
      <c r="K1922" s="1"/>
      <c r="L1922" s="1"/>
      <c r="M1922" s="1"/>
      <c r="N1922" s="1"/>
      <c r="O1922" s="1"/>
      <c r="P1922" s="1"/>
      <c r="Q1922" s="1"/>
      <c r="R1922" s="1"/>
      <c r="S1922" s="1"/>
    </row>
    <row r="1923">
      <c r="A1923" s="1"/>
      <c r="B1923" s="1"/>
      <c r="C1923" s="1"/>
      <c r="D1923" s="1"/>
      <c r="E1923" s="1"/>
      <c r="F1923" s="1"/>
      <c r="G1923" s="1"/>
      <c r="H1923" s="1"/>
      <c r="I1923" s="1"/>
      <c r="J1923" s="1"/>
      <c r="K1923" s="1"/>
      <c r="L1923" s="1"/>
      <c r="M1923" s="1"/>
      <c r="N1923" s="1"/>
      <c r="O1923" s="1"/>
      <c r="P1923" s="1"/>
      <c r="Q1923" s="1"/>
      <c r="R1923" s="1"/>
      <c r="S1923" s="1"/>
    </row>
    <row r="1924">
      <c r="A1924" s="1"/>
      <c r="B1924" s="1"/>
      <c r="C1924" s="1"/>
      <c r="D1924" s="1"/>
      <c r="E1924" s="1"/>
      <c r="F1924" s="1"/>
      <c r="G1924" s="1"/>
      <c r="H1924" s="1"/>
      <c r="I1924" s="1"/>
      <c r="J1924" s="1"/>
      <c r="K1924" s="1"/>
      <c r="L1924" s="1"/>
      <c r="M1924" s="1"/>
      <c r="N1924" s="1"/>
      <c r="O1924" s="1"/>
      <c r="P1924" s="1"/>
      <c r="Q1924" s="1"/>
      <c r="R1924" s="1"/>
      <c r="S1924" s="1"/>
    </row>
    <row r="1925">
      <c r="A1925" s="1"/>
      <c r="B1925" s="1"/>
      <c r="C1925" s="1"/>
      <c r="D1925" s="1"/>
      <c r="E1925" s="1"/>
      <c r="F1925" s="1"/>
      <c r="G1925" s="1"/>
      <c r="H1925" s="1"/>
      <c r="I1925" s="1"/>
      <c r="J1925" s="1"/>
      <c r="K1925" s="1"/>
      <c r="L1925" s="1"/>
      <c r="M1925" s="1"/>
      <c r="N1925" s="1"/>
      <c r="O1925" s="1"/>
      <c r="P1925" s="1"/>
      <c r="Q1925" s="1"/>
      <c r="R1925" s="1"/>
      <c r="S1925" s="1"/>
    </row>
    <row r="1926">
      <c r="A1926" s="1"/>
      <c r="B1926" s="1"/>
      <c r="C1926" s="1"/>
      <c r="D1926" s="1"/>
      <c r="E1926" s="1"/>
      <c r="F1926" s="1"/>
      <c r="G1926" s="1"/>
      <c r="H1926" s="1"/>
      <c r="I1926" s="1"/>
      <c r="J1926" s="1"/>
      <c r="K1926" s="1"/>
      <c r="L1926" s="1"/>
      <c r="M1926" s="1"/>
      <c r="N1926" s="1"/>
      <c r="O1926" s="1"/>
      <c r="P1926" s="1"/>
      <c r="Q1926" s="1"/>
      <c r="R1926" s="1"/>
      <c r="S1926" s="1"/>
    </row>
    <row r="1927">
      <c r="A1927" s="1"/>
      <c r="B1927" s="1"/>
      <c r="C1927" s="1"/>
      <c r="D1927" s="1"/>
      <c r="E1927" s="1"/>
      <c r="F1927" s="1"/>
      <c r="G1927" s="1"/>
      <c r="H1927" s="1"/>
      <c r="I1927" s="1"/>
      <c r="J1927" s="1"/>
      <c r="K1927" s="1"/>
      <c r="L1927" s="1"/>
      <c r="M1927" s="1"/>
      <c r="N1927" s="1"/>
      <c r="O1927" s="1"/>
      <c r="P1927" s="1"/>
      <c r="Q1927" s="1"/>
      <c r="R1927" s="1"/>
      <c r="S1927" s="1"/>
    </row>
    <row r="1928">
      <c r="A1928" s="1"/>
      <c r="B1928" s="1"/>
      <c r="C1928" s="1"/>
      <c r="D1928" s="1"/>
      <c r="E1928" s="1"/>
      <c r="F1928" s="1"/>
      <c r="G1928" s="1"/>
      <c r="H1928" s="1"/>
      <c r="I1928" s="1"/>
      <c r="J1928" s="1"/>
      <c r="K1928" s="1"/>
      <c r="L1928" s="1"/>
      <c r="M1928" s="1"/>
      <c r="N1928" s="1"/>
      <c r="O1928" s="1"/>
      <c r="P1928" s="1"/>
      <c r="Q1928" s="1"/>
      <c r="R1928" s="1"/>
      <c r="S1928" s="1"/>
    </row>
    <row r="1929">
      <c r="A1929" s="1"/>
      <c r="B1929" s="1"/>
      <c r="C1929" s="1"/>
      <c r="D1929" s="1"/>
      <c r="E1929" s="1"/>
      <c r="F1929" s="1"/>
      <c r="G1929" s="1"/>
      <c r="H1929" s="1"/>
      <c r="I1929" s="1"/>
      <c r="J1929" s="1"/>
      <c r="K1929" s="1"/>
      <c r="L1929" s="1"/>
      <c r="M1929" s="1"/>
      <c r="N1929" s="1"/>
      <c r="O1929" s="1"/>
      <c r="P1929" s="1"/>
      <c r="Q1929" s="1"/>
      <c r="R1929" s="1"/>
      <c r="S1929" s="1"/>
    </row>
    <row r="1930">
      <c r="A1930" s="1"/>
      <c r="B1930" s="1"/>
      <c r="C1930" s="1"/>
      <c r="D1930" s="1"/>
      <c r="E1930" s="1"/>
      <c r="F1930" s="1"/>
      <c r="G1930" s="1"/>
      <c r="H1930" s="1"/>
      <c r="I1930" s="1"/>
      <c r="J1930" s="1"/>
      <c r="K1930" s="1"/>
      <c r="L1930" s="1"/>
      <c r="M1930" s="1"/>
      <c r="N1930" s="1"/>
      <c r="O1930" s="1"/>
      <c r="P1930" s="1"/>
      <c r="Q1930" s="1"/>
      <c r="R1930" s="1"/>
      <c r="S1930" s="1"/>
    </row>
    <row r="1931">
      <c r="A1931" s="1"/>
      <c r="B1931" s="1"/>
      <c r="C1931" s="1"/>
      <c r="D1931" s="1"/>
      <c r="E1931" s="1"/>
      <c r="F1931" s="1"/>
      <c r="G1931" s="1"/>
      <c r="H1931" s="1"/>
      <c r="I1931" s="1"/>
      <c r="J1931" s="1"/>
      <c r="K1931" s="1"/>
      <c r="L1931" s="1"/>
      <c r="M1931" s="1"/>
      <c r="N1931" s="1"/>
      <c r="O1931" s="1"/>
      <c r="P1931" s="1"/>
      <c r="Q1931" s="1"/>
      <c r="R1931" s="1"/>
      <c r="S1931" s="1"/>
    </row>
    <row r="1932">
      <c r="A1932" s="1"/>
      <c r="B1932" s="1"/>
      <c r="C1932" s="1"/>
      <c r="D1932" s="1"/>
      <c r="E1932" s="1"/>
      <c r="F1932" s="1"/>
      <c r="G1932" s="1"/>
      <c r="H1932" s="1"/>
      <c r="I1932" s="1"/>
      <c r="J1932" s="1"/>
      <c r="K1932" s="1"/>
      <c r="L1932" s="1"/>
      <c r="M1932" s="1"/>
      <c r="N1932" s="1"/>
      <c r="O1932" s="1"/>
      <c r="P1932" s="1"/>
      <c r="Q1932" s="1"/>
      <c r="R1932" s="1"/>
      <c r="S1932" s="1"/>
    </row>
    <row r="1933">
      <c r="A1933" s="1"/>
      <c r="B1933" s="1"/>
      <c r="C1933" s="1"/>
      <c r="D1933" s="1"/>
      <c r="E1933" s="1"/>
      <c r="F1933" s="1"/>
      <c r="G1933" s="1"/>
      <c r="H1933" s="1"/>
      <c r="I1933" s="1"/>
      <c r="J1933" s="1"/>
      <c r="K1933" s="1"/>
      <c r="L1933" s="1"/>
      <c r="M1933" s="1"/>
      <c r="N1933" s="1"/>
      <c r="O1933" s="1"/>
      <c r="P1933" s="1"/>
      <c r="Q1933" s="1"/>
      <c r="R1933" s="1"/>
      <c r="S1933" s="1"/>
    </row>
    <row r="1934">
      <c r="A1934" s="1"/>
      <c r="B1934" s="1"/>
      <c r="C1934" s="1"/>
      <c r="D1934" s="1"/>
      <c r="E1934" s="1"/>
      <c r="F1934" s="1"/>
      <c r="G1934" s="1"/>
      <c r="H1934" s="1"/>
      <c r="I1934" s="1"/>
      <c r="J1934" s="1"/>
      <c r="K1934" s="1"/>
      <c r="L1934" s="1"/>
      <c r="M1934" s="1"/>
      <c r="N1934" s="1"/>
      <c r="O1934" s="1"/>
      <c r="P1934" s="1"/>
      <c r="Q1934" s="1"/>
      <c r="R1934" s="1"/>
      <c r="S1934" s="1"/>
    </row>
    <row r="1935">
      <c r="A1935" s="1"/>
      <c r="B1935" s="1"/>
      <c r="C1935" s="1"/>
      <c r="D1935" s="1"/>
      <c r="E1935" s="1"/>
      <c r="F1935" s="1"/>
      <c r="G1935" s="1"/>
      <c r="H1935" s="1"/>
      <c r="I1935" s="1"/>
      <c r="J1935" s="1"/>
      <c r="K1935" s="1"/>
      <c r="L1935" s="1"/>
      <c r="M1935" s="1"/>
      <c r="N1935" s="1"/>
      <c r="O1935" s="1"/>
      <c r="P1935" s="1"/>
      <c r="Q1935" s="1"/>
      <c r="R1935" s="1"/>
      <c r="S1935" s="1"/>
    </row>
    <row r="1936">
      <c r="A1936" s="1"/>
      <c r="B1936" s="1"/>
      <c r="C1936" s="1"/>
      <c r="D1936" s="1"/>
      <c r="E1936" s="1"/>
      <c r="F1936" s="1"/>
      <c r="G1936" s="1"/>
      <c r="H1936" s="1"/>
      <c r="I1936" s="1"/>
      <c r="J1936" s="1"/>
      <c r="K1936" s="1"/>
      <c r="L1936" s="1"/>
      <c r="M1936" s="1"/>
      <c r="N1936" s="1"/>
      <c r="O1936" s="1"/>
      <c r="P1936" s="1"/>
      <c r="Q1936" s="1"/>
      <c r="R1936" s="1"/>
      <c r="S1936" s="1"/>
    </row>
    <row r="1937">
      <c r="A1937" s="1"/>
      <c r="B1937" s="1"/>
      <c r="C1937" s="1"/>
      <c r="D1937" s="1"/>
      <c r="E1937" s="1"/>
      <c r="F1937" s="1"/>
      <c r="G1937" s="1"/>
      <c r="H1937" s="1"/>
      <c r="I1937" s="1"/>
      <c r="J1937" s="1"/>
      <c r="K1937" s="1"/>
      <c r="L1937" s="1"/>
      <c r="M1937" s="1"/>
      <c r="N1937" s="1"/>
      <c r="O1937" s="1"/>
      <c r="P1937" s="1"/>
      <c r="Q1937" s="1"/>
      <c r="R1937" s="1"/>
      <c r="S1937" s="1"/>
    </row>
    <row r="1938">
      <c r="A1938" s="1"/>
      <c r="B1938" s="1"/>
      <c r="C1938" s="1"/>
      <c r="D1938" s="1"/>
      <c r="E1938" s="1"/>
      <c r="F1938" s="1"/>
      <c r="G1938" s="1"/>
      <c r="H1938" s="1"/>
      <c r="I1938" s="1"/>
      <c r="J1938" s="1"/>
      <c r="K1938" s="1"/>
      <c r="L1938" s="1"/>
      <c r="M1938" s="1"/>
      <c r="N1938" s="1"/>
      <c r="O1938" s="1"/>
      <c r="P1938" s="1"/>
      <c r="Q1938" s="1"/>
      <c r="R1938" s="1"/>
      <c r="S1938" s="1"/>
    </row>
    <row r="1939">
      <c r="A1939" s="1"/>
      <c r="B1939" s="1"/>
      <c r="C1939" s="1"/>
      <c r="D1939" s="1"/>
      <c r="E1939" s="1"/>
      <c r="F1939" s="1"/>
      <c r="G1939" s="1"/>
      <c r="H1939" s="1"/>
      <c r="I1939" s="1"/>
      <c r="J1939" s="1"/>
      <c r="K1939" s="1"/>
      <c r="L1939" s="1"/>
      <c r="M1939" s="1"/>
      <c r="N1939" s="1"/>
      <c r="O1939" s="1"/>
      <c r="P1939" s="1"/>
      <c r="Q1939" s="1"/>
      <c r="R1939" s="1"/>
      <c r="S1939" s="1"/>
    </row>
    <row r="1940">
      <c r="A1940" s="1"/>
      <c r="B1940" s="1"/>
      <c r="C1940" s="1"/>
      <c r="D1940" s="1"/>
      <c r="E1940" s="1"/>
      <c r="F1940" s="1"/>
      <c r="G1940" s="1"/>
      <c r="H1940" s="1"/>
      <c r="I1940" s="1"/>
      <c r="J1940" s="1"/>
      <c r="K1940" s="1"/>
      <c r="L1940" s="1"/>
      <c r="M1940" s="1"/>
      <c r="N1940" s="1"/>
      <c r="O1940" s="1"/>
      <c r="P1940" s="1"/>
      <c r="Q1940" s="1"/>
      <c r="R1940" s="1"/>
      <c r="S1940" s="1"/>
    </row>
    <row r="1941">
      <c r="A1941" s="1"/>
      <c r="B1941" s="1"/>
      <c r="C1941" s="1"/>
      <c r="D1941" s="1"/>
      <c r="E1941" s="1"/>
      <c r="F1941" s="1"/>
      <c r="G1941" s="1"/>
      <c r="H1941" s="1"/>
      <c r="I1941" s="1"/>
      <c r="J1941" s="1"/>
      <c r="K1941" s="1"/>
      <c r="L1941" s="1"/>
      <c r="M1941" s="1"/>
      <c r="N1941" s="1"/>
      <c r="O1941" s="1"/>
      <c r="P1941" s="1"/>
      <c r="Q1941" s="1"/>
      <c r="R1941" s="1"/>
      <c r="S1941" s="1"/>
    </row>
    <row r="1942">
      <c r="A1942" s="1"/>
      <c r="B1942" s="1"/>
      <c r="C1942" s="1"/>
      <c r="D1942" s="1"/>
      <c r="E1942" s="1"/>
      <c r="F1942" s="1"/>
      <c r="G1942" s="1"/>
      <c r="H1942" s="1"/>
      <c r="I1942" s="1"/>
      <c r="J1942" s="1"/>
      <c r="K1942" s="1"/>
      <c r="L1942" s="1"/>
      <c r="M1942" s="1"/>
      <c r="N1942" s="1"/>
      <c r="O1942" s="1"/>
      <c r="P1942" s="1"/>
      <c r="Q1942" s="1"/>
      <c r="R1942" s="1"/>
      <c r="S1942" s="1"/>
    </row>
    <row r="1943">
      <c r="A1943" s="1"/>
      <c r="B1943" s="1"/>
      <c r="C1943" s="1"/>
      <c r="D1943" s="1"/>
      <c r="E1943" s="1"/>
      <c r="F1943" s="1"/>
      <c r="G1943" s="1"/>
      <c r="H1943" s="1"/>
      <c r="I1943" s="1"/>
      <c r="J1943" s="1"/>
      <c r="K1943" s="1"/>
      <c r="L1943" s="1"/>
      <c r="M1943" s="1"/>
      <c r="N1943" s="1"/>
      <c r="O1943" s="1"/>
      <c r="P1943" s="1"/>
      <c r="Q1943" s="1"/>
      <c r="R1943" s="1"/>
      <c r="S1943" s="1"/>
    </row>
    <row r="1944">
      <c r="A1944" s="1"/>
      <c r="B1944" s="1"/>
      <c r="C1944" s="1"/>
      <c r="D1944" s="1"/>
      <c r="E1944" s="1"/>
      <c r="F1944" s="1"/>
      <c r="G1944" s="1"/>
      <c r="H1944" s="1"/>
      <c r="I1944" s="1"/>
      <c r="J1944" s="1"/>
      <c r="K1944" s="1"/>
      <c r="L1944" s="1"/>
      <c r="M1944" s="1"/>
      <c r="N1944" s="1"/>
      <c r="O1944" s="1"/>
      <c r="P1944" s="1"/>
      <c r="Q1944" s="1"/>
      <c r="R1944" s="1"/>
      <c r="S1944" s="1"/>
    </row>
    <row r="1945">
      <c r="A1945" s="1"/>
      <c r="B1945" s="1"/>
      <c r="C1945" s="1"/>
      <c r="D1945" s="1"/>
      <c r="E1945" s="1"/>
      <c r="F1945" s="1"/>
      <c r="G1945" s="1"/>
      <c r="H1945" s="1"/>
      <c r="I1945" s="1"/>
      <c r="J1945" s="1"/>
      <c r="K1945" s="1"/>
      <c r="L1945" s="1"/>
      <c r="M1945" s="1"/>
      <c r="N1945" s="1"/>
      <c r="O1945" s="1"/>
      <c r="P1945" s="1"/>
      <c r="Q1945" s="1"/>
      <c r="R1945" s="1"/>
      <c r="S1945" s="1"/>
    </row>
    <row r="1946">
      <c r="A1946" s="1"/>
      <c r="B1946" s="1"/>
      <c r="C1946" s="1"/>
      <c r="D1946" s="1"/>
      <c r="E1946" s="1"/>
      <c r="F1946" s="1"/>
      <c r="G1946" s="1"/>
      <c r="H1946" s="1"/>
      <c r="I1946" s="1"/>
      <c r="J1946" s="1"/>
      <c r="K1946" s="1"/>
      <c r="L1946" s="1"/>
      <c r="M1946" s="1"/>
      <c r="N1946" s="1"/>
      <c r="O1946" s="1"/>
      <c r="P1946" s="1"/>
      <c r="Q1946" s="1"/>
      <c r="R1946" s="1"/>
      <c r="S1946" s="1"/>
    </row>
    <row r="1947">
      <c r="A1947" s="1"/>
      <c r="B1947" s="1"/>
      <c r="C1947" s="1"/>
      <c r="D1947" s="1"/>
      <c r="E1947" s="1"/>
      <c r="F1947" s="1"/>
      <c r="G1947" s="1"/>
      <c r="H1947" s="1"/>
      <c r="I1947" s="1"/>
      <c r="J1947" s="1"/>
      <c r="K1947" s="1"/>
      <c r="L1947" s="1"/>
      <c r="M1947" s="1"/>
      <c r="N1947" s="1"/>
      <c r="O1947" s="1"/>
      <c r="P1947" s="1"/>
      <c r="Q1947" s="1"/>
      <c r="R1947" s="1"/>
      <c r="S1947" s="1"/>
    </row>
    <row r="1948">
      <c r="A1948" s="1"/>
      <c r="B1948" s="1"/>
      <c r="C1948" s="1"/>
      <c r="D1948" s="1"/>
      <c r="E1948" s="1"/>
      <c r="F1948" s="1"/>
      <c r="G1948" s="1"/>
      <c r="H1948" s="1"/>
      <c r="I1948" s="1"/>
      <c r="J1948" s="1"/>
      <c r="K1948" s="1"/>
      <c r="L1948" s="1"/>
      <c r="M1948" s="1"/>
      <c r="N1948" s="1"/>
      <c r="O1948" s="1"/>
      <c r="P1948" s="1"/>
      <c r="Q1948" s="1"/>
      <c r="R1948" s="1"/>
      <c r="S1948" s="1"/>
    </row>
    <row r="1949">
      <c r="A1949" s="1"/>
      <c r="B1949" s="1"/>
      <c r="C1949" s="1"/>
      <c r="D1949" s="1"/>
      <c r="E1949" s="1"/>
      <c r="F1949" s="1"/>
      <c r="G1949" s="1"/>
      <c r="H1949" s="1"/>
      <c r="I1949" s="1"/>
      <c r="J1949" s="1"/>
      <c r="K1949" s="1"/>
      <c r="L1949" s="1"/>
      <c r="M1949" s="1"/>
      <c r="N1949" s="1"/>
      <c r="O1949" s="1"/>
      <c r="P1949" s="1"/>
      <c r="Q1949" s="1"/>
      <c r="R1949" s="1"/>
      <c r="S1949" s="1"/>
    </row>
    <row r="1950">
      <c r="A1950" s="1"/>
      <c r="B1950" s="1"/>
      <c r="C1950" s="1"/>
      <c r="D1950" s="1"/>
      <c r="E1950" s="1"/>
      <c r="F1950" s="1"/>
      <c r="G1950" s="1"/>
      <c r="H1950" s="1"/>
      <c r="I1950" s="1"/>
      <c r="J1950" s="1"/>
      <c r="K1950" s="1"/>
      <c r="L1950" s="1"/>
      <c r="M1950" s="1"/>
      <c r="N1950" s="1"/>
      <c r="O1950" s="1"/>
      <c r="P1950" s="1"/>
      <c r="Q1950" s="1"/>
      <c r="R1950" s="1"/>
      <c r="S1950" s="1"/>
    </row>
    <row r="1951">
      <c r="A1951" s="1"/>
      <c r="B1951" s="1"/>
      <c r="C1951" s="1"/>
      <c r="D1951" s="1"/>
      <c r="E1951" s="1"/>
      <c r="F1951" s="1"/>
      <c r="G1951" s="1"/>
      <c r="H1951" s="1"/>
      <c r="I1951" s="1"/>
      <c r="J1951" s="1"/>
      <c r="K1951" s="1"/>
      <c r="L1951" s="1"/>
      <c r="M1951" s="1"/>
      <c r="N1951" s="1"/>
      <c r="O1951" s="1"/>
      <c r="P1951" s="1"/>
      <c r="Q1951" s="1"/>
      <c r="R1951" s="1"/>
      <c r="S1951" s="1"/>
    </row>
    <row r="1952">
      <c r="A1952" s="1"/>
      <c r="B1952" s="1"/>
      <c r="C1952" s="1"/>
      <c r="D1952" s="1"/>
      <c r="E1952" s="1"/>
      <c r="F1952" s="1"/>
      <c r="G1952" s="1"/>
      <c r="H1952" s="1"/>
      <c r="I1952" s="1"/>
      <c r="J1952" s="1"/>
      <c r="K1952" s="1"/>
      <c r="L1952" s="1"/>
      <c r="M1952" s="1"/>
      <c r="N1952" s="1"/>
      <c r="O1952" s="1"/>
      <c r="P1952" s="1"/>
      <c r="Q1952" s="1"/>
      <c r="R1952" s="1"/>
      <c r="S1952" s="1"/>
    </row>
    <row r="1953">
      <c r="A1953" s="1"/>
      <c r="B1953" s="1"/>
      <c r="C1953" s="1"/>
      <c r="D1953" s="1"/>
      <c r="E1953" s="1"/>
      <c r="F1953" s="1"/>
      <c r="G1953" s="1"/>
      <c r="H1953" s="1"/>
      <c r="I1953" s="1"/>
      <c r="J1953" s="1"/>
      <c r="K1953" s="1"/>
      <c r="L1953" s="1"/>
      <c r="M1953" s="1"/>
      <c r="N1953" s="1"/>
      <c r="O1953" s="1"/>
      <c r="P1953" s="1"/>
      <c r="Q1953" s="1"/>
      <c r="R1953" s="1"/>
      <c r="S1953" s="1"/>
    </row>
    <row r="1954">
      <c r="A1954" s="1"/>
      <c r="B1954" s="1"/>
      <c r="C1954" s="1"/>
      <c r="D1954" s="1"/>
      <c r="E1954" s="1"/>
      <c r="F1954" s="1"/>
      <c r="G1954" s="1"/>
      <c r="H1954" s="1"/>
      <c r="I1954" s="1"/>
      <c r="J1954" s="1"/>
      <c r="K1954" s="1"/>
      <c r="L1954" s="1"/>
      <c r="M1954" s="1"/>
      <c r="N1954" s="1"/>
      <c r="O1954" s="1"/>
      <c r="P1954" s="1"/>
      <c r="Q1954" s="1"/>
      <c r="R1954" s="1"/>
      <c r="S1954" s="1"/>
    </row>
    <row r="1955">
      <c r="A1955" s="1"/>
      <c r="B1955" s="1"/>
      <c r="C1955" s="1"/>
      <c r="D1955" s="1"/>
      <c r="E1955" s="1"/>
      <c r="F1955" s="1"/>
      <c r="G1955" s="1"/>
      <c r="H1955" s="1"/>
      <c r="I1955" s="1"/>
      <c r="J1955" s="1"/>
      <c r="K1955" s="1"/>
      <c r="L1955" s="1"/>
      <c r="M1955" s="1"/>
      <c r="N1955" s="1"/>
      <c r="O1955" s="1"/>
      <c r="P1955" s="1"/>
      <c r="Q1955" s="1"/>
      <c r="R1955" s="1"/>
      <c r="S1955" s="1"/>
    </row>
    <row r="1956">
      <c r="A1956" s="1"/>
      <c r="B1956" s="1"/>
      <c r="C1956" s="1"/>
      <c r="D1956" s="1"/>
      <c r="E1956" s="1"/>
      <c r="F1956" s="1"/>
      <c r="G1956" s="1"/>
      <c r="H1956" s="1"/>
      <c r="I1956" s="1"/>
      <c r="J1956" s="1"/>
      <c r="K1956" s="1"/>
      <c r="L1956" s="1"/>
      <c r="M1956" s="1"/>
      <c r="N1956" s="1"/>
      <c r="O1956" s="1"/>
      <c r="P1956" s="1"/>
      <c r="Q1956" s="1"/>
      <c r="R1956" s="1"/>
      <c r="S1956" s="1"/>
    </row>
    <row r="1957">
      <c r="A1957" s="1"/>
      <c r="B1957" s="1"/>
      <c r="C1957" s="1"/>
      <c r="D1957" s="1"/>
      <c r="E1957" s="1"/>
      <c r="F1957" s="1"/>
      <c r="G1957" s="1"/>
      <c r="H1957" s="1"/>
      <c r="I1957" s="1"/>
      <c r="J1957" s="1"/>
      <c r="K1957" s="1"/>
      <c r="L1957" s="1"/>
      <c r="M1957" s="1"/>
      <c r="N1957" s="1"/>
      <c r="O1957" s="1"/>
      <c r="P1957" s="1"/>
      <c r="Q1957" s="1"/>
      <c r="R1957" s="1"/>
      <c r="S1957" s="1"/>
    </row>
    <row r="1958">
      <c r="A1958" s="1"/>
      <c r="B1958" s="1"/>
      <c r="C1958" s="1"/>
      <c r="D1958" s="1"/>
      <c r="E1958" s="1"/>
      <c r="F1958" s="1"/>
      <c r="G1958" s="1"/>
      <c r="H1958" s="1"/>
      <c r="I1958" s="1"/>
      <c r="J1958" s="1"/>
      <c r="K1958" s="1"/>
      <c r="L1958" s="1"/>
      <c r="M1958" s="1"/>
      <c r="N1958" s="1"/>
      <c r="O1958" s="1"/>
      <c r="P1958" s="1"/>
      <c r="Q1958" s="1"/>
      <c r="R1958" s="1"/>
      <c r="S1958" s="1"/>
    </row>
    <row r="1959">
      <c r="A1959" s="1"/>
      <c r="B1959" s="1"/>
      <c r="C1959" s="1"/>
      <c r="D1959" s="1"/>
      <c r="E1959" s="1"/>
      <c r="F1959" s="1"/>
      <c r="G1959" s="1"/>
      <c r="H1959" s="1"/>
      <c r="I1959" s="1"/>
      <c r="J1959" s="1"/>
      <c r="K1959" s="1"/>
      <c r="L1959" s="1"/>
      <c r="M1959" s="1"/>
      <c r="N1959" s="1"/>
      <c r="O1959" s="1"/>
      <c r="P1959" s="1"/>
      <c r="Q1959" s="1"/>
      <c r="R1959" s="1"/>
      <c r="S1959" s="1"/>
    </row>
    <row r="1960">
      <c r="A1960" s="1"/>
      <c r="B1960" s="1"/>
      <c r="C1960" s="1"/>
      <c r="D1960" s="1"/>
      <c r="E1960" s="1"/>
      <c r="F1960" s="1"/>
      <c r="G1960" s="1"/>
      <c r="H1960" s="1"/>
      <c r="I1960" s="1"/>
      <c r="J1960" s="1"/>
      <c r="K1960" s="1"/>
      <c r="L1960" s="1"/>
      <c r="M1960" s="1"/>
      <c r="N1960" s="1"/>
      <c r="O1960" s="1"/>
      <c r="P1960" s="1"/>
      <c r="Q1960" s="1"/>
      <c r="R1960" s="1"/>
      <c r="S1960" s="1"/>
    </row>
    <row r="1961">
      <c r="A1961" s="1"/>
      <c r="B1961" s="1"/>
      <c r="C1961" s="1"/>
      <c r="D1961" s="1"/>
      <c r="E1961" s="1"/>
      <c r="F1961" s="1"/>
      <c r="G1961" s="1"/>
      <c r="H1961" s="1"/>
      <c r="I1961" s="1"/>
      <c r="J1961" s="1"/>
      <c r="K1961" s="1"/>
      <c r="L1961" s="1"/>
      <c r="M1961" s="1"/>
      <c r="N1961" s="1"/>
      <c r="O1961" s="1"/>
      <c r="P1961" s="1"/>
      <c r="Q1961" s="1"/>
      <c r="R1961" s="1"/>
      <c r="S1961" s="1"/>
    </row>
    <row r="1962">
      <c r="A1962" s="1"/>
      <c r="B1962" s="1"/>
      <c r="C1962" s="1"/>
      <c r="D1962" s="1"/>
      <c r="E1962" s="1"/>
      <c r="F1962" s="1"/>
      <c r="G1962" s="1"/>
      <c r="H1962" s="1"/>
      <c r="I1962" s="1"/>
      <c r="J1962" s="1"/>
      <c r="K1962" s="1"/>
      <c r="L1962" s="1"/>
      <c r="M1962" s="1"/>
      <c r="N1962" s="1"/>
      <c r="O1962" s="1"/>
      <c r="P1962" s="1"/>
      <c r="Q1962" s="1"/>
      <c r="R1962" s="1"/>
      <c r="S1962" s="1"/>
    </row>
    <row r="1963">
      <c r="A1963" s="1"/>
      <c r="B1963" s="1"/>
      <c r="C1963" s="1"/>
      <c r="D1963" s="1"/>
      <c r="E1963" s="1"/>
      <c r="F1963" s="1"/>
      <c r="G1963" s="1"/>
      <c r="H1963" s="1"/>
      <c r="I1963" s="1"/>
      <c r="J1963" s="1"/>
      <c r="K1963" s="1"/>
      <c r="L1963" s="1"/>
      <c r="M1963" s="1"/>
      <c r="N1963" s="1"/>
      <c r="O1963" s="1"/>
      <c r="P1963" s="1"/>
      <c r="Q1963" s="1"/>
      <c r="R1963" s="1"/>
      <c r="S1963" s="1"/>
    </row>
    <row r="1964">
      <c r="A1964" s="1"/>
      <c r="B1964" s="1"/>
      <c r="C1964" s="1"/>
      <c r="D1964" s="1"/>
      <c r="E1964" s="1"/>
      <c r="F1964" s="1"/>
      <c r="G1964" s="1"/>
      <c r="H1964" s="1"/>
      <c r="I1964" s="1"/>
      <c r="J1964" s="1"/>
      <c r="K1964" s="1"/>
      <c r="L1964" s="1"/>
      <c r="M1964" s="1"/>
      <c r="N1964" s="1"/>
      <c r="O1964" s="1"/>
      <c r="P1964" s="1"/>
      <c r="Q1964" s="1"/>
      <c r="R1964" s="1"/>
      <c r="S1964" s="1"/>
    </row>
    <row r="1965">
      <c r="A1965" s="1"/>
      <c r="B1965" s="1"/>
      <c r="C1965" s="1"/>
      <c r="D1965" s="1"/>
      <c r="E1965" s="1"/>
      <c r="F1965" s="1"/>
      <c r="G1965" s="1"/>
      <c r="H1965" s="1"/>
      <c r="I1965" s="1"/>
      <c r="J1965" s="1"/>
      <c r="K1965" s="1"/>
      <c r="L1965" s="1"/>
      <c r="M1965" s="1"/>
      <c r="N1965" s="1"/>
      <c r="O1965" s="1"/>
      <c r="P1965" s="1"/>
      <c r="Q1965" s="1"/>
      <c r="R1965" s="1"/>
      <c r="S1965" s="1"/>
    </row>
    <row r="1966">
      <c r="A1966" s="1"/>
      <c r="B1966" s="1"/>
      <c r="C1966" s="1"/>
      <c r="D1966" s="1"/>
      <c r="E1966" s="1"/>
      <c r="F1966" s="1"/>
      <c r="G1966" s="1"/>
      <c r="H1966" s="1"/>
      <c r="I1966" s="1"/>
      <c r="J1966" s="1"/>
      <c r="K1966" s="1"/>
      <c r="L1966" s="1"/>
      <c r="M1966" s="1"/>
      <c r="N1966" s="1"/>
      <c r="O1966" s="1"/>
      <c r="P1966" s="1"/>
      <c r="Q1966" s="1"/>
      <c r="R1966" s="1"/>
      <c r="S1966" s="1"/>
    </row>
    <row r="1967">
      <c r="A1967" s="1"/>
      <c r="B1967" s="1"/>
      <c r="C1967" s="1"/>
      <c r="D1967" s="1"/>
      <c r="E1967" s="1"/>
      <c r="F1967" s="1"/>
      <c r="G1967" s="1"/>
      <c r="H1967" s="1"/>
      <c r="I1967" s="1"/>
      <c r="J1967" s="1"/>
      <c r="K1967" s="1"/>
      <c r="L1967" s="1"/>
      <c r="M1967" s="1"/>
      <c r="N1967" s="1"/>
      <c r="O1967" s="1"/>
      <c r="P1967" s="1"/>
      <c r="Q1967" s="1"/>
      <c r="R1967" s="1"/>
      <c r="S1967" s="1"/>
    </row>
    <row r="1968">
      <c r="A1968" s="1"/>
      <c r="B1968" s="1"/>
      <c r="C1968" s="1"/>
      <c r="D1968" s="1"/>
      <c r="E1968" s="1"/>
      <c r="F1968" s="1"/>
      <c r="G1968" s="1"/>
      <c r="H1968" s="1"/>
      <c r="I1968" s="1"/>
      <c r="J1968" s="1"/>
      <c r="K1968" s="1"/>
      <c r="L1968" s="1"/>
      <c r="M1968" s="1"/>
      <c r="N1968" s="1"/>
      <c r="O1968" s="1"/>
      <c r="P1968" s="1"/>
      <c r="Q1968" s="1"/>
      <c r="R1968" s="1"/>
      <c r="S1968" s="1"/>
    </row>
    <row r="1969">
      <c r="A1969" s="1"/>
      <c r="B1969" s="1"/>
      <c r="C1969" s="1"/>
      <c r="D1969" s="1"/>
      <c r="E1969" s="1"/>
      <c r="F1969" s="1"/>
      <c r="G1969" s="1"/>
      <c r="H1969" s="1"/>
      <c r="I1969" s="1"/>
      <c r="J1969" s="1"/>
      <c r="K1969" s="1"/>
      <c r="L1969" s="1"/>
      <c r="M1969" s="1"/>
      <c r="N1969" s="1"/>
      <c r="O1969" s="1"/>
      <c r="P1969" s="1"/>
      <c r="Q1969" s="1"/>
      <c r="R1969" s="1"/>
      <c r="S1969" s="1"/>
    </row>
    <row r="1970">
      <c r="A1970" s="1"/>
      <c r="B1970" s="1"/>
      <c r="C1970" s="1"/>
      <c r="D1970" s="1"/>
      <c r="E1970" s="1"/>
      <c r="F1970" s="1"/>
      <c r="G1970" s="1"/>
      <c r="H1970" s="1"/>
      <c r="I1970" s="1"/>
      <c r="J1970" s="1"/>
      <c r="K1970" s="1"/>
      <c r="L1970" s="1"/>
      <c r="M1970" s="1"/>
      <c r="N1970" s="1"/>
      <c r="O1970" s="1"/>
      <c r="P1970" s="1"/>
      <c r="Q1970" s="1"/>
      <c r="R1970" s="1"/>
      <c r="S1970" s="1"/>
    </row>
    <row r="1971">
      <c r="A1971" s="1"/>
      <c r="B1971" s="1"/>
      <c r="C1971" s="1"/>
      <c r="D1971" s="1"/>
      <c r="E1971" s="1"/>
      <c r="F1971" s="1"/>
      <c r="G1971" s="1"/>
      <c r="H1971" s="1"/>
      <c r="I1971" s="1"/>
      <c r="J1971" s="1"/>
      <c r="K1971" s="1"/>
      <c r="L1971" s="1"/>
      <c r="M1971" s="1"/>
      <c r="N1971" s="1"/>
      <c r="O1971" s="1"/>
      <c r="P1971" s="1"/>
      <c r="Q1971" s="1"/>
      <c r="R1971" s="1"/>
      <c r="S1971" s="1"/>
    </row>
    <row r="1972">
      <c r="A1972" s="1"/>
      <c r="B1972" s="1"/>
      <c r="C1972" s="1"/>
      <c r="D1972" s="1"/>
      <c r="E1972" s="1"/>
      <c r="F1972" s="1"/>
      <c r="G1972" s="1"/>
      <c r="H1972" s="1"/>
      <c r="I1972" s="1"/>
      <c r="J1972" s="1"/>
      <c r="K1972" s="1"/>
      <c r="L1972" s="1"/>
      <c r="M1972" s="1"/>
      <c r="N1972" s="1"/>
      <c r="O1972" s="1"/>
      <c r="P1972" s="1"/>
      <c r="Q1972" s="1"/>
      <c r="R1972" s="1"/>
      <c r="S1972" s="1"/>
    </row>
    <row r="1973">
      <c r="A1973" s="1"/>
      <c r="B1973" s="1"/>
      <c r="C1973" s="1"/>
      <c r="D1973" s="1"/>
      <c r="E1973" s="1"/>
      <c r="F1973" s="1"/>
      <c r="G1973" s="1"/>
      <c r="H1973" s="1"/>
      <c r="I1973" s="1"/>
      <c r="J1973" s="1"/>
      <c r="K1973" s="1"/>
      <c r="L1973" s="1"/>
      <c r="M1973" s="1"/>
      <c r="N1973" s="1"/>
      <c r="O1973" s="1"/>
      <c r="P1973" s="1"/>
      <c r="Q1973" s="1"/>
      <c r="R1973" s="1"/>
      <c r="S1973" s="1"/>
    </row>
    <row r="1974">
      <c r="A1974" s="1"/>
      <c r="B1974" s="1"/>
      <c r="C1974" s="1"/>
      <c r="D1974" s="1"/>
      <c r="E1974" s="1"/>
      <c r="F1974" s="1"/>
      <c r="G1974" s="1"/>
      <c r="H1974" s="1"/>
      <c r="I1974" s="1"/>
      <c r="J1974" s="1"/>
      <c r="K1974" s="1"/>
      <c r="L1974" s="1"/>
      <c r="M1974" s="1"/>
      <c r="N1974" s="1"/>
      <c r="O1974" s="1"/>
      <c r="P1974" s="1"/>
      <c r="Q1974" s="1"/>
      <c r="R1974" s="1"/>
      <c r="S1974" s="1"/>
    </row>
    <row r="1975">
      <c r="A1975" s="1"/>
      <c r="B1975" s="1"/>
      <c r="C1975" s="1"/>
      <c r="D1975" s="1"/>
      <c r="E1975" s="1"/>
      <c r="F1975" s="1"/>
      <c r="G1975" s="1"/>
      <c r="H1975" s="1"/>
      <c r="I1975" s="1"/>
      <c r="J1975" s="1"/>
      <c r="K1975" s="1"/>
      <c r="L1975" s="1"/>
      <c r="M1975" s="1"/>
      <c r="N1975" s="1"/>
      <c r="O1975" s="1"/>
      <c r="P1975" s="1"/>
      <c r="Q1975" s="1"/>
      <c r="R1975" s="1"/>
      <c r="S1975" s="1"/>
    </row>
    <row r="1976">
      <c r="A1976" s="1"/>
      <c r="B1976" s="1"/>
      <c r="C1976" s="1"/>
      <c r="D1976" s="1"/>
      <c r="E1976" s="1"/>
      <c r="F1976" s="1"/>
      <c r="G1976" s="1"/>
      <c r="H1976" s="1"/>
      <c r="I1976" s="1"/>
      <c r="J1976" s="1"/>
      <c r="K1976" s="1"/>
      <c r="L1976" s="1"/>
      <c r="M1976" s="1"/>
      <c r="N1976" s="1"/>
      <c r="O1976" s="1"/>
      <c r="P1976" s="1"/>
      <c r="Q1976" s="1"/>
      <c r="R1976" s="1"/>
      <c r="S1976" s="1"/>
    </row>
    <row r="1977">
      <c r="A1977" s="1"/>
      <c r="B1977" s="1"/>
      <c r="C1977" s="1"/>
      <c r="D1977" s="1"/>
      <c r="E1977" s="1"/>
      <c r="F1977" s="1"/>
      <c r="G1977" s="1"/>
      <c r="H1977" s="1"/>
      <c r="I1977" s="1"/>
      <c r="J1977" s="1"/>
      <c r="K1977" s="1"/>
      <c r="L1977" s="1"/>
      <c r="M1977" s="1"/>
      <c r="N1977" s="1"/>
      <c r="O1977" s="1"/>
      <c r="P1977" s="1"/>
      <c r="Q1977" s="1"/>
      <c r="R1977" s="1"/>
      <c r="S1977" s="1"/>
    </row>
    <row r="1978">
      <c r="A1978" s="1"/>
      <c r="B1978" s="1"/>
      <c r="C1978" s="1"/>
      <c r="D1978" s="1"/>
      <c r="E1978" s="1"/>
      <c r="F1978" s="1"/>
      <c r="G1978" s="1"/>
      <c r="H1978" s="1"/>
      <c r="I1978" s="1"/>
      <c r="J1978" s="1"/>
      <c r="K1978" s="1"/>
      <c r="L1978" s="1"/>
      <c r="M1978" s="1"/>
      <c r="N1978" s="1"/>
      <c r="O1978" s="1"/>
      <c r="P1978" s="1"/>
      <c r="Q1978" s="1"/>
      <c r="R1978" s="1"/>
      <c r="S1978" s="1"/>
    </row>
    <row r="1979">
      <c r="A1979" s="1"/>
      <c r="B1979" s="1"/>
      <c r="C1979" s="1"/>
      <c r="D1979" s="1"/>
      <c r="E1979" s="1"/>
      <c r="F1979" s="1"/>
      <c r="G1979" s="1"/>
      <c r="H1979" s="1"/>
      <c r="I1979" s="1"/>
      <c r="J1979" s="1"/>
      <c r="K1979" s="1"/>
      <c r="L1979" s="1"/>
      <c r="M1979" s="1"/>
      <c r="N1979" s="1"/>
      <c r="O1979" s="1"/>
      <c r="P1979" s="1"/>
      <c r="Q1979" s="1"/>
      <c r="R1979" s="1"/>
      <c r="S1979" s="1"/>
    </row>
    <row r="1980">
      <c r="A1980" s="1"/>
      <c r="B1980" s="1"/>
      <c r="C1980" s="1"/>
      <c r="D1980" s="1"/>
      <c r="E1980" s="1"/>
      <c r="F1980" s="1"/>
      <c r="G1980" s="1"/>
      <c r="H1980" s="1"/>
      <c r="I1980" s="1"/>
      <c r="J1980" s="1"/>
      <c r="K1980" s="1"/>
      <c r="L1980" s="1"/>
      <c r="M1980" s="1"/>
      <c r="N1980" s="1"/>
      <c r="O1980" s="1"/>
      <c r="P1980" s="1"/>
      <c r="Q1980" s="1"/>
      <c r="R1980" s="1"/>
      <c r="S1980" s="1"/>
    </row>
    <row r="1981">
      <c r="A1981" s="1"/>
      <c r="B1981" s="1"/>
      <c r="C1981" s="1"/>
      <c r="D1981" s="1"/>
      <c r="E1981" s="1"/>
      <c r="F1981" s="1"/>
      <c r="G1981" s="1"/>
      <c r="H1981" s="1"/>
      <c r="I1981" s="1"/>
      <c r="J1981" s="1"/>
      <c r="K1981" s="1"/>
      <c r="L1981" s="1"/>
      <c r="M1981" s="1"/>
      <c r="N1981" s="1"/>
      <c r="O1981" s="1"/>
      <c r="P1981" s="1"/>
      <c r="Q1981" s="1"/>
      <c r="R1981" s="1"/>
      <c r="S1981" s="1"/>
    </row>
    <row r="1982">
      <c r="A1982" s="1"/>
      <c r="B1982" s="1"/>
      <c r="C1982" s="1"/>
      <c r="D1982" s="1"/>
      <c r="E1982" s="1"/>
      <c r="F1982" s="1"/>
      <c r="G1982" s="1"/>
      <c r="H1982" s="1"/>
      <c r="I1982" s="1"/>
      <c r="J1982" s="1"/>
      <c r="K1982" s="1"/>
      <c r="L1982" s="1"/>
      <c r="M1982" s="1"/>
      <c r="N1982" s="1"/>
      <c r="O1982" s="1"/>
      <c r="P1982" s="1"/>
      <c r="Q1982" s="1"/>
      <c r="R1982" s="1"/>
      <c r="S1982" s="1"/>
    </row>
    <row r="1983">
      <c r="A1983" s="1"/>
      <c r="B1983" s="1"/>
      <c r="C1983" s="1"/>
      <c r="D1983" s="1"/>
      <c r="E1983" s="1"/>
      <c r="F1983" s="1"/>
      <c r="G1983" s="1"/>
      <c r="H1983" s="1"/>
      <c r="I1983" s="1"/>
      <c r="J1983" s="1"/>
      <c r="K1983" s="1"/>
      <c r="L1983" s="1"/>
      <c r="M1983" s="1"/>
      <c r="N1983" s="1"/>
      <c r="O1983" s="1"/>
      <c r="P1983" s="1"/>
      <c r="Q1983" s="1"/>
      <c r="R1983" s="1"/>
      <c r="S1983" s="1"/>
    </row>
    <row r="1984">
      <c r="A1984" s="1"/>
      <c r="B1984" s="1"/>
      <c r="C1984" s="1"/>
      <c r="D1984" s="1"/>
      <c r="E1984" s="1"/>
      <c r="F1984" s="1"/>
      <c r="G1984" s="1"/>
      <c r="H1984" s="1"/>
      <c r="I1984" s="1"/>
      <c r="J1984" s="1"/>
      <c r="K1984" s="1"/>
      <c r="L1984" s="1"/>
      <c r="M1984" s="1"/>
      <c r="N1984" s="1"/>
      <c r="O1984" s="1"/>
      <c r="P1984" s="1"/>
      <c r="Q1984" s="1"/>
      <c r="R1984" s="1"/>
      <c r="S1984" s="1"/>
    </row>
    <row r="1985">
      <c r="A1985" s="1"/>
      <c r="B1985" s="1"/>
      <c r="C1985" s="1"/>
      <c r="D1985" s="1"/>
      <c r="E1985" s="1"/>
      <c r="F1985" s="1"/>
      <c r="G1985" s="1"/>
      <c r="H1985" s="1"/>
      <c r="I1985" s="1"/>
      <c r="J1985" s="1"/>
      <c r="K1985" s="1"/>
      <c r="L1985" s="1"/>
      <c r="M1985" s="1"/>
      <c r="N1985" s="1"/>
      <c r="O1985" s="1"/>
      <c r="P1985" s="1"/>
      <c r="Q1985" s="1"/>
      <c r="R1985" s="1"/>
      <c r="S1985" s="1"/>
    </row>
    <row r="1986">
      <c r="A1986" s="1"/>
      <c r="B1986" s="1"/>
      <c r="C1986" s="1"/>
      <c r="D1986" s="1"/>
      <c r="E1986" s="1"/>
      <c r="F1986" s="1"/>
      <c r="G1986" s="1"/>
      <c r="H1986" s="1"/>
      <c r="I1986" s="1"/>
      <c r="J1986" s="1"/>
      <c r="K1986" s="1"/>
      <c r="L1986" s="1"/>
      <c r="M1986" s="1"/>
      <c r="N1986" s="1"/>
      <c r="O1986" s="1"/>
      <c r="P1986" s="1"/>
      <c r="Q1986" s="1"/>
      <c r="R1986" s="1"/>
      <c r="S1986" s="1"/>
    </row>
    <row r="1987">
      <c r="A1987" s="1"/>
      <c r="B1987" s="1"/>
      <c r="C1987" s="1"/>
      <c r="D1987" s="1"/>
      <c r="E1987" s="1"/>
      <c r="F1987" s="1"/>
      <c r="G1987" s="1"/>
      <c r="H1987" s="1"/>
      <c r="I1987" s="1"/>
      <c r="J1987" s="1"/>
      <c r="K1987" s="1"/>
      <c r="L1987" s="1"/>
      <c r="M1987" s="1"/>
      <c r="N1987" s="1"/>
      <c r="O1987" s="1"/>
      <c r="P1987" s="1"/>
      <c r="Q1987" s="1"/>
      <c r="R1987" s="1"/>
      <c r="S1987" s="1"/>
    </row>
    <row r="1988">
      <c r="A1988" s="1"/>
      <c r="B1988" s="1"/>
      <c r="C1988" s="1"/>
      <c r="D1988" s="1"/>
      <c r="E1988" s="1"/>
      <c r="F1988" s="1"/>
      <c r="G1988" s="1"/>
      <c r="H1988" s="1"/>
      <c r="I1988" s="1"/>
      <c r="J1988" s="1"/>
      <c r="K1988" s="1"/>
      <c r="L1988" s="1"/>
      <c r="M1988" s="1"/>
      <c r="N1988" s="1"/>
      <c r="O1988" s="1"/>
      <c r="P1988" s="1"/>
      <c r="Q1988" s="1"/>
      <c r="R1988" s="1"/>
      <c r="S1988" s="1"/>
    </row>
    <row r="1989">
      <c r="A1989" s="1"/>
      <c r="B1989" s="1"/>
      <c r="C1989" s="1"/>
      <c r="D1989" s="1"/>
      <c r="E1989" s="1"/>
      <c r="F1989" s="1"/>
      <c r="G1989" s="1"/>
      <c r="H1989" s="1"/>
      <c r="I1989" s="1"/>
      <c r="J1989" s="1"/>
      <c r="K1989" s="1"/>
      <c r="L1989" s="1"/>
      <c r="M1989" s="1"/>
      <c r="N1989" s="1"/>
      <c r="O1989" s="1"/>
      <c r="P1989" s="1"/>
      <c r="Q1989" s="1"/>
      <c r="R1989" s="1"/>
      <c r="S1989" s="1"/>
    </row>
    <row r="1990">
      <c r="A1990" s="1"/>
      <c r="B1990" s="1"/>
      <c r="C1990" s="1"/>
      <c r="D1990" s="1"/>
      <c r="E1990" s="1"/>
      <c r="F1990" s="1"/>
      <c r="G1990" s="1"/>
      <c r="H1990" s="1"/>
      <c r="I1990" s="1"/>
      <c r="J1990" s="1"/>
      <c r="K1990" s="1"/>
      <c r="L1990" s="1"/>
      <c r="M1990" s="1"/>
      <c r="N1990" s="1"/>
      <c r="O1990" s="1"/>
      <c r="P1990" s="1"/>
      <c r="Q1990" s="1"/>
      <c r="R1990" s="1"/>
      <c r="S1990" s="1"/>
    </row>
    <row r="1991">
      <c r="A1991" s="1"/>
      <c r="B1991" s="1"/>
      <c r="C1991" s="1"/>
      <c r="D1991" s="1"/>
      <c r="E1991" s="1"/>
      <c r="F1991" s="1"/>
      <c r="G1991" s="1"/>
      <c r="H1991" s="1"/>
      <c r="I1991" s="1"/>
      <c r="J1991" s="1"/>
      <c r="K1991" s="1"/>
      <c r="L1991" s="1"/>
      <c r="M1991" s="1"/>
      <c r="N1991" s="1"/>
      <c r="O1991" s="1"/>
      <c r="P1991" s="1"/>
      <c r="Q1991" s="1"/>
      <c r="R1991" s="1"/>
      <c r="S1991" s="1"/>
    </row>
    <row r="1992">
      <c r="A1992" s="1"/>
      <c r="B1992" s="1"/>
      <c r="C1992" s="1"/>
      <c r="D1992" s="1"/>
      <c r="E1992" s="1"/>
      <c r="F1992" s="1"/>
      <c r="G1992" s="1"/>
      <c r="H1992" s="1"/>
      <c r="I1992" s="1"/>
      <c r="J1992" s="1"/>
      <c r="K1992" s="1"/>
      <c r="L1992" s="1"/>
      <c r="M1992" s="1"/>
      <c r="N1992" s="1"/>
      <c r="O1992" s="1"/>
      <c r="P1992" s="1"/>
      <c r="Q1992" s="1"/>
      <c r="R1992" s="1"/>
      <c r="S1992" s="1"/>
    </row>
    <row r="1993">
      <c r="A1993" s="1"/>
      <c r="B1993" s="1"/>
      <c r="C1993" s="1"/>
      <c r="D1993" s="1"/>
      <c r="E1993" s="1"/>
      <c r="F1993" s="1"/>
      <c r="G1993" s="1"/>
      <c r="H1993" s="1"/>
      <c r="I1993" s="1"/>
      <c r="J1993" s="1"/>
      <c r="K1993" s="1"/>
      <c r="L1993" s="1"/>
      <c r="M1993" s="1"/>
      <c r="N1993" s="1"/>
      <c r="O1993" s="1"/>
      <c r="P1993" s="1"/>
      <c r="Q1993" s="1"/>
      <c r="R1993" s="1"/>
      <c r="S1993" s="1"/>
    </row>
    <row r="1994">
      <c r="A1994" s="1"/>
      <c r="B1994" s="1"/>
      <c r="C1994" s="1"/>
      <c r="D1994" s="1"/>
      <c r="E1994" s="1"/>
      <c r="F1994" s="1"/>
      <c r="G1994" s="1"/>
      <c r="H1994" s="1"/>
      <c r="I1994" s="1"/>
      <c r="J1994" s="1"/>
      <c r="K1994" s="1"/>
      <c r="L1994" s="1"/>
      <c r="M1994" s="1"/>
      <c r="N1994" s="1"/>
      <c r="O1994" s="1"/>
      <c r="P1994" s="1"/>
      <c r="Q1994" s="1"/>
      <c r="R1994" s="1"/>
      <c r="S1994" s="1"/>
    </row>
    <row r="1995">
      <c r="A1995" s="1"/>
      <c r="B1995" s="1"/>
      <c r="C1995" s="1"/>
      <c r="D1995" s="1"/>
      <c r="E1995" s="1"/>
      <c r="F1995" s="1"/>
      <c r="G1995" s="1"/>
      <c r="H1995" s="1"/>
      <c r="I1995" s="1"/>
      <c r="J1995" s="1"/>
      <c r="K1995" s="1"/>
      <c r="L1995" s="1"/>
      <c r="M1995" s="1"/>
      <c r="N1995" s="1"/>
      <c r="O1995" s="1"/>
      <c r="P1995" s="1"/>
      <c r="Q1995" s="1"/>
      <c r="R1995" s="1"/>
      <c r="S1995" s="1"/>
    </row>
    <row r="1996">
      <c r="A1996" s="1"/>
      <c r="B1996" s="1"/>
      <c r="C1996" s="1"/>
      <c r="D1996" s="1"/>
      <c r="E1996" s="1"/>
      <c r="F1996" s="1"/>
      <c r="G1996" s="1"/>
      <c r="H1996" s="1"/>
      <c r="I1996" s="1"/>
      <c r="J1996" s="1"/>
      <c r="K1996" s="1"/>
      <c r="L1996" s="1"/>
      <c r="M1996" s="1"/>
      <c r="N1996" s="1"/>
      <c r="O1996" s="1"/>
      <c r="P1996" s="1"/>
      <c r="Q1996" s="1"/>
      <c r="R1996" s="1"/>
      <c r="S1996" s="1"/>
    </row>
    <row r="1997">
      <c r="A1997" s="1"/>
      <c r="B1997" s="1"/>
      <c r="C1997" s="1"/>
      <c r="D1997" s="1"/>
      <c r="E1997" s="1"/>
      <c r="F1997" s="1"/>
      <c r="G1997" s="1"/>
      <c r="H1997" s="1"/>
      <c r="I1997" s="1"/>
      <c r="J1997" s="1"/>
      <c r="K1997" s="1"/>
      <c r="L1997" s="1"/>
      <c r="M1997" s="1"/>
      <c r="N1997" s="1"/>
      <c r="O1997" s="1"/>
      <c r="P1997" s="1"/>
      <c r="Q1997" s="1"/>
      <c r="R1997" s="1"/>
      <c r="S1997" s="1"/>
    </row>
    <row r="1998">
      <c r="A1998" s="1"/>
      <c r="B1998" s="1"/>
      <c r="C1998" s="1"/>
      <c r="D1998" s="1"/>
      <c r="E1998" s="1"/>
      <c r="F1998" s="1"/>
      <c r="G1998" s="1"/>
      <c r="H1998" s="1"/>
      <c r="I1998" s="1"/>
      <c r="J1998" s="1"/>
      <c r="K1998" s="1"/>
      <c r="L1998" s="1"/>
      <c r="M1998" s="1"/>
      <c r="N1998" s="1"/>
      <c r="O1998" s="1"/>
      <c r="P1998" s="1"/>
      <c r="Q1998" s="1"/>
      <c r="R1998" s="1"/>
      <c r="S1998" s="1"/>
    </row>
    <row r="1999">
      <c r="A1999" s="1"/>
      <c r="B1999" s="1"/>
      <c r="C1999" s="1"/>
      <c r="D1999" s="1"/>
      <c r="E1999" s="1"/>
      <c r="F1999" s="1"/>
      <c r="G1999" s="1"/>
      <c r="H1999" s="1"/>
      <c r="I1999" s="1"/>
      <c r="J1999" s="1"/>
      <c r="K1999" s="1"/>
      <c r="L1999" s="1"/>
      <c r="M1999" s="1"/>
      <c r="N1999" s="1"/>
      <c r="O1999" s="1"/>
      <c r="P1999" s="1"/>
      <c r="Q1999" s="1"/>
      <c r="R1999" s="1"/>
      <c r="S1999" s="1"/>
    </row>
    <row r="2000">
      <c r="A2000" s="1"/>
      <c r="B2000" s="1"/>
      <c r="C2000" s="1"/>
      <c r="D2000" s="1"/>
      <c r="E2000" s="1"/>
      <c r="F2000" s="1"/>
      <c r="G2000" s="1"/>
      <c r="H2000" s="1"/>
      <c r="I2000" s="1"/>
      <c r="J2000" s="1"/>
      <c r="K2000" s="1"/>
      <c r="L2000" s="1"/>
      <c r="M2000" s="1"/>
      <c r="N2000" s="1"/>
      <c r="O2000" s="1"/>
      <c r="P2000" s="1"/>
      <c r="Q2000" s="1"/>
      <c r="R2000" s="1"/>
      <c r="S2000" s="1"/>
    </row>
    <row r="2001">
      <c r="A2001" s="1"/>
      <c r="B2001" s="1"/>
      <c r="C2001" s="1"/>
      <c r="D2001" s="1"/>
      <c r="E2001" s="1"/>
      <c r="F2001" s="1"/>
      <c r="G2001" s="1"/>
      <c r="H2001" s="1"/>
      <c r="I2001" s="1"/>
      <c r="J2001" s="1"/>
      <c r="K2001" s="1"/>
      <c r="L2001" s="1"/>
      <c r="M2001" s="1"/>
      <c r="N2001" s="1"/>
      <c r="O2001" s="1"/>
      <c r="P2001" s="1"/>
      <c r="Q2001" s="1"/>
      <c r="R2001" s="1"/>
      <c r="S2001" s="1"/>
    </row>
    <row r="2002">
      <c r="A2002" s="1"/>
      <c r="B2002" s="1"/>
      <c r="C2002" s="1"/>
      <c r="D2002" s="1"/>
      <c r="E2002" s="1"/>
      <c r="F2002" s="1"/>
      <c r="G2002" s="1"/>
      <c r="H2002" s="1"/>
      <c r="I2002" s="1"/>
      <c r="J2002" s="1"/>
      <c r="K2002" s="1"/>
      <c r="L2002" s="1"/>
      <c r="M2002" s="1"/>
      <c r="N2002" s="1"/>
      <c r="O2002" s="1"/>
      <c r="P2002" s="1"/>
      <c r="Q2002" s="1"/>
      <c r="R2002" s="1"/>
      <c r="S2002" s="1"/>
    </row>
    <row r="2003">
      <c r="A2003" s="1"/>
      <c r="B2003" s="1"/>
      <c r="C2003" s="1"/>
      <c r="D2003" s="1"/>
      <c r="E2003" s="1"/>
      <c r="F2003" s="1"/>
      <c r="G2003" s="1"/>
      <c r="H2003" s="1"/>
      <c r="I2003" s="1"/>
      <c r="J2003" s="1"/>
      <c r="K2003" s="1"/>
      <c r="L2003" s="1"/>
      <c r="M2003" s="1"/>
      <c r="N2003" s="1"/>
      <c r="O2003" s="1"/>
      <c r="P2003" s="1"/>
      <c r="Q2003" s="1"/>
      <c r="R2003" s="1"/>
      <c r="S2003" s="1"/>
    </row>
    <row r="2004">
      <c r="A2004" s="1"/>
      <c r="B2004" s="1"/>
      <c r="C2004" s="1"/>
      <c r="D2004" s="1"/>
      <c r="E2004" s="1"/>
      <c r="F2004" s="1"/>
      <c r="G2004" s="1"/>
      <c r="H2004" s="1"/>
      <c r="I2004" s="1"/>
      <c r="J2004" s="1"/>
      <c r="K2004" s="1"/>
      <c r="L2004" s="1"/>
      <c r="M2004" s="1"/>
      <c r="N2004" s="1"/>
      <c r="O2004" s="1"/>
      <c r="P2004" s="1"/>
      <c r="Q2004" s="1"/>
      <c r="R2004" s="1"/>
      <c r="S2004" s="1"/>
    </row>
    <row r="2005">
      <c r="A2005" s="1"/>
      <c r="B2005" s="1"/>
      <c r="C2005" s="1"/>
      <c r="D2005" s="1"/>
      <c r="E2005" s="1"/>
      <c r="F2005" s="1"/>
      <c r="G2005" s="1"/>
      <c r="H2005" s="1"/>
      <c r="I2005" s="1"/>
      <c r="J2005" s="1"/>
      <c r="K2005" s="1"/>
      <c r="L2005" s="1"/>
      <c r="M2005" s="1"/>
      <c r="N2005" s="1"/>
      <c r="O2005" s="1"/>
      <c r="P2005" s="1"/>
      <c r="Q2005" s="1"/>
      <c r="R2005" s="1"/>
      <c r="S2005" s="1"/>
    </row>
    <row r="2006">
      <c r="A2006" s="1"/>
      <c r="B2006" s="1"/>
      <c r="C2006" s="1"/>
      <c r="D2006" s="1"/>
      <c r="E2006" s="1"/>
      <c r="F2006" s="1"/>
      <c r="G2006" s="1"/>
      <c r="H2006" s="1"/>
      <c r="I2006" s="1"/>
      <c r="J2006" s="1"/>
      <c r="K2006" s="1"/>
      <c r="L2006" s="1"/>
      <c r="M2006" s="1"/>
      <c r="N2006" s="1"/>
      <c r="O2006" s="1"/>
      <c r="P2006" s="1"/>
      <c r="Q2006" s="1"/>
      <c r="R2006" s="1"/>
      <c r="S2006" s="1"/>
    </row>
    <row r="2007">
      <c r="A2007" s="1"/>
      <c r="B2007" s="1"/>
      <c r="C2007" s="1"/>
      <c r="D2007" s="1"/>
      <c r="E2007" s="1"/>
      <c r="F2007" s="1"/>
      <c r="G2007" s="1"/>
      <c r="H2007" s="1"/>
      <c r="I2007" s="1"/>
      <c r="J2007" s="1"/>
      <c r="K2007" s="1"/>
      <c r="L2007" s="1"/>
      <c r="M2007" s="1"/>
      <c r="N2007" s="1"/>
      <c r="O2007" s="1"/>
      <c r="P2007" s="1"/>
      <c r="Q2007" s="1"/>
      <c r="R2007" s="1"/>
      <c r="S2007" s="1"/>
    </row>
    <row r="2008">
      <c r="A2008" s="1"/>
      <c r="B2008" s="1"/>
      <c r="C2008" s="1"/>
      <c r="D2008" s="1"/>
      <c r="E2008" s="1"/>
      <c r="F2008" s="1"/>
      <c r="G2008" s="1"/>
      <c r="H2008" s="1"/>
      <c r="I2008" s="1"/>
      <c r="J2008" s="1"/>
      <c r="K2008" s="1"/>
      <c r="L2008" s="1"/>
      <c r="M2008" s="1"/>
      <c r="N2008" s="1"/>
      <c r="O2008" s="1"/>
      <c r="P2008" s="1"/>
      <c r="Q2008" s="1"/>
      <c r="R2008" s="1"/>
      <c r="S2008" s="1"/>
    </row>
    <row r="2009">
      <c r="A2009" s="1"/>
      <c r="B2009" s="1"/>
      <c r="C2009" s="1"/>
      <c r="D2009" s="1"/>
      <c r="E2009" s="1"/>
      <c r="F2009" s="1"/>
      <c r="G2009" s="1"/>
      <c r="H2009" s="1"/>
      <c r="I2009" s="1"/>
      <c r="J2009" s="1"/>
      <c r="K2009" s="1"/>
      <c r="L2009" s="1"/>
      <c r="M2009" s="1"/>
      <c r="N2009" s="1"/>
      <c r="O2009" s="1"/>
      <c r="P2009" s="1"/>
      <c r="Q2009" s="1"/>
      <c r="R2009" s="1"/>
      <c r="S2009" s="1"/>
    </row>
    <row r="2010">
      <c r="A2010" s="1"/>
      <c r="B2010" s="1"/>
      <c r="C2010" s="1"/>
      <c r="D2010" s="1"/>
      <c r="E2010" s="1"/>
      <c r="F2010" s="1"/>
      <c r="G2010" s="1"/>
      <c r="H2010" s="1"/>
      <c r="I2010" s="1"/>
      <c r="J2010" s="1"/>
      <c r="K2010" s="1"/>
      <c r="L2010" s="1"/>
      <c r="M2010" s="1"/>
      <c r="N2010" s="1"/>
      <c r="O2010" s="1"/>
      <c r="P2010" s="1"/>
      <c r="Q2010" s="1"/>
      <c r="R2010" s="1"/>
      <c r="S2010" s="1"/>
    </row>
    <row r="2011">
      <c r="A2011" s="1"/>
      <c r="B2011" s="1"/>
      <c r="C2011" s="1"/>
      <c r="D2011" s="1"/>
      <c r="E2011" s="1"/>
      <c r="F2011" s="1"/>
      <c r="G2011" s="1"/>
      <c r="H2011" s="1"/>
      <c r="I2011" s="1"/>
      <c r="J2011" s="1"/>
      <c r="K2011" s="1"/>
      <c r="L2011" s="1"/>
      <c r="M2011" s="1"/>
      <c r="N2011" s="1"/>
      <c r="O2011" s="1"/>
      <c r="P2011" s="1"/>
      <c r="Q2011" s="1"/>
      <c r="R2011" s="1"/>
      <c r="S2011" s="1"/>
    </row>
    <row r="2012">
      <c r="A2012" s="1"/>
      <c r="B2012" s="1"/>
      <c r="C2012" s="1"/>
      <c r="D2012" s="1"/>
      <c r="E2012" s="1"/>
      <c r="F2012" s="1"/>
      <c r="G2012" s="1"/>
      <c r="H2012" s="1"/>
      <c r="I2012" s="1"/>
      <c r="J2012" s="1"/>
      <c r="K2012" s="1"/>
      <c r="L2012" s="1"/>
      <c r="M2012" s="1"/>
      <c r="N2012" s="1"/>
      <c r="O2012" s="1"/>
      <c r="P2012" s="1"/>
      <c r="Q2012" s="1"/>
      <c r="R2012" s="1"/>
      <c r="S2012" s="1"/>
    </row>
    <row r="2013">
      <c r="A2013" s="1"/>
      <c r="B2013" s="1"/>
      <c r="C2013" s="1"/>
      <c r="D2013" s="1"/>
      <c r="E2013" s="1"/>
      <c r="F2013" s="1"/>
      <c r="G2013" s="1"/>
      <c r="H2013" s="1"/>
      <c r="I2013" s="1"/>
      <c r="J2013" s="1"/>
      <c r="K2013" s="1"/>
      <c r="L2013" s="1"/>
      <c r="M2013" s="1"/>
      <c r="N2013" s="1"/>
      <c r="O2013" s="1"/>
      <c r="P2013" s="1"/>
      <c r="Q2013" s="1"/>
      <c r="R2013" s="1"/>
      <c r="S2013" s="1"/>
    </row>
    <row r="2014">
      <c r="A2014" s="1"/>
      <c r="B2014" s="1"/>
      <c r="C2014" s="1"/>
      <c r="D2014" s="1"/>
      <c r="E2014" s="1"/>
      <c r="F2014" s="1"/>
      <c r="G2014" s="1"/>
      <c r="H2014" s="1"/>
      <c r="I2014" s="1"/>
      <c r="J2014" s="1"/>
      <c r="K2014" s="1"/>
      <c r="L2014" s="1"/>
      <c r="M2014" s="1"/>
      <c r="N2014" s="1"/>
      <c r="O2014" s="1"/>
      <c r="P2014" s="1"/>
      <c r="Q2014" s="1"/>
      <c r="R2014" s="1"/>
      <c r="S2014" s="1"/>
    </row>
    <row r="2015">
      <c r="A2015" s="1"/>
      <c r="B2015" s="1"/>
      <c r="C2015" s="1"/>
      <c r="D2015" s="1"/>
      <c r="E2015" s="1"/>
      <c r="F2015" s="1"/>
      <c r="G2015" s="1"/>
      <c r="H2015" s="1"/>
      <c r="I2015" s="1"/>
      <c r="J2015" s="1"/>
      <c r="K2015" s="1"/>
      <c r="L2015" s="1"/>
      <c r="M2015" s="1"/>
      <c r="N2015" s="1"/>
      <c r="O2015" s="1"/>
      <c r="P2015" s="1"/>
      <c r="Q2015" s="1"/>
      <c r="R2015" s="1"/>
      <c r="S2015" s="1"/>
    </row>
    <row r="2016">
      <c r="A2016" s="1"/>
      <c r="B2016" s="1"/>
      <c r="C2016" s="1"/>
      <c r="D2016" s="1"/>
      <c r="E2016" s="1"/>
      <c r="F2016" s="1"/>
      <c r="G2016" s="1"/>
      <c r="H2016" s="1"/>
      <c r="I2016" s="1"/>
      <c r="J2016" s="1"/>
      <c r="K2016" s="1"/>
      <c r="L2016" s="1"/>
      <c r="M2016" s="1"/>
      <c r="N2016" s="1"/>
      <c r="O2016" s="1"/>
      <c r="P2016" s="1"/>
      <c r="Q2016" s="1"/>
      <c r="R2016" s="1"/>
      <c r="S2016" s="1"/>
    </row>
    <row r="2017">
      <c r="A2017" s="1"/>
      <c r="B2017" s="1"/>
      <c r="C2017" s="1"/>
      <c r="D2017" s="1"/>
      <c r="E2017" s="1"/>
      <c r="F2017" s="1"/>
      <c r="G2017" s="1"/>
      <c r="H2017" s="1"/>
      <c r="I2017" s="1"/>
      <c r="J2017" s="1"/>
      <c r="K2017" s="1"/>
      <c r="L2017" s="1"/>
      <c r="M2017" s="1"/>
      <c r="N2017" s="1"/>
      <c r="O2017" s="1"/>
      <c r="P2017" s="1"/>
      <c r="Q2017" s="1"/>
      <c r="R2017" s="1"/>
      <c r="S2017" s="1"/>
    </row>
    <row r="2018">
      <c r="A2018" s="1"/>
      <c r="B2018" s="1"/>
      <c r="C2018" s="1"/>
      <c r="D2018" s="1"/>
      <c r="E2018" s="1"/>
      <c r="F2018" s="1"/>
      <c r="G2018" s="1"/>
      <c r="H2018" s="1"/>
      <c r="I2018" s="1"/>
      <c r="J2018" s="1"/>
      <c r="K2018" s="1"/>
      <c r="L2018" s="1"/>
      <c r="M2018" s="1"/>
      <c r="N2018" s="1"/>
      <c r="O2018" s="1"/>
      <c r="P2018" s="1"/>
      <c r="Q2018" s="1"/>
      <c r="R2018" s="1"/>
      <c r="S2018" s="1"/>
    </row>
    <row r="2019">
      <c r="A2019" s="1"/>
      <c r="B2019" s="1"/>
      <c r="C2019" s="1"/>
      <c r="D2019" s="1"/>
      <c r="E2019" s="1"/>
      <c r="F2019" s="1"/>
      <c r="G2019" s="1"/>
      <c r="H2019" s="1"/>
      <c r="I2019" s="1"/>
      <c r="J2019" s="1"/>
      <c r="K2019" s="1"/>
      <c r="L2019" s="1"/>
      <c r="M2019" s="1"/>
      <c r="N2019" s="1"/>
      <c r="O2019" s="1"/>
      <c r="P2019" s="1"/>
      <c r="Q2019" s="1"/>
      <c r="R2019" s="1"/>
      <c r="S2019" s="1"/>
    </row>
    <row r="2020">
      <c r="A2020" s="1"/>
      <c r="B2020" s="1"/>
      <c r="C2020" s="1"/>
      <c r="D2020" s="1"/>
      <c r="E2020" s="1"/>
      <c r="F2020" s="1"/>
      <c r="G2020" s="1"/>
      <c r="H2020" s="1"/>
      <c r="I2020" s="1"/>
      <c r="J2020" s="1"/>
      <c r="K2020" s="1"/>
      <c r="L2020" s="1"/>
      <c r="M2020" s="1"/>
      <c r="N2020" s="1"/>
      <c r="O2020" s="1"/>
      <c r="P2020" s="1"/>
      <c r="Q2020" s="1"/>
      <c r="R2020" s="1"/>
      <c r="S2020" s="1"/>
    </row>
    <row r="2021">
      <c r="A2021" s="1"/>
      <c r="B2021" s="1"/>
      <c r="C2021" s="1"/>
      <c r="D2021" s="1"/>
      <c r="E2021" s="1"/>
      <c r="F2021" s="1"/>
      <c r="G2021" s="1"/>
      <c r="H2021" s="1"/>
      <c r="I2021" s="1"/>
      <c r="J2021" s="1"/>
      <c r="K2021" s="1"/>
      <c r="L2021" s="1"/>
      <c r="M2021" s="1"/>
      <c r="N2021" s="1"/>
      <c r="O2021" s="1"/>
      <c r="P2021" s="1"/>
      <c r="Q2021" s="1"/>
      <c r="R2021" s="1"/>
      <c r="S2021" s="1"/>
    </row>
    <row r="2022">
      <c r="A2022" s="1"/>
      <c r="B2022" s="1"/>
      <c r="C2022" s="1"/>
      <c r="D2022" s="1"/>
      <c r="E2022" s="1"/>
      <c r="F2022" s="1"/>
      <c r="G2022" s="1"/>
      <c r="H2022" s="1"/>
      <c r="I2022" s="1"/>
      <c r="J2022" s="1"/>
      <c r="K2022" s="1"/>
      <c r="L2022" s="1"/>
      <c r="M2022" s="1"/>
      <c r="N2022" s="1"/>
      <c r="O2022" s="1"/>
      <c r="P2022" s="1"/>
      <c r="Q2022" s="1"/>
      <c r="R2022" s="1"/>
      <c r="S2022" s="1"/>
    </row>
    <row r="2023">
      <c r="A2023" s="1"/>
      <c r="B2023" s="1"/>
      <c r="C2023" s="1"/>
      <c r="D2023" s="1"/>
      <c r="E2023" s="1"/>
      <c r="F2023" s="1"/>
      <c r="G2023" s="1"/>
      <c r="H2023" s="1"/>
      <c r="I2023" s="1"/>
      <c r="J2023" s="1"/>
      <c r="K2023" s="1"/>
      <c r="L2023" s="1"/>
      <c r="M2023" s="1"/>
      <c r="N2023" s="1"/>
      <c r="O2023" s="1"/>
      <c r="P2023" s="1"/>
      <c r="Q2023" s="1"/>
      <c r="R2023" s="1"/>
      <c r="S2023" s="1"/>
    </row>
    <row r="2024">
      <c r="A2024" s="1"/>
      <c r="B2024" s="1"/>
      <c r="C2024" s="1"/>
      <c r="D2024" s="1"/>
      <c r="E2024" s="1"/>
      <c r="F2024" s="1"/>
      <c r="G2024" s="1"/>
      <c r="H2024" s="1"/>
      <c r="I2024" s="1"/>
      <c r="J2024" s="1"/>
      <c r="K2024" s="1"/>
      <c r="L2024" s="1"/>
      <c r="M2024" s="1"/>
      <c r="N2024" s="1"/>
      <c r="O2024" s="1"/>
      <c r="P2024" s="1"/>
      <c r="Q2024" s="1"/>
      <c r="R2024" s="1"/>
      <c r="S2024" s="1"/>
    </row>
    <row r="2025">
      <c r="A2025" s="1"/>
      <c r="B2025" s="1"/>
      <c r="C2025" s="1"/>
      <c r="D2025" s="1"/>
      <c r="E2025" s="1"/>
      <c r="F2025" s="1"/>
      <c r="G2025" s="1"/>
      <c r="H2025" s="1"/>
      <c r="I2025" s="1"/>
      <c r="J2025" s="1"/>
      <c r="K2025" s="1"/>
      <c r="L2025" s="1"/>
      <c r="M2025" s="1"/>
      <c r="N2025" s="1"/>
      <c r="O2025" s="1"/>
      <c r="P2025" s="1"/>
      <c r="Q2025" s="1"/>
      <c r="R2025" s="1"/>
      <c r="S2025" s="1"/>
    </row>
    <row r="2026">
      <c r="A2026" s="1"/>
      <c r="B2026" s="1"/>
      <c r="C2026" s="1"/>
      <c r="D2026" s="1"/>
      <c r="E2026" s="1"/>
      <c r="F2026" s="1"/>
      <c r="G2026" s="1"/>
      <c r="H2026" s="1"/>
      <c r="I2026" s="1"/>
      <c r="J2026" s="1"/>
      <c r="K2026" s="1"/>
      <c r="L2026" s="1"/>
      <c r="M2026" s="1"/>
      <c r="N2026" s="1"/>
      <c r="O2026" s="1"/>
      <c r="P2026" s="1"/>
      <c r="Q2026" s="1"/>
      <c r="R2026" s="1"/>
      <c r="S2026" s="1"/>
    </row>
    <row r="2027">
      <c r="A2027" s="1"/>
      <c r="B2027" s="1"/>
      <c r="C2027" s="1"/>
      <c r="D2027" s="1"/>
      <c r="E2027" s="1"/>
      <c r="F2027" s="1"/>
      <c r="G2027" s="1"/>
      <c r="H2027" s="1"/>
      <c r="I2027" s="1"/>
      <c r="J2027" s="1"/>
      <c r="K2027" s="1"/>
      <c r="L2027" s="1"/>
      <c r="M2027" s="1"/>
      <c r="N2027" s="1"/>
      <c r="O2027" s="1"/>
      <c r="P2027" s="1"/>
      <c r="Q2027" s="1"/>
      <c r="R2027" s="1"/>
      <c r="S2027" s="1"/>
    </row>
    <row r="2028">
      <c r="A2028" s="1"/>
      <c r="B2028" s="1"/>
      <c r="C2028" s="1"/>
      <c r="D2028" s="1"/>
      <c r="E2028" s="1"/>
      <c r="F2028" s="1"/>
      <c r="G2028" s="1"/>
      <c r="H2028" s="1"/>
      <c r="I2028" s="1"/>
      <c r="J2028" s="1"/>
      <c r="K2028" s="1"/>
      <c r="L2028" s="1"/>
      <c r="M2028" s="1"/>
      <c r="N2028" s="1"/>
      <c r="O2028" s="1"/>
      <c r="P2028" s="1"/>
      <c r="Q2028" s="1"/>
      <c r="R2028" s="1"/>
      <c r="S2028" s="1"/>
    </row>
    <row r="2029">
      <c r="A2029" s="1"/>
      <c r="B2029" s="1"/>
      <c r="C2029" s="1"/>
      <c r="D2029" s="1"/>
      <c r="E2029" s="1"/>
      <c r="F2029" s="1"/>
      <c r="G2029" s="1"/>
      <c r="H2029" s="1"/>
      <c r="I2029" s="1"/>
      <c r="J2029" s="1"/>
      <c r="K2029" s="1"/>
      <c r="L2029" s="1"/>
      <c r="M2029" s="1"/>
      <c r="N2029" s="1"/>
      <c r="O2029" s="1"/>
      <c r="P2029" s="1"/>
      <c r="Q2029" s="1"/>
      <c r="R2029" s="1"/>
      <c r="S2029" s="1"/>
    </row>
    <row r="2030">
      <c r="A2030" s="1"/>
      <c r="B2030" s="1"/>
      <c r="C2030" s="1"/>
      <c r="D2030" s="1"/>
      <c r="E2030" s="1"/>
      <c r="F2030" s="1"/>
      <c r="G2030" s="1"/>
      <c r="H2030" s="1"/>
      <c r="I2030" s="1"/>
      <c r="J2030" s="1"/>
      <c r="K2030" s="1"/>
      <c r="L2030" s="1"/>
      <c r="M2030" s="1"/>
      <c r="N2030" s="1"/>
      <c r="O2030" s="1"/>
      <c r="P2030" s="1"/>
      <c r="Q2030" s="1"/>
      <c r="R2030" s="1"/>
      <c r="S2030" s="1"/>
    </row>
    <row r="2031">
      <c r="A2031" s="1"/>
      <c r="B2031" s="1"/>
      <c r="C2031" s="1"/>
      <c r="D2031" s="1"/>
      <c r="E2031" s="1"/>
      <c r="F2031" s="1"/>
      <c r="G2031" s="1"/>
      <c r="H2031" s="1"/>
      <c r="I2031" s="1"/>
      <c r="J2031" s="1"/>
      <c r="K2031" s="1"/>
      <c r="L2031" s="1"/>
      <c r="M2031" s="1"/>
      <c r="N2031" s="1"/>
      <c r="O2031" s="1"/>
      <c r="P2031" s="1"/>
      <c r="Q2031" s="1"/>
      <c r="R2031" s="1"/>
      <c r="S2031" s="1"/>
    </row>
    <row r="2032">
      <c r="A2032" s="1"/>
      <c r="B2032" s="1"/>
      <c r="C2032" s="1"/>
      <c r="D2032" s="1"/>
      <c r="E2032" s="1"/>
      <c r="F2032" s="1"/>
      <c r="G2032" s="1"/>
      <c r="H2032" s="1"/>
      <c r="I2032" s="1"/>
      <c r="J2032" s="1"/>
      <c r="K2032" s="1"/>
      <c r="L2032" s="1"/>
      <c r="M2032" s="1"/>
      <c r="N2032" s="1"/>
      <c r="O2032" s="1"/>
      <c r="P2032" s="1"/>
      <c r="Q2032" s="1"/>
      <c r="R2032" s="1"/>
      <c r="S2032" s="1"/>
    </row>
    <row r="2033">
      <c r="A2033" s="1"/>
      <c r="B2033" s="1"/>
      <c r="C2033" s="1"/>
      <c r="D2033" s="1"/>
      <c r="E2033" s="1"/>
      <c r="F2033" s="1"/>
      <c r="G2033" s="1"/>
      <c r="H2033" s="1"/>
      <c r="I2033" s="1"/>
      <c r="J2033" s="1"/>
      <c r="K2033" s="1"/>
      <c r="L2033" s="1"/>
      <c r="M2033" s="1"/>
      <c r="N2033" s="1"/>
      <c r="O2033" s="1"/>
      <c r="P2033" s="1"/>
      <c r="Q2033" s="1"/>
      <c r="R2033" s="1"/>
      <c r="S2033" s="1"/>
    </row>
    <row r="2034">
      <c r="A2034" s="1"/>
      <c r="B2034" s="1"/>
      <c r="C2034" s="1"/>
      <c r="D2034" s="1"/>
      <c r="E2034" s="1"/>
      <c r="F2034" s="1"/>
      <c r="G2034" s="1"/>
      <c r="H2034" s="1"/>
      <c r="I2034" s="1"/>
      <c r="J2034" s="1"/>
      <c r="K2034" s="1"/>
      <c r="L2034" s="1"/>
      <c r="M2034" s="1"/>
      <c r="N2034" s="1"/>
      <c r="O2034" s="1"/>
      <c r="P2034" s="1"/>
      <c r="Q2034" s="1"/>
      <c r="R2034" s="1"/>
      <c r="S2034" s="1"/>
    </row>
    <row r="2035">
      <c r="A2035" s="1"/>
      <c r="B2035" s="1"/>
      <c r="C2035" s="1"/>
      <c r="D2035" s="1"/>
      <c r="E2035" s="1"/>
      <c r="F2035" s="1"/>
      <c r="G2035" s="1"/>
      <c r="H2035" s="1"/>
      <c r="I2035" s="1"/>
      <c r="J2035" s="1"/>
      <c r="K2035" s="1"/>
      <c r="L2035" s="1"/>
      <c r="M2035" s="1"/>
      <c r="N2035" s="1"/>
      <c r="O2035" s="1"/>
      <c r="P2035" s="1"/>
      <c r="Q2035" s="1"/>
      <c r="R2035" s="1"/>
      <c r="S2035" s="1"/>
    </row>
    <row r="2036">
      <c r="A2036" s="1"/>
      <c r="B2036" s="1"/>
      <c r="C2036" s="1"/>
      <c r="D2036" s="1"/>
      <c r="E2036" s="1"/>
      <c r="F2036" s="1"/>
      <c r="G2036" s="1"/>
      <c r="H2036" s="1"/>
      <c r="I2036" s="1"/>
      <c r="J2036" s="1"/>
      <c r="K2036" s="1"/>
      <c r="L2036" s="1"/>
      <c r="M2036" s="1"/>
      <c r="N2036" s="1"/>
      <c r="O2036" s="1"/>
      <c r="P2036" s="1"/>
      <c r="Q2036" s="1"/>
      <c r="R2036" s="1"/>
      <c r="S2036" s="1"/>
    </row>
    <row r="2037">
      <c r="A2037" s="1"/>
      <c r="B2037" s="1"/>
      <c r="C2037" s="1"/>
      <c r="D2037" s="1"/>
      <c r="E2037" s="1"/>
      <c r="F2037" s="1"/>
      <c r="G2037" s="1"/>
      <c r="H2037" s="1"/>
      <c r="I2037" s="1"/>
      <c r="J2037" s="1"/>
      <c r="K2037" s="1"/>
      <c r="L2037" s="1"/>
      <c r="M2037" s="1"/>
      <c r="N2037" s="1"/>
      <c r="O2037" s="1"/>
      <c r="P2037" s="1"/>
      <c r="Q2037" s="1"/>
      <c r="R2037" s="1"/>
      <c r="S2037" s="1"/>
    </row>
    <row r="2038">
      <c r="A2038" s="1"/>
      <c r="B2038" s="1"/>
      <c r="C2038" s="1"/>
      <c r="D2038" s="1"/>
      <c r="E2038" s="1"/>
      <c r="F2038" s="1"/>
      <c r="G2038" s="1"/>
      <c r="H2038" s="1"/>
      <c r="I2038" s="1"/>
      <c r="J2038" s="1"/>
      <c r="K2038" s="1"/>
      <c r="L2038" s="1"/>
      <c r="M2038" s="1"/>
      <c r="N2038" s="1"/>
      <c r="O2038" s="1"/>
      <c r="P2038" s="1"/>
      <c r="Q2038" s="1"/>
      <c r="R2038" s="1"/>
      <c r="S2038" s="1"/>
    </row>
    <row r="2039">
      <c r="A2039" s="1"/>
      <c r="B2039" s="1"/>
      <c r="C2039" s="1"/>
      <c r="D2039" s="1"/>
      <c r="E2039" s="1"/>
      <c r="F2039" s="1"/>
      <c r="G2039" s="1"/>
      <c r="H2039" s="1"/>
      <c r="I2039" s="1"/>
      <c r="J2039" s="1"/>
      <c r="K2039" s="1"/>
      <c r="L2039" s="1"/>
      <c r="M2039" s="1"/>
      <c r="N2039" s="1"/>
      <c r="O2039" s="1"/>
      <c r="P2039" s="1"/>
      <c r="Q2039" s="1"/>
      <c r="R2039" s="1"/>
      <c r="S2039" s="1"/>
    </row>
    <row r="2040">
      <c r="A2040" s="1"/>
      <c r="B2040" s="1"/>
      <c r="C2040" s="1"/>
      <c r="D2040" s="1"/>
      <c r="E2040" s="1"/>
      <c r="F2040" s="1"/>
      <c r="G2040" s="1"/>
      <c r="H2040" s="1"/>
      <c r="I2040" s="1"/>
      <c r="J2040" s="1"/>
      <c r="K2040" s="1"/>
      <c r="L2040" s="1"/>
      <c r="M2040" s="1"/>
      <c r="N2040" s="1"/>
      <c r="O2040" s="1"/>
      <c r="P2040" s="1"/>
      <c r="Q2040" s="1"/>
      <c r="R2040" s="1"/>
      <c r="S2040" s="1"/>
    </row>
    <row r="2041">
      <c r="A2041" s="1"/>
      <c r="B2041" s="1"/>
      <c r="C2041" s="1"/>
      <c r="D2041" s="1"/>
      <c r="E2041" s="1"/>
      <c r="F2041" s="1"/>
      <c r="G2041" s="1"/>
      <c r="H2041" s="1"/>
      <c r="I2041" s="1"/>
      <c r="J2041" s="1"/>
      <c r="K2041" s="1"/>
      <c r="L2041" s="1"/>
      <c r="M2041" s="1"/>
      <c r="N2041" s="1"/>
      <c r="O2041" s="1"/>
      <c r="P2041" s="1"/>
      <c r="Q2041" s="1"/>
      <c r="R2041" s="1"/>
      <c r="S2041" s="1"/>
    </row>
    <row r="2042">
      <c r="A2042" s="1"/>
      <c r="B2042" s="1"/>
      <c r="C2042" s="1"/>
      <c r="D2042" s="1"/>
      <c r="E2042" s="1"/>
      <c r="F2042" s="1"/>
      <c r="G2042" s="1"/>
      <c r="H2042" s="1"/>
      <c r="I2042" s="1"/>
      <c r="J2042" s="1"/>
      <c r="K2042" s="1"/>
      <c r="L2042" s="1"/>
      <c r="M2042" s="1"/>
      <c r="N2042" s="1"/>
      <c r="O2042" s="1"/>
      <c r="P2042" s="1"/>
      <c r="Q2042" s="1"/>
      <c r="R2042" s="1"/>
      <c r="S2042" s="1"/>
    </row>
    <row r="2043">
      <c r="A2043" s="1"/>
      <c r="B2043" s="1"/>
      <c r="C2043" s="1"/>
      <c r="D2043" s="1"/>
      <c r="E2043" s="1"/>
      <c r="F2043" s="1"/>
      <c r="G2043" s="1"/>
      <c r="H2043" s="1"/>
      <c r="I2043" s="1"/>
      <c r="J2043" s="1"/>
      <c r="K2043" s="1"/>
      <c r="L2043" s="1"/>
      <c r="M2043" s="1"/>
      <c r="N2043" s="1"/>
      <c r="O2043" s="1"/>
      <c r="P2043" s="1"/>
      <c r="Q2043" s="1"/>
      <c r="R2043" s="1"/>
      <c r="S2043" s="1"/>
    </row>
    <row r="2044">
      <c r="A2044" s="1"/>
      <c r="B2044" s="1"/>
      <c r="C2044" s="1"/>
      <c r="D2044" s="1"/>
      <c r="E2044" s="1"/>
      <c r="F2044" s="1"/>
      <c r="G2044" s="1"/>
      <c r="H2044" s="1"/>
      <c r="I2044" s="1"/>
      <c r="J2044" s="1"/>
      <c r="K2044" s="1"/>
      <c r="L2044" s="1"/>
      <c r="M2044" s="1"/>
      <c r="N2044" s="1"/>
      <c r="O2044" s="1"/>
      <c r="P2044" s="1"/>
      <c r="Q2044" s="1"/>
      <c r="R2044" s="1"/>
      <c r="S2044" s="1"/>
    </row>
    <row r="2045">
      <c r="A2045" s="1"/>
      <c r="B2045" s="1"/>
      <c r="C2045" s="1"/>
      <c r="D2045" s="1"/>
      <c r="E2045" s="1"/>
      <c r="F2045" s="1"/>
      <c r="G2045" s="1"/>
      <c r="H2045" s="1"/>
      <c r="I2045" s="1"/>
      <c r="J2045" s="1"/>
      <c r="K2045" s="1"/>
      <c r="L2045" s="1"/>
      <c r="M2045" s="1"/>
      <c r="N2045" s="1"/>
      <c r="O2045" s="1"/>
      <c r="P2045" s="1"/>
      <c r="Q2045" s="1"/>
      <c r="R2045" s="1"/>
      <c r="S2045" s="1"/>
    </row>
    <row r="2046">
      <c r="A2046" s="1"/>
      <c r="B2046" s="1"/>
      <c r="C2046" s="1"/>
      <c r="D2046" s="1"/>
      <c r="E2046" s="1"/>
      <c r="F2046" s="1"/>
      <c r="G2046" s="1"/>
      <c r="H2046" s="1"/>
      <c r="I2046" s="1"/>
      <c r="J2046" s="1"/>
      <c r="K2046" s="1"/>
      <c r="L2046" s="1"/>
      <c r="M2046" s="1"/>
      <c r="N2046" s="1"/>
      <c r="O2046" s="1"/>
      <c r="P2046" s="1"/>
      <c r="Q2046" s="1"/>
      <c r="R2046" s="1"/>
      <c r="S2046" s="1"/>
    </row>
    <row r="2047">
      <c r="A2047" s="1"/>
      <c r="B2047" s="1"/>
      <c r="C2047" s="1"/>
      <c r="D2047" s="1"/>
      <c r="E2047" s="1"/>
      <c r="F2047" s="1"/>
      <c r="G2047" s="1"/>
      <c r="H2047" s="1"/>
      <c r="I2047" s="1"/>
      <c r="J2047" s="1"/>
      <c r="K2047" s="1"/>
      <c r="L2047" s="1"/>
      <c r="M2047" s="1"/>
      <c r="N2047" s="1"/>
      <c r="O2047" s="1"/>
      <c r="P2047" s="1"/>
      <c r="Q2047" s="1"/>
      <c r="R2047" s="1"/>
      <c r="S2047" s="1"/>
    </row>
    <row r="2048">
      <c r="A2048" s="1"/>
      <c r="B2048" s="1"/>
      <c r="C2048" s="1"/>
      <c r="D2048" s="1"/>
      <c r="E2048" s="1"/>
      <c r="F2048" s="1"/>
      <c r="G2048" s="1"/>
      <c r="H2048" s="1"/>
      <c r="I2048" s="1"/>
      <c r="J2048" s="1"/>
      <c r="K2048" s="1"/>
      <c r="L2048" s="1"/>
      <c r="M2048" s="1"/>
      <c r="N2048" s="1"/>
      <c r="O2048" s="1"/>
      <c r="P2048" s="1"/>
      <c r="Q2048" s="1"/>
      <c r="R2048" s="1"/>
      <c r="S2048" s="1"/>
    </row>
    <row r="2049">
      <c r="A2049" s="1"/>
      <c r="B2049" s="1"/>
      <c r="C2049" s="1"/>
      <c r="D2049" s="1"/>
      <c r="E2049" s="1"/>
      <c r="F2049" s="1"/>
      <c r="G2049" s="1"/>
      <c r="H2049" s="1"/>
      <c r="I2049" s="1"/>
      <c r="J2049" s="1"/>
      <c r="K2049" s="1"/>
      <c r="L2049" s="1"/>
      <c r="M2049" s="1"/>
      <c r="N2049" s="1"/>
      <c r="O2049" s="1"/>
      <c r="P2049" s="1"/>
      <c r="Q2049" s="1"/>
      <c r="R2049" s="1"/>
      <c r="S2049" s="1"/>
    </row>
    <row r="2050">
      <c r="A2050" s="1"/>
      <c r="B2050" s="1"/>
      <c r="C2050" s="1"/>
      <c r="D2050" s="1"/>
      <c r="E2050" s="1"/>
      <c r="F2050" s="1"/>
      <c r="G2050" s="1"/>
      <c r="H2050" s="1"/>
      <c r="I2050" s="1"/>
      <c r="J2050" s="1"/>
      <c r="K2050" s="1"/>
      <c r="L2050" s="1"/>
      <c r="M2050" s="1"/>
      <c r="N2050" s="1"/>
      <c r="O2050" s="1"/>
      <c r="P2050" s="1"/>
      <c r="Q2050" s="1"/>
      <c r="R2050" s="1"/>
      <c r="S2050" s="1"/>
    </row>
    <row r="2051">
      <c r="A2051" s="1"/>
      <c r="B2051" s="1"/>
      <c r="C2051" s="1"/>
      <c r="D2051" s="1"/>
      <c r="E2051" s="1"/>
      <c r="F2051" s="1"/>
      <c r="G2051" s="1"/>
      <c r="H2051" s="1"/>
      <c r="I2051" s="1"/>
      <c r="J2051" s="1"/>
      <c r="K2051" s="1"/>
      <c r="L2051" s="1"/>
      <c r="M2051" s="1"/>
      <c r="N2051" s="1"/>
      <c r="O2051" s="1"/>
      <c r="P2051" s="1"/>
      <c r="Q2051" s="1"/>
      <c r="R2051" s="1"/>
      <c r="S2051" s="1"/>
    </row>
    <row r="2052">
      <c r="A2052" s="1"/>
      <c r="B2052" s="1"/>
      <c r="C2052" s="1"/>
      <c r="D2052" s="1"/>
      <c r="E2052" s="1"/>
      <c r="F2052" s="1"/>
      <c r="G2052" s="1"/>
      <c r="H2052" s="1"/>
      <c r="I2052" s="1"/>
      <c r="J2052" s="1"/>
      <c r="K2052" s="1"/>
      <c r="L2052" s="1"/>
      <c r="M2052" s="1"/>
      <c r="N2052" s="1"/>
      <c r="O2052" s="1"/>
      <c r="P2052" s="1"/>
      <c r="Q2052" s="1"/>
      <c r="R2052" s="1"/>
      <c r="S2052" s="1"/>
    </row>
    <row r="2053">
      <c r="A2053" s="1"/>
      <c r="B2053" s="1"/>
      <c r="C2053" s="1"/>
      <c r="D2053" s="1"/>
      <c r="E2053" s="1"/>
      <c r="F2053" s="1"/>
      <c r="G2053" s="1"/>
      <c r="H2053" s="1"/>
      <c r="I2053" s="1"/>
      <c r="J2053" s="1"/>
      <c r="K2053" s="1"/>
      <c r="L2053" s="1"/>
      <c r="M2053" s="1"/>
      <c r="N2053" s="1"/>
      <c r="O2053" s="1"/>
      <c r="P2053" s="1"/>
      <c r="Q2053" s="1"/>
      <c r="R2053" s="1"/>
      <c r="S2053" s="1"/>
    </row>
    <row r="2054">
      <c r="A2054" s="1"/>
      <c r="B2054" s="1"/>
      <c r="C2054" s="1"/>
      <c r="D2054" s="1"/>
      <c r="E2054" s="1"/>
      <c r="F2054" s="1"/>
      <c r="G2054" s="1"/>
      <c r="H2054" s="1"/>
      <c r="I2054" s="1"/>
      <c r="J2054" s="1"/>
      <c r="K2054" s="1"/>
      <c r="L2054" s="1"/>
      <c r="M2054" s="1"/>
      <c r="N2054" s="1"/>
      <c r="O2054" s="1"/>
      <c r="P2054" s="1"/>
      <c r="Q2054" s="1"/>
      <c r="R2054" s="1"/>
      <c r="S2054" s="1"/>
    </row>
    <row r="2055">
      <c r="A2055" s="1"/>
      <c r="B2055" s="1"/>
      <c r="C2055" s="1"/>
      <c r="D2055" s="1"/>
      <c r="E2055" s="1"/>
      <c r="F2055" s="1"/>
      <c r="G2055" s="1"/>
      <c r="H2055" s="1"/>
      <c r="I2055" s="1"/>
      <c r="J2055" s="1"/>
      <c r="K2055" s="1"/>
      <c r="L2055" s="1"/>
      <c r="M2055" s="1"/>
      <c r="N2055" s="1"/>
      <c r="O2055" s="1"/>
      <c r="P2055" s="1"/>
      <c r="Q2055" s="1"/>
      <c r="R2055" s="1"/>
      <c r="S2055" s="1"/>
    </row>
    <row r="2056">
      <c r="A2056" s="1"/>
      <c r="B2056" s="1"/>
      <c r="C2056" s="1"/>
      <c r="D2056" s="1"/>
      <c r="E2056" s="1"/>
      <c r="F2056" s="1"/>
      <c r="G2056" s="1"/>
      <c r="H2056" s="1"/>
      <c r="I2056" s="1"/>
      <c r="J2056" s="1"/>
      <c r="K2056" s="1"/>
      <c r="L2056" s="1"/>
      <c r="M2056" s="1"/>
      <c r="N2056" s="1"/>
      <c r="O2056" s="1"/>
      <c r="P2056" s="1"/>
      <c r="Q2056" s="1"/>
      <c r="R2056" s="1"/>
      <c r="S2056" s="1"/>
    </row>
    <row r="2057">
      <c r="A2057" s="1"/>
      <c r="B2057" s="1"/>
      <c r="C2057" s="1"/>
      <c r="D2057" s="1"/>
      <c r="E2057" s="1"/>
      <c r="F2057" s="1"/>
      <c r="G2057" s="1"/>
      <c r="H2057" s="1"/>
      <c r="I2057" s="1"/>
      <c r="J2057" s="1"/>
      <c r="K2057" s="1"/>
      <c r="L2057" s="1"/>
      <c r="M2057" s="1"/>
      <c r="N2057" s="1"/>
      <c r="O2057" s="1"/>
      <c r="P2057" s="1"/>
      <c r="Q2057" s="1"/>
      <c r="R2057" s="1"/>
      <c r="S2057" s="1"/>
    </row>
    <row r="2058">
      <c r="A2058" s="1"/>
      <c r="B2058" s="1"/>
      <c r="C2058" s="1"/>
      <c r="D2058" s="1"/>
      <c r="E2058" s="1"/>
      <c r="F2058" s="1"/>
      <c r="G2058" s="1"/>
      <c r="H2058" s="1"/>
      <c r="I2058" s="1"/>
      <c r="J2058" s="1"/>
      <c r="K2058" s="1"/>
      <c r="L2058" s="1"/>
      <c r="M2058" s="1"/>
      <c r="N2058" s="1"/>
      <c r="O2058" s="1"/>
      <c r="P2058" s="1"/>
      <c r="Q2058" s="1"/>
      <c r="R2058" s="1"/>
      <c r="S2058" s="1"/>
    </row>
    <row r="2059">
      <c r="A2059" s="1"/>
      <c r="B2059" s="1"/>
      <c r="C2059" s="1"/>
      <c r="D2059" s="1"/>
      <c r="E2059" s="1"/>
      <c r="F2059" s="1"/>
      <c r="G2059" s="1"/>
      <c r="H2059" s="1"/>
      <c r="I2059" s="1"/>
      <c r="J2059" s="1"/>
      <c r="K2059" s="1"/>
      <c r="L2059" s="1"/>
      <c r="M2059" s="1"/>
      <c r="N2059" s="1"/>
      <c r="O2059" s="1"/>
      <c r="P2059" s="1"/>
      <c r="Q2059" s="1"/>
      <c r="R2059" s="1"/>
      <c r="S2059" s="1"/>
    </row>
    <row r="2060">
      <c r="A2060" s="1"/>
      <c r="B2060" s="1"/>
      <c r="C2060" s="1"/>
      <c r="D2060" s="1"/>
      <c r="E2060" s="1"/>
      <c r="F2060" s="1"/>
      <c r="G2060" s="1"/>
      <c r="H2060" s="1"/>
      <c r="I2060" s="1"/>
      <c r="J2060" s="1"/>
      <c r="K2060" s="1"/>
      <c r="L2060" s="1"/>
      <c r="M2060" s="1"/>
      <c r="N2060" s="1"/>
      <c r="O2060" s="1"/>
      <c r="P2060" s="1"/>
      <c r="Q2060" s="1"/>
      <c r="R2060" s="1"/>
      <c r="S2060" s="1"/>
    </row>
    <row r="2061">
      <c r="A2061" s="1"/>
      <c r="B2061" s="1"/>
      <c r="C2061" s="1"/>
      <c r="D2061" s="1"/>
      <c r="E2061" s="1"/>
      <c r="F2061" s="1"/>
      <c r="G2061" s="1"/>
      <c r="H2061" s="1"/>
      <c r="I2061" s="1"/>
      <c r="J2061" s="1"/>
      <c r="K2061" s="1"/>
      <c r="L2061" s="1"/>
      <c r="M2061" s="1"/>
      <c r="N2061" s="1"/>
      <c r="O2061" s="1"/>
      <c r="P2061" s="1"/>
      <c r="Q2061" s="1"/>
      <c r="R2061" s="1"/>
      <c r="S2061" s="1"/>
    </row>
    <row r="2062">
      <c r="A2062" s="1"/>
      <c r="B2062" s="1"/>
      <c r="C2062" s="1"/>
      <c r="D2062" s="1"/>
      <c r="E2062" s="1"/>
      <c r="F2062" s="1"/>
      <c r="G2062" s="1"/>
      <c r="H2062" s="1"/>
      <c r="I2062" s="1"/>
      <c r="J2062" s="1"/>
      <c r="K2062" s="1"/>
      <c r="L2062" s="1"/>
      <c r="M2062" s="1"/>
      <c r="N2062" s="1"/>
      <c r="O2062" s="1"/>
      <c r="P2062" s="1"/>
      <c r="Q2062" s="1"/>
      <c r="R2062" s="1"/>
      <c r="S2062" s="1"/>
    </row>
    <row r="2063">
      <c r="A2063" s="1"/>
      <c r="B2063" s="1"/>
      <c r="C2063" s="1"/>
      <c r="D2063" s="1"/>
      <c r="E2063" s="1"/>
      <c r="F2063" s="1"/>
      <c r="G2063" s="1"/>
      <c r="H2063" s="1"/>
      <c r="I2063" s="1"/>
      <c r="J2063" s="1"/>
      <c r="K2063" s="1"/>
      <c r="L2063" s="1"/>
      <c r="M2063" s="1"/>
      <c r="N2063" s="1"/>
      <c r="O2063" s="1"/>
      <c r="P2063" s="1"/>
      <c r="Q2063" s="1"/>
      <c r="R2063" s="1"/>
      <c r="S2063" s="1"/>
    </row>
    <row r="2064">
      <c r="A2064" s="1"/>
      <c r="B2064" s="1"/>
      <c r="C2064" s="1"/>
      <c r="D2064" s="1"/>
      <c r="E2064" s="1"/>
      <c r="F2064" s="1"/>
      <c r="G2064" s="1"/>
      <c r="H2064" s="1"/>
      <c r="I2064" s="1"/>
      <c r="J2064" s="1"/>
      <c r="K2064" s="1"/>
      <c r="L2064" s="1"/>
      <c r="M2064" s="1"/>
      <c r="N2064" s="1"/>
      <c r="O2064" s="1"/>
      <c r="P2064" s="1"/>
      <c r="Q2064" s="1"/>
      <c r="R2064" s="1"/>
      <c r="S2064" s="1"/>
    </row>
    <row r="2065">
      <c r="A2065" s="1"/>
      <c r="B2065" s="1"/>
      <c r="C2065" s="1"/>
      <c r="D2065" s="1"/>
      <c r="E2065" s="1"/>
      <c r="F2065" s="1"/>
      <c r="G2065" s="1"/>
      <c r="H2065" s="1"/>
      <c r="I2065" s="1"/>
      <c r="J2065" s="1"/>
      <c r="K2065" s="1"/>
      <c r="L2065" s="1"/>
      <c r="M2065" s="1"/>
      <c r="N2065" s="1"/>
      <c r="O2065" s="1"/>
      <c r="P2065" s="1"/>
      <c r="Q2065" s="1"/>
      <c r="R2065" s="1"/>
      <c r="S2065" s="1"/>
    </row>
    <row r="2066">
      <c r="A2066" s="1"/>
      <c r="B2066" s="1"/>
      <c r="C2066" s="1"/>
      <c r="D2066" s="1"/>
      <c r="E2066" s="1"/>
      <c r="F2066" s="1"/>
      <c r="G2066" s="1"/>
      <c r="H2066" s="1"/>
      <c r="I2066" s="1"/>
      <c r="J2066" s="1"/>
      <c r="K2066" s="1"/>
      <c r="L2066" s="1"/>
      <c r="M2066" s="1"/>
      <c r="N2066" s="1"/>
      <c r="O2066" s="1"/>
      <c r="P2066" s="1"/>
      <c r="Q2066" s="1"/>
      <c r="R2066" s="1"/>
      <c r="S2066" s="1"/>
    </row>
    <row r="2067">
      <c r="A2067" s="1"/>
      <c r="B2067" s="1"/>
      <c r="C2067" s="1"/>
      <c r="D2067" s="1"/>
      <c r="E2067" s="1"/>
      <c r="F2067" s="1"/>
      <c r="G2067" s="1"/>
      <c r="H2067" s="1"/>
      <c r="I2067" s="1"/>
      <c r="J2067" s="1"/>
      <c r="K2067" s="1"/>
      <c r="L2067" s="1"/>
      <c r="M2067" s="1"/>
      <c r="N2067" s="1"/>
      <c r="O2067" s="1"/>
      <c r="P2067" s="1"/>
      <c r="Q2067" s="1"/>
      <c r="R2067" s="1"/>
      <c r="S2067" s="1"/>
    </row>
    <row r="2068">
      <c r="A2068" s="1"/>
      <c r="B2068" s="1"/>
      <c r="C2068" s="1"/>
      <c r="D2068" s="1"/>
      <c r="E2068" s="1"/>
      <c r="F2068" s="1"/>
      <c r="G2068" s="1"/>
      <c r="H2068" s="1"/>
      <c r="I2068" s="1"/>
      <c r="J2068" s="1"/>
      <c r="K2068" s="1"/>
      <c r="L2068" s="1"/>
      <c r="M2068" s="1"/>
      <c r="N2068" s="1"/>
      <c r="O2068" s="1"/>
      <c r="P2068" s="1"/>
      <c r="Q2068" s="1"/>
      <c r="R2068" s="1"/>
      <c r="S2068" s="1"/>
    </row>
    <row r="2069">
      <c r="A2069" s="1"/>
      <c r="B2069" s="1"/>
      <c r="C2069" s="1"/>
      <c r="D2069" s="1"/>
      <c r="E2069" s="1"/>
      <c r="F2069" s="1"/>
      <c r="G2069" s="1"/>
      <c r="H2069" s="1"/>
      <c r="I2069" s="1"/>
      <c r="J2069" s="1"/>
      <c r="K2069" s="1"/>
      <c r="L2069" s="1"/>
      <c r="M2069" s="1"/>
      <c r="N2069" s="1"/>
      <c r="O2069" s="1"/>
      <c r="P2069" s="1"/>
      <c r="Q2069" s="1"/>
      <c r="R2069" s="1"/>
      <c r="S2069" s="1"/>
    </row>
    <row r="2070">
      <c r="A2070" s="1"/>
      <c r="B2070" s="1"/>
      <c r="C2070" s="1"/>
      <c r="D2070" s="1"/>
      <c r="E2070" s="1"/>
      <c r="F2070" s="1"/>
      <c r="G2070" s="1"/>
      <c r="H2070" s="1"/>
      <c r="I2070" s="1"/>
      <c r="J2070" s="1"/>
      <c r="K2070" s="1"/>
      <c r="L2070" s="1"/>
      <c r="M2070" s="1"/>
      <c r="N2070" s="1"/>
      <c r="O2070" s="1"/>
      <c r="P2070" s="1"/>
      <c r="Q2070" s="1"/>
      <c r="R2070" s="1"/>
      <c r="S2070" s="1"/>
    </row>
    <row r="2071">
      <c r="A2071" s="1"/>
      <c r="B2071" s="1"/>
      <c r="C2071" s="1"/>
      <c r="D2071" s="1"/>
      <c r="E2071" s="1"/>
      <c r="F2071" s="1"/>
      <c r="G2071" s="1"/>
      <c r="H2071" s="1"/>
      <c r="I2071" s="1"/>
      <c r="J2071" s="1"/>
      <c r="K2071" s="1"/>
      <c r="L2071" s="1"/>
      <c r="M2071" s="1"/>
      <c r="N2071" s="1"/>
      <c r="O2071" s="1"/>
      <c r="P2071" s="1"/>
      <c r="Q2071" s="1"/>
      <c r="R2071" s="1"/>
      <c r="S2071" s="1"/>
    </row>
    <row r="2072">
      <c r="A2072" s="1"/>
      <c r="B2072" s="1"/>
      <c r="C2072" s="1"/>
      <c r="D2072" s="1"/>
      <c r="E2072" s="1"/>
      <c r="F2072" s="1"/>
      <c r="G2072" s="1"/>
      <c r="H2072" s="1"/>
      <c r="I2072" s="1"/>
      <c r="J2072" s="1"/>
      <c r="K2072" s="1"/>
      <c r="L2072" s="1"/>
      <c r="M2072" s="1"/>
      <c r="N2072" s="1"/>
      <c r="O2072" s="1"/>
      <c r="P2072" s="1"/>
      <c r="Q2072" s="1"/>
      <c r="R2072" s="1"/>
      <c r="S2072" s="1"/>
    </row>
    <row r="2073">
      <c r="A2073" s="1"/>
      <c r="B2073" s="1"/>
      <c r="C2073" s="1"/>
      <c r="D2073" s="1"/>
      <c r="E2073" s="1"/>
      <c r="F2073" s="1"/>
      <c r="G2073" s="1"/>
      <c r="H2073" s="1"/>
      <c r="I2073" s="1"/>
      <c r="J2073" s="1"/>
      <c r="K2073" s="1"/>
      <c r="L2073" s="1"/>
      <c r="M2073" s="1"/>
      <c r="N2073" s="1"/>
      <c r="O2073" s="1"/>
      <c r="P2073" s="1"/>
      <c r="Q2073" s="1"/>
      <c r="R2073" s="1"/>
      <c r="S2073" s="1"/>
    </row>
    <row r="2074">
      <c r="A2074" s="1"/>
      <c r="B2074" s="1"/>
      <c r="C2074" s="1"/>
      <c r="D2074" s="1"/>
      <c r="E2074" s="1"/>
      <c r="F2074" s="1"/>
      <c r="G2074" s="1"/>
      <c r="H2074" s="1"/>
      <c r="I2074" s="1"/>
      <c r="J2074" s="1"/>
      <c r="K2074" s="1"/>
      <c r="L2074" s="1"/>
      <c r="M2074" s="1"/>
      <c r="N2074" s="1"/>
      <c r="O2074" s="1"/>
      <c r="P2074" s="1"/>
      <c r="Q2074" s="1"/>
      <c r="R2074" s="1"/>
      <c r="S2074" s="1"/>
    </row>
    <row r="2075">
      <c r="A2075" s="1"/>
      <c r="B2075" s="1"/>
      <c r="C2075" s="1"/>
      <c r="D2075" s="1"/>
      <c r="E2075" s="1"/>
      <c r="F2075" s="1"/>
      <c r="G2075" s="1"/>
      <c r="H2075" s="1"/>
      <c r="I2075" s="1"/>
      <c r="J2075" s="1"/>
      <c r="K2075" s="1"/>
      <c r="L2075" s="1"/>
      <c r="M2075" s="1"/>
      <c r="N2075" s="1"/>
      <c r="O2075" s="1"/>
      <c r="P2075" s="1"/>
      <c r="Q2075" s="1"/>
      <c r="R2075" s="1"/>
      <c r="S2075" s="1"/>
    </row>
    <row r="2076">
      <c r="A2076" s="1"/>
      <c r="B2076" s="1"/>
      <c r="C2076" s="1"/>
      <c r="D2076" s="1"/>
      <c r="E2076" s="1"/>
      <c r="F2076" s="1"/>
      <c r="G2076" s="1"/>
      <c r="H2076" s="1"/>
      <c r="I2076" s="1"/>
      <c r="J2076" s="1"/>
      <c r="K2076" s="1"/>
      <c r="L2076" s="1"/>
      <c r="M2076" s="1"/>
      <c r="N2076" s="1"/>
      <c r="O2076" s="1"/>
      <c r="P2076" s="1"/>
      <c r="Q2076" s="1"/>
      <c r="R2076" s="1"/>
      <c r="S2076" s="1"/>
    </row>
    <row r="2077">
      <c r="A2077" s="1"/>
      <c r="B2077" s="1"/>
      <c r="C2077" s="1"/>
      <c r="D2077" s="1"/>
      <c r="E2077" s="1"/>
      <c r="F2077" s="1"/>
      <c r="G2077" s="1"/>
      <c r="H2077" s="1"/>
      <c r="I2077" s="1"/>
      <c r="J2077" s="1"/>
      <c r="K2077" s="1"/>
      <c r="L2077" s="1"/>
      <c r="M2077" s="1"/>
      <c r="N2077" s="1"/>
      <c r="O2077" s="1"/>
      <c r="P2077" s="1"/>
      <c r="Q2077" s="1"/>
      <c r="R2077" s="1"/>
      <c r="S2077" s="1"/>
    </row>
    <row r="2078">
      <c r="A2078" s="1"/>
      <c r="B2078" s="1"/>
      <c r="C2078" s="1"/>
      <c r="D2078" s="1"/>
      <c r="E2078" s="1"/>
      <c r="F2078" s="1"/>
      <c r="G2078" s="1"/>
      <c r="H2078" s="1"/>
      <c r="I2078" s="1"/>
      <c r="J2078" s="1"/>
      <c r="K2078" s="1"/>
      <c r="L2078" s="1"/>
      <c r="M2078" s="1"/>
      <c r="N2078" s="1"/>
      <c r="O2078" s="1"/>
      <c r="P2078" s="1"/>
      <c r="Q2078" s="1"/>
      <c r="R2078" s="1"/>
      <c r="S2078" s="1"/>
    </row>
    <row r="2079">
      <c r="A2079" s="1"/>
      <c r="B2079" s="1"/>
      <c r="C2079" s="1"/>
      <c r="D2079" s="1"/>
      <c r="E2079" s="1"/>
      <c r="F2079" s="1"/>
      <c r="G2079" s="1"/>
      <c r="H2079" s="1"/>
      <c r="I2079" s="1"/>
      <c r="J2079" s="1"/>
      <c r="K2079" s="1"/>
      <c r="L2079" s="1"/>
      <c r="M2079" s="1"/>
      <c r="N2079" s="1"/>
      <c r="O2079" s="1"/>
      <c r="P2079" s="1"/>
      <c r="Q2079" s="1"/>
      <c r="R2079" s="1"/>
      <c r="S2079" s="1"/>
    </row>
    <row r="2080">
      <c r="A2080" s="1"/>
      <c r="B2080" s="1"/>
      <c r="C2080" s="1"/>
      <c r="D2080" s="1"/>
      <c r="E2080" s="1"/>
      <c r="F2080" s="1"/>
      <c r="G2080" s="1"/>
      <c r="H2080" s="1"/>
      <c r="I2080" s="1"/>
      <c r="J2080" s="1"/>
      <c r="K2080" s="1"/>
      <c r="L2080" s="1"/>
      <c r="M2080" s="1"/>
      <c r="N2080" s="1"/>
      <c r="O2080" s="1"/>
      <c r="P2080" s="1"/>
      <c r="Q2080" s="1"/>
      <c r="R2080" s="1"/>
      <c r="S2080" s="1"/>
    </row>
    <row r="2081">
      <c r="A2081" s="1"/>
      <c r="B2081" s="1"/>
      <c r="C2081" s="1"/>
      <c r="D2081" s="1"/>
      <c r="E2081" s="1"/>
      <c r="F2081" s="1"/>
      <c r="G2081" s="1"/>
      <c r="H2081" s="1"/>
      <c r="I2081" s="1"/>
      <c r="J2081" s="1"/>
      <c r="K2081" s="1"/>
      <c r="L2081" s="1"/>
      <c r="M2081" s="1"/>
      <c r="N2081" s="1"/>
      <c r="O2081" s="1"/>
      <c r="P2081" s="1"/>
      <c r="Q2081" s="1"/>
      <c r="R2081" s="1"/>
      <c r="S2081" s="1"/>
    </row>
    <row r="2082">
      <c r="A2082" s="1"/>
      <c r="B2082" s="1"/>
      <c r="C2082" s="1"/>
      <c r="D2082" s="1"/>
      <c r="E2082" s="1"/>
      <c r="F2082" s="1"/>
      <c r="G2082" s="1"/>
      <c r="H2082" s="1"/>
      <c r="I2082" s="1"/>
      <c r="J2082" s="1"/>
      <c r="K2082" s="1"/>
      <c r="L2082" s="1"/>
      <c r="M2082" s="1"/>
      <c r="N2082" s="1"/>
      <c r="O2082" s="1"/>
      <c r="P2082" s="1"/>
      <c r="Q2082" s="1"/>
      <c r="R2082" s="1"/>
      <c r="S2082" s="1"/>
    </row>
    <row r="2083">
      <c r="A2083" s="1"/>
      <c r="B2083" s="1"/>
      <c r="C2083" s="1"/>
      <c r="D2083" s="1"/>
      <c r="E2083" s="1"/>
      <c r="F2083" s="1"/>
      <c r="G2083" s="1"/>
      <c r="H2083" s="1"/>
      <c r="I2083" s="1"/>
      <c r="J2083" s="1"/>
      <c r="K2083" s="1"/>
      <c r="L2083" s="1"/>
      <c r="M2083" s="1"/>
      <c r="N2083" s="1"/>
      <c r="O2083" s="1"/>
      <c r="P2083" s="1"/>
      <c r="Q2083" s="1"/>
      <c r="R2083" s="1"/>
      <c r="S2083" s="1"/>
    </row>
    <row r="2084">
      <c r="A2084" s="1"/>
      <c r="B2084" s="1"/>
      <c r="C2084" s="1"/>
      <c r="D2084" s="1"/>
      <c r="E2084" s="1"/>
      <c r="F2084" s="1"/>
      <c r="G2084" s="1"/>
      <c r="H2084" s="1"/>
      <c r="I2084" s="1"/>
      <c r="J2084" s="1"/>
      <c r="K2084" s="1"/>
      <c r="L2084" s="1"/>
      <c r="M2084" s="1"/>
      <c r="N2084" s="1"/>
      <c r="O2084" s="1"/>
      <c r="P2084" s="1"/>
      <c r="Q2084" s="1"/>
      <c r="R2084" s="1"/>
      <c r="S2084" s="1"/>
    </row>
    <row r="2085">
      <c r="A2085" s="1"/>
      <c r="B2085" s="1"/>
      <c r="C2085" s="1"/>
      <c r="D2085" s="1"/>
      <c r="E2085" s="1"/>
      <c r="F2085" s="1"/>
      <c r="G2085" s="1"/>
      <c r="H2085" s="1"/>
      <c r="I2085" s="1"/>
      <c r="J2085" s="1"/>
      <c r="K2085" s="1"/>
      <c r="L2085" s="1"/>
      <c r="M2085" s="1"/>
      <c r="N2085" s="1"/>
      <c r="O2085" s="1"/>
      <c r="P2085" s="1"/>
      <c r="Q2085" s="1"/>
      <c r="R2085" s="1"/>
      <c r="S2085" s="1"/>
    </row>
    <row r="2086">
      <c r="A2086" s="1"/>
      <c r="B2086" s="1"/>
      <c r="C2086" s="1"/>
      <c r="D2086" s="1"/>
      <c r="E2086" s="1"/>
      <c r="F2086" s="1"/>
      <c r="G2086" s="1"/>
      <c r="H2086" s="1"/>
      <c r="I2086" s="1"/>
      <c r="J2086" s="1"/>
      <c r="K2086" s="1"/>
      <c r="L2086" s="1"/>
      <c r="M2086" s="1"/>
      <c r="N2086" s="1"/>
      <c r="O2086" s="1"/>
      <c r="P2086" s="1"/>
      <c r="Q2086" s="1"/>
      <c r="R2086" s="1"/>
      <c r="S2086" s="1"/>
    </row>
    <row r="2087">
      <c r="A2087" s="1"/>
      <c r="B2087" s="1"/>
      <c r="C2087" s="1"/>
      <c r="D2087" s="1"/>
      <c r="E2087" s="1"/>
      <c r="F2087" s="1"/>
      <c r="G2087" s="1"/>
      <c r="H2087" s="1"/>
      <c r="I2087" s="1"/>
      <c r="J2087" s="1"/>
      <c r="K2087" s="1"/>
      <c r="L2087" s="1"/>
      <c r="M2087" s="1"/>
      <c r="N2087" s="1"/>
      <c r="O2087" s="1"/>
      <c r="P2087" s="1"/>
      <c r="Q2087" s="1"/>
      <c r="R2087" s="1"/>
      <c r="S2087" s="1"/>
    </row>
    <row r="2088">
      <c r="A2088" s="1"/>
      <c r="B2088" s="1"/>
      <c r="C2088" s="1"/>
      <c r="D2088" s="1"/>
      <c r="E2088" s="1"/>
      <c r="F2088" s="1"/>
      <c r="G2088" s="1"/>
      <c r="H2088" s="1"/>
      <c r="I2088" s="1"/>
      <c r="J2088" s="1"/>
      <c r="K2088" s="1"/>
      <c r="L2088" s="1"/>
      <c r="M2088" s="1"/>
      <c r="N2088" s="1"/>
      <c r="O2088" s="1"/>
      <c r="P2088" s="1"/>
      <c r="Q2088" s="1"/>
      <c r="R2088" s="1"/>
      <c r="S2088" s="1"/>
    </row>
    <row r="2089">
      <c r="A2089" s="1"/>
      <c r="B2089" s="1"/>
      <c r="C2089" s="1"/>
      <c r="D2089" s="1"/>
      <c r="E2089" s="1"/>
      <c r="F2089" s="1"/>
      <c r="G2089" s="1"/>
      <c r="H2089" s="1"/>
      <c r="I2089" s="1"/>
      <c r="J2089" s="1"/>
      <c r="K2089" s="1"/>
      <c r="L2089" s="1"/>
      <c r="M2089" s="1"/>
      <c r="N2089" s="1"/>
      <c r="O2089" s="1"/>
      <c r="P2089" s="1"/>
      <c r="Q2089" s="1"/>
      <c r="R2089" s="1"/>
      <c r="S2089" s="1"/>
    </row>
    <row r="2090">
      <c r="A2090" s="1"/>
      <c r="B2090" s="1"/>
      <c r="C2090" s="1"/>
      <c r="D2090" s="1"/>
      <c r="E2090" s="1"/>
      <c r="F2090" s="1"/>
      <c r="G2090" s="1"/>
      <c r="H2090" s="1"/>
      <c r="I2090" s="1"/>
      <c r="J2090" s="1"/>
      <c r="K2090" s="1"/>
      <c r="L2090" s="1"/>
      <c r="M2090" s="1"/>
      <c r="N2090" s="1"/>
      <c r="O2090" s="1"/>
      <c r="P2090" s="1"/>
      <c r="Q2090" s="1"/>
      <c r="R2090" s="1"/>
      <c r="S2090" s="1"/>
    </row>
    <row r="2091">
      <c r="A2091" s="1"/>
      <c r="B2091" s="1"/>
      <c r="C2091" s="1"/>
      <c r="D2091" s="1"/>
      <c r="E2091" s="1"/>
      <c r="F2091" s="1"/>
      <c r="G2091" s="1"/>
      <c r="H2091" s="1"/>
      <c r="I2091" s="1"/>
      <c r="J2091" s="1"/>
      <c r="K2091" s="1"/>
      <c r="L2091" s="1"/>
      <c r="M2091" s="1"/>
      <c r="N2091" s="1"/>
      <c r="O2091" s="1"/>
      <c r="P2091" s="1"/>
      <c r="Q2091" s="1"/>
      <c r="R2091" s="1"/>
      <c r="S2091" s="1"/>
    </row>
    <row r="2092">
      <c r="A2092" s="1"/>
      <c r="B2092" s="1"/>
      <c r="C2092" s="1"/>
      <c r="D2092" s="1"/>
      <c r="E2092" s="1"/>
      <c r="F2092" s="1"/>
      <c r="G2092" s="1"/>
      <c r="H2092" s="1"/>
      <c r="I2092" s="1"/>
      <c r="J2092" s="1"/>
      <c r="K2092" s="1"/>
      <c r="L2092" s="1"/>
      <c r="M2092" s="1"/>
      <c r="N2092" s="1"/>
      <c r="O2092" s="1"/>
      <c r="P2092" s="1"/>
      <c r="Q2092" s="1"/>
      <c r="R2092" s="1"/>
      <c r="S2092" s="1"/>
    </row>
    <row r="2093">
      <c r="A2093" s="1"/>
      <c r="B2093" s="1"/>
      <c r="C2093" s="1"/>
      <c r="D2093" s="1"/>
      <c r="E2093" s="1"/>
      <c r="F2093" s="1"/>
      <c r="G2093" s="1"/>
      <c r="H2093" s="1"/>
      <c r="I2093" s="1"/>
      <c r="J2093" s="1"/>
      <c r="K2093" s="1"/>
      <c r="L2093" s="1"/>
      <c r="M2093" s="1"/>
      <c r="N2093" s="1"/>
      <c r="O2093" s="1"/>
      <c r="P2093" s="1"/>
      <c r="Q2093" s="1"/>
      <c r="R2093" s="1"/>
      <c r="S2093" s="1"/>
    </row>
    <row r="2094">
      <c r="A2094" s="1"/>
      <c r="B2094" s="1"/>
      <c r="C2094" s="1"/>
      <c r="D2094" s="1"/>
      <c r="E2094" s="1"/>
      <c r="F2094" s="1"/>
      <c r="G2094" s="1"/>
      <c r="H2094" s="1"/>
      <c r="I2094" s="1"/>
      <c r="J2094" s="1"/>
      <c r="K2094" s="1"/>
      <c r="L2094" s="1"/>
      <c r="M2094" s="1"/>
      <c r="N2094" s="1"/>
      <c r="O2094" s="1"/>
      <c r="P2094" s="1"/>
      <c r="Q2094" s="1"/>
      <c r="R2094" s="1"/>
      <c r="S2094" s="1"/>
    </row>
    <row r="2095">
      <c r="A2095" s="1"/>
      <c r="B2095" s="1"/>
      <c r="C2095" s="1"/>
      <c r="D2095" s="1"/>
      <c r="E2095" s="1"/>
      <c r="F2095" s="1"/>
      <c r="G2095" s="1"/>
      <c r="H2095" s="1"/>
      <c r="I2095" s="1"/>
      <c r="J2095" s="1"/>
      <c r="K2095" s="1"/>
      <c r="L2095" s="1"/>
      <c r="M2095" s="1"/>
      <c r="N2095" s="1"/>
      <c r="O2095" s="1"/>
      <c r="P2095" s="1"/>
      <c r="Q2095" s="1"/>
      <c r="R2095" s="1"/>
      <c r="S2095" s="1"/>
    </row>
    <row r="2096">
      <c r="A2096" s="1"/>
      <c r="B2096" s="1"/>
      <c r="C2096" s="1"/>
      <c r="D2096" s="1"/>
      <c r="E2096" s="1"/>
      <c r="F2096" s="1"/>
      <c r="G2096" s="1"/>
      <c r="H2096" s="1"/>
      <c r="I2096" s="1"/>
      <c r="J2096" s="1"/>
      <c r="K2096" s="1"/>
      <c r="L2096" s="1"/>
      <c r="M2096" s="1"/>
      <c r="N2096" s="1"/>
      <c r="O2096" s="1"/>
      <c r="P2096" s="1"/>
      <c r="Q2096" s="1"/>
      <c r="R2096" s="1"/>
      <c r="S2096" s="1"/>
    </row>
    <row r="2097">
      <c r="A2097" s="1"/>
      <c r="B2097" s="1"/>
      <c r="C2097" s="1"/>
      <c r="D2097" s="1"/>
      <c r="E2097" s="1"/>
      <c r="F2097" s="1"/>
      <c r="G2097" s="1"/>
      <c r="H2097" s="1"/>
      <c r="I2097" s="1"/>
      <c r="J2097" s="1"/>
      <c r="K2097" s="1"/>
      <c r="L2097" s="1"/>
      <c r="M2097" s="1"/>
      <c r="N2097" s="1"/>
      <c r="O2097" s="1"/>
      <c r="P2097" s="1"/>
      <c r="Q2097" s="1"/>
      <c r="R2097" s="1"/>
      <c r="S2097" s="1"/>
    </row>
    <row r="2098">
      <c r="A2098" s="1"/>
      <c r="B2098" s="1"/>
      <c r="C2098" s="1"/>
      <c r="D2098" s="1"/>
      <c r="E2098" s="1"/>
      <c r="F2098" s="1"/>
      <c r="G2098" s="1"/>
      <c r="H2098" s="1"/>
      <c r="I2098" s="1"/>
      <c r="J2098" s="1"/>
      <c r="K2098" s="1"/>
      <c r="L2098" s="1"/>
      <c r="M2098" s="1"/>
      <c r="N2098" s="1"/>
      <c r="O2098" s="1"/>
      <c r="P2098" s="1"/>
      <c r="Q2098" s="1"/>
      <c r="R2098" s="1"/>
      <c r="S2098" s="1"/>
    </row>
    <row r="2099">
      <c r="A2099" s="1"/>
      <c r="B2099" s="1"/>
      <c r="C2099" s="1"/>
      <c r="D2099" s="1"/>
      <c r="E2099" s="1"/>
      <c r="F2099" s="1"/>
      <c r="G2099" s="1"/>
      <c r="H2099" s="1"/>
      <c r="I2099" s="1"/>
      <c r="J2099" s="1"/>
      <c r="K2099" s="1"/>
      <c r="L2099" s="1"/>
      <c r="M2099" s="1"/>
      <c r="N2099" s="1"/>
      <c r="O2099" s="1"/>
      <c r="P2099" s="1"/>
      <c r="Q2099" s="1"/>
      <c r="R2099" s="1"/>
      <c r="S2099" s="1"/>
    </row>
    <row r="2100">
      <c r="A2100" s="1"/>
      <c r="B2100" s="1"/>
      <c r="C2100" s="1"/>
      <c r="D2100" s="1"/>
      <c r="E2100" s="1"/>
      <c r="F2100" s="1"/>
      <c r="G2100" s="1"/>
      <c r="H2100" s="1"/>
      <c r="I2100" s="1"/>
      <c r="J2100" s="1"/>
      <c r="K2100" s="1"/>
      <c r="L2100" s="1"/>
      <c r="M2100" s="1"/>
      <c r="N2100" s="1"/>
      <c r="O2100" s="1"/>
      <c r="P2100" s="1"/>
      <c r="Q2100" s="1"/>
      <c r="R2100" s="1"/>
      <c r="S2100" s="1"/>
    </row>
    <row r="2101">
      <c r="A2101" s="1"/>
      <c r="B2101" s="1"/>
      <c r="C2101" s="1"/>
      <c r="D2101" s="1"/>
      <c r="E2101" s="1"/>
      <c r="F2101" s="1"/>
      <c r="G2101" s="1"/>
      <c r="H2101" s="1"/>
      <c r="I2101" s="1"/>
      <c r="J2101" s="1"/>
      <c r="K2101" s="1"/>
      <c r="L2101" s="1"/>
      <c r="M2101" s="1"/>
      <c r="N2101" s="1"/>
      <c r="O2101" s="1"/>
      <c r="P2101" s="1"/>
      <c r="Q2101" s="1"/>
      <c r="R2101" s="1"/>
      <c r="S2101" s="1"/>
    </row>
    <row r="2102">
      <c r="A2102" s="1"/>
      <c r="B2102" s="1"/>
      <c r="C2102" s="1"/>
      <c r="D2102" s="1"/>
      <c r="E2102" s="1"/>
      <c r="F2102" s="1"/>
      <c r="G2102" s="1"/>
      <c r="H2102" s="1"/>
      <c r="I2102" s="1"/>
      <c r="J2102" s="1"/>
      <c r="K2102" s="1"/>
      <c r="L2102" s="1"/>
      <c r="M2102" s="1"/>
      <c r="N2102" s="1"/>
      <c r="O2102" s="1"/>
      <c r="P2102" s="1"/>
      <c r="Q2102" s="1"/>
      <c r="R2102" s="1"/>
      <c r="S2102" s="1"/>
    </row>
    <row r="2103">
      <c r="A2103" s="1"/>
      <c r="B2103" s="1"/>
      <c r="C2103" s="1"/>
      <c r="D2103" s="1"/>
      <c r="E2103" s="1"/>
      <c r="F2103" s="1"/>
      <c r="G2103" s="1"/>
      <c r="H2103" s="1"/>
      <c r="I2103" s="1"/>
      <c r="J2103" s="1"/>
      <c r="K2103" s="1"/>
      <c r="L2103" s="1"/>
      <c r="M2103" s="1"/>
      <c r="N2103" s="1"/>
      <c r="O2103" s="1"/>
      <c r="P2103" s="1"/>
      <c r="Q2103" s="1"/>
      <c r="R2103" s="1"/>
      <c r="S2103" s="1"/>
    </row>
    <row r="2104">
      <c r="A2104" s="1"/>
      <c r="B2104" s="1"/>
      <c r="C2104" s="1"/>
      <c r="D2104" s="1"/>
      <c r="E2104" s="1"/>
      <c r="F2104" s="1"/>
      <c r="G2104" s="1"/>
      <c r="H2104" s="1"/>
      <c r="I2104" s="1"/>
      <c r="J2104" s="1"/>
      <c r="K2104" s="1"/>
      <c r="L2104" s="1"/>
      <c r="M2104" s="1"/>
      <c r="N2104" s="1"/>
      <c r="O2104" s="1"/>
      <c r="P2104" s="1"/>
      <c r="Q2104" s="1"/>
      <c r="R2104" s="1"/>
      <c r="S2104" s="1"/>
    </row>
    <row r="2105">
      <c r="A2105" s="1"/>
      <c r="B2105" s="1"/>
      <c r="C2105" s="1"/>
      <c r="D2105" s="1"/>
      <c r="E2105" s="1"/>
      <c r="F2105" s="1"/>
      <c r="G2105" s="1"/>
      <c r="H2105" s="1"/>
      <c r="I2105" s="1"/>
      <c r="J2105" s="1"/>
      <c r="K2105" s="1"/>
      <c r="L2105" s="1"/>
      <c r="M2105" s="1"/>
      <c r="N2105" s="1"/>
      <c r="O2105" s="1"/>
      <c r="P2105" s="1"/>
      <c r="Q2105" s="1"/>
      <c r="R2105" s="1"/>
      <c r="S2105" s="1"/>
    </row>
    <row r="2106">
      <c r="A2106" s="1"/>
      <c r="B2106" s="1"/>
      <c r="C2106" s="1"/>
      <c r="D2106" s="1"/>
      <c r="E2106" s="1"/>
      <c r="F2106" s="1"/>
      <c r="G2106" s="1"/>
      <c r="H2106" s="1"/>
      <c r="I2106" s="1"/>
      <c r="J2106" s="1"/>
      <c r="K2106" s="1"/>
      <c r="L2106" s="1"/>
      <c r="M2106" s="1"/>
      <c r="N2106" s="1"/>
      <c r="O2106" s="1"/>
      <c r="P2106" s="1"/>
      <c r="Q2106" s="1"/>
      <c r="R2106" s="1"/>
      <c r="S2106" s="1"/>
    </row>
    <row r="2107">
      <c r="A2107" s="1"/>
      <c r="B2107" s="1"/>
      <c r="C2107" s="1"/>
      <c r="D2107" s="1"/>
      <c r="E2107" s="1"/>
      <c r="F2107" s="1"/>
      <c r="G2107" s="1"/>
      <c r="H2107" s="1"/>
      <c r="I2107" s="1"/>
      <c r="J2107" s="1"/>
      <c r="K2107" s="1"/>
      <c r="L2107" s="1"/>
      <c r="M2107" s="1"/>
      <c r="N2107" s="1"/>
      <c r="O2107" s="1"/>
      <c r="P2107" s="1"/>
      <c r="Q2107" s="1"/>
      <c r="R2107" s="1"/>
      <c r="S2107" s="1"/>
    </row>
    <row r="2108">
      <c r="A2108" s="1"/>
      <c r="B2108" s="1"/>
      <c r="C2108" s="1"/>
      <c r="D2108" s="1"/>
      <c r="E2108" s="1"/>
      <c r="F2108" s="1"/>
      <c r="G2108" s="1"/>
      <c r="H2108" s="1"/>
      <c r="I2108" s="1"/>
      <c r="J2108" s="1"/>
      <c r="K2108" s="1"/>
      <c r="L2108" s="1"/>
      <c r="M2108" s="1"/>
      <c r="N2108" s="1"/>
      <c r="O2108" s="1"/>
      <c r="P2108" s="1"/>
      <c r="Q2108" s="1"/>
      <c r="R2108" s="1"/>
      <c r="S2108" s="1"/>
    </row>
    <row r="2109">
      <c r="A2109" s="1"/>
      <c r="B2109" s="1"/>
      <c r="C2109" s="1"/>
      <c r="D2109" s="1"/>
      <c r="E2109" s="1"/>
      <c r="F2109" s="1"/>
      <c r="G2109" s="1"/>
      <c r="H2109" s="1"/>
      <c r="I2109" s="1"/>
      <c r="J2109" s="1"/>
      <c r="K2109" s="1"/>
      <c r="L2109" s="1"/>
      <c r="M2109" s="1"/>
      <c r="N2109" s="1"/>
      <c r="O2109" s="1"/>
      <c r="P2109" s="1"/>
      <c r="Q2109" s="1"/>
      <c r="R2109" s="1"/>
      <c r="S2109" s="1"/>
    </row>
    <row r="2110">
      <c r="A2110" s="1"/>
      <c r="B2110" s="1"/>
      <c r="C2110" s="1"/>
      <c r="D2110" s="1"/>
      <c r="E2110" s="1"/>
      <c r="F2110" s="1"/>
      <c r="G2110" s="1"/>
      <c r="H2110" s="1"/>
      <c r="I2110" s="1"/>
      <c r="J2110" s="1"/>
      <c r="K2110" s="1"/>
      <c r="L2110" s="1"/>
      <c r="M2110" s="1"/>
      <c r="N2110" s="1"/>
      <c r="O2110" s="1"/>
      <c r="P2110" s="1"/>
      <c r="Q2110" s="1"/>
      <c r="R2110" s="1"/>
      <c r="S2110" s="1"/>
    </row>
    <row r="2111">
      <c r="A2111" s="1"/>
      <c r="B2111" s="1"/>
      <c r="C2111" s="1"/>
      <c r="D2111" s="1"/>
      <c r="E2111" s="1"/>
      <c r="F2111" s="1"/>
      <c r="G2111" s="1"/>
      <c r="H2111" s="1"/>
      <c r="I2111" s="1"/>
      <c r="J2111" s="1"/>
      <c r="K2111" s="1"/>
      <c r="L2111" s="1"/>
      <c r="M2111" s="1"/>
      <c r="N2111" s="1"/>
      <c r="O2111" s="1"/>
      <c r="P2111" s="1"/>
      <c r="Q2111" s="1"/>
      <c r="R2111" s="1"/>
      <c r="S2111" s="1"/>
    </row>
    <row r="2112">
      <c r="A2112" s="1"/>
      <c r="B2112" s="1"/>
      <c r="C2112" s="1"/>
      <c r="D2112" s="1"/>
      <c r="E2112" s="1"/>
      <c r="F2112" s="1"/>
      <c r="G2112" s="1"/>
      <c r="H2112" s="1"/>
      <c r="I2112" s="1"/>
      <c r="J2112" s="1"/>
      <c r="K2112" s="1"/>
      <c r="L2112" s="1"/>
      <c r="M2112" s="1"/>
      <c r="N2112" s="1"/>
      <c r="O2112" s="1"/>
      <c r="P2112" s="1"/>
      <c r="Q2112" s="1"/>
      <c r="R2112" s="1"/>
      <c r="S2112" s="1"/>
    </row>
    <row r="2113">
      <c r="A2113" s="1"/>
      <c r="B2113" s="1"/>
      <c r="C2113" s="1"/>
      <c r="D2113" s="1"/>
      <c r="E2113" s="1"/>
      <c r="F2113" s="1"/>
      <c r="G2113" s="1"/>
      <c r="H2113" s="1"/>
      <c r="I2113" s="1"/>
      <c r="J2113" s="1"/>
      <c r="K2113" s="1"/>
      <c r="L2113" s="1"/>
      <c r="M2113" s="1"/>
      <c r="N2113" s="1"/>
      <c r="O2113" s="1"/>
      <c r="P2113" s="1"/>
      <c r="Q2113" s="1"/>
      <c r="R2113" s="1"/>
      <c r="S211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9.38"/>
    <col customWidth="1" min="3" max="3" width="70.25"/>
    <col customWidth="1" min="4" max="4" width="19.5"/>
    <col customWidth="1" min="5" max="5" width="11.88"/>
    <col customWidth="1" min="6" max="6" width="20.25"/>
  </cols>
  <sheetData>
    <row r="1">
      <c r="A1" s="5" t="s">
        <v>0</v>
      </c>
      <c r="B1" s="5" t="s">
        <v>1</v>
      </c>
      <c r="C1" s="5" t="s">
        <v>2</v>
      </c>
      <c r="D1" s="5" t="s">
        <v>3</v>
      </c>
      <c r="E1" s="5" t="s">
        <v>4</v>
      </c>
      <c r="F1" s="5" t="s">
        <v>5</v>
      </c>
    </row>
    <row r="2">
      <c r="A2" s="5">
        <v>8.1781488E9</v>
      </c>
      <c r="B2" s="5" t="s">
        <v>6</v>
      </c>
      <c r="C2" s="5" t="s">
        <v>7</v>
      </c>
      <c r="D2" s="5" t="s">
        <v>8</v>
      </c>
      <c r="E2" s="5" t="s">
        <v>9</v>
      </c>
      <c r="F2" s="5" t="s">
        <v>10</v>
      </c>
    </row>
    <row r="3">
      <c r="A3" s="5">
        <v>9.311691012E9</v>
      </c>
      <c r="B3" s="5" t="s">
        <v>11</v>
      </c>
      <c r="C3" s="5" t="s">
        <v>12</v>
      </c>
      <c r="D3" s="5" t="s">
        <v>8</v>
      </c>
      <c r="E3" s="5" t="s">
        <v>9</v>
      </c>
      <c r="F3" s="5" t="s">
        <v>10</v>
      </c>
    </row>
    <row r="4">
      <c r="A4" s="5">
        <v>9.810007503E9</v>
      </c>
      <c r="B4" s="5" t="s">
        <v>13</v>
      </c>
      <c r="C4" s="5" t="s">
        <v>14</v>
      </c>
      <c r="D4" s="5" t="s">
        <v>8</v>
      </c>
      <c r="E4" s="5" t="s">
        <v>9</v>
      </c>
      <c r="F4" s="5" t="s">
        <v>10</v>
      </c>
    </row>
    <row r="5">
      <c r="A5" s="5">
        <v>9.873041853E9</v>
      </c>
      <c r="B5" s="5" t="s">
        <v>15</v>
      </c>
      <c r="C5" s="5" t="s">
        <v>16</v>
      </c>
      <c r="D5" s="5" t="s">
        <v>8</v>
      </c>
      <c r="E5" s="5" t="s">
        <v>9</v>
      </c>
      <c r="F5" s="5" t="s">
        <v>10</v>
      </c>
    </row>
    <row r="6">
      <c r="A6" s="5">
        <v>9.212674929E9</v>
      </c>
      <c r="B6" s="5" t="s">
        <v>17</v>
      </c>
      <c r="C6" s="5" t="s">
        <v>18</v>
      </c>
      <c r="D6" s="5" t="s">
        <v>8</v>
      </c>
      <c r="E6" s="5" t="s">
        <v>9</v>
      </c>
      <c r="F6" s="5" t="s">
        <v>10</v>
      </c>
    </row>
    <row r="7">
      <c r="A7" s="5">
        <v>8.800939462E9</v>
      </c>
      <c r="B7" s="5" t="s">
        <v>19</v>
      </c>
      <c r="C7" s="5" t="s">
        <v>20</v>
      </c>
      <c r="D7" s="5" t="s">
        <v>8</v>
      </c>
      <c r="E7" s="5" t="s">
        <v>9</v>
      </c>
      <c r="F7" s="5" t="s">
        <v>10</v>
      </c>
    </row>
    <row r="8">
      <c r="A8" s="5">
        <v>9.999728283E9</v>
      </c>
      <c r="B8" s="5" t="s">
        <v>21</v>
      </c>
      <c r="C8" s="5" t="s">
        <v>22</v>
      </c>
      <c r="D8" s="5" t="s">
        <v>8</v>
      </c>
      <c r="E8" s="5" t="s">
        <v>9</v>
      </c>
      <c r="F8" s="5" t="s">
        <v>10</v>
      </c>
    </row>
    <row r="9">
      <c r="A9" s="5">
        <v>8.860741616E9</v>
      </c>
      <c r="B9" s="5" t="s">
        <v>23</v>
      </c>
      <c r="C9" s="5" t="s">
        <v>24</v>
      </c>
      <c r="D9" s="5" t="s">
        <v>8</v>
      </c>
      <c r="E9" s="5" t="s">
        <v>9</v>
      </c>
      <c r="F9" s="5" t="s">
        <v>10</v>
      </c>
    </row>
    <row r="10">
      <c r="A10" s="5">
        <v>8.860590814E9</v>
      </c>
      <c r="B10" s="5" t="s">
        <v>25</v>
      </c>
      <c r="C10" s="5" t="s">
        <v>26</v>
      </c>
      <c r="D10" s="5" t="s">
        <v>8</v>
      </c>
      <c r="E10" s="5" t="s">
        <v>9</v>
      </c>
      <c r="F10" s="5" t="s">
        <v>10</v>
      </c>
    </row>
    <row r="11">
      <c r="A11" s="5">
        <v>8.974251308E9</v>
      </c>
      <c r="B11" s="5" t="s">
        <v>27</v>
      </c>
      <c r="C11" s="5" t="s">
        <v>28</v>
      </c>
      <c r="D11" s="5" t="s">
        <v>8</v>
      </c>
      <c r="E11" s="5" t="s">
        <v>9</v>
      </c>
      <c r="F11" s="5" t="s">
        <v>10</v>
      </c>
    </row>
    <row r="12">
      <c r="A12" s="5">
        <v>9.81880272E9</v>
      </c>
      <c r="B12" s="5" t="s">
        <v>29</v>
      </c>
      <c r="C12" s="5" t="s">
        <v>30</v>
      </c>
      <c r="D12" s="5" t="s">
        <v>8</v>
      </c>
      <c r="E12" s="5" t="s">
        <v>9</v>
      </c>
      <c r="F12" s="5" t="s">
        <v>10</v>
      </c>
    </row>
    <row r="13">
      <c r="A13" s="5">
        <v>9.811795829E9</v>
      </c>
      <c r="B13" s="5" t="s">
        <v>31</v>
      </c>
      <c r="C13" s="5" t="s">
        <v>32</v>
      </c>
      <c r="D13" s="5" t="s">
        <v>8</v>
      </c>
      <c r="E13" s="5" t="s">
        <v>9</v>
      </c>
      <c r="F13" s="5" t="s">
        <v>10</v>
      </c>
    </row>
    <row r="14">
      <c r="A14" s="5">
        <v>8.826313399E9</v>
      </c>
      <c r="B14" s="5" t="s">
        <v>33</v>
      </c>
      <c r="C14" s="5" t="s">
        <v>34</v>
      </c>
      <c r="D14" s="5" t="s">
        <v>8</v>
      </c>
      <c r="E14" s="5" t="s">
        <v>9</v>
      </c>
      <c r="F14" s="5" t="s">
        <v>10</v>
      </c>
    </row>
    <row r="15">
      <c r="A15" s="5">
        <v>9.810100011E9</v>
      </c>
      <c r="B15" s="5" t="s">
        <v>35</v>
      </c>
      <c r="C15" s="5" t="s">
        <v>36</v>
      </c>
      <c r="D15" s="5" t="s">
        <v>8</v>
      </c>
      <c r="E15" s="5" t="s">
        <v>9</v>
      </c>
      <c r="F15" s="5" t="s">
        <v>10</v>
      </c>
    </row>
    <row r="16">
      <c r="A16" s="5">
        <v>9.643705979E9</v>
      </c>
      <c r="B16" s="5" t="s">
        <v>37</v>
      </c>
      <c r="C16" s="5" t="s">
        <v>38</v>
      </c>
      <c r="D16" s="5" t="s">
        <v>8</v>
      </c>
      <c r="E16" s="5" t="s">
        <v>9</v>
      </c>
      <c r="F16" s="5" t="s">
        <v>10</v>
      </c>
    </row>
    <row r="17">
      <c r="A17" s="5">
        <v>9.56034111E9</v>
      </c>
      <c r="B17" s="5" t="s">
        <v>39</v>
      </c>
      <c r="C17" s="5" t="s">
        <v>40</v>
      </c>
      <c r="D17" s="5" t="s">
        <v>8</v>
      </c>
      <c r="E17" s="5" t="s">
        <v>9</v>
      </c>
      <c r="F17" s="5" t="s">
        <v>10</v>
      </c>
    </row>
    <row r="18">
      <c r="A18" s="5">
        <v>8.010046101E9</v>
      </c>
      <c r="B18" s="5" t="s">
        <v>41</v>
      </c>
      <c r="C18" s="5" t="s">
        <v>42</v>
      </c>
      <c r="D18" s="5" t="s">
        <v>8</v>
      </c>
      <c r="E18" s="5" t="s">
        <v>9</v>
      </c>
      <c r="F18" s="5" t="s">
        <v>10</v>
      </c>
    </row>
    <row r="19">
      <c r="A19" s="5">
        <v>9.810857727E9</v>
      </c>
      <c r="B19" s="5" t="s">
        <v>43</v>
      </c>
      <c r="C19" s="5" t="s">
        <v>44</v>
      </c>
      <c r="D19" s="5" t="s">
        <v>8</v>
      </c>
      <c r="E19" s="5" t="s">
        <v>9</v>
      </c>
      <c r="F19" s="5" t="s">
        <v>10</v>
      </c>
    </row>
    <row r="20">
      <c r="A20" s="5">
        <v>9.560915533E9</v>
      </c>
      <c r="B20" s="5" t="s">
        <v>45</v>
      </c>
      <c r="C20" s="5" t="s">
        <v>46</v>
      </c>
      <c r="D20" s="5" t="s">
        <v>8</v>
      </c>
      <c r="E20" s="5" t="s">
        <v>9</v>
      </c>
      <c r="F20" s="5" t="s">
        <v>10</v>
      </c>
    </row>
    <row r="21">
      <c r="A21" s="5">
        <v>8.375933947E9</v>
      </c>
      <c r="B21" s="5" t="s">
        <v>47</v>
      </c>
      <c r="C21" s="5" t="s">
        <v>48</v>
      </c>
      <c r="D21" s="5" t="s">
        <v>8</v>
      </c>
      <c r="E21" s="5" t="s">
        <v>9</v>
      </c>
      <c r="F21" s="5" t="s">
        <v>10</v>
      </c>
    </row>
    <row r="22">
      <c r="A22" s="5">
        <v>9.910925269E9</v>
      </c>
      <c r="B22" s="5" t="s">
        <v>49</v>
      </c>
      <c r="C22" s="5" t="s">
        <v>50</v>
      </c>
      <c r="D22" s="5" t="s">
        <v>8</v>
      </c>
      <c r="E22" s="5" t="s">
        <v>9</v>
      </c>
      <c r="F22" s="5" t="s">
        <v>10</v>
      </c>
    </row>
    <row r="23">
      <c r="A23" s="5">
        <v>9.873833656E9</v>
      </c>
      <c r="B23" s="5" t="s">
        <v>51</v>
      </c>
      <c r="C23" s="5" t="s">
        <v>52</v>
      </c>
      <c r="D23" s="5" t="s">
        <v>8</v>
      </c>
      <c r="E23" s="5" t="s">
        <v>9</v>
      </c>
      <c r="F23" s="5" t="s">
        <v>10</v>
      </c>
    </row>
    <row r="24">
      <c r="A24" s="5">
        <v>9.555152166E9</v>
      </c>
      <c r="B24" s="5" t="s">
        <v>53</v>
      </c>
      <c r="C24" s="5" t="s">
        <v>54</v>
      </c>
      <c r="D24" s="5" t="s">
        <v>8</v>
      </c>
      <c r="E24" s="5" t="s">
        <v>9</v>
      </c>
      <c r="F24" s="5" t="s">
        <v>10</v>
      </c>
    </row>
    <row r="25">
      <c r="A25" s="5">
        <v>9.899226225E9</v>
      </c>
      <c r="B25" s="5" t="s">
        <v>55</v>
      </c>
      <c r="C25" s="5" t="s">
        <v>56</v>
      </c>
      <c r="D25" s="5" t="s">
        <v>8</v>
      </c>
      <c r="E25" s="5" t="s">
        <v>9</v>
      </c>
      <c r="F25" s="5" t="s">
        <v>10</v>
      </c>
    </row>
    <row r="26">
      <c r="A26" s="5">
        <v>9.871024292E9</v>
      </c>
      <c r="B26" s="5" t="s">
        <v>57</v>
      </c>
      <c r="C26" s="5" t="s">
        <v>58</v>
      </c>
      <c r="D26" s="5" t="s">
        <v>8</v>
      </c>
      <c r="E26" s="5" t="s">
        <v>9</v>
      </c>
      <c r="F26" s="5" t="s">
        <v>10</v>
      </c>
    </row>
    <row r="27">
      <c r="A27" s="5">
        <v>7.827182727E9</v>
      </c>
      <c r="B27" s="5" t="s">
        <v>59</v>
      </c>
      <c r="C27" s="5" t="s">
        <v>60</v>
      </c>
      <c r="D27" s="5" t="s">
        <v>8</v>
      </c>
      <c r="E27" s="5" t="s">
        <v>9</v>
      </c>
      <c r="F27" s="5" t="s">
        <v>10</v>
      </c>
    </row>
    <row r="28">
      <c r="A28" s="5">
        <v>9.871089414E9</v>
      </c>
      <c r="B28" s="5" t="s">
        <v>61</v>
      </c>
      <c r="C28" s="5" t="s">
        <v>62</v>
      </c>
      <c r="D28" s="5" t="s">
        <v>8</v>
      </c>
      <c r="E28" s="5" t="s">
        <v>9</v>
      </c>
      <c r="F28" s="5" t="s">
        <v>10</v>
      </c>
    </row>
    <row r="29">
      <c r="A29" s="5">
        <v>7.906897981E9</v>
      </c>
      <c r="B29" s="5" t="s">
        <v>63</v>
      </c>
      <c r="C29" s="5" t="s">
        <v>64</v>
      </c>
      <c r="D29" s="5" t="s">
        <v>8</v>
      </c>
      <c r="E29" s="5" t="s">
        <v>9</v>
      </c>
      <c r="F29" s="5" t="s">
        <v>10</v>
      </c>
    </row>
    <row r="30">
      <c r="A30" s="5">
        <v>9.212157824E9</v>
      </c>
      <c r="B30" s="5" t="s">
        <v>65</v>
      </c>
      <c r="C30" s="5" t="s">
        <v>66</v>
      </c>
      <c r="D30" s="5" t="s">
        <v>8</v>
      </c>
      <c r="E30" s="5" t="s">
        <v>9</v>
      </c>
      <c r="F30" s="5" t="s">
        <v>10</v>
      </c>
    </row>
    <row r="31">
      <c r="A31" s="5">
        <v>8.586968902E9</v>
      </c>
      <c r="B31" s="5" t="s">
        <v>67</v>
      </c>
      <c r="C31" s="5" t="s">
        <v>68</v>
      </c>
      <c r="D31" s="5" t="s">
        <v>8</v>
      </c>
      <c r="E31" s="5" t="s">
        <v>9</v>
      </c>
      <c r="F31" s="5" t="s">
        <v>10</v>
      </c>
    </row>
    <row r="32">
      <c r="A32" s="5">
        <v>9.711100748E9</v>
      </c>
      <c r="B32" s="5" t="s">
        <v>69</v>
      </c>
      <c r="C32" s="5" t="s">
        <v>70</v>
      </c>
      <c r="D32" s="5" t="s">
        <v>8</v>
      </c>
      <c r="E32" s="5" t="s">
        <v>9</v>
      </c>
      <c r="F32" s="5" t="s">
        <v>10</v>
      </c>
    </row>
    <row r="33">
      <c r="A33" s="5">
        <v>9.386347767E9</v>
      </c>
      <c r="B33" s="5" t="s">
        <v>71</v>
      </c>
      <c r="C33" s="5" t="s">
        <v>72</v>
      </c>
      <c r="D33" s="5" t="s">
        <v>8</v>
      </c>
      <c r="E33" s="5" t="s">
        <v>9</v>
      </c>
      <c r="F33" s="5" t="s">
        <v>10</v>
      </c>
    </row>
    <row r="34">
      <c r="A34" s="5">
        <v>9.098649418E9</v>
      </c>
      <c r="B34" s="5" t="s">
        <v>73</v>
      </c>
      <c r="C34" s="5" t="s">
        <v>74</v>
      </c>
      <c r="D34" s="5" t="s">
        <v>8</v>
      </c>
      <c r="E34" s="5" t="s">
        <v>9</v>
      </c>
      <c r="F34" s="5" t="s">
        <v>10</v>
      </c>
    </row>
    <row r="35">
      <c r="A35" s="5">
        <v>9.891102336E9</v>
      </c>
      <c r="B35" s="5" t="s">
        <v>75</v>
      </c>
      <c r="C35" s="5" t="s">
        <v>76</v>
      </c>
      <c r="D35" s="5" t="s">
        <v>8</v>
      </c>
      <c r="E35" s="5" t="s">
        <v>9</v>
      </c>
      <c r="F35" s="5" t="s">
        <v>10</v>
      </c>
    </row>
    <row r="36">
      <c r="A36" s="5">
        <v>8.800985838E9</v>
      </c>
      <c r="B36" s="5" t="s">
        <v>77</v>
      </c>
      <c r="C36" s="5" t="s">
        <v>78</v>
      </c>
      <c r="D36" s="5" t="s">
        <v>8</v>
      </c>
      <c r="E36" s="5" t="s">
        <v>9</v>
      </c>
      <c r="F36" s="5" t="s">
        <v>10</v>
      </c>
    </row>
    <row r="37">
      <c r="A37" s="5">
        <v>9.664591719E9</v>
      </c>
      <c r="B37" s="5" t="s">
        <v>79</v>
      </c>
      <c r="C37" s="5" t="s">
        <v>80</v>
      </c>
      <c r="D37" s="5" t="s">
        <v>8</v>
      </c>
      <c r="E37" s="5" t="s">
        <v>9</v>
      </c>
      <c r="F37" s="5" t="s">
        <v>10</v>
      </c>
    </row>
    <row r="38">
      <c r="A38" s="5">
        <v>8.929324941E9</v>
      </c>
      <c r="B38" s="5" t="s">
        <v>81</v>
      </c>
      <c r="C38" s="5" t="s">
        <v>82</v>
      </c>
      <c r="D38" s="5" t="s">
        <v>8</v>
      </c>
      <c r="E38" s="5" t="s">
        <v>9</v>
      </c>
      <c r="F38" s="5" t="s">
        <v>10</v>
      </c>
    </row>
    <row r="39">
      <c r="A39" s="5">
        <v>9.810413272E9</v>
      </c>
      <c r="B39" s="5" t="s">
        <v>83</v>
      </c>
      <c r="C39" s="5" t="s">
        <v>84</v>
      </c>
      <c r="D39" s="5" t="s">
        <v>8</v>
      </c>
      <c r="E39" s="5" t="s">
        <v>9</v>
      </c>
      <c r="F39" s="5" t="s">
        <v>10</v>
      </c>
    </row>
    <row r="40">
      <c r="A40" s="5">
        <v>9.313251554E9</v>
      </c>
      <c r="B40" s="5" t="s">
        <v>85</v>
      </c>
      <c r="C40" s="5" t="s">
        <v>86</v>
      </c>
      <c r="D40" s="5" t="s">
        <v>8</v>
      </c>
      <c r="E40" s="5" t="s">
        <v>9</v>
      </c>
      <c r="F40" s="5" t="s">
        <v>10</v>
      </c>
    </row>
    <row r="41">
      <c r="A41" s="5">
        <v>9.81062888E9</v>
      </c>
      <c r="B41" s="5" t="s">
        <v>87</v>
      </c>
      <c r="C41" s="5" t="s">
        <v>88</v>
      </c>
      <c r="D41" s="5" t="s">
        <v>8</v>
      </c>
      <c r="E41" s="5" t="s">
        <v>9</v>
      </c>
      <c r="F41" s="5" t="s">
        <v>10</v>
      </c>
    </row>
    <row r="42">
      <c r="A42" s="5">
        <v>9.717700546E9</v>
      </c>
      <c r="B42" s="5" t="s">
        <v>89</v>
      </c>
      <c r="C42" s="5" t="s">
        <v>90</v>
      </c>
      <c r="D42" s="5" t="s">
        <v>8</v>
      </c>
      <c r="E42" s="5" t="s">
        <v>9</v>
      </c>
      <c r="F42" s="5" t="s">
        <v>10</v>
      </c>
    </row>
    <row r="43">
      <c r="A43" s="5">
        <v>9.711063633E9</v>
      </c>
      <c r="B43" s="5" t="s">
        <v>91</v>
      </c>
      <c r="C43" s="5" t="s">
        <v>92</v>
      </c>
      <c r="D43" s="5" t="s">
        <v>8</v>
      </c>
      <c r="E43" s="5" t="s">
        <v>9</v>
      </c>
      <c r="F43" s="5" t="s">
        <v>10</v>
      </c>
    </row>
    <row r="44">
      <c r="A44" s="5">
        <v>8.851312233E9</v>
      </c>
      <c r="B44" s="5" t="s">
        <v>93</v>
      </c>
      <c r="C44" s="5" t="s">
        <v>94</v>
      </c>
      <c r="D44" s="5" t="s">
        <v>8</v>
      </c>
      <c r="E44" s="5" t="s">
        <v>9</v>
      </c>
      <c r="F44" s="5" t="s">
        <v>10</v>
      </c>
    </row>
    <row r="45">
      <c r="A45" s="5">
        <v>9.990054084E9</v>
      </c>
      <c r="B45" s="5" t="s">
        <v>95</v>
      </c>
      <c r="C45" s="5" t="s">
        <v>96</v>
      </c>
      <c r="D45" s="5" t="s">
        <v>8</v>
      </c>
      <c r="E45" s="5" t="s">
        <v>9</v>
      </c>
      <c r="F45" s="5" t="s">
        <v>10</v>
      </c>
    </row>
    <row r="46">
      <c r="A46" s="5">
        <v>9.810287478E9</v>
      </c>
      <c r="B46" s="5" t="s">
        <v>97</v>
      </c>
      <c r="C46" s="5" t="s">
        <v>98</v>
      </c>
      <c r="D46" s="5" t="s">
        <v>8</v>
      </c>
      <c r="E46" s="5" t="s">
        <v>9</v>
      </c>
      <c r="F46" s="5" t="s">
        <v>10</v>
      </c>
    </row>
    <row r="47">
      <c r="A47" s="5">
        <v>9.71702601E9</v>
      </c>
      <c r="B47" s="5" t="s">
        <v>99</v>
      </c>
      <c r="C47" s="5" t="s">
        <v>100</v>
      </c>
      <c r="D47" s="5" t="s">
        <v>8</v>
      </c>
      <c r="E47" s="5" t="s">
        <v>9</v>
      </c>
      <c r="F47" s="5" t="s">
        <v>10</v>
      </c>
    </row>
    <row r="48">
      <c r="A48" s="5">
        <v>9.891000073E9</v>
      </c>
      <c r="B48" s="5" t="s">
        <v>101</v>
      </c>
      <c r="C48" s="5" t="s">
        <v>102</v>
      </c>
      <c r="D48" s="5" t="s">
        <v>8</v>
      </c>
      <c r="E48" s="5" t="s">
        <v>9</v>
      </c>
      <c r="F48" s="5" t="s">
        <v>10</v>
      </c>
    </row>
    <row r="49">
      <c r="A49" s="5">
        <v>9.873282859E9</v>
      </c>
      <c r="B49" s="5" t="s">
        <v>103</v>
      </c>
      <c r="C49" s="5" t="s">
        <v>104</v>
      </c>
      <c r="D49" s="5" t="s">
        <v>8</v>
      </c>
      <c r="E49" s="5" t="s">
        <v>9</v>
      </c>
      <c r="F49" s="5" t="s">
        <v>10</v>
      </c>
    </row>
    <row r="50">
      <c r="A50" s="5">
        <v>9.811675741E9</v>
      </c>
      <c r="B50" s="5" t="s">
        <v>105</v>
      </c>
      <c r="C50" s="5" t="s">
        <v>106</v>
      </c>
      <c r="D50" s="5" t="s">
        <v>8</v>
      </c>
      <c r="E50" s="5" t="s">
        <v>9</v>
      </c>
      <c r="F50" s="5" t="s">
        <v>10</v>
      </c>
    </row>
    <row r="51">
      <c r="A51" s="5">
        <v>9.914703643E9</v>
      </c>
      <c r="B51" s="5" t="s">
        <v>107</v>
      </c>
      <c r="C51" s="5" t="s">
        <v>108</v>
      </c>
      <c r="D51" s="5" t="s">
        <v>8</v>
      </c>
      <c r="E51" s="5" t="s">
        <v>9</v>
      </c>
      <c r="F51" s="5" t="s">
        <v>10</v>
      </c>
    </row>
    <row r="52">
      <c r="A52" s="5">
        <v>9.871153696E9</v>
      </c>
      <c r="B52" s="5" t="s">
        <v>109</v>
      </c>
      <c r="C52" s="5" t="s">
        <v>110</v>
      </c>
      <c r="D52" s="5" t="s">
        <v>8</v>
      </c>
      <c r="E52" s="5" t="s">
        <v>9</v>
      </c>
      <c r="F52" s="5" t="s">
        <v>10</v>
      </c>
    </row>
    <row r="53">
      <c r="A53" s="5">
        <v>9.871767175E9</v>
      </c>
      <c r="B53" s="5" t="s">
        <v>111</v>
      </c>
      <c r="C53" s="5" t="s">
        <v>112</v>
      </c>
      <c r="D53" s="5" t="s">
        <v>8</v>
      </c>
      <c r="E53" s="5" t="s">
        <v>9</v>
      </c>
      <c r="F53" s="5" t="s">
        <v>10</v>
      </c>
    </row>
    <row r="54">
      <c r="A54" s="5">
        <v>9.015802726E9</v>
      </c>
      <c r="B54" s="5" t="s">
        <v>113</v>
      </c>
      <c r="C54" s="5" t="s">
        <v>114</v>
      </c>
      <c r="D54" s="5" t="s">
        <v>8</v>
      </c>
      <c r="E54" s="5" t="s">
        <v>9</v>
      </c>
      <c r="F54" s="5" t="s">
        <v>10</v>
      </c>
    </row>
    <row r="55">
      <c r="A55" s="5">
        <v>9.868203875E9</v>
      </c>
      <c r="B55" s="5" t="s">
        <v>115</v>
      </c>
      <c r="C55" s="5" t="s">
        <v>116</v>
      </c>
      <c r="D55" s="5" t="s">
        <v>8</v>
      </c>
      <c r="E55" s="5" t="s">
        <v>9</v>
      </c>
      <c r="F55" s="5" t="s">
        <v>10</v>
      </c>
    </row>
    <row r="56">
      <c r="A56" s="5">
        <v>9.818317374E9</v>
      </c>
      <c r="B56" s="5" t="s">
        <v>117</v>
      </c>
      <c r="C56" s="5" t="s">
        <v>118</v>
      </c>
      <c r="D56" s="5" t="s">
        <v>8</v>
      </c>
      <c r="E56" s="5" t="s">
        <v>9</v>
      </c>
      <c r="F56" s="5" t="s">
        <v>10</v>
      </c>
    </row>
    <row r="57">
      <c r="A57" s="5">
        <v>8.527162516E9</v>
      </c>
      <c r="B57" s="5" t="s">
        <v>119</v>
      </c>
      <c r="C57" s="5" t="s">
        <v>120</v>
      </c>
      <c r="D57" s="5" t="s">
        <v>8</v>
      </c>
      <c r="E57" s="5" t="s">
        <v>9</v>
      </c>
      <c r="F57" s="5" t="s">
        <v>10</v>
      </c>
    </row>
    <row r="58">
      <c r="A58" s="5">
        <v>9.899322201E9</v>
      </c>
      <c r="B58" s="5" t="s">
        <v>121</v>
      </c>
      <c r="C58" s="5" t="s">
        <v>122</v>
      </c>
      <c r="D58" s="5" t="s">
        <v>8</v>
      </c>
      <c r="E58" s="5" t="s">
        <v>9</v>
      </c>
      <c r="F58" s="5" t="s">
        <v>10</v>
      </c>
    </row>
    <row r="59">
      <c r="A59" s="5">
        <v>9.871758037E9</v>
      </c>
      <c r="B59" s="5" t="s">
        <v>123</v>
      </c>
      <c r="C59" s="5" t="s">
        <v>124</v>
      </c>
      <c r="D59" s="5" t="s">
        <v>8</v>
      </c>
      <c r="E59" s="5" t="s">
        <v>9</v>
      </c>
      <c r="F59" s="5" t="s">
        <v>10</v>
      </c>
    </row>
    <row r="60">
      <c r="A60" s="5">
        <v>9.560540676E9</v>
      </c>
      <c r="B60" s="5" t="s">
        <v>125</v>
      </c>
      <c r="C60" s="5" t="s">
        <v>126</v>
      </c>
      <c r="D60" s="5" t="s">
        <v>8</v>
      </c>
      <c r="E60" s="5" t="s">
        <v>9</v>
      </c>
      <c r="F60" s="5" t="s">
        <v>10</v>
      </c>
    </row>
    <row r="61">
      <c r="A61" s="5">
        <v>8.373954151E9</v>
      </c>
      <c r="B61" s="5" t="s">
        <v>127</v>
      </c>
      <c r="C61" s="5" t="s">
        <v>128</v>
      </c>
      <c r="D61" s="5" t="s">
        <v>8</v>
      </c>
      <c r="E61" s="5" t="s">
        <v>9</v>
      </c>
      <c r="F61" s="5" t="s">
        <v>10</v>
      </c>
    </row>
    <row r="62">
      <c r="A62" s="5">
        <v>9.910950257E9</v>
      </c>
      <c r="B62" s="5" t="s">
        <v>129</v>
      </c>
      <c r="C62" s="5" t="s">
        <v>130</v>
      </c>
      <c r="D62" s="5" t="s">
        <v>8</v>
      </c>
      <c r="E62" s="5" t="s">
        <v>9</v>
      </c>
      <c r="F62" s="5" t="s">
        <v>10</v>
      </c>
    </row>
    <row r="63">
      <c r="A63" s="5">
        <v>8.375069085E9</v>
      </c>
      <c r="B63" s="5" t="s">
        <v>131</v>
      </c>
      <c r="C63" s="5" t="s">
        <v>132</v>
      </c>
      <c r="D63" s="5" t="s">
        <v>8</v>
      </c>
      <c r="E63" s="5" t="s">
        <v>9</v>
      </c>
      <c r="F63" s="5" t="s">
        <v>10</v>
      </c>
    </row>
    <row r="64">
      <c r="A64" s="5">
        <v>9.873245333E9</v>
      </c>
      <c r="B64" s="5" t="s">
        <v>133</v>
      </c>
      <c r="C64" s="5" t="s">
        <v>134</v>
      </c>
      <c r="D64" s="5" t="s">
        <v>8</v>
      </c>
      <c r="E64" s="5" t="s">
        <v>9</v>
      </c>
      <c r="F64" s="5" t="s">
        <v>10</v>
      </c>
    </row>
    <row r="65">
      <c r="A65" s="5">
        <v>8.130477446E9</v>
      </c>
      <c r="B65" s="5" t="s">
        <v>135</v>
      </c>
      <c r="C65" s="5" t="s">
        <v>136</v>
      </c>
      <c r="D65" s="5" t="s">
        <v>8</v>
      </c>
      <c r="E65" s="5" t="s">
        <v>9</v>
      </c>
      <c r="F65" s="5" t="s">
        <v>10</v>
      </c>
    </row>
    <row r="66">
      <c r="A66" s="5">
        <v>9.871939022E9</v>
      </c>
      <c r="B66" s="5" t="s">
        <v>137</v>
      </c>
      <c r="C66" s="5" t="s">
        <v>138</v>
      </c>
      <c r="D66" s="5" t="s">
        <v>8</v>
      </c>
      <c r="E66" s="5" t="s">
        <v>9</v>
      </c>
      <c r="F66" s="5" t="s">
        <v>10</v>
      </c>
    </row>
    <row r="67">
      <c r="A67" s="5">
        <v>9.911958928E9</v>
      </c>
      <c r="B67" s="5" t="s">
        <v>139</v>
      </c>
      <c r="C67" s="5" t="s">
        <v>140</v>
      </c>
      <c r="D67" s="5" t="s">
        <v>8</v>
      </c>
      <c r="E67" s="5" t="s">
        <v>9</v>
      </c>
      <c r="F67" s="5" t="s">
        <v>10</v>
      </c>
    </row>
    <row r="68">
      <c r="A68" s="5">
        <v>9.811900815E9</v>
      </c>
      <c r="B68" s="5" t="s">
        <v>141</v>
      </c>
      <c r="C68" s="5" t="s">
        <v>142</v>
      </c>
      <c r="D68" s="5" t="s">
        <v>8</v>
      </c>
      <c r="E68" s="5" t="s">
        <v>9</v>
      </c>
      <c r="F68" s="5" t="s">
        <v>10</v>
      </c>
    </row>
    <row r="69">
      <c r="A69" s="5">
        <v>9.350104257E9</v>
      </c>
      <c r="B69" s="5" t="s">
        <v>143</v>
      </c>
      <c r="C69" s="5" t="s">
        <v>144</v>
      </c>
      <c r="D69" s="5" t="s">
        <v>8</v>
      </c>
      <c r="E69" s="5" t="s">
        <v>9</v>
      </c>
      <c r="F69" s="5" t="s">
        <v>10</v>
      </c>
    </row>
    <row r="70">
      <c r="A70" s="5">
        <v>8.504863131E9</v>
      </c>
      <c r="B70" s="5" t="s">
        <v>145</v>
      </c>
      <c r="C70" s="5" t="s">
        <v>146</v>
      </c>
      <c r="D70" s="5" t="s">
        <v>8</v>
      </c>
      <c r="E70" s="5" t="s">
        <v>9</v>
      </c>
      <c r="F70" s="5" t="s">
        <v>10</v>
      </c>
    </row>
    <row r="71">
      <c r="A71" s="5">
        <v>9.818238387E9</v>
      </c>
      <c r="B71" s="5" t="s">
        <v>147</v>
      </c>
      <c r="C71" s="5" t="s">
        <v>148</v>
      </c>
      <c r="D71" s="5" t="s">
        <v>8</v>
      </c>
      <c r="E71" s="5" t="s">
        <v>9</v>
      </c>
      <c r="F71" s="5" t="s">
        <v>10</v>
      </c>
    </row>
    <row r="72">
      <c r="A72" s="5">
        <v>8.527616025E9</v>
      </c>
      <c r="B72" s="5" t="s">
        <v>149</v>
      </c>
      <c r="C72" s="5" t="s">
        <v>150</v>
      </c>
      <c r="D72" s="5" t="s">
        <v>8</v>
      </c>
      <c r="E72" s="5" t="s">
        <v>9</v>
      </c>
      <c r="F72" s="5" t="s">
        <v>10</v>
      </c>
    </row>
    <row r="73">
      <c r="A73" s="5">
        <v>9.310530559E9</v>
      </c>
      <c r="B73" s="5" t="s">
        <v>151</v>
      </c>
      <c r="C73" s="5" t="s">
        <v>152</v>
      </c>
      <c r="D73" s="5" t="s">
        <v>8</v>
      </c>
      <c r="E73" s="5" t="s">
        <v>9</v>
      </c>
      <c r="F73" s="5" t="s">
        <v>10</v>
      </c>
    </row>
    <row r="74">
      <c r="A74" s="5">
        <v>9.810795881E9</v>
      </c>
      <c r="B74" s="5" t="s">
        <v>153</v>
      </c>
      <c r="C74" s="5" t="s">
        <v>154</v>
      </c>
      <c r="D74" s="5" t="s">
        <v>8</v>
      </c>
      <c r="E74" s="5" t="s">
        <v>9</v>
      </c>
      <c r="F74" s="5" t="s">
        <v>10</v>
      </c>
    </row>
    <row r="75">
      <c r="A75" s="5">
        <v>9.817943109E9</v>
      </c>
      <c r="B75" s="5" t="s">
        <v>155</v>
      </c>
      <c r="C75" s="5" t="s">
        <v>156</v>
      </c>
      <c r="D75" s="5" t="s">
        <v>8</v>
      </c>
      <c r="E75" s="5" t="s">
        <v>9</v>
      </c>
      <c r="F75" s="5" t="s">
        <v>10</v>
      </c>
    </row>
    <row r="76">
      <c r="A76" s="5">
        <v>9.811252128E9</v>
      </c>
      <c r="B76" s="5" t="s">
        <v>157</v>
      </c>
      <c r="C76" s="5" t="s">
        <v>158</v>
      </c>
      <c r="D76" s="5" t="s">
        <v>8</v>
      </c>
      <c r="E76" s="5" t="s">
        <v>9</v>
      </c>
      <c r="F76" s="5" t="s">
        <v>10</v>
      </c>
    </row>
    <row r="77">
      <c r="A77" s="5">
        <v>9.971700776E9</v>
      </c>
      <c r="B77" s="5" t="s">
        <v>159</v>
      </c>
      <c r="C77" s="5" t="s">
        <v>160</v>
      </c>
      <c r="D77" s="5" t="s">
        <v>8</v>
      </c>
      <c r="E77" s="5" t="s">
        <v>9</v>
      </c>
      <c r="F77" s="5" t="s">
        <v>10</v>
      </c>
    </row>
    <row r="78">
      <c r="A78" s="5">
        <v>9.868149982E9</v>
      </c>
      <c r="B78" s="5" t="s">
        <v>161</v>
      </c>
      <c r="C78" s="5" t="s">
        <v>162</v>
      </c>
      <c r="D78" s="5" t="s">
        <v>8</v>
      </c>
      <c r="E78" s="5" t="s">
        <v>9</v>
      </c>
      <c r="F78" s="5" t="s">
        <v>10</v>
      </c>
    </row>
    <row r="79">
      <c r="A79" s="5">
        <v>9.999976925E9</v>
      </c>
      <c r="B79" s="5" t="s">
        <v>163</v>
      </c>
      <c r="C79" s="5" t="s">
        <v>164</v>
      </c>
      <c r="D79" s="5" t="s">
        <v>8</v>
      </c>
      <c r="E79" s="5" t="s">
        <v>9</v>
      </c>
      <c r="F79" s="5" t="s">
        <v>10</v>
      </c>
    </row>
    <row r="80">
      <c r="A80" s="5">
        <v>9.891203082E9</v>
      </c>
      <c r="B80" s="5" t="s">
        <v>165</v>
      </c>
      <c r="C80" s="5" t="s">
        <v>166</v>
      </c>
      <c r="D80" s="5" t="s">
        <v>8</v>
      </c>
      <c r="E80" s="5" t="s">
        <v>9</v>
      </c>
      <c r="F80" s="5" t="s">
        <v>10</v>
      </c>
    </row>
    <row r="81">
      <c r="A81" s="5">
        <v>9.999796925E9</v>
      </c>
      <c r="B81" s="5" t="s">
        <v>167</v>
      </c>
      <c r="C81" s="5" t="s">
        <v>168</v>
      </c>
      <c r="D81" s="5" t="s">
        <v>8</v>
      </c>
      <c r="E81" s="5" t="s">
        <v>9</v>
      </c>
      <c r="F81" s="5" t="s">
        <v>10</v>
      </c>
    </row>
    <row r="82">
      <c r="A82" s="5">
        <v>9.582159548E9</v>
      </c>
      <c r="B82" s="5" t="s">
        <v>169</v>
      </c>
      <c r="C82" s="5" t="s">
        <v>170</v>
      </c>
      <c r="D82" s="5" t="s">
        <v>8</v>
      </c>
      <c r="E82" s="5" t="s">
        <v>9</v>
      </c>
      <c r="F82" s="5" t="s">
        <v>10</v>
      </c>
    </row>
    <row r="83">
      <c r="A83" s="5">
        <v>9.711367631E9</v>
      </c>
      <c r="B83" s="5" t="s">
        <v>171</v>
      </c>
      <c r="C83" s="5" t="s">
        <v>172</v>
      </c>
      <c r="D83" s="5" t="s">
        <v>8</v>
      </c>
      <c r="E83" s="5" t="s">
        <v>9</v>
      </c>
      <c r="F83" s="5" t="s">
        <v>10</v>
      </c>
    </row>
    <row r="84">
      <c r="A84" s="5">
        <v>9.311065176E9</v>
      </c>
      <c r="B84" s="5" t="s">
        <v>173</v>
      </c>
      <c r="C84" s="5" t="s">
        <v>174</v>
      </c>
      <c r="D84" s="5" t="s">
        <v>8</v>
      </c>
      <c r="E84" s="5" t="s">
        <v>9</v>
      </c>
      <c r="F84" s="5" t="s">
        <v>10</v>
      </c>
    </row>
    <row r="85">
      <c r="A85" s="5">
        <v>8.44745154E9</v>
      </c>
      <c r="B85" s="5" t="s">
        <v>175</v>
      </c>
      <c r="C85" s="5" t="s">
        <v>176</v>
      </c>
      <c r="D85" s="5" t="s">
        <v>8</v>
      </c>
      <c r="E85" s="5" t="s">
        <v>9</v>
      </c>
      <c r="F85" s="5" t="s">
        <v>10</v>
      </c>
    </row>
    <row r="86">
      <c r="A86" s="5">
        <v>9.456284878E9</v>
      </c>
      <c r="B86" s="5" t="s">
        <v>175</v>
      </c>
      <c r="C86" s="5" t="s">
        <v>177</v>
      </c>
      <c r="D86" s="5" t="s">
        <v>8</v>
      </c>
      <c r="E86" s="5" t="s">
        <v>9</v>
      </c>
      <c r="F86" s="5" t="s">
        <v>10</v>
      </c>
    </row>
    <row r="87">
      <c r="A87" s="5">
        <v>9.810629311E9</v>
      </c>
      <c r="B87" s="5" t="s">
        <v>178</v>
      </c>
      <c r="C87" s="5" t="s">
        <v>179</v>
      </c>
      <c r="D87" s="5" t="s">
        <v>8</v>
      </c>
      <c r="E87" s="5" t="s">
        <v>9</v>
      </c>
      <c r="F87" s="5" t="s">
        <v>10</v>
      </c>
    </row>
    <row r="88">
      <c r="A88" s="5">
        <v>9.555184701E9</v>
      </c>
      <c r="B88" s="5" t="s">
        <v>180</v>
      </c>
      <c r="C88" s="5" t="s">
        <v>181</v>
      </c>
      <c r="D88" s="5" t="s">
        <v>8</v>
      </c>
      <c r="E88" s="5" t="s">
        <v>9</v>
      </c>
      <c r="F88" s="5" t="s">
        <v>10</v>
      </c>
    </row>
    <row r="89">
      <c r="A89" s="5">
        <v>9.811575861E9</v>
      </c>
      <c r="B89" s="5" t="s">
        <v>182</v>
      </c>
      <c r="C89" s="5" t="s">
        <v>183</v>
      </c>
      <c r="D89" s="5" t="s">
        <v>8</v>
      </c>
      <c r="E89" s="5" t="s">
        <v>9</v>
      </c>
      <c r="F89" s="5" t="s">
        <v>10</v>
      </c>
    </row>
    <row r="90">
      <c r="A90" s="5">
        <v>9.953950419E9</v>
      </c>
      <c r="B90" s="5" t="s">
        <v>184</v>
      </c>
      <c r="C90" s="5" t="s">
        <v>185</v>
      </c>
      <c r="D90" s="5" t="s">
        <v>8</v>
      </c>
      <c r="E90" s="5" t="s">
        <v>9</v>
      </c>
      <c r="F90" s="5" t="s">
        <v>10</v>
      </c>
    </row>
    <row r="91">
      <c r="A91" s="5">
        <v>8.368494008E9</v>
      </c>
      <c r="B91" s="5" t="s">
        <v>186</v>
      </c>
      <c r="C91" s="5" t="s">
        <v>187</v>
      </c>
      <c r="D91" s="5" t="s">
        <v>8</v>
      </c>
      <c r="E91" s="5" t="s">
        <v>9</v>
      </c>
      <c r="F91" s="5" t="s">
        <v>10</v>
      </c>
    </row>
    <row r="92">
      <c r="A92" s="5">
        <v>8.860980806E9</v>
      </c>
      <c r="B92" s="5" t="s">
        <v>188</v>
      </c>
      <c r="C92" s="5" t="s">
        <v>189</v>
      </c>
      <c r="D92" s="5" t="s">
        <v>8</v>
      </c>
      <c r="E92" s="5" t="s">
        <v>9</v>
      </c>
      <c r="F92" s="5" t="s">
        <v>10</v>
      </c>
    </row>
    <row r="93">
      <c r="A93" s="5">
        <v>9.310530559E9</v>
      </c>
      <c r="B93" s="5" t="s">
        <v>190</v>
      </c>
      <c r="C93" s="5" t="s">
        <v>152</v>
      </c>
      <c r="D93" s="5" t="s">
        <v>8</v>
      </c>
      <c r="E93" s="5" t="s">
        <v>9</v>
      </c>
      <c r="F93" s="5" t="s">
        <v>10</v>
      </c>
    </row>
    <row r="94">
      <c r="A94" s="5">
        <v>9.810629311E9</v>
      </c>
      <c r="B94" s="5" t="s">
        <v>178</v>
      </c>
      <c r="C94" s="5" t="s">
        <v>179</v>
      </c>
      <c r="D94" s="5" t="s">
        <v>8</v>
      </c>
      <c r="E94" s="5" t="s">
        <v>9</v>
      </c>
      <c r="F94" s="5" t="s">
        <v>10</v>
      </c>
    </row>
    <row r="95">
      <c r="A95" s="5">
        <v>9.999008756E9</v>
      </c>
      <c r="B95" s="5" t="s">
        <v>191</v>
      </c>
      <c r="C95" s="5" t="s">
        <v>192</v>
      </c>
      <c r="D95" s="5" t="s">
        <v>8</v>
      </c>
      <c r="E95" s="5" t="s">
        <v>9</v>
      </c>
      <c r="F95" s="5" t="s">
        <v>10</v>
      </c>
    </row>
    <row r="96">
      <c r="A96" s="5">
        <v>9.899383939E9</v>
      </c>
      <c r="B96" s="5" t="s">
        <v>193</v>
      </c>
      <c r="C96" s="5" t="s">
        <v>194</v>
      </c>
      <c r="D96" s="5" t="s">
        <v>8</v>
      </c>
      <c r="E96" s="5" t="s">
        <v>9</v>
      </c>
      <c r="F96" s="5" t="s">
        <v>10</v>
      </c>
    </row>
    <row r="97">
      <c r="A97" s="5">
        <v>9.871141433E9</v>
      </c>
      <c r="B97" s="5" t="s">
        <v>195</v>
      </c>
      <c r="C97" s="5" t="s">
        <v>196</v>
      </c>
      <c r="D97" s="5" t="s">
        <v>8</v>
      </c>
      <c r="E97" s="5" t="s">
        <v>9</v>
      </c>
      <c r="F97" s="5" t="s">
        <v>10</v>
      </c>
    </row>
    <row r="98">
      <c r="A98" s="5">
        <v>9.953937777E9</v>
      </c>
      <c r="B98" s="5" t="s">
        <v>197</v>
      </c>
      <c r="C98" s="5" t="s">
        <v>198</v>
      </c>
      <c r="D98" s="5" t="s">
        <v>8</v>
      </c>
      <c r="E98" s="5" t="s">
        <v>9</v>
      </c>
      <c r="F98" s="5" t="s">
        <v>10</v>
      </c>
    </row>
    <row r="99">
      <c r="A99" s="5">
        <v>9.599882233E9</v>
      </c>
      <c r="B99" s="5" t="s">
        <v>199</v>
      </c>
      <c r="C99" s="5" t="s">
        <v>200</v>
      </c>
      <c r="D99" s="5" t="s">
        <v>8</v>
      </c>
      <c r="E99" s="5" t="s">
        <v>9</v>
      </c>
      <c r="F99" s="5" t="s">
        <v>10</v>
      </c>
    </row>
    <row r="100">
      <c r="A100" s="5">
        <v>9.891181272E9</v>
      </c>
      <c r="B100" s="5" t="s">
        <v>201</v>
      </c>
      <c r="C100" s="5" t="s">
        <v>202</v>
      </c>
      <c r="D100" s="5" t="s">
        <v>8</v>
      </c>
      <c r="E100" s="5" t="s">
        <v>9</v>
      </c>
      <c r="F100" s="5" t="s">
        <v>10</v>
      </c>
    </row>
    <row r="101">
      <c r="A101" s="5">
        <v>9.818711033E9</v>
      </c>
      <c r="B101" s="5" t="s">
        <v>203</v>
      </c>
      <c r="C101" s="5" t="s">
        <v>204</v>
      </c>
      <c r="D101" s="5" t="s">
        <v>8</v>
      </c>
      <c r="E101" s="5" t="s">
        <v>9</v>
      </c>
      <c r="F101" s="5" t="s">
        <v>10</v>
      </c>
    </row>
    <row r="102">
      <c r="A102" s="5">
        <v>9.65405999E9</v>
      </c>
      <c r="B102" s="5" t="s">
        <v>205</v>
      </c>
      <c r="C102" s="5" t="s">
        <v>206</v>
      </c>
      <c r="D102" s="5" t="s">
        <v>8</v>
      </c>
      <c r="E102" s="5" t="s">
        <v>9</v>
      </c>
      <c r="F102" s="5" t="s">
        <v>10</v>
      </c>
    </row>
    <row r="103">
      <c r="A103" s="5">
        <v>9.711063633E9</v>
      </c>
      <c r="B103" s="5" t="s">
        <v>207</v>
      </c>
      <c r="C103" s="5" t="s">
        <v>92</v>
      </c>
      <c r="D103" s="5" t="s">
        <v>8</v>
      </c>
      <c r="E103" s="5" t="s">
        <v>9</v>
      </c>
      <c r="F103" s="5" t="s">
        <v>10</v>
      </c>
    </row>
    <row r="104">
      <c r="A104" s="5">
        <v>7.982125833E9</v>
      </c>
      <c r="B104" s="5" t="s">
        <v>208</v>
      </c>
      <c r="C104" s="5" t="s">
        <v>209</v>
      </c>
      <c r="D104" s="5" t="s">
        <v>8</v>
      </c>
      <c r="E104" s="5" t="s">
        <v>9</v>
      </c>
      <c r="F104" s="5" t="s">
        <v>10</v>
      </c>
    </row>
    <row r="105">
      <c r="A105" s="5">
        <v>9.810287478E9</v>
      </c>
      <c r="B105" s="5" t="s">
        <v>210</v>
      </c>
      <c r="C105" s="5" t="s">
        <v>98</v>
      </c>
      <c r="D105" s="5" t="s">
        <v>8</v>
      </c>
      <c r="E105" s="5" t="s">
        <v>9</v>
      </c>
      <c r="F105" s="5" t="s">
        <v>10</v>
      </c>
    </row>
    <row r="106">
      <c r="A106" s="5">
        <v>9.212399066E9</v>
      </c>
      <c r="B106" s="5" t="s">
        <v>211</v>
      </c>
      <c r="C106" s="5" t="s">
        <v>212</v>
      </c>
      <c r="D106" s="5" t="s">
        <v>8</v>
      </c>
      <c r="E106" s="5" t="s">
        <v>9</v>
      </c>
      <c r="F106" s="5" t="s">
        <v>10</v>
      </c>
    </row>
    <row r="107">
      <c r="A107" s="5">
        <v>9.650798068E9</v>
      </c>
      <c r="B107" s="5" t="s">
        <v>213</v>
      </c>
      <c r="C107" s="5" t="s">
        <v>214</v>
      </c>
      <c r="D107" s="5" t="s">
        <v>8</v>
      </c>
      <c r="E107" s="5" t="s">
        <v>9</v>
      </c>
      <c r="F107" s="5" t="s">
        <v>10</v>
      </c>
    </row>
    <row r="108">
      <c r="A108" s="5">
        <v>9.312263494E9</v>
      </c>
      <c r="B108" s="5" t="s">
        <v>215</v>
      </c>
      <c r="C108" s="5" t="s">
        <v>216</v>
      </c>
      <c r="D108" s="5" t="s">
        <v>8</v>
      </c>
      <c r="E108" s="5" t="s">
        <v>9</v>
      </c>
      <c r="F108" s="5" t="s">
        <v>10</v>
      </c>
    </row>
    <row r="109">
      <c r="A109" s="5">
        <v>9.810413272E9</v>
      </c>
      <c r="B109" s="5" t="s">
        <v>217</v>
      </c>
      <c r="C109" s="5" t="s">
        <v>84</v>
      </c>
      <c r="D109" s="5" t="s">
        <v>8</v>
      </c>
      <c r="E109" s="5" t="s">
        <v>9</v>
      </c>
      <c r="F109" s="5" t="s">
        <v>10</v>
      </c>
    </row>
    <row r="110">
      <c r="A110" s="5">
        <v>9.013329595E9</v>
      </c>
      <c r="B110" s="5" t="s">
        <v>218</v>
      </c>
      <c r="C110" s="5" t="s">
        <v>219</v>
      </c>
      <c r="D110" s="5" t="s">
        <v>8</v>
      </c>
      <c r="E110" s="5" t="s">
        <v>9</v>
      </c>
      <c r="F110" s="5" t="s">
        <v>10</v>
      </c>
    </row>
    <row r="111">
      <c r="A111" s="5">
        <v>8.29923193E9</v>
      </c>
      <c r="B111" s="5" t="s">
        <v>220</v>
      </c>
      <c r="C111" s="5" t="s">
        <v>221</v>
      </c>
      <c r="D111" s="5" t="s">
        <v>8</v>
      </c>
      <c r="E111" s="5" t="s">
        <v>9</v>
      </c>
      <c r="F111" s="5" t="s">
        <v>10</v>
      </c>
    </row>
    <row r="112">
      <c r="A112" s="5">
        <v>9.368877011E9</v>
      </c>
      <c r="B112" s="5" t="s">
        <v>222</v>
      </c>
      <c r="C112" s="5" t="s">
        <v>223</v>
      </c>
      <c r="D112" s="5" t="s">
        <v>8</v>
      </c>
      <c r="E112" s="5" t="s">
        <v>9</v>
      </c>
      <c r="F112" s="5" t="s">
        <v>10</v>
      </c>
    </row>
    <row r="113">
      <c r="A113" s="5">
        <v>8.130477446E9</v>
      </c>
      <c r="B113" s="5" t="s">
        <v>224</v>
      </c>
      <c r="C113" s="5" t="s">
        <v>136</v>
      </c>
      <c r="D113" s="5" t="s">
        <v>8</v>
      </c>
      <c r="E113" s="5" t="s">
        <v>9</v>
      </c>
      <c r="F113" s="5" t="s">
        <v>10</v>
      </c>
    </row>
    <row r="114">
      <c r="A114" s="5">
        <v>9.871767175E9</v>
      </c>
      <c r="B114" s="5" t="s">
        <v>225</v>
      </c>
      <c r="C114" s="5" t="s">
        <v>112</v>
      </c>
      <c r="D114" s="5" t="s">
        <v>8</v>
      </c>
      <c r="E114" s="5" t="s">
        <v>9</v>
      </c>
      <c r="F114" s="5" t="s">
        <v>10</v>
      </c>
    </row>
    <row r="115">
      <c r="A115" s="5">
        <v>9.810658206E9</v>
      </c>
      <c r="B115" s="5" t="s">
        <v>226</v>
      </c>
      <c r="C115" s="5" t="s">
        <v>227</v>
      </c>
      <c r="D115" s="5" t="s">
        <v>8</v>
      </c>
      <c r="E115" s="5" t="s">
        <v>9</v>
      </c>
      <c r="F115" s="5" t="s">
        <v>10</v>
      </c>
    </row>
    <row r="116">
      <c r="A116" s="5">
        <v>8.384049838E9</v>
      </c>
      <c r="B116" s="5" t="s">
        <v>228</v>
      </c>
      <c r="C116" s="5" t="s">
        <v>229</v>
      </c>
      <c r="D116" s="5" t="s">
        <v>8</v>
      </c>
      <c r="E116" s="5" t="s">
        <v>9</v>
      </c>
      <c r="F116" s="5" t="s">
        <v>10</v>
      </c>
    </row>
    <row r="117">
      <c r="A117" s="5">
        <v>9.910544267E9</v>
      </c>
      <c r="B117" s="5" t="s">
        <v>65</v>
      </c>
      <c r="C117" s="5" t="s">
        <v>66</v>
      </c>
      <c r="D117" s="5" t="s">
        <v>8</v>
      </c>
      <c r="E117" s="5" t="s">
        <v>9</v>
      </c>
      <c r="F117" s="5" t="s">
        <v>10</v>
      </c>
    </row>
    <row r="118">
      <c r="A118" s="5">
        <v>9.910797272E9</v>
      </c>
      <c r="B118" s="5" t="s">
        <v>230</v>
      </c>
      <c r="C118" s="5" t="s">
        <v>231</v>
      </c>
      <c r="D118" s="5" t="s">
        <v>8</v>
      </c>
      <c r="E118" s="5" t="s">
        <v>9</v>
      </c>
      <c r="F118" s="5" t="s">
        <v>10</v>
      </c>
    </row>
    <row r="119">
      <c r="A119" s="5">
        <v>9.355031025E9</v>
      </c>
      <c r="B119" s="5" t="s">
        <v>232</v>
      </c>
      <c r="C119" s="5" t="s">
        <v>233</v>
      </c>
      <c r="D119" s="5" t="s">
        <v>8</v>
      </c>
      <c r="E119" s="5" t="s">
        <v>9</v>
      </c>
      <c r="F119" s="5" t="s">
        <v>10</v>
      </c>
    </row>
    <row r="120">
      <c r="A120" s="5">
        <v>9.717700546E9</v>
      </c>
      <c r="B120" s="5" t="s">
        <v>234</v>
      </c>
      <c r="C120" s="5" t="s">
        <v>90</v>
      </c>
      <c r="D120" s="5" t="s">
        <v>8</v>
      </c>
      <c r="E120" s="5" t="s">
        <v>9</v>
      </c>
      <c r="F120" s="5" t="s">
        <v>10</v>
      </c>
    </row>
    <row r="121">
      <c r="A121" s="5">
        <v>9.460907696E9</v>
      </c>
      <c r="B121" s="5" t="s">
        <v>235</v>
      </c>
      <c r="C121" s="5" t="s">
        <v>236</v>
      </c>
      <c r="D121" s="5" t="s">
        <v>8</v>
      </c>
      <c r="E121" s="5" t="s">
        <v>9</v>
      </c>
      <c r="F121" s="5" t="s">
        <v>10</v>
      </c>
    </row>
    <row r="122">
      <c r="A122" s="5">
        <v>8.860435565E9</v>
      </c>
      <c r="B122" s="5" t="s">
        <v>237</v>
      </c>
      <c r="C122" s="5" t="s">
        <v>238</v>
      </c>
      <c r="D122" s="5" t="s">
        <v>8</v>
      </c>
      <c r="E122" s="5" t="s">
        <v>9</v>
      </c>
      <c r="F122" s="5" t="s">
        <v>10</v>
      </c>
    </row>
    <row r="123">
      <c r="A123" s="5">
        <v>9.870383056E9</v>
      </c>
      <c r="B123" s="5" t="s">
        <v>239</v>
      </c>
      <c r="C123" s="5" t="s">
        <v>240</v>
      </c>
      <c r="D123" s="5" t="s">
        <v>8</v>
      </c>
      <c r="E123" s="5" t="s">
        <v>9</v>
      </c>
      <c r="F123" s="5" t="s">
        <v>10</v>
      </c>
    </row>
    <row r="124">
      <c r="A124" s="5">
        <v>9.311163494E9</v>
      </c>
      <c r="B124" s="5" t="s">
        <v>241</v>
      </c>
      <c r="C124" s="5" t="s">
        <v>242</v>
      </c>
      <c r="D124" s="5" t="s">
        <v>8</v>
      </c>
      <c r="E124" s="5" t="s">
        <v>9</v>
      </c>
      <c r="F124" s="5" t="s">
        <v>10</v>
      </c>
    </row>
    <row r="125">
      <c r="A125" s="5">
        <v>9.161114007E9</v>
      </c>
      <c r="B125" s="5" t="s">
        <v>243</v>
      </c>
      <c r="C125" s="5" t="s">
        <v>244</v>
      </c>
      <c r="D125" s="5" t="s">
        <v>8</v>
      </c>
      <c r="E125" s="5" t="s">
        <v>9</v>
      </c>
      <c r="F125" s="5" t="s">
        <v>10</v>
      </c>
    </row>
    <row r="126">
      <c r="A126" s="5">
        <v>7.83829005E9</v>
      </c>
      <c r="B126" s="5" t="s">
        <v>245</v>
      </c>
      <c r="C126" s="5" t="s">
        <v>246</v>
      </c>
      <c r="D126" s="5" t="s">
        <v>8</v>
      </c>
      <c r="E126" s="5" t="s">
        <v>9</v>
      </c>
      <c r="F126" s="5" t="s">
        <v>10</v>
      </c>
    </row>
    <row r="127">
      <c r="A127" s="5">
        <v>8.368953488E9</v>
      </c>
      <c r="B127" s="5" t="s">
        <v>247</v>
      </c>
      <c r="C127" s="5" t="s">
        <v>248</v>
      </c>
      <c r="D127" s="5" t="s">
        <v>8</v>
      </c>
      <c r="E127" s="5" t="s">
        <v>9</v>
      </c>
      <c r="F127" s="5" t="s">
        <v>10</v>
      </c>
    </row>
    <row r="128">
      <c r="A128" s="5">
        <v>9.910930162E9</v>
      </c>
      <c r="B128" s="5" t="s">
        <v>249</v>
      </c>
      <c r="C128" s="5" t="s">
        <v>250</v>
      </c>
      <c r="D128" s="5" t="s">
        <v>8</v>
      </c>
      <c r="E128" s="5" t="s">
        <v>9</v>
      </c>
      <c r="F128" s="5" t="s">
        <v>10</v>
      </c>
    </row>
    <row r="129">
      <c r="A129" s="5">
        <v>8.800939462E9</v>
      </c>
      <c r="B129" s="5" t="s">
        <v>251</v>
      </c>
      <c r="C129" s="5" t="s">
        <v>20</v>
      </c>
      <c r="D129" s="5" t="s">
        <v>8</v>
      </c>
      <c r="E129" s="5" t="s">
        <v>9</v>
      </c>
      <c r="F129" s="5" t="s">
        <v>10</v>
      </c>
    </row>
    <row r="130">
      <c r="A130" s="5">
        <v>9.31155707E9</v>
      </c>
      <c r="B130" s="5" t="s">
        <v>252</v>
      </c>
      <c r="C130" s="5" t="s">
        <v>253</v>
      </c>
      <c r="D130" s="5" t="s">
        <v>8</v>
      </c>
      <c r="E130" s="5" t="s">
        <v>9</v>
      </c>
      <c r="F130" s="5" t="s">
        <v>10</v>
      </c>
    </row>
    <row r="131">
      <c r="A131" s="5">
        <v>9.31155707E9</v>
      </c>
      <c r="B131" s="5" t="s">
        <v>254</v>
      </c>
      <c r="C131" s="5" t="s">
        <v>253</v>
      </c>
      <c r="D131" s="5" t="s">
        <v>8</v>
      </c>
      <c r="E131" s="5" t="s">
        <v>9</v>
      </c>
      <c r="F131" s="5" t="s">
        <v>10</v>
      </c>
    </row>
    <row r="132">
      <c r="A132" s="5">
        <v>8.076242906E9</v>
      </c>
      <c r="B132" s="5" t="s">
        <v>255</v>
      </c>
      <c r="C132" s="5" t="s">
        <v>256</v>
      </c>
      <c r="D132" s="5" t="s">
        <v>8</v>
      </c>
      <c r="E132" s="5" t="s">
        <v>9</v>
      </c>
      <c r="F132" s="5" t="s">
        <v>10</v>
      </c>
    </row>
    <row r="133">
      <c r="A133" s="5">
        <v>9.810799668E9</v>
      </c>
      <c r="B133" s="5" t="s">
        <v>257</v>
      </c>
      <c r="C133" s="5" t="s">
        <v>258</v>
      </c>
      <c r="D133" s="5" t="s">
        <v>8</v>
      </c>
      <c r="E133" s="5" t="s">
        <v>9</v>
      </c>
      <c r="F133" s="5" t="s">
        <v>10</v>
      </c>
    </row>
    <row r="134">
      <c r="A134" s="5">
        <v>9.911958928E9</v>
      </c>
      <c r="B134" s="5" t="s">
        <v>259</v>
      </c>
      <c r="C134" s="5" t="s">
        <v>140</v>
      </c>
      <c r="D134" s="5" t="s">
        <v>8</v>
      </c>
      <c r="E134" s="5" t="s">
        <v>9</v>
      </c>
      <c r="F134" s="5" t="s">
        <v>10</v>
      </c>
    </row>
    <row r="135">
      <c r="A135" s="5">
        <v>9.667760028E9</v>
      </c>
      <c r="B135" s="5" t="s">
        <v>260</v>
      </c>
      <c r="C135" s="5" t="s">
        <v>261</v>
      </c>
      <c r="D135" s="5" t="s">
        <v>8</v>
      </c>
      <c r="E135" s="5" t="s">
        <v>9</v>
      </c>
      <c r="F135" s="5" t="s">
        <v>10</v>
      </c>
    </row>
    <row r="136">
      <c r="A136" s="5">
        <v>9.871089414E9</v>
      </c>
      <c r="B136" s="5" t="s">
        <v>61</v>
      </c>
      <c r="C136" s="5" t="s">
        <v>62</v>
      </c>
      <c r="D136" s="5" t="s">
        <v>8</v>
      </c>
      <c r="E136" s="5" t="s">
        <v>9</v>
      </c>
      <c r="F136" s="5" t="s">
        <v>10</v>
      </c>
    </row>
    <row r="137">
      <c r="A137" s="5">
        <v>9.818325522E9</v>
      </c>
      <c r="B137" s="5" t="s">
        <v>262</v>
      </c>
      <c r="C137" s="5" t="s">
        <v>263</v>
      </c>
      <c r="D137" s="5" t="s">
        <v>8</v>
      </c>
      <c r="E137" s="5" t="s">
        <v>9</v>
      </c>
      <c r="F137" s="5" t="s">
        <v>10</v>
      </c>
    </row>
    <row r="138">
      <c r="A138" s="5">
        <v>8.800939462E9</v>
      </c>
      <c r="B138" s="5" t="s">
        <v>251</v>
      </c>
      <c r="C138" s="5" t="s">
        <v>20</v>
      </c>
      <c r="D138" s="5" t="s">
        <v>8</v>
      </c>
      <c r="E138" s="5" t="s">
        <v>9</v>
      </c>
      <c r="F138" s="5" t="s">
        <v>10</v>
      </c>
    </row>
    <row r="139">
      <c r="A139" s="5">
        <v>9.811904046E9</v>
      </c>
      <c r="B139" s="5" t="s">
        <v>264</v>
      </c>
      <c r="C139" s="5" t="s">
        <v>265</v>
      </c>
      <c r="D139" s="5" t="s">
        <v>8</v>
      </c>
      <c r="E139" s="5" t="s">
        <v>9</v>
      </c>
      <c r="F139" s="5" t="s">
        <v>10</v>
      </c>
    </row>
    <row r="140">
      <c r="A140" s="5">
        <v>9.971828177E9</v>
      </c>
      <c r="B140" s="5" t="s">
        <v>266</v>
      </c>
      <c r="C140" s="5" t="s">
        <v>267</v>
      </c>
      <c r="D140" s="5" t="s">
        <v>8</v>
      </c>
      <c r="E140" s="5" t="s">
        <v>9</v>
      </c>
      <c r="F140" s="5" t="s">
        <v>10</v>
      </c>
    </row>
    <row r="141">
      <c r="A141" s="5">
        <v>9.65416037E9</v>
      </c>
      <c r="B141" s="5" t="s">
        <v>268</v>
      </c>
      <c r="C141" s="5" t="s">
        <v>269</v>
      </c>
      <c r="D141" s="5" t="s">
        <v>8</v>
      </c>
      <c r="E141" s="5" t="s">
        <v>9</v>
      </c>
      <c r="F141" s="5" t="s">
        <v>10</v>
      </c>
    </row>
    <row r="142">
      <c r="A142" s="5">
        <v>9.871024292E9</v>
      </c>
      <c r="B142" s="5" t="s">
        <v>270</v>
      </c>
      <c r="C142" s="5" t="s">
        <v>58</v>
      </c>
      <c r="D142" s="5" t="s">
        <v>8</v>
      </c>
      <c r="E142" s="5" t="s">
        <v>9</v>
      </c>
      <c r="F142" s="5" t="s">
        <v>10</v>
      </c>
    </row>
    <row r="143">
      <c r="A143" s="5">
        <v>9.599882233E9</v>
      </c>
      <c r="B143" s="5" t="s">
        <v>271</v>
      </c>
      <c r="C143" s="5" t="s">
        <v>200</v>
      </c>
      <c r="D143" s="5" t="s">
        <v>8</v>
      </c>
      <c r="E143" s="5" t="s">
        <v>9</v>
      </c>
      <c r="F143" s="5" t="s">
        <v>10</v>
      </c>
    </row>
    <row r="144">
      <c r="A144" s="5">
        <v>9.999399577E9</v>
      </c>
      <c r="B144" s="5" t="s">
        <v>272</v>
      </c>
      <c r="C144" s="5" t="s">
        <v>273</v>
      </c>
      <c r="D144" s="5" t="s">
        <v>8</v>
      </c>
      <c r="E144" s="5" t="s">
        <v>9</v>
      </c>
      <c r="F144" s="5" t="s">
        <v>10</v>
      </c>
    </row>
    <row r="145">
      <c r="A145" s="5">
        <v>9.873041853E9</v>
      </c>
      <c r="B145" s="5" t="s">
        <v>274</v>
      </c>
      <c r="C145" s="5" t="s">
        <v>16</v>
      </c>
      <c r="D145" s="5" t="s">
        <v>8</v>
      </c>
      <c r="E145" s="5" t="s">
        <v>9</v>
      </c>
      <c r="F145" s="5" t="s">
        <v>10</v>
      </c>
    </row>
    <row r="146">
      <c r="A146" s="5">
        <v>9.899226225E9</v>
      </c>
      <c r="B146" s="5" t="s">
        <v>252</v>
      </c>
      <c r="C146" s="5" t="s">
        <v>56</v>
      </c>
      <c r="D146" s="5" t="s">
        <v>8</v>
      </c>
      <c r="E146" s="5" t="s">
        <v>9</v>
      </c>
      <c r="F146" s="5" t="s">
        <v>10</v>
      </c>
    </row>
    <row r="147">
      <c r="A147" s="5">
        <v>9.013329595E9</v>
      </c>
      <c r="B147" s="5" t="s">
        <v>275</v>
      </c>
      <c r="C147" s="5" t="s">
        <v>219</v>
      </c>
      <c r="D147" s="5" t="s">
        <v>8</v>
      </c>
      <c r="E147" s="5" t="s">
        <v>9</v>
      </c>
      <c r="F147" s="5" t="s">
        <v>10</v>
      </c>
    </row>
    <row r="148">
      <c r="A148" s="5">
        <v>8.368953488E9</v>
      </c>
      <c r="B148" s="5" t="s">
        <v>276</v>
      </c>
      <c r="C148" s="5" t="s">
        <v>248</v>
      </c>
      <c r="D148" s="5" t="s">
        <v>8</v>
      </c>
      <c r="E148" s="5" t="s">
        <v>9</v>
      </c>
      <c r="F148" s="5" t="s">
        <v>10</v>
      </c>
    </row>
    <row r="149">
      <c r="A149" s="5">
        <v>9.65416037E9</v>
      </c>
      <c r="B149" s="5" t="s">
        <v>277</v>
      </c>
      <c r="C149" s="5" t="s">
        <v>269</v>
      </c>
      <c r="D149" s="5" t="s">
        <v>8</v>
      </c>
      <c r="E149" s="5" t="s">
        <v>9</v>
      </c>
      <c r="F149" s="5" t="s">
        <v>10</v>
      </c>
    </row>
    <row r="150">
      <c r="A150" s="5">
        <v>9.4784954E9</v>
      </c>
      <c r="B150" s="5" t="s">
        <v>278</v>
      </c>
      <c r="C150" s="5" t="s">
        <v>279</v>
      </c>
      <c r="D150" s="5" t="s">
        <v>8</v>
      </c>
      <c r="E150" s="5" t="s">
        <v>9</v>
      </c>
      <c r="F150" s="5" t="s">
        <v>10</v>
      </c>
    </row>
    <row r="151">
      <c r="A151" s="5">
        <v>9.914703643E9</v>
      </c>
      <c r="B151" s="5" t="s">
        <v>107</v>
      </c>
      <c r="C151" s="5" t="s">
        <v>108</v>
      </c>
      <c r="D151" s="5" t="s">
        <v>8</v>
      </c>
      <c r="E151" s="5" t="s">
        <v>9</v>
      </c>
      <c r="F151" s="5" t="s">
        <v>10</v>
      </c>
    </row>
    <row r="152">
      <c r="A152" s="5">
        <v>9.871231215E9</v>
      </c>
      <c r="B152" s="5" t="s">
        <v>254</v>
      </c>
      <c r="C152" s="5" t="s">
        <v>280</v>
      </c>
      <c r="D152" s="5" t="s">
        <v>8</v>
      </c>
      <c r="E152" s="5" t="s">
        <v>9</v>
      </c>
      <c r="F152" s="5" t="s">
        <v>10</v>
      </c>
    </row>
    <row r="153">
      <c r="A153" s="5">
        <v>9.990256379E9</v>
      </c>
      <c r="B153" s="5" t="s">
        <v>281</v>
      </c>
      <c r="C153" s="5" t="s">
        <v>282</v>
      </c>
      <c r="D153" s="5" t="s">
        <v>8</v>
      </c>
      <c r="E153" s="5" t="s">
        <v>9</v>
      </c>
      <c r="F153" s="5" t="s">
        <v>10</v>
      </c>
    </row>
    <row r="154">
      <c r="A154" s="5">
        <v>9.015802726E9</v>
      </c>
      <c r="B154" s="5" t="s">
        <v>113</v>
      </c>
      <c r="C154" s="5" t="s">
        <v>114</v>
      </c>
      <c r="D154" s="5" t="s">
        <v>8</v>
      </c>
      <c r="E154" s="5" t="s">
        <v>9</v>
      </c>
      <c r="F154" s="5" t="s">
        <v>10</v>
      </c>
    </row>
    <row r="155">
      <c r="A155" s="5">
        <v>9.999399577E9</v>
      </c>
      <c r="B155" s="5" t="s">
        <v>283</v>
      </c>
      <c r="C155" s="5" t="s">
        <v>273</v>
      </c>
      <c r="D155" s="5" t="s">
        <v>8</v>
      </c>
      <c r="E155" s="5" t="s">
        <v>9</v>
      </c>
      <c r="F155" s="5" t="s">
        <v>10</v>
      </c>
    </row>
    <row r="156">
      <c r="A156" s="5">
        <v>9.891102336E9</v>
      </c>
      <c r="B156" s="5" t="s">
        <v>284</v>
      </c>
      <c r="C156" s="5" t="s">
        <v>76</v>
      </c>
      <c r="D156" s="5" t="s">
        <v>8</v>
      </c>
      <c r="E156" s="5" t="s">
        <v>9</v>
      </c>
      <c r="F156" s="5" t="s">
        <v>10</v>
      </c>
    </row>
    <row r="157">
      <c r="A157" s="5">
        <v>9.811900815E9</v>
      </c>
      <c r="B157" s="5" t="s">
        <v>285</v>
      </c>
      <c r="C157" s="5" t="s">
        <v>142</v>
      </c>
      <c r="D157" s="5" t="s">
        <v>8</v>
      </c>
      <c r="E157" s="5" t="s">
        <v>9</v>
      </c>
      <c r="F157" s="5" t="s">
        <v>10</v>
      </c>
    </row>
    <row r="158">
      <c r="A158" s="5">
        <v>9.015802726E9</v>
      </c>
      <c r="B158" s="5" t="s">
        <v>286</v>
      </c>
      <c r="C158" s="5" t="s">
        <v>114</v>
      </c>
      <c r="D158" s="5" t="s">
        <v>8</v>
      </c>
      <c r="E158" s="5" t="s">
        <v>9</v>
      </c>
      <c r="F158" s="5" t="s">
        <v>10</v>
      </c>
    </row>
    <row r="159">
      <c r="A159" s="5">
        <v>8.860741616E9</v>
      </c>
      <c r="B159" s="5" t="s">
        <v>287</v>
      </c>
      <c r="C159" s="5" t="s">
        <v>24</v>
      </c>
      <c r="D159" s="5" t="s">
        <v>8</v>
      </c>
      <c r="E159" s="5" t="s">
        <v>9</v>
      </c>
      <c r="F159" s="5" t="s">
        <v>10</v>
      </c>
    </row>
    <row r="160">
      <c r="A160" s="5">
        <v>8.527162516E9</v>
      </c>
      <c r="B160" s="5" t="s">
        <v>119</v>
      </c>
      <c r="C160" s="5" t="s">
        <v>120</v>
      </c>
      <c r="D160" s="5" t="s">
        <v>8</v>
      </c>
      <c r="E160" s="5" t="s">
        <v>9</v>
      </c>
      <c r="F160" s="5" t="s">
        <v>10</v>
      </c>
    </row>
    <row r="161">
      <c r="A161" s="5">
        <v>9.211910401E9</v>
      </c>
      <c r="B161" s="5" t="s">
        <v>288</v>
      </c>
      <c r="C161" s="5" t="s">
        <v>289</v>
      </c>
      <c r="D161" s="5" t="s">
        <v>8</v>
      </c>
      <c r="E161" s="5" t="s">
        <v>9</v>
      </c>
      <c r="F161" s="5" t="s">
        <v>10</v>
      </c>
    </row>
    <row r="162">
      <c r="A162" s="5">
        <v>9.811224638E9</v>
      </c>
      <c r="B162" s="5" t="s">
        <v>290</v>
      </c>
      <c r="C162" s="5" t="s">
        <v>291</v>
      </c>
      <c r="D162" s="5" t="s">
        <v>8</v>
      </c>
      <c r="E162" s="5" t="s">
        <v>9</v>
      </c>
      <c r="F162" s="5" t="s">
        <v>10</v>
      </c>
    </row>
    <row r="163">
      <c r="A163" s="5">
        <v>9.711100748E9</v>
      </c>
      <c r="B163" s="5" t="s">
        <v>254</v>
      </c>
      <c r="C163" s="5" t="s">
        <v>70</v>
      </c>
      <c r="D163" s="5" t="s">
        <v>8</v>
      </c>
      <c r="E163" s="5" t="s">
        <v>9</v>
      </c>
      <c r="F163" s="5" t="s">
        <v>10</v>
      </c>
    </row>
    <row r="164">
      <c r="A164" s="5">
        <v>9.211910401E9</v>
      </c>
      <c r="B164" s="5" t="s">
        <v>292</v>
      </c>
      <c r="C164" s="5" t="s">
        <v>289</v>
      </c>
      <c r="D164" s="5" t="s">
        <v>8</v>
      </c>
      <c r="E164" s="5" t="s">
        <v>9</v>
      </c>
      <c r="F164" s="5" t="s">
        <v>10</v>
      </c>
    </row>
    <row r="165">
      <c r="A165" s="5">
        <v>9.212157824E9</v>
      </c>
      <c r="B165" s="5" t="s">
        <v>123</v>
      </c>
      <c r="C165" s="5" t="s">
        <v>66</v>
      </c>
      <c r="D165" s="5" t="s">
        <v>8</v>
      </c>
      <c r="E165" s="5" t="s">
        <v>9</v>
      </c>
      <c r="F165" s="5" t="s">
        <v>10</v>
      </c>
    </row>
    <row r="166">
      <c r="A166" s="5">
        <v>9.868203875E9</v>
      </c>
      <c r="B166" s="5" t="s">
        <v>293</v>
      </c>
      <c r="C166" s="5" t="s">
        <v>116</v>
      </c>
      <c r="D166" s="5" t="s">
        <v>8</v>
      </c>
      <c r="E166" s="5" t="s">
        <v>9</v>
      </c>
      <c r="F166" s="5" t="s">
        <v>10</v>
      </c>
    </row>
    <row r="167">
      <c r="A167" s="5">
        <v>9.013927456E9</v>
      </c>
      <c r="B167" s="5" t="s">
        <v>294</v>
      </c>
      <c r="C167" s="5" t="s">
        <v>295</v>
      </c>
      <c r="D167" s="5" t="s">
        <v>8</v>
      </c>
      <c r="E167" s="5" t="s">
        <v>9</v>
      </c>
      <c r="F167" s="5" t="s">
        <v>10</v>
      </c>
    </row>
    <row r="168">
      <c r="A168" s="5">
        <v>8.076175003E9</v>
      </c>
      <c r="B168" s="5" t="s">
        <v>296</v>
      </c>
      <c r="C168" s="5" t="s">
        <v>297</v>
      </c>
      <c r="D168" s="5" t="s">
        <v>8</v>
      </c>
      <c r="E168" s="5" t="s">
        <v>9</v>
      </c>
      <c r="F168" s="5" t="s">
        <v>10</v>
      </c>
    </row>
    <row r="169">
      <c r="A169" s="5">
        <v>9.999728283E9</v>
      </c>
      <c r="B169" s="5" t="s">
        <v>298</v>
      </c>
      <c r="C169" s="5" t="s">
        <v>22</v>
      </c>
      <c r="D169" s="5" t="s">
        <v>8</v>
      </c>
      <c r="E169" s="5" t="s">
        <v>9</v>
      </c>
      <c r="F169" s="5" t="s">
        <v>10</v>
      </c>
    </row>
    <row r="170">
      <c r="A170" s="5">
        <v>9.311163494E9</v>
      </c>
      <c r="B170" s="5" t="s">
        <v>299</v>
      </c>
      <c r="C170" s="5" t="s">
        <v>242</v>
      </c>
      <c r="D170" s="5" t="s">
        <v>8</v>
      </c>
      <c r="E170" s="5" t="s">
        <v>9</v>
      </c>
      <c r="F170" s="5" t="s">
        <v>10</v>
      </c>
    </row>
    <row r="171">
      <c r="A171" s="5">
        <v>9.81807272E9</v>
      </c>
      <c r="B171" s="5" t="s">
        <v>300</v>
      </c>
      <c r="C171" s="5" t="s">
        <v>301</v>
      </c>
      <c r="D171" s="5" t="s">
        <v>8</v>
      </c>
      <c r="E171" s="5" t="s">
        <v>9</v>
      </c>
      <c r="F171" s="5" t="s">
        <v>10</v>
      </c>
    </row>
    <row r="172">
      <c r="A172" s="5">
        <v>9.81807272E9</v>
      </c>
      <c r="B172" s="5" t="s">
        <v>302</v>
      </c>
      <c r="C172" s="5" t="s">
        <v>301</v>
      </c>
      <c r="D172" s="5" t="s">
        <v>8</v>
      </c>
      <c r="E172" s="5" t="s">
        <v>9</v>
      </c>
      <c r="F172" s="5" t="s">
        <v>10</v>
      </c>
    </row>
    <row r="173">
      <c r="A173" s="5">
        <v>9.953950419E9</v>
      </c>
      <c r="B173" s="5" t="s">
        <v>303</v>
      </c>
      <c r="C173" s="5" t="s">
        <v>185</v>
      </c>
      <c r="D173" s="5" t="s">
        <v>8</v>
      </c>
      <c r="E173" s="5" t="s">
        <v>9</v>
      </c>
      <c r="F173" s="5" t="s">
        <v>10</v>
      </c>
    </row>
    <row r="174">
      <c r="A174" s="5">
        <v>9.891000073E9</v>
      </c>
      <c r="B174" s="5" t="s">
        <v>304</v>
      </c>
      <c r="C174" s="5" t="s">
        <v>102</v>
      </c>
      <c r="D174" s="5" t="s">
        <v>8</v>
      </c>
      <c r="E174" s="5" t="s">
        <v>9</v>
      </c>
      <c r="F174" s="5" t="s">
        <v>10</v>
      </c>
    </row>
    <row r="175">
      <c r="A175" s="5">
        <v>9.8996911E9</v>
      </c>
      <c r="B175" s="5" t="s">
        <v>305</v>
      </c>
      <c r="C175" s="5" t="s">
        <v>306</v>
      </c>
      <c r="D175" s="5" t="s">
        <v>8</v>
      </c>
      <c r="E175" s="5" t="s">
        <v>9</v>
      </c>
      <c r="F175" s="5" t="s">
        <v>10</v>
      </c>
    </row>
    <row r="176">
      <c r="A176" s="5">
        <v>8.105988005E9</v>
      </c>
      <c r="B176" s="5" t="s">
        <v>307</v>
      </c>
      <c r="C176" s="5" t="s">
        <v>308</v>
      </c>
      <c r="D176" s="5" t="s">
        <v>8</v>
      </c>
      <c r="E176" s="5" t="s">
        <v>9</v>
      </c>
      <c r="F176" s="5" t="s">
        <v>10</v>
      </c>
    </row>
    <row r="177">
      <c r="A177" s="5">
        <v>9.999728283E9</v>
      </c>
      <c r="B177" s="5" t="s">
        <v>309</v>
      </c>
      <c r="C177" s="5" t="s">
        <v>22</v>
      </c>
      <c r="D177" s="5" t="s">
        <v>8</v>
      </c>
      <c r="E177" s="5" t="s">
        <v>9</v>
      </c>
      <c r="F177" s="5" t="s">
        <v>10</v>
      </c>
    </row>
    <row r="178">
      <c r="A178" s="5">
        <v>9.873245333E9</v>
      </c>
      <c r="B178" s="5" t="s">
        <v>310</v>
      </c>
      <c r="C178" s="5" t="s">
        <v>134</v>
      </c>
      <c r="D178" s="5" t="s">
        <v>8</v>
      </c>
      <c r="E178" s="5" t="s">
        <v>9</v>
      </c>
      <c r="F178" s="5" t="s">
        <v>10</v>
      </c>
    </row>
    <row r="179">
      <c r="A179" s="5">
        <v>9.811224638E9</v>
      </c>
      <c r="B179" s="5" t="s">
        <v>311</v>
      </c>
      <c r="C179" s="5" t="s">
        <v>291</v>
      </c>
      <c r="D179" s="5" t="s">
        <v>8</v>
      </c>
      <c r="E179" s="5" t="s">
        <v>9</v>
      </c>
      <c r="F179" s="5" t="s">
        <v>10</v>
      </c>
    </row>
    <row r="180">
      <c r="A180" s="5">
        <v>9.81062888E9</v>
      </c>
      <c r="B180" s="5" t="s">
        <v>312</v>
      </c>
      <c r="C180" s="5" t="s">
        <v>88</v>
      </c>
      <c r="D180" s="5" t="s">
        <v>8</v>
      </c>
      <c r="E180" s="5" t="s">
        <v>9</v>
      </c>
      <c r="F180" s="5" t="s">
        <v>10</v>
      </c>
    </row>
    <row r="181">
      <c r="A181" s="5">
        <v>9.560540676E9</v>
      </c>
      <c r="B181" s="5" t="s">
        <v>313</v>
      </c>
      <c r="C181" s="5" t="s">
        <v>126</v>
      </c>
      <c r="D181" s="5" t="s">
        <v>8</v>
      </c>
      <c r="E181" s="5" t="s">
        <v>9</v>
      </c>
      <c r="F181" s="5" t="s">
        <v>10</v>
      </c>
    </row>
    <row r="182">
      <c r="A182" s="5">
        <v>8.076175003E9</v>
      </c>
      <c r="B182" s="5" t="s">
        <v>314</v>
      </c>
      <c r="C182" s="5" t="s">
        <v>297</v>
      </c>
      <c r="D182" s="5" t="s">
        <v>8</v>
      </c>
      <c r="E182" s="5" t="s">
        <v>9</v>
      </c>
      <c r="F182" s="5" t="s">
        <v>10</v>
      </c>
    </row>
    <row r="183">
      <c r="A183" s="5">
        <v>9.870340842E9</v>
      </c>
      <c r="B183" s="5" t="s">
        <v>315</v>
      </c>
      <c r="C183" s="5" t="s">
        <v>316</v>
      </c>
      <c r="D183" s="5" t="s">
        <v>8</v>
      </c>
      <c r="E183" s="5" t="s">
        <v>9</v>
      </c>
      <c r="F183" s="5" t="s">
        <v>10</v>
      </c>
    </row>
    <row r="184">
      <c r="A184" s="5">
        <v>8.447309345E9</v>
      </c>
      <c r="B184" s="5" t="s">
        <v>317</v>
      </c>
      <c r="C184" s="5" t="s">
        <v>318</v>
      </c>
      <c r="D184" s="5" t="s">
        <v>8</v>
      </c>
      <c r="E184" s="5" t="s">
        <v>9</v>
      </c>
      <c r="F184" s="5" t="s">
        <v>10</v>
      </c>
    </row>
    <row r="185">
      <c r="A185" s="5">
        <v>8.076243029E9</v>
      </c>
      <c r="B185" s="5" t="s">
        <v>319</v>
      </c>
      <c r="C185" s="5" t="s">
        <v>320</v>
      </c>
      <c r="D185" s="5" t="s">
        <v>8</v>
      </c>
      <c r="E185" s="5" t="s">
        <v>9</v>
      </c>
      <c r="F185" s="5" t="s">
        <v>10</v>
      </c>
    </row>
    <row r="186">
      <c r="A186" s="5">
        <v>9.971700776E9</v>
      </c>
      <c r="B186" s="5" t="s">
        <v>321</v>
      </c>
      <c r="C186" s="5" t="s">
        <v>160</v>
      </c>
      <c r="D186" s="5" t="s">
        <v>8</v>
      </c>
      <c r="E186" s="5" t="s">
        <v>9</v>
      </c>
      <c r="F186" s="5" t="s">
        <v>10</v>
      </c>
    </row>
    <row r="187">
      <c r="A187" s="5">
        <v>9.811675741E9</v>
      </c>
      <c r="B187" s="5" t="s">
        <v>322</v>
      </c>
      <c r="C187" s="5" t="s">
        <v>106</v>
      </c>
      <c r="D187" s="5" t="s">
        <v>8</v>
      </c>
      <c r="E187" s="5" t="s">
        <v>9</v>
      </c>
      <c r="F187" s="5" t="s">
        <v>10</v>
      </c>
    </row>
    <row r="188">
      <c r="A188" s="5">
        <v>9.999481786E9</v>
      </c>
      <c r="B188" s="5" t="s">
        <v>323</v>
      </c>
      <c r="C188" s="5" t="s">
        <v>324</v>
      </c>
      <c r="D188" s="5" t="s">
        <v>8</v>
      </c>
      <c r="E188" s="5" t="s">
        <v>9</v>
      </c>
      <c r="F188" s="5" t="s">
        <v>10</v>
      </c>
    </row>
    <row r="189">
      <c r="A189" s="5">
        <v>8.076374848E9</v>
      </c>
      <c r="B189" s="5" t="s">
        <v>325</v>
      </c>
      <c r="C189" s="5" t="s">
        <v>326</v>
      </c>
      <c r="D189" s="5" t="s">
        <v>8</v>
      </c>
      <c r="E189" s="5" t="s">
        <v>9</v>
      </c>
      <c r="F189" s="5" t="s">
        <v>10</v>
      </c>
    </row>
    <row r="190">
      <c r="A190" s="5">
        <v>9.873903756E9</v>
      </c>
      <c r="B190" s="5" t="s">
        <v>327</v>
      </c>
      <c r="C190" s="5" t="s">
        <v>328</v>
      </c>
      <c r="D190" s="5" t="s">
        <v>8</v>
      </c>
      <c r="E190" s="5" t="s">
        <v>9</v>
      </c>
      <c r="F190" s="5" t="s">
        <v>10</v>
      </c>
    </row>
    <row r="191">
      <c r="A191" s="5">
        <v>8.860980806E9</v>
      </c>
      <c r="B191" s="5" t="s">
        <v>329</v>
      </c>
      <c r="C191" s="5" t="s">
        <v>189</v>
      </c>
      <c r="D191" s="5" t="s">
        <v>8</v>
      </c>
      <c r="E191" s="5" t="s">
        <v>9</v>
      </c>
      <c r="F191" s="5" t="s">
        <v>10</v>
      </c>
    </row>
    <row r="192">
      <c r="A192" s="5">
        <v>8.527616025E9</v>
      </c>
      <c r="B192" s="5" t="s">
        <v>330</v>
      </c>
      <c r="C192" s="5" t="s">
        <v>150</v>
      </c>
      <c r="D192" s="5" t="s">
        <v>8</v>
      </c>
      <c r="E192" s="5" t="s">
        <v>9</v>
      </c>
      <c r="F192" s="5" t="s">
        <v>10</v>
      </c>
    </row>
    <row r="193">
      <c r="A193" s="5">
        <v>9.953937777E9</v>
      </c>
      <c r="B193" s="5" t="s">
        <v>331</v>
      </c>
      <c r="C193" s="5" t="s">
        <v>198</v>
      </c>
      <c r="D193" s="5" t="s">
        <v>8</v>
      </c>
      <c r="E193" s="5" t="s">
        <v>9</v>
      </c>
      <c r="F193" s="5" t="s">
        <v>10</v>
      </c>
    </row>
    <row r="194">
      <c r="A194" s="5">
        <v>9.810100011E9</v>
      </c>
      <c r="B194" s="5" t="s">
        <v>332</v>
      </c>
      <c r="C194" s="5" t="s">
        <v>36</v>
      </c>
      <c r="D194" s="5" t="s">
        <v>8</v>
      </c>
      <c r="E194" s="5" t="s">
        <v>9</v>
      </c>
      <c r="F194" s="5" t="s">
        <v>10</v>
      </c>
    </row>
    <row r="195">
      <c r="A195" s="5">
        <v>9.899383939E9</v>
      </c>
      <c r="B195" s="5" t="s">
        <v>333</v>
      </c>
      <c r="C195" s="5" t="s">
        <v>194</v>
      </c>
      <c r="D195" s="5" t="s">
        <v>8</v>
      </c>
      <c r="E195" s="5" t="s">
        <v>9</v>
      </c>
      <c r="F195" s="5" t="s">
        <v>10</v>
      </c>
    </row>
    <row r="196">
      <c r="A196" s="5">
        <v>9.87195766E9</v>
      </c>
      <c r="B196" s="5" t="s">
        <v>334</v>
      </c>
      <c r="C196" s="5" t="s">
        <v>335</v>
      </c>
      <c r="D196" s="5" t="s">
        <v>8</v>
      </c>
      <c r="E196" s="5" t="s">
        <v>9</v>
      </c>
      <c r="F196" s="5" t="s">
        <v>10</v>
      </c>
    </row>
    <row r="197">
      <c r="A197" s="5">
        <v>9.999796925E9</v>
      </c>
      <c r="B197" s="5" t="s">
        <v>336</v>
      </c>
      <c r="C197" s="5" t="s">
        <v>168</v>
      </c>
      <c r="D197" s="5" t="s">
        <v>8</v>
      </c>
      <c r="E197" s="5" t="s">
        <v>9</v>
      </c>
      <c r="F197" s="5" t="s">
        <v>10</v>
      </c>
    </row>
    <row r="198">
      <c r="A198" s="5">
        <v>9.555152166E9</v>
      </c>
      <c r="B198" s="5" t="s">
        <v>337</v>
      </c>
      <c r="C198" s="5" t="s">
        <v>54</v>
      </c>
      <c r="D198" s="5" t="s">
        <v>8</v>
      </c>
      <c r="E198" s="5" t="s">
        <v>9</v>
      </c>
      <c r="F198" s="5" t="s">
        <v>10</v>
      </c>
    </row>
    <row r="199">
      <c r="A199" s="5">
        <v>8.920524024E9</v>
      </c>
      <c r="B199" s="5" t="s">
        <v>338</v>
      </c>
      <c r="C199" s="5" t="s">
        <v>339</v>
      </c>
      <c r="D199" s="5" t="s">
        <v>8</v>
      </c>
      <c r="E199" s="5" t="s">
        <v>9</v>
      </c>
      <c r="F199" s="5" t="s">
        <v>10</v>
      </c>
    </row>
    <row r="200">
      <c r="A200" s="5">
        <v>9.899322201E9</v>
      </c>
      <c r="B200" s="5" t="s">
        <v>340</v>
      </c>
      <c r="C200" s="5" t="s">
        <v>122</v>
      </c>
      <c r="D200" s="5" t="s">
        <v>8</v>
      </c>
      <c r="E200" s="5" t="s">
        <v>9</v>
      </c>
      <c r="F200" s="5" t="s">
        <v>10</v>
      </c>
    </row>
    <row r="201">
      <c r="A201" s="5">
        <v>8.010046101E9</v>
      </c>
      <c r="B201" s="5" t="s">
        <v>341</v>
      </c>
      <c r="C201" s="5" t="s">
        <v>42</v>
      </c>
      <c r="D201" s="5" t="s">
        <v>8</v>
      </c>
      <c r="E201" s="5" t="s">
        <v>9</v>
      </c>
      <c r="F201" s="5" t="s">
        <v>10</v>
      </c>
    </row>
    <row r="202">
      <c r="A202" s="5">
        <v>9.81880272E9</v>
      </c>
      <c r="B202" s="5" t="s">
        <v>342</v>
      </c>
      <c r="C202" s="5" t="s">
        <v>30</v>
      </c>
      <c r="D202" s="5" t="s">
        <v>8</v>
      </c>
      <c r="E202" s="5" t="s">
        <v>9</v>
      </c>
      <c r="F202" s="5" t="s">
        <v>10</v>
      </c>
    </row>
    <row r="203">
      <c r="A203" s="5">
        <v>8.44745154E9</v>
      </c>
      <c r="B203" s="5" t="s">
        <v>343</v>
      </c>
      <c r="C203" s="5" t="s">
        <v>176</v>
      </c>
      <c r="D203" s="5" t="s">
        <v>8</v>
      </c>
      <c r="E203" s="5" t="s">
        <v>9</v>
      </c>
      <c r="F203" s="5" t="s">
        <v>10</v>
      </c>
    </row>
    <row r="204">
      <c r="A204" s="5">
        <v>9.810007503E9</v>
      </c>
      <c r="B204" s="5" t="s">
        <v>344</v>
      </c>
      <c r="C204" s="5" t="s">
        <v>14</v>
      </c>
      <c r="D204" s="5" t="s">
        <v>8</v>
      </c>
      <c r="E204" s="5" t="s">
        <v>9</v>
      </c>
      <c r="F204" s="5" t="s">
        <v>10</v>
      </c>
    </row>
    <row r="205">
      <c r="A205" s="5">
        <v>9.212399066E9</v>
      </c>
      <c r="B205" s="5" t="s">
        <v>343</v>
      </c>
      <c r="C205" s="5" t="s">
        <v>212</v>
      </c>
      <c r="D205" s="5" t="s">
        <v>8</v>
      </c>
      <c r="E205" s="5" t="s">
        <v>9</v>
      </c>
      <c r="F205" s="5" t="s">
        <v>10</v>
      </c>
    </row>
    <row r="206">
      <c r="A206" s="5">
        <v>9.910925269E9</v>
      </c>
      <c r="B206" s="5" t="s">
        <v>345</v>
      </c>
      <c r="C206" s="5" t="s">
        <v>50</v>
      </c>
      <c r="D206" s="5" t="s">
        <v>8</v>
      </c>
      <c r="E206" s="5" t="s">
        <v>9</v>
      </c>
      <c r="F206" s="5" t="s">
        <v>10</v>
      </c>
    </row>
    <row r="207">
      <c r="A207" s="5">
        <v>9.582159548E9</v>
      </c>
      <c r="B207" s="5" t="s">
        <v>346</v>
      </c>
      <c r="C207" s="5" t="s">
        <v>170</v>
      </c>
      <c r="D207" s="5" t="s">
        <v>8</v>
      </c>
      <c r="E207" s="5" t="s">
        <v>9</v>
      </c>
      <c r="F207" s="5" t="s">
        <v>10</v>
      </c>
    </row>
    <row r="208">
      <c r="A208" s="5">
        <v>9.469473538E9</v>
      </c>
      <c r="B208" s="5" t="s">
        <v>347</v>
      </c>
      <c r="C208" s="5" t="s">
        <v>348</v>
      </c>
      <c r="D208" s="5" t="s">
        <v>8</v>
      </c>
      <c r="E208" s="5" t="s">
        <v>9</v>
      </c>
      <c r="F208" s="5" t="s">
        <v>10</v>
      </c>
    </row>
    <row r="209">
      <c r="A209" s="5">
        <v>9.350104257E9</v>
      </c>
      <c r="B209" s="5" t="s">
        <v>349</v>
      </c>
      <c r="C209" s="5" t="s">
        <v>144</v>
      </c>
      <c r="D209" s="5" t="s">
        <v>8</v>
      </c>
      <c r="E209" s="5" t="s">
        <v>9</v>
      </c>
      <c r="F209" s="5" t="s">
        <v>10</v>
      </c>
    </row>
    <row r="210">
      <c r="A210" s="5">
        <v>9.910797272E9</v>
      </c>
      <c r="B210" s="5" t="s">
        <v>350</v>
      </c>
      <c r="C210" s="5" t="s">
        <v>231</v>
      </c>
      <c r="D210" s="5" t="s">
        <v>8</v>
      </c>
      <c r="E210" s="5" t="s">
        <v>9</v>
      </c>
      <c r="F210" s="5" t="s">
        <v>10</v>
      </c>
    </row>
    <row r="211">
      <c r="A211" s="5">
        <v>8.368953488E9</v>
      </c>
      <c r="B211" s="5" t="s">
        <v>351</v>
      </c>
      <c r="C211" s="5" t="s">
        <v>248</v>
      </c>
      <c r="D211" s="5" t="s">
        <v>8</v>
      </c>
      <c r="E211" s="5" t="s">
        <v>9</v>
      </c>
      <c r="F211" s="5" t="s">
        <v>10</v>
      </c>
    </row>
    <row r="212">
      <c r="A212" s="5">
        <v>8.52721345E9</v>
      </c>
      <c r="B212" s="5" t="s">
        <v>352</v>
      </c>
      <c r="C212" s="5" t="s">
        <v>353</v>
      </c>
      <c r="D212" s="5" t="s">
        <v>8</v>
      </c>
      <c r="E212" s="5" t="s">
        <v>9</v>
      </c>
      <c r="F212" s="5" t="s">
        <v>10</v>
      </c>
    </row>
    <row r="213">
      <c r="A213" s="5">
        <v>9.871153696E9</v>
      </c>
      <c r="B213" s="5" t="s">
        <v>354</v>
      </c>
      <c r="C213" s="5" t="s">
        <v>110</v>
      </c>
      <c r="D213" s="5" t="s">
        <v>8</v>
      </c>
      <c r="E213" s="5" t="s">
        <v>9</v>
      </c>
      <c r="F213" s="5" t="s">
        <v>10</v>
      </c>
    </row>
    <row r="214">
      <c r="A214" s="5">
        <v>9.310698129E9</v>
      </c>
      <c r="B214" s="5" t="s">
        <v>355</v>
      </c>
      <c r="C214" s="5" t="s">
        <v>356</v>
      </c>
      <c r="D214" s="5" t="s">
        <v>8</v>
      </c>
      <c r="E214" s="5" t="s">
        <v>9</v>
      </c>
      <c r="F214" s="5" t="s">
        <v>10</v>
      </c>
    </row>
    <row r="215">
      <c r="A215" s="5">
        <v>8.504863131E9</v>
      </c>
      <c r="B215" s="5" t="s">
        <v>357</v>
      </c>
      <c r="C215" s="5" t="s">
        <v>146</v>
      </c>
      <c r="D215" s="5" t="s">
        <v>8</v>
      </c>
      <c r="E215" s="5" t="s">
        <v>9</v>
      </c>
      <c r="F215" s="5" t="s">
        <v>10</v>
      </c>
    </row>
    <row r="216">
      <c r="A216" s="5">
        <v>8.826236053E9</v>
      </c>
      <c r="B216" s="5" t="s">
        <v>25</v>
      </c>
      <c r="C216" s="5" t="s">
        <v>358</v>
      </c>
      <c r="D216" s="5" t="s">
        <v>8</v>
      </c>
      <c r="E216" s="5" t="s">
        <v>9</v>
      </c>
      <c r="F216" s="5" t="s">
        <v>10</v>
      </c>
    </row>
    <row r="217">
      <c r="A217" s="5">
        <v>8.826236053E9</v>
      </c>
      <c r="B217" s="5" t="s">
        <v>359</v>
      </c>
      <c r="C217" s="5" t="s">
        <v>358</v>
      </c>
      <c r="D217" s="5" t="s">
        <v>8</v>
      </c>
      <c r="E217" s="5" t="s">
        <v>9</v>
      </c>
      <c r="F217" s="5" t="s">
        <v>10</v>
      </c>
    </row>
    <row r="218">
      <c r="A218" s="5">
        <v>8.375933947E9</v>
      </c>
      <c r="B218" s="5" t="s">
        <v>360</v>
      </c>
      <c r="C218" s="5" t="s">
        <v>48</v>
      </c>
      <c r="D218" s="5" t="s">
        <v>8</v>
      </c>
      <c r="E218" s="5" t="s">
        <v>9</v>
      </c>
      <c r="F218" s="5" t="s">
        <v>10</v>
      </c>
    </row>
    <row r="219">
      <c r="A219" s="5">
        <v>9.810019487E9</v>
      </c>
      <c r="B219" s="5" t="s">
        <v>361</v>
      </c>
      <c r="C219" s="5" t="s">
        <v>362</v>
      </c>
      <c r="D219" s="5" t="s">
        <v>8</v>
      </c>
      <c r="E219" s="5" t="s">
        <v>9</v>
      </c>
      <c r="F219" s="5" t="s">
        <v>10</v>
      </c>
    </row>
    <row r="220">
      <c r="A220" s="5">
        <v>8.826871984E9</v>
      </c>
      <c r="B220" s="5" t="s">
        <v>363</v>
      </c>
      <c r="C220" s="5" t="s">
        <v>364</v>
      </c>
      <c r="D220" s="5" t="s">
        <v>8</v>
      </c>
      <c r="E220" s="5" t="s">
        <v>9</v>
      </c>
      <c r="F220" s="5" t="s">
        <v>10</v>
      </c>
    </row>
    <row r="221">
      <c r="A221" s="5">
        <v>9.899725515E9</v>
      </c>
      <c r="B221" s="5" t="s">
        <v>365</v>
      </c>
      <c r="C221" s="5" t="s">
        <v>366</v>
      </c>
      <c r="D221" s="5" t="s">
        <v>8</v>
      </c>
      <c r="E221" s="5" t="s">
        <v>9</v>
      </c>
      <c r="F221" s="5" t="s">
        <v>10</v>
      </c>
    </row>
    <row r="222">
      <c r="A222" s="5">
        <v>8.368953488E9</v>
      </c>
      <c r="B222" s="5" t="s">
        <v>276</v>
      </c>
      <c r="C222" s="5" t="s">
        <v>248</v>
      </c>
      <c r="D222" s="5" t="s">
        <v>8</v>
      </c>
      <c r="E222" s="5" t="s">
        <v>9</v>
      </c>
      <c r="F222" s="5" t="s">
        <v>10</v>
      </c>
    </row>
    <row r="223">
      <c r="A223" s="5">
        <v>9.910950257E9</v>
      </c>
      <c r="B223" s="5" t="s">
        <v>367</v>
      </c>
      <c r="C223" s="5" t="s">
        <v>130</v>
      </c>
      <c r="D223" s="5" t="s">
        <v>8</v>
      </c>
      <c r="E223" s="5" t="s">
        <v>9</v>
      </c>
      <c r="F223" s="5"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7.5"/>
    <col customWidth="1" min="3" max="3" width="70.25"/>
    <col customWidth="1" min="4" max="4" width="27.63"/>
    <col customWidth="1" min="5" max="5" width="19.13"/>
  </cols>
  <sheetData>
    <row r="1">
      <c r="A1" s="5" t="s">
        <v>0</v>
      </c>
      <c r="B1" s="5" t="s">
        <v>368</v>
      </c>
      <c r="C1" s="5" t="s">
        <v>2</v>
      </c>
      <c r="D1" s="5" t="s">
        <v>3</v>
      </c>
      <c r="E1" s="5" t="s">
        <v>369</v>
      </c>
    </row>
    <row r="2">
      <c r="A2" s="5">
        <v>1.411153323E9</v>
      </c>
      <c r="C2" s="5" t="s">
        <v>370</v>
      </c>
      <c r="D2" s="5" t="s">
        <v>371</v>
      </c>
      <c r="E2" s="5" t="s">
        <v>370</v>
      </c>
    </row>
    <row r="3">
      <c r="A3" s="5">
        <v>1.425356605E9</v>
      </c>
      <c r="C3" s="5" t="s">
        <v>372</v>
      </c>
      <c r="D3" s="5" t="s">
        <v>371</v>
      </c>
      <c r="E3" s="5" t="s">
        <v>372</v>
      </c>
    </row>
    <row r="4">
      <c r="A4" s="5">
        <v>1.430393622E9</v>
      </c>
      <c r="C4" s="5" t="s">
        <v>373</v>
      </c>
      <c r="D4" s="5" t="s">
        <v>371</v>
      </c>
      <c r="E4" s="5" t="s">
        <v>373</v>
      </c>
    </row>
    <row r="5">
      <c r="A5" s="5">
        <v>1.432558847E9</v>
      </c>
      <c r="C5" s="5" t="s">
        <v>374</v>
      </c>
      <c r="D5" s="5" t="s">
        <v>371</v>
      </c>
      <c r="E5" s="5" t="s">
        <v>374</v>
      </c>
    </row>
    <row r="6">
      <c r="A6" s="5">
        <v>1.434259584E9</v>
      </c>
      <c r="C6" s="5" t="s">
        <v>375</v>
      </c>
      <c r="D6" s="5" t="s">
        <v>371</v>
      </c>
      <c r="E6" s="5" t="s">
        <v>376</v>
      </c>
    </row>
    <row r="7">
      <c r="A7" s="5">
        <v>1.488017818E9</v>
      </c>
      <c r="C7" s="5" t="s">
        <v>377</v>
      </c>
      <c r="D7" s="5" t="s">
        <v>371</v>
      </c>
      <c r="E7" s="5" t="s">
        <v>377</v>
      </c>
    </row>
    <row r="8">
      <c r="A8" s="5">
        <v>1.506254417E9</v>
      </c>
      <c r="C8" s="5" t="s">
        <v>378</v>
      </c>
      <c r="D8" s="5" t="s">
        <v>371</v>
      </c>
      <c r="E8" s="5" t="s">
        <v>378</v>
      </c>
    </row>
    <row r="9">
      <c r="A9" s="5">
        <v>1.557308035E9</v>
      </c>
      <c r="C9" s="5" t="s">
        <v>379</v>
      </c>
      <c r="D9" s="5" t="s">
        <v>371</v>
      </c>
      <c r="E9" s="5" t="s">
        <v>379</v>
      </c>
    </row>
    <row r="10">
      <c r="A10" s="5">
        <v>1.711476067E9</v>
      </c>
      <c r="C10" s="5" t="s">
        <v>380</v>
      </c>
      <c r="D10" s="5" t="s">
        <v>371</v>
      </c>
      <c r="E10" s="5" t="s">
        <v>381</v>
      </c>
    </row>
    <row r="11">
      <c r="A11" s="5">
        <v>1.931299765E9</v>
      </c>
      <c r="C11" s="5" t="s">
        <v>382</v>
      </c>
      <c r="D11" s="5" t="s">
        <v>371</v>
      </c>
      <c r="E11" s="5" t="s">
        <v>382</v>
      </c>
    </row>
    <row r="12">
      <c r="A12" s="5">
        <v>1.938356639E9</v>
      </c>
      <c r="C12" s="5" t="s">
        <v>383</v>
      </c>
      <c r="D12" s="5" t="s">
        <v>371</v>
      </c>
      <c r="E12" s="5" t="s">
        <v>383</v>
      </c>
    </row>
    <row r="13">
      <c r="A13" s="5">
        <v>2.018758869E9</v>
      </c>
      <c r="C13" s="5" t="s">
        <v>384</v>
      </c>
      <c r="D13" s="5" t="s">
        <v>371</v>
      </c>
      <c r="E13" s="5" t="s">
        <v>384</v>
      </c>
    </row>
    <row r="14">
      <c r="A14" s="5">
        <v>2.057737745E9</v>
      </c>
      <c r="C14" s="5" t="s">
        <v>385</v>
      </c>
      <c r="D14" s="5" t="s">
        <v>371</v>
      </c>
      <c r="E14" s="5" t="s">
        <v>385</v>
      </c>
    </row>
    <row r="15">
      <c r="A15" s="5">
        <v>2.122710187E9</v>
      </c>
      <c r="C15" s="5" t="s">
        <v>386</v>
      </c>
      <c r="D15" s="5" t="s">
        <v>371</v>
      </c>
      <c r="E15" s="5" t="s">
        <v>386</v>
      </c>
    </row>
    <row r="16">
      <c r="A16" s="5">
        <v>2.557752112E9</v>
      </c>
      <c r="C16" s="5" t="s">
        <v>387</v>
      </c>
      <c r="D16" s="5" t="s">
        <v>371</v>
      </c>
      <c r="E16" s="5" t="s">
        <v>387</v>
      </c>
    </row>
    <row r="17">
      <c r="A17" s="5">
        <v>3.052526697E9</v>
      </c>
      <c r="C17" s="5" t="s">
        <v>388</v>
      </c>
      <c r="D17" s="5" t="s">
        <v>371</v>
      </c>
      <c r="E17" s="5" t="s">
        <v>389</v>
      </c>
    </row>
    <row r="18">
      <c r="A18" s="5">
        <v>3.751058354E9</v>
      </c>
      <c r="C18" s="5" t="s">
        <v>390</v>
      </c>
      <c r="D18" s="5" t="s">
        <v>371</v>
      </c>
      <c r="E18" s="5" t="s">
        <v>390</v>
      </c>
    </row>
    <row r="19">
      <c r="A19" s="5">
        <v>3.987E9</v>
      </c>
      <c r="C19" s="5" t="s">
        <v>391</v>
      </c>
      <c r="D19" s="5" t="s">
        <v>371</v>
      </c>
      <c r="E19" s="5" t="s">
        <v>391</v>
      </c>
    </row>
    <row r="20">
      <c r="A20" s="5">
        <v>4.191410664E9</v>
      </c>
      <c r="C20" s="5" t="s">
        <v>392</v>
      </c>
      <c r="D20" s="5" t="s">
        <v>371</v>
      </c>
      <c r="E20" s="5" t="s">
        <v>392</v>
      </c>
    </row>
    <row r="21">
      <c r="A21" s="5">
        <v>9.811023449E9</v>
      </c>
      <c r="C21" s="5" t="s">
        <v>145</v>
      </c>
      <c r="D21" s="5" t="s">
        <v>371</v>
      </c>
      <c r="E21" s="5" t="s">
        <v>145</v>
      </c>
    </row>
    <row r="22">
      <c r="A22" s="5">
        <v>9.610072943E9</v>
      </c>
      <c r="C22" s="5" t="s">
        <v>393</v>
      </c>
      <c r="D22" s="5" t="s">
        <v>371</v>
      </c>
      <c r="E22" s="5" t="s">
        <v>393</v>
      </c>
    </row>
    <row r="23">
      <c r="A23" s="5">
        <v>7.042183683E9</v>
      </c>
      <c r="C23" s="5" t="s">
        <v>394</v>
      </c>
      <c r="D23" s="5" t="s">
        <v>371</v>
      </c>
      <c r="E23" s="5" t="s">
        <v>394</v>
      </c>
    </row>
    <row r="24">
      <c r="A24" s="5">
        <v>9.810668596E9</v>
      </c>
      <c r="C24" s="5" t="s">
        <v>395</v>
      </c>
      <c r="D24" s="5" t="s">
        <v>371</v>
      </c>
      <c r="E24" s="5" t="s">
        <v>395</v>
      </c>
    </row>
    <row r="25">
      <c r="A25" s="5">
        <v>8.1781488E9</v>
      </c>
      <c r="C25" s="5" t="s">
        <v>7</v>
      </c>
      <c r="D25" s="5" t="s">
        <v>371</v>
      </c>
      <c r="E25" s="5" t="s">
        <v>6</v>
      </c>
    </row>
    <row r="26">
      <c r="A26" s="5">
        <v>9.953450909E9</v>
      </c>
      <c r="C26" s="5" t="s">
        <v>396</v>
      </c>
      <c r="D26" s="5" t="s">
        <v>371</v>
      </c>
      <c r="E26" s="5" t="s">
        <v>396</v>
      </c>
    </row>
    <row r="27">
      <c r="A27" s="5">
        <v>8.700173741E9</v>
      </c>
      <c r="C27" s="5" t="s">
        <v>397</v>
      </c>
      <c r="D27" s="5" t="s">
        <v>371</v>
      </c>
      <c r="E27" s="5" t="s">
        <v>397</v>
      </c>
    </row>
    <row r="28">
      <c r="A28" s="5">
        <v>9.311691012E9</v>
      </c>
      <c r="C28" s="5" t="s">
        <v>12</v>
      </c>
      <c r="D28" s="5" t="s">
        <v>371</v>
      </c>
      <c r="E28" s="5" t="s">
        <v>11</v>
      </c>
    </row>
    <row r="29">
      <c r="A29" s="5">
        <v>9.810222843E9</v>
      </c>
      <c r="C29" s="5" t="s">
        <v>398</v>
      </c>
      <c r="D29" s="5" t="s">
        <v>371</v>
      </c>
      <c r="E29" s="5" t="s">
        <v>398</v>
      </c>
    </row>
    <row r="30">
      <c r="A30" s="5">
        <v>9.82148915E9</v>
      </c>
      <c r="C30" s="5" t="s">
        <v>399</v>
      </c>
      <c r="D30" s="5" t="s">
        <v>371</v>
      </c>
      <c r="E30" s="5" t="s">
        <v>399</v>
      </c>
    </row>
    <row r="31">
      <c r="A31" s="5">
        <v>9.810007503E9</v>
      </c>
      <c r="C31" s="5" t="s">
        <v>14</v>
      </c>
      <c r="D31" s="5" t="s">
        <v>371</v>
      </c>
      <c r="E31" s="5" t="s">
        <v>13</v>
      </c>
    </row>
    <row r="32">
      <c r="A32" s="5">
        <v>9.873041853E9</v>
      </c>
      <c r="C32" s="5" t="s">
        <v>16</v>
      </c>
      <c r="D32" s="5" t="s">
        <v>371</v>
      </c>
      <c r="E32" s="5" t="s">
        <v>15</v>
      </c>
    </row>
    <row r="33">
      <c r="A33" s="5">
        <v>9.9106033E9</v>
      </c>
      <c r="C33" s="5" t="s">
        <v>400</v>
      </c>
      <c r="D33" s="5" t="s">
        <v>371</v>
      </c>
      <c r="E33" s="5" t="s">
        <v>400</v>
      </c>
    </row>
    <row r="34">
      <c r="A34" s="5">
        <v>9.560358448E9</v>
      </c>
      <c r="C34" s="5" t="s">
        <v>401</v>
      </c>
      <c r="D34" s="5" t="s">
        <v>371</v>
      </c>
      <c r="E34" s="5" t="s">
        <v>401</v>
      </c>
    </row>
    <row r="35">
      <c r="A35" s="5">
        <v>8.882584436E9</v>
      </c>
      <c r="C35" s="5" t="s">
        <v>402</v>
      </c>
      <c r="D35" s="5" t="s">
        <v>371</v>
      </c>
      <c r="E35" s="5" t="s">
        <v>402</v>
      </c>
    </row>
    <row r="36">
      <c r="A36" s="5">
        <v>9.21232777E9</v>
      </c>
      <c r="C36" s="5" t="s">
        <v>403</v>
      </c>
      <c r="D36" s="5" t="s">
        <v>371</v>
      </c>
      <c r="E36" s="5" t="s">
        <v>403</v>
      </c>
    </row>
    <row r="37">
      <c r="A37" s="5">
        <v>9.212674929E9</v>
      </c>
      <c r="C37" s="5" t="s">
        <v>18</v>
      </c>
      <c r="D37" s="5" t="s">
        <v>371</v>
      </c>
      <c r="E37" s="5" t="s">
        <v>17</v>
      </c>
    </row>
    <row r="38">
      <c r="A38" s="5">
        <v>8.800939462E9</v>
      </c>
      <c r="C38" s="5" t="s">
        <v>20</v>
      </c>
      <c r="D38" s="5" t="s">
        <v>371</v>
      </c>
      <c r="E38" s="5" t="s">
        <v>19</v>
      </c>
    </row>
    <row r="39">
      <c r="A39" s="5">
        <v>9.999728283E9</v>
      </c>
      <c r="C39" s="5" t="s">
        <v>22</v>
      </c>
      <c r="D39" s="5" t="s">
        <v>371</v>
      </c>
      <c r="E39" s="5" t="s">
        <v>21</v>
      </c>
    </row>
    <row r="40">
      <c r="A40" s="5">
        <v>9.958950595E9</v>
      </c>
      <c r="C40" s="5" t="s">
        <v>404</v>
      </c>
      <c r="D40" s="5" t="s">
        <v>371</v>
      </c>
      <c r="E40" s="5" t="s">
        <v>404</v>
      </c>
    </row>
    <row r="41">
      <c r="A41" s="5">
        <v>7.021183656E9</v>
      </c>
      <c r="C41" s="5" t="s">
        <v>405</v>
      </c>
      <c r="D41" s="5" t="s">
        <v>371</v>
      </c>
      <c r="E41" s="5" t="s">
        <v>405</v>
      </c>
    </row>
    <row r="42">
      <c r="A42" s="5">
        <v>9.818926253E9</v>
      </c>
      <c r="C42" s="5" t="s">
        <v>406</v>
      </c>
      <c r="D42" s="5" t="s">
        <v>371</v>
      </c>
      <c r="E42" s="5" t="s">
        <v>406</v>
      </c>
    </row>
    <row r="43">
      <c r="A43" s="5">
        <v>8.860741616E9</v>
      </c>
      <c r="C43" s="5" t="s">
        <v>24</v>
      </c>
      <c r="D43" s="5" t="s">
        <v>371</v>
      </c>
      <c r="E43" s="5" t="s">
        <v>23</v>
      </c>
    </row>
    <row r="44">
      <c r="A44" s="5">
        <v>7.011729202E9</v>
      </c>
      <c r="C44" s="5" t="s">
        <v>407</v>
      </c>
      <c r="D44" s="5" t="s">
        <v>371</v>
      </c>
      <c r="E44" s="5" t="s">
        <v>407</v>
      </c>
    </row>
    <row r="45">
      <c r="A45" s="5">
        <v>8.860590814E9</v>
      </c>
      <c r="C45" s="5" t="s">
        <v>26</v>
      </c>
      <c r="D45" s="5" t="s">
        <v>371</v>
      </c>
      <c r="E45" s="5" t="s">
        <v>25</v>
      </c>
    </row>
    <row r="46">
      <c r="A46" s="5">
        <v>9.650745331E9</v>
      </c>
      <c r="C46" s="5" t="s">
        <v>408</v>
      </c>
      <c r="D46" s="5" t="s">
        <v>371</v>
      </c>
      <c r="E46" s="5" t="s">
        <v>408</v>
      </c>
    </row>
    <row r="47">
      <c r="A47" s="5">
        <v>8.974251308E9</v>
      </c>
      <c r="C47" s="5" t="s">
        <v>28</v>
      </c>
      <c r="D47" s="5" t="s">
        <v>371</v>
      </c>
      <c r="E47" s="5" t="s">
        <v>27</v>
      </c>
    </row>
    <row r="48">
      <c r="A48" s="5">
        <v>9.81077575E9</v>
      </c>
      <c r="C48" s="5" t="s">
        <v>409</v>
      </c>
      <c r="D48" s="5" t="s">
        <v>371</v>
      </c>
      <c r="E48" s="5" t="s">
        <v>409</v>
      </c>
    </row>
    <row r="49">
      <c r="A49" s="5">
        <v>9.811172888E9</v>
      </c>
      <c r="C49" s="5" t="s">
        <v>125</v>
      </c>
      <c r="D49" s="5" t="s">
        <v>371</v>
      </c>
      <c r="E49" s="5" t="s">
        <v>125</v>
      </c>
    </row>
    <row r="50">
      <c r="A50" s="5">
        <v>9.818668439E9</v>
      </c>
      <c r="C50" s="5" t="s">
        <v>254</v>
      </c>
      <c r="D50" s="5" t="s">
        <v>371</v>
      </c>
      <c r="E50" s="5" t="s">
        <v>254</v>
      </c>
    </row>
    <row r="51">
      <c r="A51" s="5">
        <v>9.818926153E9</v>
      </c>
      <c r="C51" s="5" t="s">
        <v>406</v>
      </c>
      <c r="D51" s="5" t="s">
        <v>371</v>
      </c>
      <c r="E51" s="5" t="s">
        <v>406</v>
      </c>
    </row>
    <row r="52">
      <c r="A52" s="5">
        <v>9.81880272E9</v>
      </c>
      <c r="C52" s="5" t="s">
        <v>30</v>
      </c>
      <c r="D52" s="5" t="s">
        <v>371</v>
      </c>
      <c r="E52" s="5" t="s">
        <v>29</v>
      </c>
    </row>
    <row r="53">
      <c r="A53" s="5">
        <v>9.811488999E9</v>
      </c>
      <c r="C53" s="5" t="s">
        <v>262</v>
      </c>
      <c r="D53" s="5" t="s">
        <v>371</v>
      </c>
      <c r="E53" s="5" t="s">
        <v>262</v>
      </c>
    </row>
    <row r="54">
      <c r="A54" s="5">
        <v>9.811795829E9</v>
      </c>
      <c r="C54" s="5" t="s">
        <v>32</v>
      </c>
      <c r="D54" s="5" t="s">
        <v>371</v>
      </c>
      <c r="E54" s="5" t="s">
        <v>31</v>
      </c>
    </row>
    <row r="55">
      <c r="A55" s="5">
        <v>8.860211768E9</v>
      </c>
      <c r="C55" s="5" t="s">
        <v>410</v>
      </c>
      <c r="D55" s="5" t="s">
        <v>371</v>
      </c>
      <c r="E55" s="5" t="s">
        <v>410</v>
      </c>
    </row>
    <row r="56">
      <c r="A56" s="5">
        <v>8.826313399E9</v>
      </c>
      <c r="C56" s="5" t="s">
        <v>34</v>
      </c>
      <c r="D56" s="5" t="s">
        <v>371</v>
      </c>
      <c r="E56" s="5" t="s">
        <v>33</v>
      </c>
    </row>
    <row r="57">
      <c r="A57" s="5">
        <v>9.810100011E9</v>
      </c>
      <c r="C57" s="5" t="s">
        <v>36</v>
      </c>
      <c r="D57" s="5" t="s">
        <v>371</v>
      </c>
      <c r="E57" s="5" t="s">
        <v>35</v>
      </c>
    </row>
    <row r="58">
      <c r="A58" s="5">
        <v>8.920285128E9</v>
      </c>
      <c r="C58" s="5" t="s">
        <v>411</v>
      </c>
      <c r="D58" s="5" t="s">
        <v>371</v>
      </c>
      <c r="E58" s="5" t="s">
        <v>411</v>
      </c>
    </row>
    <row r="59">
      <c r="A59" s="5">
        <v>8.920731234E9</v>
      </c>
      <c r="C59" s="5" t="s">
        <v>412</v>
      </c>
      <c r="D59" s="5" t="s">
        <v>371</v>
      </c>
      <c r="E59" s="5" t="s">
        <v>412</v>
      </c>
    </row>
    <row r="60">
      <c r="A60" s="5">
        <v>7.053000572E9</v>
      </c>
      <c r="C60" s="5" t="s">
        <v>413</v>
      </c>
      <c r="D60" s="5" t="s">
        <v>371</v>
      </c>
      <c r="E60" s="5" t="s">
        <v>413</v>
      </c>
    </row>
    <row r="61">
      <c r="A61" s="5">
        <v>9.582588575E9</v>
      </c>
      <c r="C61" s="5" t="s">
        <v>414</v>
      </c>
      <c r="D61" s="5" t="s">
        <v>371</v>
      </c>
      <c r="E61" s="5" t="s">
        <v>414</v>
      </c>
    </row>
    <row r="62">
      <c r="A62" s="5">
        <v>9.999882673E9</v>
      </c>
      <c r="C62" s="5" t="s">
        <v>415</v>
      </c>
      <c r="D62" s="5" t="s">
        <v>371</v>
      </c>
      <c r="E62" s="5" t="s">
        <v>415</v>
      </c>
    </row>
    <row r="63">
      <c r="A63" s="5">
        <v>7.390880818E9</v>
      </c>
      <c r="C63" s="5" t="s">
        <v>416</v>
      </c>
      <c r="D63" s="5" t="s">
        <v>371</v>
      </c>
      <c r="E63" s="5" t="s">
        <v>416</v>
      </c>
    </row>
    <row r="64">
      <c r="A64" s="5">
        <v>8.929184477E9</v>
      </c>
      <c r="C64" s="5" t="s">
        <v>417</v>
      </c>
      <c r="D64" s="5" t="s">
        <v>371</v>
      </c>
      <c r="E64" s="5" t="s">
        <v>417</v>
      </c>
    </row>
    <row r="65">
      <c r="A65" s="5">
        <v>9.971389387E9</v>
      </c>
      <c r="C65" s="5" t="s">
        <v>418</v>
      </c>
      <c r="D65" s="5" t="s">
        <v>371</v>
      </c>
      <c r="E65" s="5" t="s">
        <v>418</v>
      </c>
    </row>
    <row r="66">
      <c r="A66" s="5">
        <v>9.21317156E9</v>
      </c>
      <c r="C66" s="5" t="s">
        <v>419</v>
      </c>
      <c r="D66" s="5" t="s">
        <v>371</v>
      </c>
      <c r="E66" s="5" t="s">
        <v>419</v>
      </c>
    </row>
    <row r="67">
      <c r="A67" s="5">
        <v>8.587085269E9</v>
      </c>
      <c r="C67" s="5" t="s">
        <v>420</v>
      </c>
      <c r="D67" s="5" t="s">
        <v>371</v>
      </c>
      <c r="E67" s="5" t="s">
        <v>420</v>
      </c>
    </row>
    <row r="68">
      <c r="A68" s="5">
        <v>9.818756677E9</v>
      </c>
      <c r="C68" s="5" t="s">
        <v>421</v>
      </c>
      <c r="D68" s="5" t="s">
        <v>371</v>
      </c>
      <c r="E68" s="5" t="s">
        <v>421</v>
      </c>
    </row>
    <row r="69">
      <c r="A69" s="5">
        <v>9.868120901E9</v>
      </c>
      <c r="C69" s="5" t="s">
        <v>422</v>
      </c>
      <c r="D69" s="5" t="s">
        <v>371</v>
      </c>
      <c r="E69" s="5" t="s">
        <v>422</v>
      </c>
    </row>
    <row r="70">
      <c r="A70" s="5">
        <v>9.525203641E9</v>
      </c>
      <c r="C70" s="5" t="s">
        <v>423</v>
      </c>
      <c r="D70" s="5" t="s">
        <v>371</v>
      </c>
      <c r="E70" s="5" t="s">
        <v>423</v>
      </c>
    </row>
    <row r="71">
      <c r="A71" s="5">
        <v>9.999507907E9</v>
      </c>
      <c r="C71" s="5" t="s">
        <v>424</v>
      </c>
      <c r="D71" s="5" t="s">
        <v>371</v>
      </c>
      <c r="E71" s="5" t="s">
        <v>424</v>
      </c>
    </row>
    <row r="72">
      <c r="A72" s="5">
        <v>9.643705979E9</v>
      </c>
      <c r="C72" s="5" t="s">
        <v>38</v>
      </c>
      <c r="D72" s="5" t="s">
        <v>371</v>
      </c>
      <c r="E72" s="5" t="s">
        <v>37</v>
      </c>
    </row>
    <row r="73">
      <c r="A73" s="5">
        <v>9.312229038E9</v>
      </c>
      <c r="C73" s="5" t="s">
        <v>425</v>
      </c>
      <c r="D73" s="5" t="s">
        <v>371</v>
      </c>
      <c r="E73" s="5" t="s">
        <v>425</v>
      </c>
    </row>
    <row r="74">
      <c r="A74" s="5">
        <v>9.886328522E9</v>
      </c>
      <c r="C74" s="5" t="s">
        <v>426</v>
      </c>
      <c r="D74" s="5" t="s">
        <v>371</v>
      </c>
      <c r="E74" s="5" t="s">
        <v>426</v>
      </c>
    </row>
    <row r="75">
      <c r="A75" s="5">
        <v>9.654141505E9</v>
      </c>
      <c r="C75" s="5" t="s">
        <v>427</v>
      </c>
      <c r="D75" s="5" t="s">
        <v>371</v>
      </c>
      <c r="E75" s="5" t="s">
        <v>427</v>
      </c>
    </row>
    <row r="76">
      <c r="A76" s="5">
        <v>9.818802702E9</v>
      </c>
      <c r="C76" s="5" t="s">
        <v>29</v>
      </c>
      <c r="D76" s="5" t="s">
        <v>371</v>
      </c>
      <c r="E76" s="5" t="s">
        <v>29</v>
      </c>
    </row>
    <row r="77">
      <c r="A77" s="5">
        <v>9.56034111E9</v>
      </c>
      <c r="C77" s="5" t="s">
        <v>40</v>
      </c>
      <c r="D77" s="5" t="s">
        <v>371</v>
      </c>
      <c r="E77" s="5" t="s">
        <v>39</v>
      </c>
    </row>
    <row r="78">
      <c r="A78" s="5">
        <v>7.021020509E9</v>
      </c>
      <c r="C78" s="5" t="s">
        <v>428</v>
      </c>
      <c r="D78" s="5" t="s">
        <v>371</v>
      </c>
      <c r="E78" s="5" t="s">
        <v>428</v>
      </c>
    </row>
    <row r="79">
      <c r="A79" s="5">
        <v>9.711428669E9</v>
      </c>
      <c r="C79" s="5" t="s">
        <v>429</v>
      </c>
      <c r="D79" s="5" t="s">
        <v>371</v>
      </c>
      <c r="E79" s="5" t="s">
        <v>429</v>
      </c>
    </row>
    <row r="80">
      <c r="A80" s="5">
        <v>9.743705979E9</v>
      </c>
      <c r="C80" s="5" t="s">
        <v>37</v>
      </c>
      <c r="D80" s="5" t="s">
        <v>371</v>
      </c>
      <c r="E80" s="5" t="s">
        <v>37</v>
      </c>
    </row>
    <row r="81">
      <c r="A81" s="5">
        <v>9.821136219E9</v>
      </c>
      <c r="C81" s="5" t="s">
        <v>430</v>
      </c>
      <c r="D81" s="5" t="s">
        <v>371</v>
      </c>
      <c r="E81" s="5" t="s">
        <v>430</v>
      </c>
    </row>
    <row r="82">
      <c r="A82" s="5">
        <v>9.810068111E9</v>
      </c>
      <c r="C82" s="5" t="s">
        <v>431</v>
      </c>
      <c r="D82" s="5" t="s">
        <v>371</v>
      </c>
      <c r="E82" s="5" t="s">
        <v>431</v>
      </c>
    </row>
    <row r="83">
      <c r="A83" s="5">
        <v>9.89922268E9</v>
      </c>
      <c r="C83" s="5" t="s">
        <v>403</v>
      </c>
      <c r="D83" s="5" t="s">
        <v>371</v>
      </c>
      <c r="E83" s="5" t="s">
        <v>403</v>
      </c>
    </row>
    <row r="84">
      <c r="A84" s="5">
        <v>9.711216574E9</v>
      </c>
      <c r="C84" s="5" t="s">
        <v>432</v>
      </c>
      <c r="D84" s="5" t="s">
        <v>371</v>
      </c>
      <c r="E84" s="5" t="s">
        <v>432</v>
      </c>
    </row>
    <row r="85">
      <c r="A85" s="5">
        <v>8.010046101E9</v>
      </c>
      <c r="C85" s="5" t="s">
        <v>42</v>
      </c>
      <c r="D85" s="5" t="s">
        <v>371</v>
      </c>
      <c r="E85" s="5" t="s">
        <v>41</v>
      </c>
    </row>
    <row r="86">
      <c r="A86" s="5">
        <v>9.780560701E9</v>
      </c>
      <c r="C86" s="5" t="s">
        <v>260</v>
      </c>
      <c r="D86" s="5" t="s">
        <v>371</v>
      </c>
      <c r="E86" s="5" t="s">
        <v>260</v>
      </c>
    </row>
    <row r="87">
      <c r="A87" s="5">
        <v>8.700909391E9</v>
      </c>
      <c r="C87" s="5" t="s">
        <v>433</v>
      </c>
      <c r="D87" s="5" t="s">
        <v>371</v>
      </c>
      <c r="E87" s="5" t="s">
        <v>433</v>
      </c>
    </row>
    <row r="88">
      <c r="A88" s="5">
        <v>8.860036737E9</v>
      </c>
      <c r="C88" s="5" t="s">
        <v>434</v>
      </c>
      <c r="D88" s="5" t="s">
        <v>371</v>
      </c>
      <c r="E88" s="5" t="s">
        <v>434</v>
      </c>
    </row>
    <row r="89">
      <c r="A89" s="5">
        <v>7.385216713E9</v>
      </c>
      <c r="C89" s="5" t="s">
        <v>435</v>
      </c>
      <c r="D89" s="5" t="s">
        <v>371</v>
      </c>
      <c r="E89" s="5" t="s">
        <v>435</v>
      </c>
    </row>
    <row r="90">
      <c r="A90" s="5">
        <v>9.810337136E9</v>
      </c>
      <c r="C90" s="5" t="s">
        <v>436</v>
      </c>
      <c r="D90" s="5" t="s">
        <v>371</v>
      </c>
      <c r="E90" s="5" t="s">
        <v>436</v>
      </c>
    </row>
    <row r="91">
      <c r="A91" s="5">
        <v>9.899442938E9</v>
      </c>
      <c r="C91" s="5" t="s">
        <v>99</v>
      </c>
      <c r="D91" s="5" t="s">
        <v>371</v>
      </c>
      <c r="E91" s="5" t="s">
        <v>99</v>
      </c>
    </row>
    <row r="92">
      <c r="A92" s="5">
        <v>9.811448932E9</v>
      </c>
      <c r="C92" s="5" t="s">
        <v>437</v>
      </c>
      <c r="D92" s="5" t="s">
        <v>371</v>
      </c>
      <c r="E92" s="5" t="s">
        <v>437</v>
      </c>
    </row>
    <row r="93">
      <c r="A93" s="5">
        <v>9.810857727E9</v>
      </c>
      <c r="C93" s="5" t="s">
        <v>44</v>
      </c>
      <c r="D93" s="5" t="s">
        <v>371</v>
      </c>
      <c r="E93" s="5" t="s">
        <v>43</v>
      </c>
    </row>
    <row r="94">
      <c r="A94" s="5">
        <v>9.999446004E9</v>
      </c>
      <c r="C94" s="5" t="s">
        <v>438</v>
      </c>
      <c r="D94" s="5" t="s">
        <v>371</v>
      </c>
      <c r="E94" s="5" t="s">
        <v>438</v>
      </c>
    </row>
    <row r="95">
      <c r="A95" s="5">
        <v>9.319319976E9</v>
      </c>
      <c r="C95" s="5" t="s">
        <v>439</v>
      </c>
      <c r="D95" s="5" t="s">
        <v>371</v>
      </c>
      <c r="E95" s="5" t="s">
        <v>439</v>
      </c>
    </row>
    <row r="96">
      <c r="A96" s="5">
        <v>8.59224619E9</v>
      </c>
      <c r="C96" s="5" t="s">
        <v>440</v>
      </c>
      <c r="D96" s="5" t="s">
        <v>371</v>
      </c>
      <c r="E96" s="5" t="s">
        <v>440</v>
      </c>
    </row>
    <row r="97">
      <c r="A97" s="5">
        <v>9.820731234E9</v>
      </c>
      <c r="C97" s="5" t="s">
        <v>412</v>
      </c>
      <c r="D97" s="5" t="s">
        <v>371</v>
      </c>
      <c r="E97" s="5" t="s">
        <v>412</v>
      </c>
    </row>
    <row r="98">
      <c r="A98" s="5">
        <v>9.971989789E9</v>
      </c>
      <c r="C98" s="5" t="s">
        <v>441</v>
      </c>
      <c r="D98" s="5" t="s">
        <v>371</v>
      </c>
      <c r="E98" s="5" t="s">
        <v>441</v>
      </c>
    </row>
    <row r="99">
      <c r="A99" s="5">
        <v>5.92246219E9</v>
      </c>
      <c r="C99" s="5" t="s">
        <v>442</v>
      </c>
      <c r="D99" s="5" t="s">
        <v>371</v>
      </c>
      <c r="E99" s="5" t="s">
        <v>442</v>
      </c>
    </row>
    <row r="100">
      <c r="A100" s="5">
        <v>9.560915533E9</v>
      </c>
      <c r="C100" s="5" t="s">
        <v>46</v>
      </c>
      <c r="D100" s="5" t="s">
        <v>371</v>
      </c>
      <c r="E100" s="5" t="s">
        <v>45</v>
      </c>
    </row>
    <row r="101">
      <c r="A101" s="5">
        <v>8.218058775E9</v>
      </c>
      <c r="C101" s="5" t="s">
        <v>443</v>
      </c>
      <c r="D101" s="5" t="s">
        <v>371</v>
      </c>
      <c r="E101" s="5" t="s">
        <v>443</v>
      </c>
    </row>
    <row r="102">
      <c r="A102" s="5">
        <v>9.891143023E9</v>
      </c>
      <c r="C102" s="5" t="s">
        <v>444</v>
      </c>
      <c r="D102" s="5" t="s">
        <v>371</v>
      </c>
      <c r="E102" s="5" t="s">
        <v>444</v>
      </c>
    </row>
    <row r="103">
      <c r="A103" s="5">
        <v>8.375933947E9</v>
      </c>
      <c r="C103" s="5" t="s">
        <v>48</v>
      </c>
      <c r="D103" s="5" t="s">
        <v>371</v>
      </c>
      <c r="E103" s="5" t="s">
        <v>47</v>
      </c>
    </row>
    <row r="104">
      <c r="A104" s="5">
        <v>7.83840825E9</v>
      </c>
      <c r="C104" s="5" t="s">
        <v>445</v>
      </c>
      <c r="D104" s="5" t="s">
        <v>371</v>
      </c>
      <c r="E104" s="5" t="s">
        <v>445</v>
      </c>
    </row>
    <row r="105">
      <c r="A105" s="5">
        <v>9.817922929E9</v>
      </c>
      <c r="C105" s="5" t="s">
        <v>446</v>
      </c>
      <c r="D105" s="5" t="s">
        <v>371</v>
      </c>
      <c r="E105" s="5" t="s">
        <v>446</v>
      </c>
    </row>
    <row r="106">
      <c r="A106" s="5">
        <v>9.990145453E9</v>
      </c>
      <c r="C106" s="5" t="s">
        <v>447</v>
      </c>
      <c r="D106" s="5" t="s">
        <v>371</v>
      </c>
      <c r="E106" s="5" t="s">
        <v>447</v>
      </c>
    </row>
    <row r="107">
      <c r="A107" s="5">
        <v>8.287645704E9</v>
      </c>
      <c r="C107" s="5" t="s">
        <v>448</v>
      </c>
      <c r="D107" s="5" t="s">
        <v>371</v>
      </c>
      <c r="E107" s="5" t="s">
        <v>448</v>
      </c>
    </row>
    <row r="108">
      <c r="A108" s="5">
        <v>7.300620421E9</v>
      </c>
      <c r="C108" s="5" t="s">
        <v>175</v>
      </c>
      <c r="D108" s="5" t="s">
        <v>371</v>
      </c>
      <c r="E108" s="5" t="s">
        <v>175</v>
      </c>
    </row>
    <row r="109">
      <c r="A109" s="5">
        <v>9.717611464E9</v>
      </c>
      <c r="C109" s="5" t="s">
        <v>449</v>
      </c>
      <c r="D109" s="5" t="s">
        <v>371</v>
      </c>
      <c r="E109" s="5" t="s">
        <v>449</v>
      </c>
    </row>
    <row r="110">
      <c r="A110" s="5">
        <v>9.910925269E9</v>
      </c>
      <c r="C110" s="5" t="s">
        <v>50</v>
      </c>
      <c r="D110" s="5" t="s">
        <v>371</v>
      </c>
      <c r="E110" s="5" t="s">
        <v>49</v>
      </c>
    </row>
    <row r="111">
      <c r="A111" s="5">
        <v>9.310857548E9</v>
      </c>
      <c r="C111" s="5" t="s">
        <v>450</v>
      </c>
      <c r="D111" s="5" t="s">
        <v>371</v>
      </c>
      <c r="E111" s="5" t="s">
        <v>450</v>
      </c>
    </row>
    <row r="112">
      <c r="A112" s="5">
        <v>9.873833656E9</v>
      </c>
      <c r="C112" s="5" t="s">
        <v>52</v>
      </c>
      <c r="D112" s="5" t="s">
        <v>371</v>
      </c>
      <c r="E112" s="5" t="s">
        <v>51</v>
      </c>
    </row>
    <row r="113">
      <c r="A113" s="5">
        <v>9.971097482E9</v>
      </c>
      <c r="C113" s="5" t="s">
        <v>451</v>
      </c>
      <c r="D113" s="5" t="s">
        <v>371</v>
      </c>
      <c r="E113" s="5" t="s">
        <v>451</v>
      </c>
    </row>
    <row r="114">
      <c r="A114" s="5">
        <v>6.20520388E9</v>
      </c>
      <c r="C114" s="5" t="s">
        <v>452</v>
      </c>
      <c r="D114" s="5" t="s">
        <v>371</v>
      </c>
      <c r="E114" s="5" t="s">
        <v>452</v>
      </c>
    </row>
    <row r="115">
      <c r="A115" s="5">
        <v>9.555152166E9</v>
      </c>
      <c r="C115" s="5" t="s">
        <v>54</v>
      </c>
      <c r="D115" s="5" t="s">
        <v>371</v>
      </c>
      <c r="E115" s="5" t="s">
        <v>53</v>
      </c>
    </row>
    <row r="116">
      <c r="A116" s="5">
        <v>9.899226225E9</v>
      </c>
      <c r="C116" s="5" t="s">
        <v>56</v>
      </c>
      <c r="D116" s="5" t="s">
        <v>371</v>
      </c>
      <c r="E116" s="5" t="s">
        <v>55</v>
      </c>
    </row>
    <row r="117">
      <c r="A117" s="5">
        <v>9.999678088E9</v>
      </c>
      <c r="C117" s="5" t="s">
        <v>453</v>
      </c>
      <c r="D117" s="5" t="s">
        <v>371</v>
      </c>
      <c r="E117" s="5" t="s">
        <v>453</v>
      </c>
    </row>
    <row r="118">
      <c r="A118" s="5">
        <v>9.811456708E9</v>
      </c>
      <c r="C118" s="5" t="s">
        <v>454</v>
      </c>
      <c r="D118" s="5" t="s">
        <v>371</v>
      </c>
      <c r="E118" s="5" t="s">
        <v>454</v>
      </c>
    </row>
    <row r="119">
      <c r="A119" s="5">
        <v>9.971052404E9</v>
      </c>
      <c r="C119" s="5" t="s">
        <v>455</v>
      </c>
      <c r="D119" s="5" t="s">
        <v>371</v>
      </c>
      <c r="E119" s="5" t="s">
        <v>455</v>
      </c>
    </row>
    <row r="120">
      <c r="A120" s="5">
        <v>9.871024292E9</v>
      </c>
      <c r="C120" s="5" t="s">
        <v>58</v>
      </c>
      <c r="D120" s="5" t="s">
        <v>371</v>
      </c>
      <c r="E120" s="5" t="s">
        <v>57</v>
      </c>
    </row>
    <row r="121">
      <c r="A121" s="5">
        <v>9.873273593E9</v>
      </c>
      <c r="C121" s="5" t="s">
        <v>456</v>
      </c>
      <c r="D121" s="5" t="s">
        <v>371</v>
      </c>
      <c r="E121" s="5" t="s">
        <v>456</v>
      </c>
    </row>
    <row r="122">
      <c r="A122" s="5">
        <v>9.310379264E9</v>
      </c>
      <c r="C122" s="5" t="s">
        <v>457</v>
      </c>
      <c r="D122" s="5" t="s">
        <v>371</v>
      </c>
      <c r="E122" s="5" t="s">
        <v>457</v>
      </c>
    </row>
    <row r="123">
      <c r="A123" s="5">
        <v>7.217786373E9</v>
      </c>
      <c r="C123" s="5" t="s">
        <v>458</v>
      </c>
      <c r="D123" s="5" t="s">
        <v>371</v>
      </c>
      <c r="E123" s="5" t="s">
        <v>458</v>
      </c>
    </row>
    <row r="124">
      <c r="A124" s="5">
        <v>9.910773855E9</v>
      </c>
      <c r="C124" s="5" t="s">
        <v>458</v>
      </c>
      <c r="D124" s="5" t="s">
        <v>371</v>
      </c>
      <c r="E124" s="5" t="s">
        <v>458</v>
      </c>
    </row>
    <row r="125">
      <c r="A125" s="5">
        <v>9.36983726E9</v>
      </c>
      <c r="C125" s="5" t="s">
        <v>459</v>
      </c>
      <c r="D125" s="5" t="s">
        <v>371</v>
      </c>
      <c r="E125" s="5" t="s">
        <v>459</v>
      </c>
    </row>
    <row r="126">
      <c r="A126" s="5">
        <v>9.818110346E9</v>
      </c>
      <c r="C126" s="5" t="s">
        <v>460</v>
      </c>
      <c r="D126" s="5" t="s">
        <v>371</v>
      </c>
      <c r="E126" s="5" t="s">
        <v>460</v>
      </c>
    </row>
    <row r="127">
      <c r="A127" s="5">
        <v>9.811755998E9</v>
      </c>
      <c r="C127" s="5" t="s">
        <v>461</v>
      </c>
      <c r="D127" s="5" t="s">
        <v>371</v>
      </c>
      <c r="E127" s="5" t="s">
        <v>461</v>
      </c>
    </row>
    <row r="128">
      <c r="A128" s="5">
        <v>9.892203082E9</v>
      </c>
      <c r="C128" s="5" t="s">
        <v>458</v>
      </c>
      <c r="D128" s="5" t="s">
        <v>371</v>
      </c>
      <c r="E128" s="5" t="s">
        <v>458</v>
      </c>
    </row>
    <row r="129">
      <c r="A129" s="5">
        <v>9.910278945E9</v>
      </c>
      <c r="C129" s="5" t="s">
        <v>462</v>
      </c>
      <c r="D129" s="5" t="s">
        <v>371</v>
      </c>
      <c r="E129" s="5" t="s">
        <v>462</v>
      </c>
    </row>
    <row r="130">
      <c r="A130" s="5">
        <v>8.094884343E9</v>
      </c>
      <c r="C130" s="5" t="s">
        <v>463</v>
      </c>
      <c r="D130" s="5" t="s">
        <v>371</v>
      </c>
      <c r="E130" s="5" t="s">
        <v>463</v>
      </c>
    </row>
    <row r="131">
      <c r="A131" s="5">
        <v>9.958166341E9</v>
      </c>
      <c r="C131" s="5" t="s">
        <v>464</v>
      </c>
      <c r="D131" s="5" t="s">
        <v>371</v>
      </c>
      <c r="E131" s="5" t="s">
        <v>464</v>
      </c>
    </row>
    <row r="132">
      <c r="A132" s="5">
        <v>9.818311188E9</v>
      </c>
      <c r="C132" s="5" t="s">
        <v>393</v>
      </c>
      <c r="D132" s="5" t="s">
        <v>371</v>
      </c>
      <c r="E132" s="5" t="s">
        <v>393</v>
      </c>
    </row>
    <row r="133">
      <c r="A133" s="5">
        <v>9.810947581E9</v>
      </c>
      <c r="C133" s="5" t="s">
        <v>226</v>
      </c>
      <c r="D133" s="5" t="s">
        <v>371</v>
      </c>
      <c r="E133" s="5" t="s">
        <v>226</v>
      </c>
    </row>
    <row r="134">
      <c r="A134" s="5">
        <v>8.130437059E9</v>
      </c>
      <c r="C134" s="5" t="s">
        <v>465</v>
      </c>
      <c r="D134" s="5" t="s">
        <v>371</v>
      </c>
      <c r="E134" s="5" t="s">
        <v>465</v>
      </c>
    </row>
    <row r="135">
      <c r="A135" s="5">
        <v>8.587888357E9</v>
      </c>
      <c r="C135" s="5" t="s">
        <v>466</v>
      </c>
      <c r="D135" s="5" t="s">
        <v>371</v>
      </c>
      <c r="E135" s="5" t="s">
        <v>466</v>
      </c>
    </row>
    <row r="136">
      <c r="A136" s="5">
        <v>7.827182727E9</v>
      </c>
      <c r="C136" s="5" t="s">
        <v>60</v>
      </c>
      <c r="D136" s="5" t="s">
        <v>371</v>
      </c>
      <c r="E136" s="5" t="s">
        <v>59</v>
      </c>
    </row>
    <row r="137">
      <c r="A137" s="5">
        <v>9.86872356E9</v>
      </c>
      <c r="C137" s="5" t="s">
        <v>467</v>
      </c>
      <c r="D137" s="5" t="s">
        <v>371</v>
      </c>
      <c r="E137" s="5" t="s">
        <v>467</v>
      </c>
    </row>
    <row r="138">
      <c r="A138" s="5">
        <v>7.827399396E9</v>
      </c>
      <c r="C138" s="5" t="s">
        <v>468</v>
      </c>
      <c r="D138" s="5" t="s">
        <v>371</v>
      </c>
      <c r="E138" s="5" t="s">
        <v>468</v>
      </c>
    </row>
    <row r="139">
      <c r="A139" s="5">
        <v>9.899615881E9</v>
      </c>
      <c r="C139" s="5" t="s">
        <v>125</v>
      </c>
      <c r="D139" s="5" t="s">
        <v>371</v>
      </c>
      <c r="E139" s="5" t="s">
        <v>125</v>
      </c>
    </row>
    <row r="140">
      <c r="A140" s="5">
        <v>9.311580781E9</v>
      </c>
      <c r="C140" s="5" t="s">
        <v>469</v>
      </c>
      <c r="D140" s="5" t="s">
        <v>371</v>
      </c>
      <c r="E140" s="5" t="s">
        <v>469</v>
      </c>
    </row>
    <row r="141">
      <c r="A141" s="5">
        <v>9.818766685E9</v>
      </c>
      <c r="C141" s="5" t="s">
        <v>470</v>
      </c>
      <c r="D141" s="5" t="s">
        <v>371</v>
      </c>
      <c r="E141" s="5" t="s">
        <v>470</v>
      </c>
    </row>
    <row r="142">
      <c r="A142" s="5">
        <v>9.871089414E9</v>
      </c>
      <c r="C142" s="5" t="s">
        <v>62</v>
      </c>
      <c r="D142" s="5" t="s">
        <v>371</v>
      </c>
      <c r="E142" s="5" t="s">
        <v>61</v>
      </c>
    </row>
    <row r="143">
      <c r="A143" s="5">
        <v>6.1388288E9</v>
      </c>
      <c r="C143" s="5" t="s">
        <v>471</v>
      </c>
      <c r="D143" s="5" t="s">
        <v>371</v>
      </c>
      <c r="E143" s="5" t="s">
        <v>471</v>
      </c>
    </row>
    <row r="144">
      <c r="A144" s="5">
        <v>9.711686788E9</v>
      </c>
      <c r="C144" s="5" t="s">
        <v>472</v>
      </c>
      <c r="D144" s="5" t="s">
        <v>371</v>
      </c>
      <c r="E144" s="5" t="s">
        <v>472</v>
      </c>
    </row>
    <row r="145">
      <c r="A145" s="5">
        <v>9.958481195E9</v>
      </c>
      <c r="C145" s="5" t="s">
        <v>473</v>
      </c>
      <c r="D145" s="5" t="s">
        <v>371</v>
      </c>
      <c r="E145" s="5" t="s">
        <v>473</v>
      </c>
    </row>
    <row r="146">
      <c r="A146" s="5">
        <v>9.650557706E9</v>
      </c>
      <c r="C146" s="5" t="s">
        <v>474</v>
      </c>
      <c r="D146" s="5" t="s">
        <v>371</v>
      </c>
      <c r="E146" s="5" t="s">
        <v>474</v>
      </c>
    </row>
    <row r="147">
      <c r="A147" s="5">
        <v>9.625148818E9</v>
      </c>
      <c r="C147" s="5" t="s">
        <v>372</v>
      </c>
      <c r="D147" s="5" t="s">
        <v>371</v>
      </c>
      <c r="E147" s="5" t="s">
        <v>372</v>
      </c>
    </row>
    <row r="148">
      <c r="A148" s="5">
        <v>9.654311323E9</v>
      </c>
      <c r="C148" s="5" t="s">
        <v>475</v>
      </c>
      <c r="D148" s="5" t="s">
        <v>371</v>
      </c>
      <c r="E148" s="5" t="s">
        <v>475</v>
      </c>
    </row>
    <row r="149">
      <c r="A149" s="5">
        <v>9.419015579E9</v>
      </c>
      <c r="C149" s="5" t="s">
        <v>476</v>
      </c>
      <c r="D149" s="5" t="s">
        <v>371</v>
      </c>
      <c r="E149" s="5" t="s">
        <v>476</v>
      </c>
    </row>
    <row r="150">
      <c r="A150" s="5">
        <v>9.64107874E9</v>
      </c>
      <c r="C150" s="5" t="s">
        <v>477</v>
      </c>
      <c r="D150" s="5" t="s">
        <v>371</v>
      </c>
      <c r="E150" s="5" t="s">
        <v>477</v>
      </c>
    </row>
    <row r="151">
      <c r="A151" s="5">
        <v>9.927643391E9</v>
      </c>
      <c r="C151" s="5" t="s">
        <v>478</v>
      </c>
      <c r="D151" s="5" t="s">
        <v>371</v>
      </c>
      <c r="E151" s="5" t="s">
        <v>478</v>
      </c>
    </row>
    <row r="152">
      <c r="A152" s="5">
        <v>8.448763272E9</v>
      </c>
      <c r="C152" s="5" t="s">
        <v>381</v>
      </c>
      <c r="D152" s="5" t="s">
        <v>371</v>
      </c>
      <c r="E152" s="5" t="s">
        <v>381</v>
      </c>
    </row>
    <row r="153">
      <c r="A153" s="5">
        <v>9.873652585E9</v>
      </c>
      <c r="C153" s="5" t="s">
        <v>479</v>
      </c>
      <c r="D153" s="5" t="s">
        <v>371</v>
      </c>
      <c r="E153" s="5" t="s">
        <v>479</v>
      </c>
    </row>
    <row r="154">
      <c r="A154" s="5">
        <v>9.534107191E9</v>
      </c>
      <c r="C154" s="5" t="s">
        <v>480</v>
      </c>
      <c r="D154" s="5" t="s">
        <v>371</v>
      </c>
      <c r="E154" s="5" t="s">
        <v>480</v>
      </c>
    </row>
    <row r="155">
      <c r="A155" s="5">
        <v>7.906897981E9</v>
      </c>
      <c r="C155" s="5" t="s">
        <v>64</v>
      </c>
      <c r="D155" s="5" t="s">
        <v>371</v>
      </c>
      <c r="E155" s="5" t="s">
        <v>63</v>
      </c>
    </row>
    <row r="156">
      <c r="A156" s="5">
        <v>9.81805745E9</v>
      </c>
      <c r="C156" s="5" t="s">
        <v>481</v>
      </c>
      <c r="D156" s="5" t="s">
        <v>371</v>
      </c>
      <c r="E156" s="5" t="s">
        <v>481</v>
      </c>
    </row>
    <row r="157">
      <c r="A157" s="5">
        <v>7.838194917E9</v>
      </c>
      <c r="C157" s="5" t="s">
        <v>482</v>
      </c>
      <c r="D157" s="5" t="s">
        <v>371</v>
      </c>
      <c r="E157" s="5" t="s">
        <v>482</v>
      </c>
    </row>
    <row r="158">
      <c r="A158" s="5">
        <v>8.800315834E9</v>
      </c>
      <c r="C158" s="5" t="s">
        <v>483</v>
      </c>
      <c r="D158" s="5" t="s">
        <v>371</v>
      </c>
      <c r="E158" s="5" t="s">
        <v>483</v>
      </c>
    </row>
    <row r="159">
      <c r="A159" s="5">
        <v>9.625811996E9</v>
      </c>
      <c r="C159" s="5" t="s">
        <v>484</v>
      </c>
      <c r="D159" s="5" t="s">
        <v>371</v>
      </c>
      <c r="E159" s="5" t="s">
        <v>484</v>
      </c>
    </row>
    <row r="160">
      <c r="A160" s="5">
        <v>9.212157824E9</v>
      </c>
      <c r="C160" s="5" t="s">
        <v>66</v>
      </c>
      <c r="D160" s="5" t="s">
        <v>371</v>
      </c>
      <c r="E160" s="5" t="s">
        <v>65</v>
      </c>
    </row>
    <row r="161">
      <c r="A161" s="5">
        <v>8.923711703E9</v>
      </c>
      <c r="C161" s="5" t="s">
        <v>107</v>
      </c>
      <c r="D161" s="5" t="s">
        <v>371</v>
      </c>
      <c r="E161" s="5" t="s">
        <v>107</v>
      </c>
    </row>
    <row r="162">
      <c r="A162" s="5">
        <v>9.813566322E9</v>
      </c>
      <c r="C162" s="5" t="s">
        <v>485</v>
      </c>
      <c r="D162" s="5" t="s">
        <v>371</v>
      </c>
      <c r="E162" s="5" t="s">
        <v>485</v>
      </c>
    </row>
    <row r="163">
      <c r="A163" s="5">
        <v>8.586968902E9</v>
      </c>
      <c r="C163" s="5" t="s">
        <v>68</v>
      </c>
      <c r="D163" s="5" t="s">
        <v>371</v>
      </c>
      <c r="E163" s="5" t="s">
        <v>67</v>
      </c>
    </row>
    <row r="164">
      <c r="A164" s="5">
        <v>9.899070017E9</v>
      </c>
      <c r="C164" s="5" t="s">
        <v>486</v>
      </c>
      <c r="D164" s="5" t="s">
        <v>371</v>
      </c>
      <c r="E164" s="5" t="s">
        <v>486</v>
      </c>
    </row>
    <row r="165">
      <c r="A165" s="5">
        <v>9.810878387E9</v>
      </c>
      <c r="C165" s="5" t="s">
        <v>487</v>
      </c>
      <c r="D165" s="5" t="s">
        <v>371</v>
      </c>
      <c r="E165" s="5" t="s">
        <v>487</v>
      </c>
    </row>
    <row r="166">
      <c r="A166" s="5">
        <v>9.711100748E9</v>
      </c>
      <c r="C166" s="5" t="s">
        <v>70</v>
      </c>
      <c r="D166" s="5" t="s">
        <v>371</v>
      </c>
      <c r="E166" s="5" t="s">
        <v>69</v>
      </c>
    </row>
    <row r="167">
      <c r="A167" s="5">
        <v>7.292019394E9</v>
      </c>
      <c r="C167" s="5" t="s">
        <v>488</v>
      </c>
      <c r="D167" s="5" t="s">
        <v>371</v>
      </c>
      <c r="E167" s="5" t="s">
        <v>488</v>
      </c>
    </row>
    <row r="168">
      <c r="A168" s="5">
        <v>9.971162532E9</v>
      </c>
      <c r="C168" s="5" t="s">
        <v>489</v>
      </c>
      <c r="D168" s="5" t="s">
        <v>371</v>
      </c>
      <c r="E168" s="5" t="s">
        <v>489</v>
      </c>
    </row>
    <row r="169">
      <c r="A169" s="5">
        <v>9.371162532E9</v>
      </c>
      <c r="C169" s="5" t="s">
        <v>490</v>
      </c>
      <c r="D169" s="5" t="s">
        <v>371</v>
      </c>
      <c r="E169" s="5" t="s">
        <v>490</v>
      </c>
    </row>
    <row r="170">
      <c r="A170" s="5">
        <v>8.920520204E9</v>
      </c>
      <c r="C170" s="5" t="s">
        <v>491</v>
      </c>
      <c r="D170" s="5" t="s">
        <v>371</v>
      </c>
      <c r="E170" s="5" t="s">
        <v>491</v>
      </c>
    </row>
    <row r="171">
      <c r="A171" s="5">
        <v>9.83105246E9</v>
      </c>
      <c r="C171" s="5" t="s">
        <v>492</v>
      </c>
      <c r="D171" s="5" t="s">
        <v>371</v>
      </c>
      <c r="E171" s="5" t="s">
        <v>492</v>
      </c>
    </row>
    <row r="172">
      <c r="A172" s="5">
        <v>8.86075959E9</v>
      </c>
      <c r="C172" s="5" t="s">
        <v>493</v>
      </c>
      <c r="D172" s="5" t="s">
        <v>371</v>
      </c>
      <c r="E172" s="5" t="s">
        <v>493</v>
      </c>
    </row>
    <row r="173">
      <c r="A173" s="5">
        <v>9.89150021E9</v>
      </c>
      <c r="C173" s="5" t="s">
        <v>494</v>
      </c>
      <c r="D173" s="5" t="s">
        <v>371</v>
      </c>
      <c r="E173" s="5" t="s">
        <v>494</v>
      </c>
    </row>
    <row r="174">
      <c r="A174" s="5">
        <v>8.08122676E9</v>
      </c>
      <c r="C174" s="5" t="s">
        <v>71</v>
      </c>
      <c r="D174" s="5" t="s">
        <v>371</v>
      </c>
      <c r="E174" s="5" t="s">
        <v>71</v>
      </c>
    </row>
    <row r="175">
      <c r="A175" s="5">
        <v>9.386347767E9</v>
      </c>
      <c r="C175" s="5" t="s">
        <v>72</v>
      </c>
      <c r="D175" s="5" t="s">
        <v>371</v>
      </c>
      <c r="E175" s="5" t="s">
        <v>71</v>
      </c>
    </row>
    <row r="176">
      <c r="A176" s="5">
        <v>9.810500382E9</v>
      </c>
      <c r="C176" s="5" t="s">
        <v>495</v>
      </c>
      <c r="D176" s="5" t="s">
        <v>371</v>
      </c>
      <c r="E176" s="5" t="s">
        <v>495</v>
      </c>
    </row>
    <row r="177">
      <c r="A177" s="5">
        <v>9.818304747E9</v>
      </c>
      <c r="C177" s="5" t="s">
        <v>496</v>
      </c>
      <c r="D177" s="5" t="s">
        <v>371</v>
      </c>
      <c r="E177" s="5" t="s">
        <v>496</v>
      </c>
    </row>
    <row r="178">
      <c r="A178" s="5">
        <v>9.810834236E9</v>
      </c>
      <c r="C178" s="5" t="s">
        <v>497</v>
      </c>
      <c r="D178" s="5" t="s">
        <v>371</v>
      </c>
      <c r="E178" s="5" t="s">
        <v>497</v>
      </c>
    </row>
    <row r="179">
      <c r="A179" s="5">
        <v>7.838003571E9</v>
      </c>
      <c r="C179" s="5" t="s">
        <v>498</v>
      </c>
      <c r="D179" s="5" t="s">
        <v>371</v>
      </c>
      <c r="E179" s="5" t="s">
        <v>498</v>
      </c>
    </row>
    <row r="180">
      <c r="A180" s="5">
        <v>9.098649418E9</v>
      </c>
      <c r="C180" s="5" t="s">
        <v>74</v>
      </c>
      <c r="D180" s="5" t="s">
        <v>371</v>
      </c>
      <c r="E180" s="5" t="s">
        <v>73</v>
      </c>
    </row>
    <row r="181">
      <c r="A181" s="5">
        <v>8.377873828E9</v>
      </c>
      <c r="C181" s="5" t="s">
        <v>499</v>
      </c>
      <c r="D181" s="5" t="s">
        <v>371</v>
      </c>
      <c r="E181" s="5" t="s">
        <v>499</v>
      </c>
    </row>
    <row r="182">
      <c r="A182" s="5">
        <v>9.910138678E9</v>
      </c>
      <c r="C182" s="5" t="s">
        <v>99</v>
      </c>
      <c r="D182" s="5" t="s">
        <v>371</v>
      </c>
      <c r="E182" s="5" t="s">
        <v>99</v>
      </c>
    </row>
    <row r="183">
      <c r="A183" s="5">
        <v>9.958029273E9</v>
      </c>
      <c r="C183" s="5" t="s">
        <v>500</v>
      </c>
      <c r="D183" s="5" t="s">
        <v>371</v>
      </c>
      <c r="E183" s="5" t="s">
        <v>500</v>
      </c>
    </row>
    <row r="184">
      <c r="A184" s="5">
        <v>9.717383278E9</v>
      </c>
      <c r="C184" s="5" t="s">
        <v>501</v>
      </c>
      <c r="D184" s="5" t="s">
        <v>371</v>
      </c>
      <c r="E184" s="5" t="s">
        <v>501</v>
      </c>
    </row>
    <row r="185">
      <c r="A185" s="5">
        <v>9.891184192E9</v>
      </c>
      <c r="C185" s="5" t="s">
        <v>502</v>
      </c>
      <c r="D185" s="5" t="s">
        <v>371</v>
      </c>
      <c r="E185" s="5" t="s">
        <v>502</v>
      </c>
    </row>
    <row r="186">
      <c r="A186" s="5">
        <v>9.13193441E9</v>
      </c>
      <c r="C186" s="5" t="s">
        <v>503</v>
      </c>
      <c r="D186" s="5" t="s">
        <v>371</v>
      </c>
      <c r="E186" s="5" t="s">
        <v>503</v>
      </c>
    </row>
    <row r="187">
      <c r="A187" s="5">
        <v>8.375030384E9</v>
      </c>
      <c r="C187" s="5" t="s">
        <v>228</v>
      </c>
      <c r="D187" s="5" t="s">
        <v>371</v>
      </c>
      <c r="E187" s="5" t="s">
        <v>228</v>
      </c>
    </row>
    <row r="188">
      <c r="A188" s="5">
        <v>9.958509653E9</v>
      </c>
      <c r="C188" s="5" t="s">
        <v>504</v>
      </c>
      <c r="D188" s="5" t="s">
        <v>371</v>
      </c>
      <c r="E188" s="5" t="s">
        <v>504</v>
      </c>
    </row>
    <row r="189">
      <c r="A189" s="5">
        <v>9.999978172E9</v>
      </c>
      <c r="C189" s="5" t="s">
        <v>505</v>
      </c>
      <c r="D189" s="5" t="s">
        <v>371</v>
      </c>
      <c r="E189" s="5" t="s">
        <v>505</v>
      </c>
    </row>
    <row r="190">
      <c r="A190" s="5">
        <v>9.873787782E9</v>
      </c>
      <c r="C190" s="5" t="s">
        <v>506</v>
      </c>
      <c r="D190" s="5" t="s">
        <v>371</v>
      </c>
      <c r="E190" s="5" t="s">
        <v>506</v>
      </c>
    </row>
    <row r="191">
      <c r="A191" s="5">
        <v>9.810766703E9</v>
      </c>
      <c r="C191" s="5" t="s">
        <v>507</v>
      </c>
      <c r="D191" s="5" t="s">
        <v>371</v>
      </c>
      <c r="E191" s="5" t="s">
        <v>507</v>
      </c>
    </row>
    <row r="192">
      <c r="A192" s="5">
        <v>9.650785711E9</v>
      </c>
      <c r="C192" s="5" t="s">
        <v>87</v>
      </c>
      <c r="D192" s="5" t="s">
        <v>371</v>
      </c>
      <c r="E192" s="5" t="s">
        <v>87</v>
      </c>
    </row>
    <row r="193">
      <c r="A193" s="5">
        <v>8.825179746E9</v>
      </c>
      <c r="C193" s="5" t="s">
        <v>508</v>
      </c>
      <c r="D193" s="5" t="s">
        <v>371</v>
      </c>
      <c r="E193" s="5" t="s">
        <v>508</v>
      </c>
    </row>
    <row r="194">
      <c r="A194" s="5">
        <v>9.268948231E9</v>
      </c>
      <c r="C194" s="5" t="s">
        <v>509</v>
      </c>
      <c r="D194" s="5" t="s">
        <v>371</v>
      </c>
      <c r="E194" s="5" t="s">
        <v>509</v>
      </c>
    </row>
    <row r="195">
      <c r="A195" s="5">
        <v>9.599143711E9</v>
      </c>
      <c r="C195" s="5" t="s">
        <v>510</v>
      </c>
      <c r="D195" s="5" t="s">
        <v>371</v>
      </c>
      <c r="E195" s="5" t="s">
        <v>510</v>
      </c>
    </row>
    <row r="196">
      <c r="A196" s="5">
        <v>8.76634281E9</v>
      </c>
      <c r="C196" s="5" t="s">
        <v>511</v>
      </c>
      <c r="D196" s="5" t="s">
        <v>371</v>
      </c>
      <c r="E196" s="5" t="s">
        <v>511</v>
      </c>
    </row>
    <row r="197">
      <c r="A197" s="5">
        <v>9.42595643E9</v>
      </c>
      <c r="C197" s="5" t="s">
        <v>512</v>
      </c>
      <c r="D197" s="5" t="s">
        <v>371</v>
      </c>
      <c r="E197" s="5" t="s">
        <v>512</v>
      </c>
    </row>
    <row r="198">
      <c r="A198" s="5">
        <v>9.86804995E9</v>
      </c>
      <c r="C198" s="5" t="s">
        <v>513</v>
      </c>
      <c r="D198" s="5" t="s">
        <v>371</v>
      </c>
      <c r="E198" s="5" t="s">
        <v>513</v>
      </c>
    </row>
    <row r="199">
      <c r="A199" s="5">
        <v>9.71792028E9</v>
      </c>
      <c r="C199" s="5" t="s">
        <v>61</v>
      </c>
      <c r="D199" s="5" t="s">
        <v>371</v>
      </c>
      <c r="E199" s="5" t="s">
        <v>61</v>
      </c>
    </row>
    <row r="200">
      <c r="A200" s="5">
        <v>9.891102336E9</v>
      </c>
      <c r="C200" s="5" t="s">
        <v>76</v>
      </c>
      <c r="D200" s="5" t="s">
        <v>371</v>
      </c>
      <c r="E200" s="5" t="s">
        <v>75</v>
      </c>
    </row>
    <row r="201">
      <c r="A201" s="5">
        <v>9.319288857E9</v>
      </c>
      <c r="C201" s="5" t="s">
        <v>514</v>
      </c>
      <c r="D201" s="5" t="s">
        <v>371</v>
      </c>
      <c r="E201" s="5" t="s">
        <v>514</v>
      </c>
    </row>
    <row r="202">
      <c r="A202" s="5">
        <v>7.303432645E9</v>
      </c>
      <c r="C202" s="5" t="s">
        <v>515</v>
      </c>
      <c r="D202" s="5" t="s">
        <v>371</v>
      </c>
      <c r="E202" s="5" t="s">
        <v>515</v>
      </c>
    </row>
    <row r="203">
      <c r="A203" s="5">
        <v>7.303432644E9</v>
      </c>
      <c r="C203" s="5" t="s">
        <v>515</v>
      </c>
      <c r="D203" s="5" t="s">
        <v>371</v>
      </c>
      <c r="E203" s="5" t="s">
        <v>515</v>
      </c>
    </row>
    <row r="204">
      <c r="A204" s="5">
        <v>8.384013994E9</v>
      </c>
      <c r="C204" s="5" t="s">
        <v>516</v>
      </c>
      <c r="D204" s="5" t="s">
        <v>371</v>
      </c>
      <c r="E204" s="5" t="s">
        <v>516</v>
      </c>
    </row>
    <row r="205">
      <c r="A205" s="5">
        <v>9.962578667E9</v>
      </c>
      <c r="C205" s="5" t="s">
        <v>385</v>
      </c>
      <c r="D205" s="5" t="s">
        <v>371</v>
      </c>
      <c r="E205" s="5" t="s">
        <v>385</v>
      </c>
    </row>
    <row r="206">
      <c r="A206" s="5">
        <v>7.217868801E9</v>
      </c>
      <c r="C206" s="5" t="s">
        <v>517</v>
      </c>
      <c r="D206" s="5" t="s">
        <v>371</v>
      </c>
      <c r="E206" s="5" t="s">
        <v>517</v>
      </c>
    </row>
    <row r="207">
      <c r="A207" s="5">
        <v>9.711009801E9</v>
      </c>
      <c r="C207" s="5" t="s">
        <v>127</v>
      </c>
      <c r="D207" s="5" t="s">
        <v>371</v>
      </c>
      <c r="E207" s="5" t="s">
        <v>127</v>
      </c>
    </row>
    <row r="208">
      <c r="A208" s="5">
        <v>9.86844262E9</v>
      </c>
      <c r="C208" s="5" t="s">
        <v>518</v>
      </c>
      <c r="D208" s="5" t="s">
        <v>371</v>
      </c>
      <c r="E208" s="5" t="s">
        <v>518</v>
      </c>
    </row>
    <row r="209">
      <c r="A209" s="5">
        <v>9.81231937E9</v>
      </c>
      <c r="C209" s="5" t="s">
        <v>519</v>
      </c>
      <c r="D209" s="5" t="s">
        <v>371</v>
      </c>
      <c r="E209" s="5" t="s">
        <v>519</v>
      </c>
    </row>
    <row r="210">
      <c r="A210" s="5">
        <v>7.906897961E9</v>
      </c>
      <c r="C210" s="5" t="s">
        <v>520</v>
      </c>
      <c r="D210" s="5" t="s">
        <v>371</v>
      </c>
      <c r="E210" s="5" t="s">
        <v>520</v>
      </c>
    </row>
    <row r="211">
      <c r="A211" s="5">
        <v>9.560757721E9</v>
      </c>
      <c r="C211" s="5" t="s">
        <v>125</v>
      </c>
      <c r="D211" s="5" t="s">
        <v>371</v>
      </c>
      <c r="E211" s="5" t="s">
        <v>125</v>
      </c>
    </row>
    <row r="212">
      <c r="A212" s="5">
        <v>9.811791798E9</v>
      </c>
      <c r="C212" s="5" t="s">
        <v>521</v>
      </c>
      <c r="D212" s="5" t="s">
        <v>371</v>
      </c>
      <c r="E212" s="5" t="s">
        <v>521</v>
      </c>
    </row>
    <row r="213">
      <c r="A213" s="5">
        <v>7.4091E9</v>
      </c>
      <c r="C213" s="5" t="s">
        <v>522</v>
      </c>
      <c r="D213" s="5" t="s">
        <v>371</v>
      </c>
      <c r="E213" s="5" t="s">
        <v>522</v>
      </c>
    </row>
    <row r="214">
      <c r="A214" s="5">
        <v>9.818024252E9</v>
      </c>
      <c r="C214" s="5" t="s">
        <v>87</v>
      </c>
      <c r="D214" s="5" t="s">
        <v>371</v>
      </c>
      <c r="E214" s="5" t="s">
        <v>87</v>
      </c>
    </row>
    <row r="215">
      <c r="A215" s="5">
        <v>8.447575487E9</v>
      </c>
      <c r="C215" s="5" t="s">
        <v>523</v>
      </c>
      <c r="D215" s="5" t="s">
        <v>371</v>
      </c>
      <c r="E215" s="5" t="s">
        <v>523</v>
      </c>
    </row>
    <row r="216">
      <c r="A216" s="5">
        <v>7.838100747E9</v>
      </c>
      <c r="C216" s="5" t="s">
        <v>524</v>
      </c>
      <c r="D216" s="5" t="s">
        <v>371</v>
      </c>
      <c r="E216" s="5" t="s">
        <v>524</v>
      </c>
    </row>
    <row r="217">
      <c r="A217" s="5">
        <v>8.368667298E9</v>
      </c>
      <c r="C217" s="5" t="s">
        <v>525</v>
      </c>
      <c r="D217" s="5" t="s">
        <v>371</v>
      </c>
      <c r="E217" s="5" t="s">
        <v>525</v>
      </c>
    </row>
    <row r="218">
      <c r="A218" s="5">
        <v>9.654528846E9</v>
      </c>
      <c r="C218" s="5" t="s">
        <v>458</v>
      </c>
      <c r="D218" s="5" t="s">
        <v>371</v>
      </c>
      <c r="E218" s="5" t="s">
        <v>458</v>
      </c>
    </row>
    <row r="219">
      <c r="A219" s="5">
        <v>7.00816625E9</v>
      </c>
      <c r="C219" s="5" t="s">
        <v>479</v>
      </c>
      <c r="D219" s="5" t="s">
        <v>371</v>
      </c>
      <c r="E219" s="5" t="s">
        <v>479</v>
      </c>
    </row>
    <row r="220">
      <c r="A220" s="5">
        <v>9.811333074E9</v>
      </c>
      <c r="C220" s="5" t="s">
        <v>526</v>
      </c>
      <c r="D220" s="5" t="s">
        <v>371</v>
      </c>
      <c r="E220" s="5" t="s">
        <v>526</v>
      </c>
    </row>
    <row r="221">
      <c r="A221" s="5">
        <v>9.717321137E9</v>
      </c>
      <c r="C221" s="5" t="s">
        <v>527</v>
      </c>
      <c r="D221" s="5" t="s">
        <v>371</v>
      </c>
      <c r="E221" s="5" t="s">
        <v>527</v>
      </c>
    </row>
    <row r="222">
      <c r="A222" s="5">
        <v>7.065869677E9</v>
      </c>
      <c r="C222" s="5" t="s">
        <v>528</v>
      </c>
      <c r="D222" s="5" t="s">
        <v>371</v>
      </c>
      <c r="E222" s="5" t="s">
        <v>528</v>
      </c>
    </row>
    <row r="223">
      <c r="A223" s="5">
        <v>9.654591719E9</v>
      </c>
      <c r="C223" s="5" t="s">
        <v>79</v>
      </c>
      <c r="D223" s="5" t="s">
        <v>371</v>
      </c>
      <c r="E223" s="5" t="s">
        <v>79</v>
      </c>
    </row>
    <row r="224">
      <c r="A224" s="5">
        <v>6.289219597E9</v>
      </c>
      <c r="C224" s="5" t="s">
        <v>529</v>
      </c>
      <c r="D224" s="5" t="s">
        <v>371</v>
      </c>
      <c r="E224" s="5" t="s">
        <v>529</v>
      </c>
    </row>
    <row r="225">
      <c r="A225" s="5">
        <v>8.800985838E9</v>
      </c>
      <c r="C225" s="5" t="s">
        <v>78</v>
      </c>
      <c r="D225" s="5" t="s">
        <v>371</v>
      </c>
      <c r="E225" s="5" t="s">
        <v>77</v>
      </c>
    </row>
    <row r="226">
      <c r="A226" s="5">
        <v>9.664591719E9</v>
      </c>
      <c r="C226" s="5" t="s">
        <v>80</v>
      </c>
      <c r="D226" s="5" t="s">
        <v>371</v>
      </c>
      <c r="E226" s="5" t="s">
        <v>79</v>
      </c>
    </row>
    <row r="227">
      <c r="A227" s="5">
        <v>9.818747966E9</v>
      </c>
      <c r="C227" s="5" t="s">
        <v>530</v>
      </c>
      <c r="D227" s="5" t="s">
        <v>371</v>
      </c>
      <c r="E227" s="5" t="s">
        <v>530</v>
      </c>
    </row>
    <row r="228">
      <c r="A228" s="5">
        <v>8.802238505E9</v>
      </c>
      <c r="C228" s="5" t="s">
        <v>531</v>
      </c>
      <c r="D228" s="5" t="s">
        <v>371</v>
      </c>
      <c r="E228" s="5" t="s">
        <v>531</v>
      </c>
    </row>
    <row r="229">
      <c r="A229" s="5">
        <v>9.899980269E9</v>
      </c>
      <c r="C229" s="5" t="s">
        <v>532</v>
      </c>
      <c r="D229" s="5" t="s">
        <v>371</v>
      </c>
      <c r="E229" s="5" t="s">
        <v>532</v>
      </c>
    </row>
    <row r="230">
      <c r="A230" s="5">
        <v>8.929324941E9</v>
      </c>
      <c r="C230" s="5" t="s">
        <v>82</v>
      </c>
      <c r="D230" s="5" t="s">
        <v>371</v>
      </c>
      <c r="E230" s="5" t="s">
        <v>81</v>
      </c>
    </row>
    <row r="231">
      <c r="A231" s="5">
        <v>9.818325544E9</v>
      </c>
      <c r="C231" s="5" t="s">
        <v>254</v>
      </c>
      <c r="D231" s="5" t="s">
        <v>371</v>
      </c>
      <c r="E231" s="5" t="s">
        <v>254</v>
      </c>
    </row>
    <row r="232">
      <c r="A232" s="5">
        <v>9.682615632E9</v>
      </c>
      <c r="C232" s="5" t="s">
        <v>533</v>
      </c>
      <c r="D232" s="5" t="s">
        <v>371</v>
      </c>
      <c r="E232" s="5" t="s">
        <v>533</v>
      </c>
    </row>
    <row r="233">
      <c r="A233" s="5">
        <v>9.717700946E9</v>
      </c>
      <c r="C233" s="5" t="s">
        <v>89</v>
      </c>
      <c r="D233" s="5" t="s">
        <v>371</v>
      </c>
      <c r="E233" s="5" t="s">
        <v>89</v>
      </c>
    </row>
    <row r="234">
      <c r="A234" s="5">
        <v>9.810413272E9</v>
      </c>
      <c r="C234" s="5" t="s">
        <v>84</v>
      </c>
      <c r="D234" s="5" t="s">
        <v>371</v>
      </c>
      <c r="E234" s="5" t="s">
        <v>83</v>
      </c>
    </row>
    <row r="235">
      <c r="A235" s="5">
        <v>9.582636788E9</v>
      </c>
      <c r="C235" s="5" t="s">
        <v>534</v>
      </c>
      <c r="D235" s="5" t="s">
        <v>371</v>
      </c>
      <c r="E235" s="5" t="s">
        <v>534</v>
      </c>
    </row>
    <row r="236">
      <c r="A236" s="5">
        <v>9.711525419E9</v>
      </c>
      <c r="C236" s="5" t="s">
        <v>535</v>
      </c>
      <c r="D236" s="5" t="s">
        <v>371</v>
      </c>
      <c r="E236" s="5" t="s">
        <v>535</v>
      </c>
    </row>
    <row r="237">
      <c r="A237" s="5">
        <v>9.899007399E9</v>
      </c>
      <c r="C237" s="5" t="s">
        <v>536</v>
      </c>
      <c r="D237" s="5" t="s">
        <v>371</v>
      </c>
      <c r="E237" s="5" t="s">
        <v>536</v>
      </c>
    </row>
    <row r="238">
      <c r="A238" s="5">
        <v>9.811255881E9</v>
      </c>
      <c r="C238" s="5" t="s">
        <v>537</v>
      </c>
      <c r="D238" s="5" t="s">
        <v>371</v>
      </c>
      <c r="E238" s="5" t="s">
        <v>537</v>
      </c>
    </row>
    <row r="239">
      <c r="A239" s="5">
        <v>9.213882013E9</v>
      </c>
      <c r="C239" s="5" t="s">
        <v>538</v>
      </c>
      <c r="D239" s="5" t="s">
        <v>371</v>
      </c>
      <c r="E239" s="5" t="s">
        <v>538</v>
      </c>
    </row>
    <row r="240">
      <c r="A240" s="5">
        <v>9.582356161E9</v>
      </c>
      <c r="C240" s="5" t="s">
        <v>539</v>
      </c>
      <c r="D240" s="5" t="s">
        <v>371</v>
      </c>
      <c r="E240" s="5" t="s">
        <v>539</v>
      </c>
    </row>
    <row r="241">
      <c r="A241" s="5">
        <v>9.346561515E9</v>
      </c>
      <c r="C241" s="5" t="s">
        <v>540</v>
      </c>
      <c r="D241" s="5" t="s">
        <v>371</v>
      </c>
      <c r="E241" s="5" t="s">
        <v>540</v>
      </c>
    </row>
    <row r="242">
      <c r="A242" s="5">
        <v>9.818498821E9</v>
      </c>
      <c r="C242" s="5" t="s">
        <v>541</v>
      </c>
      <c r="D242" s="5" t="s">
        <v>371</v>
      </c>
      <c r="E242" s="5" t="s">
        <v>541</v>
      </c>
    </row>
    <row r="243">
      <c r="A243" s="5">
        <v>7.417700981E9</v>
      </c>
      <c r="C243" s="5" t="s">
        <v>528</v>
      </c>
      <c r="D243" s="5" t="s">
        <v>371</v>
      </c>
      <c r="E243" s="5" t="s">
        <v>528</v>
      </c>
    </row>
    <row r="244">
      <c r="A244" s="5">
        <v>7.988345244E9</v>
      </c>
      <c r="C244" s="5" t="s">
        <v>542</v>
      </c>
      <c r="D244" s="5" t="s">
        <v>371</v>
      </c>
      <c r="E244" s="5" t="s">
        <v>542</v>
      </c>
    </row>
    <row r="245">
      <c r="A245" s="5">
        <v>8.588087194E9</v>
      </c>
      <c r="C245" s="5" t="s">
        <v>543</v>
      </c>
      <c r="D245" s="5" t="s">
        <v>371</v>
      </c>
      <c r="E245" s="5" t="s">
        <v>543</v>
      </c>
    </row>
    <row r="246">
      <c r="A246" s="5">
        <v>9.971620451E9</v>
      </c>
      <c r="C246" s="5" t="s">
        <v>544</v>
      </c>
      <c r="D246" s="5" t="s">
        <v>371</v>
      </c>
      <c r="E246" s="5" t="s">
        <v>544</v>
      </c>
    </row>
    <row r="247">
      <c r="A247" s="5">
        <v>8.920888312E9</v>
      </c>
      <c r="C247" s="5" t="s">
        <v>528</v>
      </c>
      <c r="D247" s="5" t="s">
        <v>371</v>
      </c>
      <c r="E247" s="5" t="s">
        <v>528</v>
      </c>
    </row>
    <row r="248">
      <c r="A248" s="5">
        <v>7.82772007E9</v>
      </c>
      <c r="C248" s="5" t="s">
        <v>545</v>
      </c>
      <c r="D248" s="5" t="s">
        <v>371</v>
      </c>
      <c r="E248" s="5" t="s">
        <v>545</v>
      </c>
    </row>
    <row r="249">
      <c r="A249" s="5">
        <v>8.377867496E9</v>
      </c>
      <c r="C249" s="5" t="s">
        <v>504</v>
      </c>
      <c r="D249" s="5" t="s">
        <v>371</v>
      </c>
      <c r="E249" s="5" t="s">
        <v>504</v>
      </c>
    </row>
    <row r="250">
      <c r="A250" s="5">
        <v>9.599026033E9</v>
      </c>
      <c r="C250" s="5" t="s">
        <v>546</v>
      </c>
      <c r="D250" s="5" t="s">
        <v>371</v>
      </c>
      <c r="E250" s="5" t="s">
        <v>546</v>
      </c>
    </row>
    <row r="251">
      <c r="A251" s="5">
        <v>9.899090013E9</v>
      </c>
      <c r="C251" s="5" t="s">
        <v>547</v>
      </c>
      <c r="D251" s="5" t="s">
        <v>371</v>
      </c>
      <c r="E251" s="5" t="s">
        <v>547</v>
      </c>
    </row>
    <row r="252">
      <c r="A252" s="5">
        <v>9.434246914E9</v>
      </c>
      <c r="C252" s="5" t="s">
        <v>548</v>
      </c>
      <c r="D252" s="5" t="s">
        <v>371</v>
      </c>
      <c r="E252" s="5" t="s">
        <v>548</v>
      </c>
    </row>
    <row r="253">
      <c r="A253" s="5">
        <v>9.899721688E9</v>
      </c>
      <c r="C253" s="5" t="s">
        <v>549</v>
      </c>
      <c r="D253" s="5" t="s">
        <v>371</v>
      </c>
      <c r="E253" s="5" t="s">
        <v>549</v>
      </c>
    </row>
    <row r="254">
      <c r="A254" s="5">
        <v>9.999376232E9</v>
      </c>
      <c r="C254" s="5" t="s">
        <v>550</v>
      </c>
      <c r="D254" s="5" t="s">
        <v>371</v>
      </c>
      <c r="E254" s="5" t="s">
        <v>550</v>
      </c>
    </row>
    <row r="255">
      <c r="A255" s="5">
        <v>9.289617468E9</v>
      </c>
      <c r="C255" s="5" t="s">
        <v>551</v>
      </c>
      <c r="D255" s="5" t="s">
        <v>371</v>
      </c>
      <c r="E255" s="5" t="s">
        <v>551</v>
      </c>
    </row>
    <row r="256">
      <c r="A256" s="5">
        <v>9.968266086E9</v>
      </c>
      <c r="C256" s="5" t="s">
        <v>383</v>
      </c>
      <c r="D256" s="5" t="s">
        <v>371</v>
      </c>
      <c r="E256" s="5" t="s">
        <v>383</v>
      </c>
    </row>
    <row r="257">
      <c r="A257" s="5">
        <v>9.873469848E9</v>
      </c>
      <c r="C257" s="5" t="s">
        <v>232</v>
      </c>
      <c r="D257" s="5" t="s">
        <v>371</v>
      </c>
      <c r="E257" s="5" t="s">
        <v>232</v>
      </c>
    </row>
    <row r="258">
      <c r="A258" s="5">
        <v>9.313251554E9</v>
      </c>
      <c r="C258" s="5" t="s">
        <v>86</v>
      </c>
      <c r="D258" s="5" t="s">
        <v>371</v>
      </c>
      <c r="E258" s="5" t="s">
        <v>85</v>
      </c>
    </row>
    <row r="259">
      <c r="A259" s="5">
        <v>9.654168668E9</v>
      </c>
      <c r="C259" s="5" t="s">
        <v>552</v>
      </c>
      <c r="D259" s="5" t="s">
        <v>371</v>
      </c>
      <c r="E259" s="5" t="s">
        <v>552</v>
      </c>
    </row>
    <row r="260">
      <c r="A260" s="5">
        <v>8.769597023E9</v>
      </c>
      <c r="C260" s="5" t="s">
        <v>553</v>
      </c>
      <c r="D260" s="5" t="s">
        <v>371</v>
      </c>
      <c r="E260" s="5" t="s">
        <v>553</v>
      </c>
    </row>
    <row r="261">
      <c r="A261" s="5">
        <v>9.81062888E9</v>
      </c>
      <c r="C261" s="5" t="s">
        <v>88</v>
      </c>
      <c r="D261" s="5" t="s">
        <v>371</v>
      </c>
      <c r="E261" s="5" t="s">
        <v>87</v>
      </c>
    </row>
    <row r="262">
      <c r="A262" s="5">
        <v>7.982577704E9</v>
      </c>
      <c r="C262" s="5" t="s">
        <v>554</v>
      </c>
      <c r="D262" s="5" t="s">
        <v>371</v>
      </c>
      <c r="E262" s="5" t="s">
        <v>554</v>
      </c>
    </row>
    <row r="263">
      <c r="A263" s="5">
        <v>9.89109509E9</v>
      </c>
      <c r="C263" s="5" t="s">
        <v>555</v>
      </c>
      <c r="D263" s="5" t="s">
        <v>371</v>
      </c>
      <c r="E263" s="5" t="s">
        <v>555</v>
      </c>
    </row>
    <row r="264">
      <c r="A264" s="5">
        <v>9.717700546E9</v>
      </c>
      <c r="C264" s="5" t="s">
        <v>90</v>
      </c>
      <c r="D264" s="5" t="s">
        <v>371</v>
      </c>
      <c r="E264" s="5" t="s">
        <v>89</v>
      </c>
    </row>
    <row r="265">
      <c r="A265" s="5">
        <v>7.703938998E9</v>
      </c>
      <c r="C265" s="5" t="s">
        <v>458</v>
      </c>
      <c r="D265" s="5" t="s">
        <v>371</v>
      </c>
      <c r="E265" s="5" t="s">
        <v>458</v>
      </c>
    </row>
    <row r="266">
      <c r="A266" s="5">
        <v>9.711063633E9</v>
      </c>
      <c r="C266" s="5" t="s">
        <v>92</v>
      </c>
      <c r="D266" s="5" t="s">
        <v>371</v>
      </c>
      <c r="E266" s="5" t="s">
        <v>91</v>
      </c>
    </row>
    <row r="267">
      <c r="A267" s="5">
        <v>9.81809325E9</v>
      </c>
      <c r="C267" s="5" t="s">
        <v>556</v>
      </c>
      <c r="D267" s="5" t="s">
        <v>371</v>
      </c>
      <c r="E267" s="5" t="s">
        <v>556</v>
      </c>
    </row>
    <row r="268">
      <c r="A268" s="5">
        <v>8.851312233E9</v>
      </c>
      <c r="C268" s="5" t="s">
        <v>94</v>
      </c>
      <c r="D268" s="5" t="s">
        <v>371</v>
      </c>
      <c r="E268" s="5" t="s">
        <v>93</v>
      </c>
    </row>
    <row r="269">
      <c r="A269" s="5">
        <v>9.953475761E9</v>
      </c>
      <c r="C269" s="5" t="s">
        <v>557</v>
      </c>
      <c r="D269" s="5" t="s">
        <v>371</v>
      </c>
      <c r="E269" s="5" t="s">
        <v>557</v>
      </c>
    </row>
    <row r="270">
      <c r="A270" s="5">
        <v>9.818416046E9</v>
      </c>
      <c r="C270" s="5" t="s">
        <v>558</v>
      </c>
      <c r="D270" s="5" t="s">
        <v>371</v>
      </c>
      <c r="E270" s="5" t="s">
        <v>558</v>
      </c>
    </row>
    <row r="271">
      <c r="A271" s="5">
        <v>9.999347862E9</v>
      </c>
      <c r="C271" s="5" t="s">
        <v>559</v>
      </c>
      <c r="D271" s="5" t="s">
        <v>371</v>
      </c>
      <c r="E271" s="5" t="s">
        <v>559</v>
      </c>
    </row>
    <row r="272">
      <c r="A272" s="5">
        <v>9.871921125E9</v>
      </c>
      <c r="C272" s="5" t="s">
        <v>560</v>
      </c>
      <c r="D272" s="5" t="s">
        <v>371</v>
      </c>
      <c r="E272" s="5" t="s">
        <v>560</v>
      </c>
    </row>
    <row r="273">
      <c r="A273" s="5">
        <v>9.971149898E9</v>
      </c>
      <c r="C273" s="5" t="s">
        <v>561</v>
      </c>
      <c r="D273" s="5" t="s">
        <v>371</v>
      </c>
      <c r="E273" s="5" t="s">
        <v>561</v>
      </c>
    </row>
    <row r="274">
      <c r="A274" s="5">
        <v>9.711668159E9</v>
      </c>
      <c r="C274" s="5" t="s">
        <v>562</v>
      </c>
      <c r="D274" s="5" t="s">
        <v>371</v>
      </c>
      <c r="E274" s="5" t="s">
        <v>562</v>
      </c>
    </row>
    <row r="275">
      <c r="A275" s="5">
        <v>9.990054084E9</v>
      </c>
      <c r="C275" s="5" t="s">
        <v>96</v>
      </c>
      <c r="D275" s="5" t="s">
        <v>371</v>
      </c>
      <c r="E275" s="5" t="s">
        <v>95</v>
      </c>
    </row>
    <row r="276">
      <c r="A276" s="5">
        <v>8.59528338E9</v>
      </c>
      <c r="C276" s="5" t="s">
        <v>563</v>
      </c>
      <c r="D276" s="5" t="s">
        <v>371</v>
      </c>
      <c r="E276" s="5" t="s">
        <v>563</v>
      </c>
    </row>
    <row r="277">
      <c r="A277" s="5">
        <v>8.909741255E9</v>
      </c>
      <c r="C277" s="5" t="s">
        <v>564</v>
      </c>
      <c r="D277" s="5" t="s">
        <v>371</v>
      </c>
      <c r="E277" s="5" t="s">
        <v>564</v>
      </c>
    </row>
    <row r="278">
      <c r="A278" s="5">
        <v>9.810287478E9</v>
      </c>
      <c r="C278" s="5" t="s">
        <v>98</v>
      </c>
      <c r="D278" s="5" t="s">
        <v>371</v>
      </c>
      <c r="E278" s="5" t="s">
        <v>97</v>
      </c>
    </row>
    <row r="279">
      <c r="A279" s="5">
        <v>9.26851437E9</v>
      </c>
      <c r="C279" s="5" t="s">
        <v>408</v>
      </c>
      <c r="D279" s="5" t="s">
        <v>371</v>
      </c>
      <c r="E279" s="5" t="s">
        <v>408</v>
      </c>
    </row>
    <row r="280">
      <c r="A280" s="5">
        <v>7.889096931E9</v>
      </c>
      <c r="C280" s="5" t="s">
        <v>550</v>
      </c>
      <c r="D280" s="5" t="s">
        <v>371</v>
      </c>
      <c r="E280" s="5" t="s">
        <v>550</v>
      </c>
    </row>
    <row r="281">
      <c r="A281" s="5">
        <v>9.711710329E9</v>
      </c>
      <c r="C281" s="5" t="s">
        <v>549</v>
      </c>
      <c r="D281" s="5" t="s">
        <v>371</v>
      </c>
      <c r="E281" s="5" t="s">
        <v>549</v>
      </c>
    </row>
    <row r="282">
      <c r="A282" s="5">
        <v>8.447540669E9</v>
      </c>
      <c r="C282" s="5" t="s">
        <v>372</v>
      </c>
      <c r="D282" s="5" t="s">
        <v>371</v>
      </c>
      <c r="E282" s="5" t="s">
        <v>372</v>
      </c>
    </row>
    <row r="283">
      <c r="A283" s="5">
        <v>9.999323701E9</v>
      </c>
      <c r="C283" s="5" t="s">
        <v>565</v>
      </c>
      <c r="D283" s="5" t="s">
        <v>371</v>
      </c>
      <c r="E283" s="5" t="s">
        <v>565</v>
      </c>
    </row>
    <row r="284">
      <c r="A284" s="5">
        <v>9.013504064E9</v>
      </c>
      <c r="C284" s="5" t="s">
        <v>566</v>
      </c>
      <c r="D284" s="5" t="s">
        <v>371</v>
      </c>
      <c r="E284" s="5" t="s">
        <v>566</v>
      </c>
    </row>
    <row r="285">
      <c r="A285" s="5">
        <v>9.999641245E9</v>
      </c>
      <c r="C285" s="5" t="s">
        <v>567</v>
      </c>
      <c r="D285" s="5" t="s">
        <v>371</v>
      </c>
      <c r="E285" s="5" t="s">
        <v>567</v>
      </c>
    </row>
    <row r="286">
      <c r="A286" s="5">
        <v>9.911220005E9</v>
      </c>
      <c r="C286" s="5" t="s">
        <v>568</v>
      </c>
      <c r="D286" s="5" t="s">
        <v>371</v>
      </c>
      <c r="E286" s="5" t="s">
        <v>568</v>
      </c>
    </row>
    <row r="287">
      <c r="A287" s="5">
        <v>9.71702601E9</v>
      </c>
      <c r="C287" s="5" t="s">
        <v>100</v>
      </c>
      <c r="D287" s="5" t="s">
        <v>371</v>
      </c>
      <c r="E287" s="5" t="s">
        <v>99</v>
      </c>
    </row>
    <row r="288">
      <c r="A288" s="5">
        <v>8.882131759E9</v>
      </c>
      <c r="C288" s="5" t="s">
        <v>569</v>
      </c>
      <c r="D288" s="5" t="s">
        <v>371</v>
      </c>
      <c r="E288" s="5" t="s">
        <v>569</v>
      </c>
    </row>
    <row r="289">
      <c r="A289" s="5">
        <v>9.313890608E9</v>
      </c>
      <c r="C289" s="5" t="s">
        <v>570</v>
      </c>
      <c r="D289" s="5" t="s">
        <v>371</v>
      </c>
      <c r="E289" s="5" t="s">
        <v>570</v>
      </c>
    </row>
    <row r="290">
      <c r="A290" s="5">
        <v>8.826639017E9</v>
      </c>
      <c r="C290" s="5" t="s">
        <v>571</v>
      </c>
      <c r="D290" s="5" t="s">
        <v>371</v>
      </c>
      <c r="E290" s="5" t="s">
        <v>571</v>
      </c>
    </row>
    <row r="291">
      <c r="A291" s="5">
        <v>7.838532754E9</v>
      </c>
      <c r="C291" s="5" t="s">
        <v>572</v>
      </c>
      <c r="D291" s="5" t="s">
        <v>371</v>
      </c>
      <c r="E291" s="5" t="s">
        <v>572</v>
      </c>
    </row>
    <row r="292">
      <c r="A292" s="5">
        <v>9.718226622E9</v>
      </c>
      <c r="C292" s="5" t="s">
        <v>573</v>
      </c>
      <c r="D292" s="5" t="s">
        <v>371</v>
      </c>
      <c r="E292" s="5" t="s">
        <v>573</v>
      </c>
    </row>
    <row r="293">
      <c r="A293" s="5">
        <v>9.91080292E9</v>
      </c>
      <c r="C293" s="5" t="s">
        <v>574</v>
      </c>
      <c r="D293" s="5" t="s">
        <v>371</v>
      </c>
      <c r="E293" s="5" t="s">
        <v>574</v>
      </c>
    </row>
    <row r="294">
      <c r="A294" s="5">
        <v>9.92099516E9</v>
      </c>
      <c r="C294" s="5" t="s">
        <v>575</v>
      </c>
      <c r="D294" s="5" t="s">
        <v>371</v>
      </c>
      <c r="E294" s="5" t="s">
        <v>575</v>
      </c>
    </row>
    <row r="295">
      <c r="A295" s="5">
        <v>9.891000073E9</v>
      </c>
      <c r="C295" s="5" t="s">
        <v>102</v>
      </c>
      <c r="D295" s="5" t="s">
        <v>371</v>
      </c>
      <c r="E295" s="5" t="s">
        <v>101</v>
      </c>
    </row>
    <row r="296">
      <c r="A296" s="5">
        <v>9.873282859E9</v>
      </c>
      <c r="C296" s="5" t="s">
        <v>104</v>
      </c>
      <c r="D296" s="5" t="s">
        <v>371</v>
      </c>
      <c r="E296" s="5" t="s">
        <v>103</v>
      </c>
    </row>
    <row r="297">
      <c r="A297" s="5">
        <v>8.278678863E9</v>
      </c>
      <c r="C297" s="5" t="s">
        <v>437</v>
      </c>
      <c r="D297" s="5" t="s">
        <v>371</v>
      </c>
      <c r="E297" s="5" t="s">
        <v>437</v>
      </c>
    </row>
    <row r="298">
      <c r="A298" s="5">
        <v>8.800646334E9</v>
      </c>
      <c r="C298" s="5" t="s">
        <v>576</v>
      </c>
      <c r="D298" s="5" t="s">
        <v>371</v>
      </c>
      <c r="E298" s="5" t="s">
        <v>576</v>
      </c>
    </row>
    <row r="299">
      <c r="A299" s="5">
        <v>8.448226086E9</v>
      </c>
      <c r="C299" s="5" t="s">
        <v>577</v>
      </c>
      <c r="D299" s="5" t="s">
        <v>371</v>
      </c>
      <c r="E299" s="5" t="s">
        <v>577</v>
      </c>
    </row>
    <row r="300">
      <c r="A300" s="5">
        <v>9.650020688E9</v>
      </c>
      <c r="C300" s="5" t="s">
        <v>19</v>
      </c>
      <c r="D300" s="5" t="s">
        <v>371</v>
      </c>
      <c r="E300" s="5" t="s">
        <v>19</v>
      </c>
    </row>
    <row r="301">
      <c r="A301" s="5">
        <v>9.599954388E9</v>
      </c>
      <c r="C301" s="5" t="s">
        <v>276</v>
      </c>
      <c r="D301" s="5" t="s">
        <v>371</v>
      </c>
      <c r="E301" s="5" t="s">
        <v>276</v>
      </c>
    </row>
    <row r="302">
      <c r="A302" s="5">
        <v>6.261748022E9</v>
      </c>
      <c r="C302" s="5" t="s">
        <v>433</v>
      </c>
      <c r="D302" s="5" t="s">
        <v>371</v>
      </c>
      <c r="E302" s="5" t="s">
        <v>433</v>
      </c>
    </row>
    <row r="303">
      <c r="A303" s="5">
        <v>7.845086976E9</v>
      </c>
      <c r="C303" s="5" t="s">
        <v>578</v>
      </c>
      <c r="D303" s="5" t="s">
        <v>371</v>
      </c>
      <c r="E303" s="5" t="s">
        <v>578</v>
      </c>
    </row>
    <row r="304">
      <c r="A304" s="5">
        <v>9.811675741E9</v>
      </c>
      <c r="C304" s="5" t="s">
        <v>106</v>
      </c>
      <c r="D304" s="5" t="s">
        <v>371</v>
      </c>
      <c r="E304" s="5" t="s">
        <v>105</v>
      </c>
    </row>
    <row r="305">
      <c r="A305" s="5">
        <v>8.084229236E9</v>
      </c>
      <c r="C305" s="5" t="s">
        <v>579</v>
      </c>
      <c r="D305" s="5" t="s">
        <v>371</v>
      </c>
      <c r="E305" s="5" t="s">
        <v>579</v>
      </c>
    </row>
    <row r="306">
      <c r="A306" s="5">
        <v>9.082673384E9</v>
      </c>
      <c r="C306" s="5" t="s">
        <v>580</v>
      </c>
      <c r="D306" s="5" t="s">
        <v>371</v>
      </c>
      <c r="E306" s="5" t="s">
        <v>580</v>
      </c>
    </row>
    <row r="307">
      <c r="A307" s="5">
        <v>7.504978422E9</v>
      </c>
      <c r="C307" s="5" t="s">
        <v>581</v>
      </c>
      <c r="D307" s="5" t="s">
        <v>371</v>
      </c>
      <c r="E307" s="5" t="s">
        <v>581</v>
      </c>
    </row>
    <row r="308">
      <c r="A308" s="5">
        <v>9.818838872E9</v>
      </c>
      <c r="C308" s="5" t="s">
        <v>582</v>
      </c>
      <c r="D308" s="5" t="s">
        <v>371</v>
      </c>
      <c r="E308" s="5" t="s">
        <v>582</v>
      </c>
    </row>
    <row r="309">
      <c r="A309" s="5">
        <v>9.811016739E9</v>
      </c>
      <c r="C309" s="5" t="s">
        <v>583</v>
      </c>
      <c r="D309" s="5" t="s">
        <v>371</v>
      </c>
      <c r="E309" s="5" t="s">
        <v>583</v>
      </c>
    </row>
    <row r="310">
      <c r="A310" s="5">
        <v>8.186882922E9</v>
      </c>
      <c r="C310" s="5" t="s">
        <v>584</v>
      </c>
      <c r="D310" s="5" t="s">
        <v>371</v>
      </c>
      <c r="E310" s="5" t="s">
        <v>584</v>
      </c>
    </row>
    <row r="311">
      <c r="A311" s="5">
        <v>9.643776719E9</v>
      </c>
      <c r="C311" s="5" t="s">
        <v>585</v>
      </c>
      <c r="D311" s="5" t="s">
        <v>371</v>
      </c>
      <c r="E311" s="5" t="s">
        <v>585</v>
      </c>
    </row>
    <row r="312">
      <c r="A312" s="5">
        <v>9.873771263E9</v>
      </c>
      <c r="C312" s="5" t="s">
        <v>586</v>
      </c>
      <c r="D312" s="5" t="s">
        <v>371</v>
      </c>
      <c r="E312" s="5" t="s">
        <v>586</v>
      </c>
    </row>
    <row r="313">
      <c r="A313" s="5">
        <v>9.253006422E9</v>
      </c>
      <c r="C313" s="5" t="s">
        <v>587</v>
      </c>
      <c r="D313" s="5" t="s">
        <v>371</v>
      </c>
      <c r="E313" s="5" t="s">
        <v>587</v>
      </c>
    </row>
    <row r="314">
      <c r="A314" s="5">
        <v>9.431125063E9</v>
      </c>
      <c r="C314" s="5" t="s">
        <v>588</v>
      </c>
      <c r="D314" s="5" t="s">
        <v>371</v>
      </c>
      <c r="E314" s="5" t="s">
        <v>588</v>
      </c>
    </row>
    <row r="315">
      <c r="A315" s="5">
        <v>9.711634416E9</v>
      </c>
      <c r="C315" s="5" t="s">
        <v>141</v>
      </c>
      <c r="D315" s="5" t="s">
        <v>371</v>
      </c>
      <c r="E315" s="5" t="s">
        <v>141</v>
      </c>
    </row>
    <row r="316">
      <c r="A316" s="5">
        <v>8.010211636E9</v>
      </c>
      <c r="C316" s="5" t="s">
        <v>589</v>
      </c>
      <c r="D316" s="5" t="s">
        <v>371</v>
      </c>
      <c r="E316" s="5" t="s">
        <v>589</v>
      </c>
    </row>
    <row r="317">
      <c r="A317" s="5">
        <v>9.818995584E9</v>
      </c>
      <c r="C317" s="5" t="s">
        <v>590</v>
      </c>
      <c r="D317" s="5" t="s">
        <v>371</v>
      </c>
      <c r="E317" s="5" t="s">
        <v>590</v>
      </c>
    </row>
    <row r="318">
      <c r="A318" s="5">
        <v>9.914703643E9</v>
      </c>
      <c r="C318" s="5" t="s">
        <v>108</v>
      </c>
      <c r="D318" s="5" t="s">
        <v>371</v>
      </c>
      <c r="E318" s="5" t="s">
        <v>107</v>
      </c>
    </row>
    <row r="319">
      <c r="A319" s="5">
        <v>9.81040575E9</v>
      </c>
      <c r="C319" s="5" t="s">
        <v>591</v>
      </c>
      <c r="D319" s="5" t="s">
        <v>371</v>
      </c>
      <c r="E319" s="5" t="s">
        <v>591</v>
      </c>
    </row>
    <row r="320">
      <c r="A320" s="5">
        <v>7.67822726E9</v>
      </c>
      <c r="C320" s="5" t="s">
        <v>592</v>
      </c>
      <c r="D320" s="5" t="s">
        <v>371</v>
      </c>
      <c r="E320" s="5" t="s">
        <v>592</v>
      </c>
    </row>
    <row r="321">
      <c r="A321" s="5">
        <v>9.999365851E9</v>
      </c>
      <c r="C321" s="5" t="s">
        <v>593</v>
      </c>
      <c r="D321" s="5" t="s">
        <v>371</v>
      </c>
      <c r="E321" s="5" t="s">
        <v>593</v>
      </c>
    </row>
    <row r="322">
      <c r="A322" s="5">
        <v>9.871153696E9</v>
      </c>
      <c r="C322" s="5" t="s">
        <v>110</v>
      </c>
      <c r="D322" s="5" t="s">
        <v>371</v>
      </c>
      <c r="E322" s="5" t="s">
        <v>109</v>
      </c>
    </row>
    <row r="323">
      <c r="A323" s="5">
        <v>8.920453034E9</v>
      </c>
      <c r="C323" s="5" t="s">
        <v>594</v>
      </c>
      <c r="D323" s="5" t="s">
        <v>371</v>
      </c>
      <c r="E323" s="5" t="s">
        <v>594</v>
      </c>
    </row>
    <row r="324">
      <c r="A324" s="5">
        <v>8.920724452E9</v>
      </c>
      <c r="C324" s="5" t="s">
        <v>595</v>
      </c>
      <c r="D324" s="5" t="s">
        <v>371</v>
      </c>
      <c r="E324" s="5" t="s">
        <v>595</v>
      </c>
    </row>
    <row r="325">
      <c r="A325" s="5">
        <v>9.871767175E9</v>
      </c>
      <c r="C325" s="5" t="s">
        <v>112</v>
      </c>
      <c r="D325" s="5" t="s">
        <v>371</v>
      </c>
      <c r="E325" s="5" t="s">
        <v>111</v>
      </c>
    </row>
    <row r="326">
      <c r="A326" s="5">
        <v>7.777082177E9</v>
      </c>
      <c r="C326" s="5" t="s">
        <v>596</v>
      </c>
      <c r="D326" s="5" t="s">
        <v>371</v>
      </c>
      <c r="E326" s="5" t="s">
        <v>596</v>
      </c>
    </row>
    <row r="327">
      <c r="A327" s="5">
        <v>9.015802726E9</v>
      </c>
      <c r="C327" s="5" t="s">
        <v>114</v>
      </c>
      <c r="D327" s="5" t="s">
        <v>371</v>
      </c>
      <c r="E327" s="5" t="s">
        <v>113</v>
      </c>
    </row>
    <row r="328">
      <c r="A328" s="5">
        <v>8.178264753E9</v>
      </c>
      <c r="C328" s="5" t="s">
        <v>597</v>
      </c>
      <c r="D328" s="5" t="s">
        <v>371</v>
      </c>
      <c r="E328" s="5" t="s">
        <v>597</v>
      </c>
    </row>
    <row r="329">
      <c r="A329" s="5">
        <v>7.840001934E9</v>
      </c>
      <c r="C329" s="5" t="s">
        <v>598</v>
      </c>
      <c r="D329" s="5" t="s">
        <v>371</v>
      </c>
      <c r="E329" s="5" t="s">
        <v>598</v>
      </c>
    </row>
    <row r="330">
      <c r="A330" s="5">
        <v>8.010566521E9</v>
      </c>
      <c r="C330" s="5" t="s">
        <v>410</v>
      </c>
      <c r="D330" s="5" t="s">
        <v>371</v>
      </c>
      <c r="E330" s="5" t="s">
        <v>410</v>
      </c>
    </row>
    <row r="331">
      <c r="A331" s="5">
        <v>9.999488996E9</v>
      </c>
      <c r="C331" s="5" t="s">
        <v>433</v>
      </c>
      <c r="D331" s="5" t="s">
        <v>371</v>
      </c>
      <c r="E331" s="5" t="s">
        <v>433</v>
      </c>
    </row>
    <row r="332">
      <c r="A332" s="5">
        <v>7.982221351E9</v>
      </c>
      <c r="C332" s="5" t="s">
        <v>599</v>
      </c>
      <c r="D332" s="5" t="s">
        <v>371</v>
      </c>
      <c r="E332" s="5" t="s">
        <v>599</v>
      </c>
    </row>
    <row r="333">
      <c r="A333" s="5">
        <v>9.818709009E9</v>
      </c>
      <c r="C333" s="5" t="s">
        <v>600</v>
      </c>
      <c r="D333" s="5" t="s">
        <v>371</v>
      </c>
      <c r="E333" s="5" t="s">
        <v>600</v>
      </c>
    </row>
    <row r="334">
      <c r="A334" s="5">
        <v>8.527714373E9</v>
      </c>
      <c r="C334" s="5" t="s">
        <v>601</v>
      </c>
      <c r="D334" s="5" t="s">
        <v>371</v>
      </c>
      <c r="E334" s="5" t="s">
        <v>601</v>
      </c>
    </row>
    <row r="335">
      <c r="A335" s="5">
        <v>9.868203875E9</v>
      </c>
      <c r="C335" s="5" t="s">
        <v>116</v>
      </c>
      <c r="D335" s="5" t="s">
        <v>371</v>
      </c>
      <c r="E335" s="5" t="s">
        <v>115</v>
      </c>
    </row>
    <row r="336">
      <c r="A336" s="5">
        <v>9.818317374E9</v>
      </c>
      <c r="C336" s="5" t="s">
        <v>118</v>
      </c>
      <c r="D336" s="5" t="s">
        <v>371</v>
      </c>
      <c r="E336" s="5" t="s">
        <v>117</v>
      </c>
    </row>
    <row r="337">
      <c r="A337" s="5">
        <v>8.860001189E9</v>
      </c>
      <c r="C337" s="5" t="s">
        <v>602</v>
      </c>
      <c r="D337" s="5" t="s">
        <v>371</v>
      </c>
      <c r="E337" s="5" t="s">
        <v>602</v>
      </c>
    </row>
    <row r="338">
      <c r="A338" s="5">
        <v>8.447760018E9</v>
      </c>
      <c r="C338" s="5" t="s">
        <v>603</v>
      </c>
      <c r="D338" s="5" t="s">
        <v>371</v>
      </c>
      <c r="E338" s="5" t="s">
        <v>603</v>
      </c>
    </row>
    <row r="339">
      <c r="A339" s="5">
        <v>8.527162516E9</v>
      </c>
      <c r="C339" s="5" t="s">
        <v>120</v>
      </c>
      <c r="D339" s="5" t="s">
        <v>371</v>
      </c>
      <c r="E339" s="5" t="s">
        <v>119</v>
      </c>
    </row>
    <row r="340">
      <c r="A340" s="5">
        <v>9.582463698E9</v>
      </c>
      <c r="C340" s="5" t="s">
        <v>39</v>
      </c>
      <c r="D340" s="5" t="s">
        <v>371</v>
      </c>
      <c r="E340" s="5" t="s">
        <v>39</v>
      </c>
    </row>
    <row r="341">
      <c r="A341" s="5">
        <v>9.95383246E9</v>
      </c>
      <c r="C341" s="5" t="s">
        <v>175</v>
      </c>
      <c r="D341" s="5" t="s">
        <v>371</v>
      </c>
      <c r="E341" s="5" t="s">
        <v>175</v>
      </c>
    </row>
    <row r="342">
      <c r="A342" s="5">
        <v>9.999625586E9</v>
      </c>
      <c r="C342" s="5" t="s">
        <v>604</v>
      </c>
      <c r="D342" s="5" t="s">
        <v>371</v>
      </c>
      <c r="E342" s="5" t="s">
        <v>604</v>
      </c>
    </row>
    <row r="343">
      <c r="A343" s="5">
        <v>8.860681868E9</v>
      </c>
      <c r="C343" s="5" t="s">
        <v>605</v>
      </c>
      <c r="D343" s="5" t="s">
        <v>371</v>
      </c>
      <c r="E343" s="5" t="s">
        <v>605</v>
      </c>
    </row>
    <row r="344">
      <c r="A344" s="5">
        <v>9.872446601E9</v>
      </c>
      <c r="C344" s="5" t="s">
        <v>606</v>
      </c>
      <c r="D344" s="5" t="s">
        <v>371</v>
      </c>
      <c r="E344" s="5" t="s">
        <v>606</v>
      </c>
    </row>
    <row r="345">
      <c r="A345" s="5">
        <v>9.899322201E9</v>
      </c>
      <c r="C345" s="5" t="s">
        <v>122</v>
      </c>
      <c r="D345" s="5" t="s">
        <v>371</v>
      </c>
      <c r="E345" s="5" t="s">
        <v>121</v>
      </c>
    </row>
    <row r="346">
      <c r="A346" s="5">
        <v>9.81016199E9</v>
      </c>
      <c r="C346" s="5" t="s">
        <v>607</v>
      </c>
      <c r="D346" s="5" t="s">
        <v>371</v>
      </c>
      <c r="E346" s="5" t="s">
        <v>607</v>
      </c>
    </row>
    <row r="347">
      <c r="A347" s="5">
        <v>9.899990844E9</v>
      </c>
      <c r="C347" s="5" t="s">
        <v>608</v>
      </c>
      <c r="D347" s="5" t="s">
        <v>371</v>
      </c>
      <c r="E347" s="5" t="s">
        <v>608</v>
      </c>
    </row>
    <row r="348">
      <c r="A348" s="5">
        <v>9.821720049E9</v>
      </c>
      <c r="C348" s="5" t="s">
        <v>609</v>
      </c>
      <c r="D348" s="5" t="s">
        <v>371</v>
      </c>
      <c r="E348" s="5" t="s">
        <v>609</v>
      </c>
    </row>
    <row r="349">
      <c r="A349" s="5">
        <v>9.717426492E9</v>
      </c>
      <c r="C349" s="5" t="s">
        <v>610</v>
      </c>
      <c r="D349" s="5" t="s">
        <v>371</v>
      </c>
      <c r="E349" s="5" t="s">
        <v>610</v>
      </c>
    </row>
    <row r="350">
      <c r="A350" s="5">
        <v>9.81812662E9</v>
      </c>
      <c r="C350" s="5" t="s">
        <v>611</v>
      </c>
      <c r="D350" s="5" t="s">
        <v>371</v>
      </c>
      <c r="E350" s="5" t="s">
        <v>611</v>
      </c>
    </row>
    <row r="351">
      <c r="A351" s="5">
        <v>8.285631226E9</v>
      </c>
      <c r="C351" s="5" t="s">
        <v>609</v>
      </c>
      <c r="D351" s="5" t="s">
        <v>371</v>
      </c>
      <c r="E351" s="5" t="s">
        <v>609</v>
      </c>
    </row>
    <row r="352">
      <c r="A352" s="5">
        <v>9.412744197E9</v>
      </c>
      <c r="C352" s="5" t="s">
        <v>612</v>
      </c>
      <c r="D352" s="5" t="s">
        <v>371</v>
      </c>
      <c r="E352" s="5" t="s">
        <v>612</v>
      </c>
    </row>
    <row r="353">
      <c r="A353" s="5">
        <v>8.595817411E9</v>
      </c>
      <c r="C353" s="5" t="s">
        <v>613</v>
      </c>
      <c r="D353" s="5" t="s">
        <v>371</v>
      </c>
      <c r="E353" s="5" t="s">
        <v>613</v>
      </c>
    </row>
    <row r="354">
      <c r="A354" s="5">
        <v>7.206579048E9</v>
      </c>
      <c r="C354" s="5" t="s">
        <v>614</v>
      </c>
      <c r="D354" s="5" t="s">
        <v>371</v>
      </c>
      <c r="E354" s="5" t="s">
        <v>614</v>
      </c>
    </row>
    <row r="355">
      <c r="A355" s="5">
        <v>9.811041368E9</v>
      </c>
      <c r="C355" s="5" t="s">
        <v>615</v>
      </c>
      <c r="D355" s="5" t="s">
        <v>371</v>
      </c>
      <c r="E355" s="5" t="s">
        <v>615</v>
      </c>
    </row>
    <row r="356">
      <c r="A356" s="5">
        <v>8.083532359E9</v>
      </c>
      <c r="C356" s="5" t="s">
        <v>616</v>
      </c>
      <c r="D356" s="5" t="s">
        <v>371</v>
      </c>
      <c r="E356" s="5" t="s">
        <v>616</v>
      </c>
    </row>
    <row r="357">
      <c r="A357" s="5">
        <v>9.746942951E9</v>
      </c>
      <c r="C357" s="5" t="s">
        <v>617</v>
      </c>
      <c r="D357" s="5" t="s">
        <v>371</v>
      </c>
      <c r="E357" s="5" t="s">
        <v>617</v>
      </c>
    </row>
    <row r="358">
      <c r="A358" s="5">
        <v>9.871758037E9</v>
      </c>
      <c r="C358" s="5" t="s">
        <v>124</v>
      </c>
      <c r="D358" s="5" t="s">
        <v>371</v>
      </c>
      <c r="E358" s="5" t="s">
        <v>123</v>
      </c>
    </row>
    <row r="359">
      <c r="A359" s="5">
        <v>8.800581162E9</v>
      </c>
      <c r="C359" s="5" t="s">
        <v>475</v>
      </c>
      <c r="D359" s="5" t="s">
        <v>371</v>
      </c>
      <c r="E359" s="5" t="s">
        <v>475</v>
      </c>
    </row>
    <row r="360">
      <c r="A360" s="5">
        <v>9.97156789E9</v>
      </c>
      <c r="C360" s="5" t="s">
        <v>65</v>
      </c>
      <c r="D360" s="5" t="s">
        <v>371</v>
      </c>
      <c r="E360" s="5" t="s">
        <v>65</v>
      </c>
    </row>
    <row r="361">
      <c r="A361" s="5">
        <v>9.560540676E9</v>
      </c>
      <c r="C361" s="5" t="s">
        <v>126</v>
      </c>
      <c r="D361" s="5" t="s">
        <v>371</v>
      </c>
      <c r="E361" s="5" t="s">
        <v>125</v>
      </c>
    </row>
    <row r="362">
      <c r="A362" s="5">
        <v>8.373954151E9</v>
      </c>
      <c r="C362" s="5" t="s">
        <v>128</v>
      </c>
      <c r="D362" s="5" t="s">
        <v>371</v>
      </c>
      <c r="E362" s="5" t="s">
        <v>127</v>
      </c>
    </row>
    <row r="363">
      <c r="A363" s="5">
        <v>9.416537937E9</v>
      </c>
      <c r="C363" s="5" t="s">
        <v>618</v>
      </c>
      <c r="D363" s="5" t="s">
        <v>371</v>
      </c>
      <c r="E363" s="5" t="s">
        <v>618</v>
      </c>
    </row>
    <row r="364">
      <c r="A364" s="5">
        <v>9.31105226E9</v>
      </c>
      <c r="C364" s="5" t="s">
        <v>619</v>
      </c>
      <c r="D364" s="5" t="s">
        <v>371</v>
      </c>
      <c r="E364" s="5" t="s">
        <v>619</v>
      </c>
    </row>
    <row r="365">
      <c r="A365" s="5">
        <v>9.910950257E9</v>
      </c>
      <c r="C365" s="5" t="s">
        <v>130</v>
      </c>
      <c r="D365" s="5" t="s">
        <v>371</v>
      </c>
      <c r="E365" s="5" t="s">
        <v>129</v>
      </c>
    </row>
    <row r="366">
      <c r="A366" s="5">
        <v>9.599784588E9</v>
      </c>
      <c r="C366" s="5" t="s">
        <v>119</v>
      </c>
      <c r="D366" s="5" t="s">
        <v>371</v>
      </c>
      <c r="E366" s="5" t="s">
        <v>119</v>
      </c>
    </row>
    <row r="367">
      <c r="A367" s="5">
        <v>9.717922288E9</v>
      </c>
      <c r="C367" s="5" t="s">
        <v>620</v>
      </c>
      <c r="D367" s="5" t="s">
        <v>371</v>
      </c>
      <c r="E367" s="5" t="s">
        <v>620</v>
      </c>
    </row>
    <row r="368">
      <c r="A368" s="5">
        <v>8.375069085E9</v>
      </c>
      <c r="C368" s="5" t="s">
        <v>132</v>
      </c>
      <c r="D368" s="5" t="s">
        <v>371</v>
      </c>
      <c r="E368" s="5" t="s">
        <v>131</v>
      </c>
    </row>
    <row r="369">
      <c r="A369" s="5">
        <v>8.376859944E9</v>
      </c>
      <c r="C369" s="5" t="s">
        <v>550</v>
      </c>
      <c r="D369" s="5" t="s">
        <v>371</v>
      </c>
      <c r="E369" s="5" t="s">
        <v>550</v>
      </c>
    </row>
    <row r="370">
      <c r="A370" s="5">
        <v>9.899558626E9</v>
      </c>
      <c r="C370" s="5" t="s">
        <v>621</v>
      </c>
      <c r="D370" s="5" t="s">
        <v>371</v>
      </c>
      <c r="E370" s="5" t="s">
        <v>621</v>
      </c>
    </row>
    <row r="371">
      <c r="A371" s="5">
        <v>7.006027017E9</v>
      </c>
      <c r="C371" s="5" t="s">
        <v>622</v>
      </c>
      <c r="D371" s="5" t="s">
        <v>371</v>
      </c>
      <c r="E371" s="5" t="s">
        <v>622</v>
      </c>
    </row>
    <row r="372">
      <c r="A372" s="5">
        <v>7.739146597E9</v>
      </c>
      <c r="C372" s="5" t="s">
        <v>623</v>
      </c>
      <c r="D372" s="5" t="s">
        <v>371</v>
      </c>
      <c r="E372" s="5" t="s">
        <v>623</v>
      </c>
    </row>
    <row r="373">
      <c r="A373" s="5">
        <v>9.654632324E9</v>
      </c>
      <c r="C373" s="5" t="s">
        <v>624</v>
      </c>
      <c r="D373" s="5" t="s">
        <v>371</v>
      </c>
      <c r="E373" s="5" t="s">
        <v>624</v>
      </c>
    </row>
    <row r="374">
      <c r="A374" s="5">
        <v>9.873245333E9</v>
      </c>
      <c r="C374" s="5" t="s">
        <v>134</v>
      </c>
      <c r="D374" s="5" t="s">
        <v>371</v>
      </c>
      <c r="E374" s="5" t="s">
        <v>133</v>
      </c>
    </row>
    <row r="375">
      <c r="A375" s="5">
        <v>8.839886774E9</v>
      </c>
      <c r="C375" s="5" t="s">
        <v>625</v>
      </c>
      <c r="D375" s="5" t="s">
        <v>371</v>
      </c>
      <c r="E375" s="5" t="s">
        <v>625</v>
      </c>
    </row>
    <row r="376">
      <c r="A376" s="5">
        <v>9.797406789E9</v>
      </c>
      <c r="C376" s="5" t="s">
        <v>626</v>
      </c>
      <c r="D376" s="5" t="s">
        <v>371</v>
      </c>
      <c r="E376" s="5" t="s">
        <v>626</v>
      </c>
    </row>
    <row r="377">
      <c r="A377" s="5">
        <v>8.130477446E9</v>
      </c>
      <c r="C377" s="5" t="s">
        <v>136</v>
      </c>
      <c r="D377" s="5" t="s">
        <v>371</v>
      </c>
      <c r="E377" s="5" t="s">
        <v>135</v>
      </c>
    </row>
    <row r="378">
      <c r="A378" s="5">
        <v>9.560184299E9</v>
      </c>
      <c r="C378" s="5" t="s">
        <v>627</v>
      </c>
      <c r="D378" s="5" t="s">
        <v>371</v>
      </c>
      <c r="E378" s="5" t="s">
        <v>627</v>
      </c>
    </row>
    <row r="379">
      <c r="A379" s="5">
        <v>9.453263463E9</v>
      </c>
      <c r="C379" s="5" t="s">
        <v>628</v>
      </c>
      <c r="D379" s="5" t="s">
        <v>371</v>
      </c>
      <c r="E379" s="5" t="s">
        <v>628</v>
      </c>
    </row>
    <row r="380">
      <c r="A380" s="5">
        <v>8.307241298E9</v>
      </c>
      <c r="C380" s="5" t="s">
        <v>629</v>
      </c>
      <c r="D380" s="5" t="s">
        <v>371</v>
      </c>
      <c r="E380" s="5" t="s">
        <v>629</v>
      </c>
    </row>
    <row r="381">
      <c r="A381" s="5">
        <v>8.92009204E9</v>
      </c>
      <c r="C381" s="5" t="s">
        <v>630</v>
      </c>
      <c r="D381" s="5" t="s">
        <v>371</v>
      </c>
      <c r="E381" s="5" t="s">
        <v>630</v>
      </c>
    </row>
    <row r="382">
      <c r="A382" s="5">
        <v>9.069461111E9</v>
      </c>
      <c r="C382" s="5" t="s">
        <v>631</v>
      </c>
      <c r="D382" s="5" t="s">
        <v>371</v>
      </c>
      <c r="E382" s="5" t="s">
        <v>631</v>
      </c>
    </row>
    <row r="383">
      <c r="A383" s="5">
        <v>9.871939022E9</v>
      </c>
      <c r="C383" s="5" t="s">
        <v>138</v>
      </c>
      <c r="D383" s="5" t="s">
        <v>371</v>
      </c>
      <c r="E383" s="5" t="s">
        <v>137</v>
      </c>
    </row>
    <row r="384">
      <c r="A384" s="5">
        <v>9.711538399E9</v>
      </c>
      <c r="C384" s="5" t="s">
        <v>632</v>
      </c>
      <c r="D384" s="5" t="s">
        <v>371</v>
      </c>
      <c r="E384" s="5" t="s">
        <v>632</v>
      </c>
    </row>
    <row r="385">
      <c r="A385" s="5">
        <v>9.319387993E9</v>
      </c>
      <c r="C385" s="5" t="s">
        <v>633</v>
      </c>
      <c r="D385" s="5" t="s">
        <v>371</v>
      </c>
      <c r="E385" s="5" t="s">
        <v>633</v>
      </c>
    </row>
    <row r="386">
      <c r="A386" s="5">
        <v>9.971250669E9</v>
      </c>
      <c r="C386" s="5" t="s">
        <v>634</v>
      </c>
      <c r="D386" s="5" t="s">
        <v>371</v>
      </c>
      <c r="E386" s="5" t="s">
        <v>634</v>
      </c>
    </row>
    <row r="387">
      <c r="A387" s="5">
        <v>9.81037529E9</v>
      </c>
      <c r="C387" s="5" t="s">
        <v>635</v>
      </c>
      <c r="D387" s="5" t="s">
        <v>371</v>
      </c>
      <c r="E387" s="5" t="s">
        <v>635</v>
      </c>
    </row>
    <row r="388">
      <c r="A388" s="5">
        <v>9.911958928E9</v>
      </c>
      <c r="C388" s="5" t="s">
        <v>140</v>
      </c>
      <c r="D388" s="5" t="s">
        <v>371</v>
      </c>
      <c r="E388" s="5" t="s">
        <v>139</v>
      </c>
    </row>
    <row r="389">
      <c r="A389" s="5">
        <v>9.818944004E9</v>
      </c>
      <c r="C389" s="5" t="s">
        <v>226</v>
      </c>
      <c r="D389" s="5" t="s">
        <v>371</v>
      </c>
      <c r="E389" s="5" t="s">
        <v>226</v>
      </c>
    </row>
    <row r="390">
      <c r="A390" s="5">
        <v>9.811900815E9</v>
      </c>
      <c r="C390" s="5" t="s">
        <v>142</v>
      </c>
      <c r="D390" s="5" t="s">
        <v>371</v>
      </c>
      <c r="E390" s="5" t="s">
        <v>141</v>
      </c>
    </row>
    <row r="391">
      <c r="A391" s="5">
        <v>9.350104257E9</v>
      </c>
      <c r="C391" s="5" t="s">
        <v>144</v>
      </c>
      <c r="D391" s="5" t="s">
        <v>371</v>
      </c>
      <c r="E391" s="5" t="s">
        <v>143</v>
      </c>
    </row>
    <row r="392">
      <c r="A392" s="5">
        <v>8.920351205E9</v>
      </c>
      <c r="C392" s="5" t="s">
        <v>636</v>
      </c>
      <c r="D392" s="5" t="s">
        <v>371</v>
      </c>
      <c r="E392" s="5" t="s">
        <v>636</v>
      </c>
    </row>
    <row r="393">
      <c r="A393" s="5">
        <v>8.486193617E9</v>
      </c>
      <c r="C393" s="5" t="s">
        <v>549</v>
      </c>
      <c r="D393" s="5" t="s">
        <v>371</v>
      </c>
      <c r="E393" s="5" t="s">
        <v>549</v>
      </c>
    </row>
    <row r="394">
      <c r="A394" s="5">
        <v>9.821182914E9</v>
      </c>
      <c r="C394" s="5" t="s">
        <v>408</v>
      </c>
      <c r="D394" s="5" t="s">
        <v>371</v>
      </c>
      <c r="E394" s="5" t="s">
        <v>408</v>
      </c>
    </row>
    <row r="395">
      <c r="A395" s="5">
        <v>9.911160469E9</v>
      </c>
      <c r="C395" s="5" t="s">
        <v>637</v>
      </c>
      <c r="D395" s="5" t="s">
        <v>371</v>
      </c>
      <c r="E395" s="5" t="s">
        <v>637</v>
      </c>
    </row>
    <row r="396">
      <c r="A396" s="5">
        <v>9.515668308E9</v>
      </c>
      <c r="C396" s="5" t="s">
        <v>408</v>
      </c>
      <c r="D396" s="5" t="s">
        <v>371</v>
      </c>
      <c r="E396" s="5" t="s">
        <v>408</v>
      </c>
    </row>
    <row r="397">
      <c r="A397" s="5">
        <v>8.470070705E9</v>
      </c>
      <c r="C397" s="5" t="s">
        <v>372</v>
      </c>
      <c r="D397" s="5" t="s">
        <v>371</v>
      </c>
      <c r="E397" s="5" t="s">
        <v>372</v>
      </c>
    </row>
    <row r="398">
      <c r="A398" s="5">
        <v>9.654814132E9</v>
      </c>
      <c r="C398" s="5" t="s">
        <v>638</v>
      </c>
      <c r="D398" s="5" t="s">
        <v>371</v>
      </c>
      <c r="E398" s="5" t="s">
        <v>638</v>
      </c>
    </row>
    <row r="399">
      <c r="A399" s="5">
        <v>9.811949803E9</v>
      </c>
      <c r="C399" s="5" t="s">
        <v>639</v>
      </c>
      <c r="D399" s="5" t="s">
        <v>371</v>
      </c>
      <c r="E399" s="5" t="s">
        <v>639</v>
      </c>
    </row>
    <row r="400">
      <c r="A400" s="5">
        <v>9.560298034E9</v>
      </c>
      <c r="C400" s="5" t="s">
        <v>640</v>
      </c>
      <c r="D400" s="5" t="s">
        <v>371</v>
      </c>
      <c r="E400" s="5" t="s">
        <v>640</v>
      </c>
    </row>
    <row r="401">
      <c r="A401" s="5">
        <v>9.899284144E9</v>
      </c>
      <c r="C401" s="5" t="s">
        <v>641</v>
      </c>
      <c r="D401" s="5" t="s">
        <v>371</v>
      </c>
      <c r="E401" s="5" t="s">
        <v>641</v>
      </c>
    </row>
    <row r="402">
      <c r="A402" s="5">
        <v>8.860014378E9</v>
      </c>
      <c r="C402" s="5" t="s">
        <v>642</v>
      </c>
      <c r="D402" s="5" t="s">
        <v>371</v>
      </c>
      <c r="E402" s="5" t="s">
        <v>642</v>
      </c>
    </row>
    <row r="403">
      <c r="A403" s="5">
        <v>9.990213737E9</v>
      </c>
      <c r="C403" s="5" t="s">
        <v>643</v>
      </c>
      <c r="D403" s="5" t="s">
        <v>371</v>
      </c>
      <c r="E403" s="5" t="s">
        <v>643</v>
      </c>
    </row>
    <row r="404">
      <c r="A404" s="5">
        <v>9.506540778E9</v>
      </c>
      <c r="C404" s="5" t="s">
        <v>644</v>
      </c>
      <c r="D404" s="5" t="s">
        <v>371</v>
      </c>
      <c r="E404" s="5" t="s">
        <v>644</v>
      </c>
    </row>
    <row r="405">
      <c r="A405" s="5">
        <v>8.084432596E9</v>
      </c>
      <c r="C405" s="5" t="s">
        <v>645</v>
      </c>
      <c r="D405" s="5" t="s">
        <v>371</v>
      </c>
      <c r="E405" s="5" t="s">
        <v>645</v>
      </c>
    </row>
    <row r="406">
      <c r="A406" s="5">
        <v>9.953832021E9</v>
      </c>
      <c r="C406" s="5" t="s">
        <v>646</v>
      </c>
      <c r="D406" s="5" t="s">
        <v>371</v>
      </c>
      <c r="E406" s="5" t="s">
        <v>646</v>
      </c>
    </row>
    <row r="407">
      <c r="A407" s="5">
        <v>8.504863131E9</v>
      </c>
      <c r="C407" s="5" t="s">
        <v>146</v>
      </c>
      <c r="D407" s="5" t="s">
        <v>371</v>
      </c>
      <c r="E407" s="5" t="s">
        <v>145</v>
      </c>
    </row>
    <row r="408">
      <c r="A408" s="5">
        <v>9.811252166E9</v>
      </c>
      <c r="C408" s="5" t="s">
        <v>647</v>
      </c>
      <c r="D408" s="5" t="s">
        <v>371</v>
      </c>
      <c r="E408" s="5" t="s">
        <v>647</v>
      </c>
    </row>
    <row r="409">
      <c r="A409" s="5">
        <v>8.758014309E9</v>
      </c>
      <c r="C409" s="5" t="s">
        <v>648</v>
      </c>
      <c r="D409" s="5" t="s">
        <v>371</v>
      </c>
      <c r="E409" s="5" t="s">
        <v>648</v>
      </c>
    </row>
    <row r="410">
      <c r="A410" s="5">
        <v>8.800206494E9</v>
      </c>
      <c r="C410" s="5" t="s">
        <v>649</v>
      </c>
      <c r="D410" s="5" t="s">
        <v>371</v>
      </c>
      <c r="E410" s="5" t="s">
        <v>649</v>
      </c>
    </row>
    <row r="411">
      <c r="A411" s="5">
        <v>9.911958929E9</v>
      </c>
      <c r="C411" s="5" t="s">
        <v>139</v>
      </c>
      <c r="D411" s="5" t="s">
        <v>371</v>
      </c>
      <c r="E411" s="5" t="s">
        <v>139</v>
      </c>
    </row>
    <row r="412">
      <c r="A412" s="5">
        <v>8.130420203E9</v>
      </c>
      <c r="C412" s="5" t="s">
        <v>650</v>
      </c>
      <c r="D412" s="5" t="s">
        <v>371</v>
      </c>
      <c r="E412" s="5" t="s">
        <v>650</v>
      </c>
    </row>
    <row r="413">
      <c r="A413" s="5">
        <v>9.873670646E9</v>
      </c>
      <c r="C413" s="5" t="s">
        <v>433</v>
      </c>
      <c r="D413" s="5" t="s">
        <v>371</v>
      </c>
      <c r="E413" s="5" t="s">
        <v>433</v>
      </c>
    </row>
    <row r="414">
      <c r="A414" s="5">
        <v>9.711166793E9</v>
      </c>
      <c r="C414" s="5" t="s">
        <v>651</v>
      </c>
      <c r="D414" s="5" t="s">
        <v>371</v>
      </c>
      <c r="E414" s="5" t="s">
        <v>651</v>
      </c>
    </row>
    <row r="415">
      <c r="A415" s="5">
        <v>9.990464596E9</v>
      </c>
      <c r="C415" s="5" t="s">
        <v>652</v>
      </c>
      <c r="D415" s="5" t="s">
        <v>371</v>
      </c>
      <c r="E415" s="5" t="s">
        <v>652</v>
      </c>
    </row>
    <row r="416">
      <c r="A416" s="5">
        <v>9.560984299E9</v>
      </c>
      <c r="C416" s="5" t="s">
        <v>653</v>
      </c>
      <c r="D416" s="5" t="s">
        <v>371</v>
      </c>
      <c r="E416" s="5" t="s">
        <v>653</v>
      </c>
    </row>
    <row r="417">
      <c r="A417" s="5">
        <v>9.818238387E9</v>
      </c>
      <c r="C417" s="5" t="s">
        <v>148</v>
      </c>
      <c r="D417" s="5" t="s">
        <v>371</v>
      </c>
      <c r="E417" s="5" t="s">
        <v>147</v>
      </c>
    </row>
    <row r="418">
      <c r="A418" s="5">
        <v>9.999347471E9</v>
      </c>
      <c r="C418" s="5" t="s">
        <v>654</v>
      </c>
      <c r="D418" s="5" t="s">
        <v>371</v>
      </c>
      <c r="E418" s="5" t="s">
        <v>654</v>
      </c>
    </row>
    <row r="419">
      <c r="A419" s="5">
        <v>9.311425509E9</v>
      </c>
      <c r="C419" s="5" t="s">
        <v>85</v>
      </c>
      <c r="D419" s="5" t="s">
        <v>371</v>
      </c>
      <c r="E419" s="5" t="s">
        <v>85</v>
      </c>
    </row>
    <row r="420">
      <c r="A420" s="5">
        <v>9.910812E9</v>
      </c>
      <c r="C420" s="5" t="s">
        <v>433</v>
      </c>
      <c r="D420" s="5" t="s">
        <v>371</v>
      </c>
      <c r="E420" s="5" t="s">
        <v>433</v>
      </c>
    </row>
    <row r="421">
      <c r="A421" s="5">
        <v>8.742910331E9</v>
      </c>
      <c r="C421" s="5" t="s">
        <v>655</v>
      </c>
      <c r="D421" s="5" t="s">
        <v>371</v>
      </c>
      <c r="E421" s="5" t="s">
        <v>655</v>
      </c>
    </row>
    <row r="422">
      <c r="A422" s="5">
        <v>9.999943184E9</v>
      </c>
      <c r="C422" s="5" t="s">
        <v>656</v>
      </c>
      <c r="D422" s="5" t="s">
        <v>371</v>
      </c>
      <c r="E422" s="5" t="s">
        <v>656</v>
      </c>
    </row>
    <row r="423">
      <c r="A423" s="5">
        <v>6.398952967E9</v>
      </c>
      <c r="C423" s="5" t="s">
        <v>657</v>
      </c>
      <c r="D423" s="5" t="s">
        <v>371</v>
      </c>
      <c r="E423" s="5" t="s">
        <v>657</v>
      </c>
    </row>
    <row r="424">
      <c r="A424" s="5">
        <v>8.130996054E9</v>
      </c>
      <c r="C424" s="5" t="s">
        <v>658</v>
      </c>
      <c r="D424" s="5" t="s">
        <v>371</v>
      </c>
      <c r="E424" s="5" t="s">
        <v>658</v>
      </c>
    </row>
    <row r="425">
      <c r="A425" s="5">
        <v>9.310948529E9</v>
      </c>
      <c r="C425" s="5" t="s">
        <v>39</v>
      </c>
      <c r="D425" s="5" t="s">
        <v>371</v>
      </c>
      <c r="E425" s="5" t="s">
        <v>39</v>
      </c>
    </row>
    <row r="426">
      <c r="A426" s="5">
        <v>9.43160504E9</v>
      </c>
      <c r="C426" s="5" t="s">
        <v>659</v>
      </c>
      <c r="D426" s="5" t="s">
        <v>371</v>
      </c>
      <c r="E426" s="5" t="s">
        <v>659</v>
      </c>
    </row>
    <row r="427">
      <c r="A427" s="5">
        <v>9.868258081E9</v>
      </c>
      <c r="C427" s="5" t="s">
        <v>77</v>
      </c>
      <c r="D427" s="5" t="s">
        <v>371</v>
      </c>
      <c r="E427" s="5" t="s">
        <v>77</v>
      </c>
    </row>
    <row r="428">
      <c r="A428" s="5">
        <v>7.838722791E9</v>
      </c>
      <c r="C428" s="5" t="s">
        <v>226</v>
      </c>
      <c r="D428" s="5" t="s">
        <v>371</v>
      </c>
      <c r="E428" s="5" t="s">
        <v>226</v>
      </c>
    </row>
    <row r="429">
      <c r="A429" s="5">
        <v>9.873085145E9</v>
      </c>
      <c r="C429" s="5" t="s">
        <v>193</v>
      </c>
      <c r="D429" s="5" t="s">
        <v>371</v>
      </c>
      <c r="E429" s="5" t="s">
        <v>193</v>
      </c>
    </row>
    <row r="430">
      <c r="A430" s="5">
        <v>8.527616025E9</v>
      </c>
      <c r="C430" s="5" t="s">
        <v>150</v>
      </c>
      <c r="D430" s="5" t="s">
        <v>371</v>
      </c>
      <c r="E430" s="5" t="s">
        <v>149</v>
      </c>
    </row>
    <row r="431">
      <c r="A431" s="5">
        <v>8.287611915E9</v>
      </c>
      <c r="C431" s="5" t="s">
        <v>593</v>
      </c>
      <c r="D431" s="5" t="s">
        <v>371</v>
      </c>
      <c r="E431" s="5" t="s">
        <v>593</v>
      </c>
    </row>
    <row r="432">
      <c r="A432" s="5">
        <v>9.587100401E9</v>
      </c>
      <c r="C432" s="5" t="s">
        <v>660</v>
      </c>
      <c r="D432" s="5" t="s">
        <v>371</v>
      </c>
      <c r="E432" s="5" t="s">
        <v>660</v>
      </c>
    </row>
    <row r="433">
      <c r="A433" s="5">
        <v>9.811339422E9</v>
      </c>
      <c r="C433" s="5" t="s">
        <v>661</v>
      </c>
      <c r="D433" s="5" t="s">
        <v>371</v>
      </c>
      <c r="E433" s="5" t="s">
        <v>661</v>
      </c>
    </row>
    <row r="434">
      <c r="A434" s="5">
        <v>9.953148227E9</v>
      </c>
      <c r="C434" s="5" t="s">
        <v>662</v>
      </c>
      <c r="D434" s="5" t="s">
        <v>371</v>
      </c>
      <c r="E434" s="5" t="s">
        <v>662</v>
      </c>
    </row>
    <row r="435">
      <c r="A435" s="5">
        <v>7.01185442E9</v>
      </c>
      <c r="C435" s="5" t="s">
        <v>663</v>
      </c>
      <c r="D435" s="5" t="s">
        <v>371</v>
      </c>
      <c r="E435" s="5" t="s">
        <v>663</v>
      </c>
    </row>
    <row r="436">
      <c r="A436" s="5">
        <v>9.811086725E9</v>
      </c>
      <c r="C436" s="5" t="s">
        <v>664</v>
      </c>
      <c r="D436" s="5" t="s">
        <v>371</v>
      </c>
      <c r="E436" s="5" t="s">
        <v>664</v>
      </c>
    </row>
    <row r="437">
      <c r="A437" s="5">
        <v>7.838020076E9</v>
      </c>
      <c r="C437" s="5" t="s">
        <v>520</v>
      </c>
      <c r="D437" s="5" t="s">
        <v>371</v>
      </c>
      <c r="E437" s="5" t="s">
        <v>520</v>
      </c>
    </row>
    <row r="438">
      <c r="A438" s="5">
        <v>8.082078372E9</v>
      </c>
      <c r="C438" s="5" t="s">
        <v>665</v>
      </c>
      <c r="D438" s="5" t="s">
        <v>371</v>
      </c>
      <c r="E438" s="5" t="s">
        <v>665</v>
      </c>
    </row>
    <row r="439">
      <c r="A439" s="5">
        <v>9.999853555E9</v>
      </c>
      <c r="C439" s="5" t="s">
        <v>547</v>
      </c>
      <c r="D439" s="5" t="s">
        <v>371</v>
      </c>
      <c r="E439" s="5" t="s">
        <v>547</v>
      </c>
    </row>
    <row r="440">
      <c r="A440" s="5">
        <v>9.910389061E9</v>
      </c>
      <c r="C440" s="5" t="s">
        <v>666</v>
      </c>
      <c r="D440" s="5" t="s">
        <v>371</v>
      </c>
      <c r="E440" s="5" t="s">
        <v>666</v>
      </c>
    </row>
    <row r="441">
      <c r="A441" s="5">
        <v>9.310530559E9</v>
      </c>
      <c r="C441" s="5" t="s">
        <v>152</v>
      </c>
      <c r="D441" s="5" t="s">
        <v>371</v>
      </c>
      <c r="E441" s="5" t="s">
        <v>151</v>
      </c>
    </row>
    <row r="442">
      <c r="A442" s="5">
        <v>7.006979404E9</v>
      </c>
      <c r="C442" s="5" t="s">
        <v>667</v>
      </c>
      <c r="D442" s="5" t="s">
        <v>371</v>
      </c>
      <c r="E442" s="5" t="s">
        <v>667</v>
      </c>
    </row>
    <row r="443">
      <c r="A443" s="5">
        <v>9.811575161E9</v>
      </c>
      <c r="C443" s="5" t="s">
        <v>668</v>
      </c>
      <c r="D443" s="5" t="s">
        <v>371</v>
      </c>
      <c r="E443" s="5" t="s">
        <v>668</v>
      </c>
    </row>
    <row r="444">
      <c r="A444" s="5">
        <v>9.810345791E9</v>
      </c>
      <c r="C444" s="5" t="s">
        <v>669</v>
      </c>
      <c r="D444" s="5" t="s">
        <v>371</v>
      </c>
      <c r="E444" s="5" t="s">
        <v>669</v>
      </c>
    </row>
    <row r="445">
      <c r="A445" s="5">
        <v>5.605440676E9</v>
      </c>
      <c r="C445" s="5" t="s">
        <v>125</v>
      </c>
      <c r="D445" s="5" t="s">
        <v>371</v>
      </c>
      <c r="E445" s="5" t="s">
        <v>125</v>
      </c>
    </row>
    <row r="446">
      <c r="A446" s="5">
        <v>8.800650505E9</v>
      </c>
      <c r="C446" s="5" t="s">
        <v>670</v>
      </c>
      <c r="D446" s="5" t="s">
        <v>371</v>
      </c>
      <c r="E446" s="5" t="s">
        <v>670</v>
      </c>
    </row>
    <row r="447">
      <c r="A447" s="5">
        <v>9.811292152E9</v>
      </c>
      <c r="C447" s="5" t="s">
        <v>671</v>
      </c>
      <c r="D447" s="5" t="s">
        <v>371</v>
      </c>
      <c r="E447" s="5" t="s">
        <v>671</v>
      </c>
    </row>
    <row r="448">
      <c r="A448" s="5">
        <v>8.287868503E9</v>
      </c>
      <c r="C448" s="5" t="s">
        <v>254</v>
      </c>
      <c r="D448" s="5" t="s">
        <v>371</v>
      </c>
      <c r="E448" s="5" t="s">
        <v>254</v>
      </c>
    </row>
    <row r="449">
      <c r="A449" s="5">
        <v>9.891338462E9</v>
      </c>
      <c r="C449" s="5" t="s">
        <v>495</v>
      </c>
      <c r="D449" s="5" t="s">
        <v>371</v>
      </c>
      <c r="E449" s="5" t="s">
        <v>495</v>
      </c>
    </row>
    <row r="450">
      <c r="A450" s="5">
        <v>9.891300076E9</v>
      </c>
      <c r="C450" s="5" t="s">
        <v>565</v>
      </c>
      <c r="D450" s="5" t="s">
        <v>371</v>
      </c>
      <c r="E450" s="5" t="s">
        <v>565</v>
      </c>
    </row>
    <row r="451">
      <c r="A451" s="5">
        <v>9.899497509E9</v>
      </c>
      <c r="C451" s="5" t="s">
        <v>672</v>
      </c>
      <c r="D451" s="5" t="s">
        <v>371</v>
      </c>
      <c r="E451" s="5" t="s">
        <v>672</v>
      </c>
    </row>
    <row r="452">
      <c r="A452" s="5">
        <v>8.447816333E9</v>
      </c>
      <c r="C452" s="5" t="s">
        <v>673</v>
      </c>
      <c r="D452" s="5" t="s">
        <v>371</v>
      </c>
      <c r="E452" s="5" t="s">
        <v>673</v>
      </c>
    </row>
    <row r="453">
      <c r="A453" s="5">
        <v>8.826436055E9</v>
      </c>
      <c r="C453" s="5" t="s">
        <v>169</v>
      </c>
      <c r="D453" s="5" t="s">
        <v>371</v>
      </c>
      <c r="E453" s="5" t="s">
        <v>169</v>
      </c>
    </row>
    <row r="454">
      <c r="A454" s="5">
        <v>9.990586907E9</v>
      </c>
      <c r="C454" s="5" t="s">
        <v>674</v>
      </c>
      <c r="D454" s="5" t="s">
        <v>371</v>
      </c>
      <c r="E454" s="5" t="s">
        <v>674</v>
      </c>
    </row>
    <row r="455">
      <c r="A455" s="5">
        <v>8.527917332E9</v>
      </c>
      <c r="C455" s="5" t="s">
        <v>675</v>
      </c>
      <c r="D455" s="5" t="s">
        <v>371</v>
      </c>
      <c r="E455" s="5" t="s">
        <v>675</v>
      </c>
    </row>
    <row r="456">
      <c r="A456" s="5">
        <v>7.834954915E9</v>
      </c>
      <c r="C456" s="5" t="s">
        <v>676</v>
      </c>
      <c r="D456" s="5" t="s">
        <v>371</v>
      </c>
      <c r="E456" s="5" t="s">
        <v>676</v>
      </c>
    </row>
    <row r="457">
      <c r="A457" s="5">
        <v>9.582142278E9</v>
      </c>
      <c r="C457" s="5" t="s">
        <v>87</v>
      </c>
      <c r="D457" s="5" t="s">
        <v>371</v>
      </c>
      <c r="E457" s="5" t="s">
        <v>87</v>
      </c>
    </row>
    <row r="458">
      <c r="A458" s="5">
        <v>9.810795881E9</v>
      </c>
      <c r="C458" s="5" t="s">
        <v>154</v>
      </c>
      <c r="D458" s="5" t="s">
        <v>371</v>
      </c>
      <c r="E458" s="5" t="s">
        <v>153</v>
      </c>
    </row>
    <row r="459">
      <c r="A459" s="5">
        <v>9.953161016E9</v>
      </c>
      <c r="C459" s="5" t="s">
        <v>677</v>
      </c>
      <c r="D459" s="5" t="s">
        <v>371</v>
      </c>
      <c r="E459" s="5" t="s">
        <v>677</v>
      </c>
    </row>
    <row r="460">
      <c r="A460" s="5">
        <v>9.792691959E9</v>
      </c>
      <c r="C460" s="5" t="s">
        <v>678</v>
      </c>
      <c r="D460" s="5" t="s">
        <v>371</v>
      </c>
      <c r="E460" s="5" t="s">
        <v>678</v>
      </c>
    </row>
    <row r="461">
      <c r="A461" s="5">
        <v>8.700269637E9</v>
      </c>
      <c r="C461" s="5" t="s">
        <v>679</v>
      </c>
      <c r="D461" s="5" t="s">
        <v>371</v>
      </c>
      <c r="E461" s="5" t="s">
        <v>679</v>
      </c>
    </row>
    <row r="462">
      <c r="A462" s="5">
        <v>9.818132387E9</v>
      </c>
      <c r="C462" s="5" t="s">
        <v>680</v>
      </c>
      <c r="D462" s="5" t="s">
        <v>371</v>
      </c>
      <c r="E462" s="5" t="s">
        <v>680</v>
      </c>
    </row>
    <row r="463">
      <c r="A463" s="5">
        <v>7.86974689E9</v>
      </c>
      <c r="C463" s="5" t="s">
        <v>681</v>
      </c>
      <c r="D463" s="5" t="s">
        <v>371</v>
      </c>
      <c r="E463" s="5" t="s">
        <v>681</v>
      </c>
    </row>
    <row r="464">
      <c r="A464" s="5">
        <v>7.428116648E9</v>
      </c>
      <c r="C464" s="5" t="s">
        <v>682</v>
      </c>
      <c r="D464" s="5" t="s">
        <v>371</v>
      </c>
      <c r="E464" s="5" t="s">
        <v>682</v>
      </c>
    </row>
    <row r="465">
      <c r="A465" s="5">
        <v>7.903137711E9</v>
      </c>
      <c r="C465" s="5" t="s">
        <v>272</v>
      </c>
      <c r="D465" s="5" t="s">
        <v>371</v>
      </c>
      <c r="E465" s="5" t="s">
        <v>272</v>
      </c>
    </row>
    <row r="466">
      <c r="A466" s="5">
        <v>9.817943109E9</v>
      </c>
      <c r="C466" s="5" t="s">
        <v>156</v>
      </c>
      <c r="D466" s="5" t="s">
        <v>371</v>
      </c>
      <c r="E466" s="5" t="s">
        <v>155</v>
      </c>
    </row>
    <row r="467">
      <c r="A467" s="5">
        <v>9.8103561E9</v>
      </c>
      <c r="C467" s="5" t="s">
        <v>6</v>
      </c>
      <c r="D467" s="5" t="s">
        <v>371</v>
      </c>
      <c r="E467" s="5" t="s">
        <v>6</v>
      </c>
    </row>
    <row r="468">
      <c r="A468" s="5">
        <v>9.811252128E9</v>
      </c>
      <c r="C468" s="5" t="s">
        <v>158</v>
      </c>
      <c r="D468" s="5" t="s">
        <v>371</v>
      </c>
      <c r="E468" s="5" t="s">
        <v>157</v>
      </c>
    </row>
    <row r="469">
      <c r="A469" s="5">
        <v>9.540244322E9</v>
      </c>
      <c r="C469" s="5" t="s">
        <v>683</v>
      </c>
      <c r="D469" s="5" t="s">
        <v>371</v>
      </c>
      <c r="E469" s="5" t="s">
        <v>683</v>
      </c>
    </row>
    <row r="470">
      <c r="A470" s="5">
        <v>6.473251266E9</v>
      </c>
      <c r="C470" s="5" t="s">
        <v>684</v>
      </c>
      <c r="D470" s="5" t="s">
        <v>371</v>
      </c>
      <c r="E470" s="5" t="s">
        <v>684</v>
      </c>
    </row>
    <row r="471">
      <c r="A471" s="5">
        <v>9.312672555E9</v>
      </c>
      <c r="C471" s="5" t="s">
        <v>685</v>
      </c>
      <c r="D471" s="5" t="s">
        <v>371</v>
      </c>
      <c r="E471" s="5" t="s">
        <v>685</v>
      </c>
    </row>
    <row r="472">
      <c r="A472" s="5">
        <v>9.971700776E9</v>
      </c>
      <c r="C472" s="5" t="s">
        <v>160</v>
      </c>
      <c r="D472" s="5" t="s">
        <v>371</v>
      </c>
      <c r="E472" s="5" t="s">
        <v>159</v>
      </c>
    </row>
    <row r="473">
      <c r="A473" s="5">
        <v>7.217745458E9</v>
      </c>
      <c r="C473" s="5" t="s">
        <v>686</v>
      </c>
      <c r="D473" s="5" t="s">
        <v>371</v>
      </c>
      <c r="E473" s="5" t="s">
        <v>686</v>
      </c>
    </row>
    <row r="474">
      <c r="A474" s="5">
        <v>9.87190605E9</v>
      </c>
      <c r="C474" s="5" t="s">
        <v>687</v>
      </c>
      <c r="D474" s="5" t="s">
        <v>371</v>
      </c>
      <c r="E474" s="5" t="s">
        <v>687</v>
      </c>
    </row>
    <row r="475">
      <c r="A475" s="5">
        <v>9.354332992E9</v>
      </c>
      <c r="C475" s="5" t="s">
        <v>688</v>
      </c>
      <c r="D475" s="5" t="s">
        <v>371</v>
      </c>
      <c r="E475" s="5" t="s">
        <v>688</v>
      </c>
    </row>
    <row r="476">
      <c r="A476" s="5">
        <v>9.310074389E9</v>
      </c>
      <c r="C476" s="5" t="s">
        <v>689</v>
      </c>
      <c r="D476" s="5" t="s">
        <v>371</v>
      </c>
      <c r="E476" s="5" t="s">
        <v>689</v>
      </c>
    </row>
    <row r="477">
      <c r="A477" s="5">
        <v>9.911072166E9</v>
      </c>
      <c r="C477" s="5" t="s">
        <v>690</v>
      </c>
      <c r="D477" s="5" t="s">
        <v>371</v>
      </c>
      <c r="E477" s="5" t="s">
        <v>690</v>
      </c>
    </row>
    <row r="478">
      <c r="A478" s="5">
        <v>9.868149982E9</v>
      </c>
      <c r="C478" s="5" t="s">
        <v>162</v>
      </c>
      <c r="D478" s="5" t="s">
        <v>371</v>
      </c>
      <c r="E478" s="5" t="s">
        <v>161</v>
      </c>
    </row>
    <row r="479">
      <c r="A479" s="5">
        <v>8.172962386E9</v>
      </c>
      <c r="C479" s="5" t="s">
        <v>465</v>
      </c>
      <c r="D479" s="5" t="s">
        <v>371</v>
      </c>
      <c r="E479" s="5" t="s">
        <v>465</v>
      </c>
    </row>
    <row r="480">
      <c r="A480" s="5">
        <v>9.015152292E9</v>
      </c>
      <c r="C480" s="5" t="s">
        <v>691</v>
      </c>
      <c r="D480" s="5" t="s">
        <v>371</v>
      </c>
      <c r="E480" s="5" t="s">
        <v>691</v>
      </c>
    </row>
    <row r="481">
      <c r="A481" s="5">
        <v>9.811120718E9</v>
      </c>
      <c r="C481" s="5" t="s">
        <v>692</v>
      </c>
      <c r="D481" s="5" t="s">
        <v>371</v>
      </c>
      <c r="E481" s="5" t="s">
        <v>692</v>
      </c>
    </row>
    <row r="482">
      <c r="A482" s="5">
        <v>7.02720659E9</v>
      </c>
      <c r="C482" s="5" t="s">
        <v>693</v>
      </c>
      <c r="D482" s="5" t="s">
        <v>371</v>
      </c>
      <c r="E482" s="5" t="s">
        <v>693</v>
      </c>
    </row>
    <row r="483">
      <c r="A483" s="5">
        <v>8.377847975E9</v>
      </c>
      <c r="C483" s="5" t="s">
        <v>521</v>
      </c>
      <c r="D483" s="5" t="s">
        <v>371</v>
      </c>
      <c r="E483" s="5" t="s">
        <v>521</v>
      </c>
    </row>
    <row r="484">
      <c r="A484" s="5">
        <v>9.555872873E9</v>
      </c>
      <c r="C484" s="5" t="s">
        <v>119</v>
      </c>
      <c r="D484" s="5" t="s">
        <v>371</v>
      </c>
      <c r="E484" s="5" t="s">
        <v>119</v>
      </c>
    </row>
    <row r="485">
      <c r="A485" s="5">
        <v>9.71743474E9</v>
      </c>
      <c r="C485" s="5" t="s">
        <v>694</v>
      </c>
      <c r="D485" s="5" t="s">
        <v>371</v>
      </c>
      <c r="E485" s="5" t="s">
        <v>694</v>
      </c>
    </row>
    <row r="486">
      <c r="A486" s="5">
        <v>8.860067564E9</v>
      </c>
      <c r="C486" s="5" t="s">
        <v>678</v>
      </c>
      <c r="D486" s="5" t="s">
        <v>371</v>
      </c>
      <c r="E486" s="5" t="s">
        <v>678</v>
      </c>
    </row>
    <row r="487">
      <c r="A487" s="5">
        <v>9.810747419E9</v>
      </c>
      <c r="C487" s="5" t="s">
        <v>695</v>
      </c>
      <c r="D487" s="5" t="s">
        <v>371</v>
      </c>
      <c r="E487" s="5" t="s">
        <v>695</v>
      </c>
    </row>
    <row r="488">
      <c r="A488" s="5">
        <v>8.368373104E9</v>
      </c>
      <c r="C488" s="5" t="s">
        <v>205</v>
      </c>
      <c r="D488" s="5" t="s">
        <v>371</v>
      </c>
      <c r="E488" s="5" t="s">
        <v>205</v>
      </c>
    </row>
    <row r="489">
      <c r="A489" s="5">
        <v>9.871052175E9</v>
      </c>
      <c r="C489" s="5" t="s">
        <v>696</v>
      </c>
      <c r="D489" s="5" t="s">
        <v>371</v>
      </c>
      <c r="E489" s="5" t="s">
        <v>696</v>
      </c>
    </row>
    <row r="490">
      <c r="A490" s="5">
        <v>7.011743682E9</v>
      </c>
      <c r="C490" s="5" t="s">
        <v>697</v>
      </c>
      <c r="D490" s="5" t="s">
        <v>371</v>
      </c>
      <c r="E490" s="5" t="s">
        <v>697</v>
      </c>
    </row>
    <row r="491">
      <c r="A491" s="5">
        <v>9.0681122E9</v>
      </c>
      <c r="C491" s="5" t="s">
        <v>698</v>
      </c>
      <c r="D491" s="5" t="s">
        <v>371</v>
      </c>
      <c r="E491" s="5" t="s">
        <v>698</v>
      </c>
    </row>
    <row r="492">
      <c r="A492" s="5">
        <v>9.340254051E9</v>
      </c>
      <c r="C492" s="5" t="s">
        <v>699</v>
      </c>
      <c r="D492" s="5" t="s">
        <v>371</v>
      </c>
      <c r="E492" s="5" t="s">
        <v>699</v>
      </c>
    </row>
    <row r="493">
      <c r="A493" s="5">
        <v>9.999976925E9</v>
      </c>
      <c r="C493" s="5" t="s">
        <v>164</v>
      </c>
      <c r="D493" s="5" t="s">
        <v>371</v>
      </c>
      <c r="E493" s="5" t="s">
        <v>163</v>
      </c>
    </row>
    <row r="494">
      <c r="A494" s="5">
        <v>9.829237868E9</v>
      </c>
      <c r="C494" s="5" t="s">
        <v>700</v>
      </c>
      <c r="D494" s="5" t="s">
        <v>371</v>
      </c>
      <c r="E494" s="5" t="s">
        <v>700</v>
      </c>
    </row>
    <row r="495">
      <c r="A495" s="5">
        <v>9.013201919E9</v>
      </c>
      <c r="C495" s="5" t="s">
        <v>701</v>
      </c>
      <c r="D495" s="5" t="s">
        <v>371</v>
      </c>
      <c r="E495" s="5" t="s">
        <v>701</v>
      </c>
    </row>
    <row r="496">
      <c r="A496" s="5">
        <v>9.891203082E9</v>
      </c>
      <c r="C496" s="5" t="s">
        <v>166</v>
      </c>
      <c r="D496" s="5" t="s">
        <v>371</v>
      </c>
      <c r="E496" s="5" t="s">
        <v>165</v>
      </c>
    </row>
    <row r="497">
      <c r="A497" s="5">
        <v>9.999796925E9</v>
      </c>
      <c r="C497" s="5" t="s">
        <v>168</v>
      </c>
      <c r="D497" s="5" t="s">
        <v>371</v>
      </c>
      <c r="E497" s="5" t="s">
        <v>167</v>
      </c>
    </row>
    <row r="498">
      <c r="A498" s="5">
        <v>9.873284859E9</v>
      </c>
      <c r="C498" s="5" t="s">
        <v>702</v>
      </c>
      <c r="D498" s="5" t="s">
        <v>371</v>
      </c>
      <c r="E498" s="5" t="s">
        <v>702</v>
      </c>
    </row>
    <row r="499">
      <c r="A499" s="5">
        <v>9.87144661E9</v>
      </c>
      <c r="C499" s="5" t="s">
        <v>703</v>
      </c>
      <c r="D499" s="5" t="s">
        <v>371</v>
      </c>
      <c r="E499" s="5" t="s">
        <v>703</v>
      </c>
    </row>
    <row r="500">
      <c r="A500" s="5">
        <v>9.582159548E9</v>
      </c>
      <c r="C500" s="5" t="s">
        <v>170</v>
      </c>
      <c r="D500" s="5" t="s">
        <v>371</v>
      </c>
      <c r="E500" s="5" t="s">
        <v>169</v>
      </c>
    </row>
    <row r="501">
      <c r="A501" s="5">
        <v>9.015110185E9</v>
      </c>
      <c r="C501" s="5" t="s">
        <v>704</v>
      </c>
      <c r="D501" s="5" t="s">
        <v>371</v>
      </c>
      <c r="E501" s="5" t="s">
        <v>704</v>
      </c>
    </row>
    <row r="502">
      <c r="A502" s="5">
        <v>8.447847772E9</v>
      </c>
      <c r="C502" s="5" t="s">
        <v>705</v>
      </c>
      <c r="D502" s="5" t="s">
        <v>371</v>
      </c>
      <c r="E502" s="5" t="s">
        <v>705</v>
      </c>
    </row>
    <row r="503">
      <c r="A503" s="5">
        <v>8.448829871E9</v>
      </c>
      <c r="C503" s="5" t="s">
        <v>706</v>
      </c>
      <c r="D503" s="5" t="s">
        <v>371</v>
      </c>
      <c r="E503" s="5" t="s">
        <v>706</v>
      </c>
    </row>
    <row r="504">
      <c r="A504" s="5">
        <v>9.871405086E9</v>
      </c>
      <c r="C504" s="5" t="s">
        <v>410</v>
      </c>
      <c r="D504" s="5" t="s">
        <v>371</v>
      </c>
      <c r="E504" s="5" t="s">
        <v>410</v>
      </c>
    </row>
    <row r="505">
      <c r="A505" s="5">
        <v>9.05680675E9</v>
      </c>
      <c r="C505" s="5" t="s">
        <v>707</v>
      </c>
      <c r="D505" s="5" t="s">
        <v>371</v>
      </c>
      <c r="E505" s="5" t="s">
        <v>707</v>
      </c>
    </row>
    <row r="506">
      <c r="A506" s="5">
        <v>8.368911898E9</v>
      </c>
      <c r="C506" s="5" t="s">
        <v>708</v>
      </c>
      <c r="D506" s="5" t="s">
        <v>371</v>
      </c>
      <c r="E506" s="5" t="s">
        <v>708</v>
      </c>
    </row>
    <row r="507">
      <c r="A507" s="5">
        <v>9.811543555E9</v>
      </c>
      <c r="C507" s="5" t="s">
        <v>709</v>
      </c>
      <c r="D507" s="5" t="s">
        <v>371</v>
      </c>
      <c r="E507" s="5" t="s">
        <v>709</v>
      </c>
    </row>
    <row r="508">
      <c r="A508" s="5">
        <v>9.643980196E9</v>
      </c>
      <c r="C508" s="5" t="s">
        <v>710</v>
      </c>
      <c r="D508" s="5" t="s">
        <v>371</v>
      </c>
      <c r="E508" s="5" t="s">
        <v>710</v>
      </c>
    </row>
    <row r="509">
      <c r="A509" s="5">
        <v>9.818104442E9</v>
      </c>
      <c r="C509" s="5" t="s">
        <v>629</v>
      </c>
      <c r="D509" s="5" t="s">
        <v>371</v>
      </c>
      <c r="E509" s="5" t="s">
        <v>629</v>
      </c>
    </row>
    <row r="510">
      <c r="A510" s="5">
        <v>9.550515549E9</v>
      </c>
      <c r="C510" s="5" t="s">
        <v>711</v>
      </c>
      <c r="D510" s="5" t="s">
        <v>371</v>
      </c>
      <c r="E510" s="5" t="s">
        <v>711</v>
      </c>
    </row>
    <row r="511">
      <c r="A511" s="5">
        <v>8.375019908E9</v>
      </c>
      <c r="C511" s="5" t="s">
        <v>712</v>
      </c>
      <c r="D511" s="5" t="s">
        <v>371</v>
      </c>
      <c r="E511" s="5" t="s">
        <v>712</v>
      </c>
    </row>
    <row r="512">
      <c r="A512" s="5">
        <v>9.810438688E9</v>
      </c>
      <c r="C512" s="5" t="s">
        <v>713</v>
      </c>
      <c r="D512" s="5" t="s">
        <v>371</v>
      </c>
      <c r="E512" s="5" t="s">
        <v>713</v>
      </c>
    </row>
    <row r="513">
      <c r="A513" s="5">
        <v>9.711367631E9</v>
      </c>
      <c r="C513" s="5" t="s">
        <v>172</v>
      </c>
      <c r="D513" s="5" t="s">
        <v>371</v>
      </c>
      <c r="E513" s="5" t="s">
        <v>171</v>
      </c>
    </row>
    <row r="514">
      <c r="A514" s="5">
        <v>9.711073257E9</v>
      </c>
      <c r="C514" s="5" t="s">
        <v>11</v>
      </c>
      <c r="D514" s="5" t="s">
        <v>371</v>
      </c>
      <c r="E514" s="5" t="s">
        <v>11</v>
      </c>
    </row>
    <row r="515">
      <c r="A515" s="5">
        <v>9.872767275E9</v>
      </c>
      <c r="C515" s="5" t="s">
        <v>225</v>
      </c>
      <c r="D515" s="5" t="s">
        <v>371</v>
      </c>
      <c r="E515" s="5" t="s">
        <v>225</v>
      </c>
    </row>
    <row r="516">
      <c r="A516" s="5">
        <v>9.81160027E9</v>
      </c>
      <c r="C516" s="5" t="s">
        <v>714</v>
      </c>
      <c r="D516" s="5" t="s">
        <v>371</v>
      </c>
      <c r="E516" s="5" t="s">
        <v>714</v>
      </c>
    </row>
    <row r="517">
      <c r="A517" s="5">
        <v>9.867684009E9</v>
      </c>
      <c r="C517" s="5" t="s">
        <v>715</v>
      </c>
      <c r="D517" s="5" t="s">
        <v>371</v>
      </c>
      <c r="E517" s="5" t="s">
        <v>715</v>
      </c>
    </row>
    <row r="518">
      <c r="A518" s="5">
        <v>9.811679671E9</v>
      </c>
      <c r="C518" s="5" t="s">
        <v>716</v>
      </c>
      <c r="D518" s="5" t="s">
        <v>371</v>
      </c>
      <c r="E518" s="5" t="s">
        <v>716</v>
      </c>
    </row>
    <row r="519">
      <c r="A519" s="5">
        <v>9.560960946E9</v>
      </c>
      <c r="C519" s="5" t="s">
        <v>593</v>
      </c>
      <c r="D519" s="5" t="s">
        <v>371</v>
      </c>
      <c r="E519" s="5" t="s">
        <v>593</v>
      </c>
    </row>
    <row r="520">
      <c r="A520" s="5">
        <v>8.750640078E9</v>
      </c>
      <c r="C520" s="5" t="s">
        <v>410</v>
      </c>
      <c r="D520" s="5" t="s">
        <v>371</v>
      </c>
      <c r="E520" s="5" t="s">
        <v>410</v>
      </c>
    </row>
    <row r="521">
      <c r="A521" s="5">
        <v>9.971035373E9</v>
      </c>
      <c r="C521" s="5" t="s">
        <v>717</v>
      </c>
      <c r="D521" s="5" t="s">
        <v>371</v>
      </c>
      <c r="E521" s="5" t="s">
        <v>717</v>
      </c>
    </row>
    <row r="522">
      <c r="A522" s="5">
        <v>9.311065176E9</v>
      </c>
      <c r="C522" s="5" t="s">
        <v>174</v>
      </c>
      <c r="D522" s="5" t="s">
        <v>371</v>
      </c>
      <c r="E522" s="5" t="s">
        <v>173</v>
      </c>
    </row>
    <row r="523">
      <c r="A523" s="5">
        <v>8.44745154E9</v>
      </c>
      <c r="C523" s="5" t="s">
        <v>176</v>
      </c>
      <c r="D523" s="5" t="s">
        <v>371</v>
      </c>
      <c r="E523" s="5" t="s">
        <v>175</v>
      </c>
    </row>
    <row r="524">
      <c r="A524" s="5">
        <v>7.83884982E9</v>
      </c>
      <c r="C524" s="5" t="s">
        <v>718</v>
      </c>
      <c r="D524" s="5" t="s">
        <v>371</v>
      </c>
      <c r="E524" s="5" t="s">
        <v>718</v>
      </c>
    </row>
    <row r="525">
      <c r="A525" s="5">
        <v>9.266546477E9</v>
      </c>
      <c r="C525" s="5" t="s">
        <v>719</v>
      </c>
      <c r="D525" s="5" t="s">
        <v>371</v>
      </c>
      <c r="E525" s="5" t="s">
        <v>719</v>
      </c>
    </row>
    <row r="526">
      <c r="A526" s="5">
        <v>9.456284878E9</v>
      </c>
      <c r="C526" s="5" t="s">
        <v>177</v>
      </c>
      <c r="D526" s="5" t="s">
        <v>371</v>
      </c>
      <c r="E526" s="5" t="s">
        <v>175</v>
      </c>
    </row>
    <row r="527">
      <c r="A527" s="5">
        <v>8.839885774E9</v>
      </c>
      <c r="C527" s="5" t="s">
        <v>625</v>
      </c>
      <c r="D527" s="5" t="s">
        <v>371</v>
      </c>
      <c r="E527" s="5" t="s">
        <v>625</v>
      </c>
    </row>
    <row r="528">
      <c r="A528" s="5">
        <v>9.313961881E9</v>
      </c>
      <c r="C528" s="5" t="s">
        <v>720</v>
      </c>
      <c r="D528" s="5" t="s">
        <v>371</v>
      </c>
      <c r="E528" s="5" t="s">
        <v>720</v>
      </c>
    </row>
    <row r="529">
      <c r="A529" s="5">
        <v>9.999406451E9</v>
      </c>
      <c r="C529" s="5" t="s">
        <v>195</v>
      </c>
      <c r="D529" s="5" t="s">
        <v>371</v>
      </c>
      <c r="E529" s="5" t="s">
        <v>195</v>
      </c>
    </row>
    <row r="530">
      <c r="A530" s="5">
        <v>9.810414043E9</v>
      </c>
      <c r="C530" s="5" t="s">
        <v>721</v>
      </c>
      <c r="D530" s="5" t="s">
        <v>371</v>
      </c>
      <c r="E530" s="5" t="s">
        <v>721</v>
      </c>
    </row>
    <row r="531">
      <c r="A531" s="5">
        <v>9.810629311E9</v>
      </c>
      <c r="C531" s="5" t="s">
        <v>179</v>
      </c>
      <c r="D531" s="5" t="s">
        <v>371</v>
      </c>
      <c r="E531" s="5" t="s">
        <v>178</v>
      </c>
    </row>
    <row r="532">
      <c r="A532" s="5">
        <v>9.899978327E9</v>
      </c>
      <c r="C532" s="5" t="s">
        <v>722</v>
      </c>
      <c r="D532" s="5" t="s">
        <v>371</v>
      </c>
      <c r="E532" s="5" t="s">
        <v>722</v>
      </c>
    </row>
    <row r="533">
      <c r="A533" s="5">
        <v>9.419116616E9</v>
      </c>
      <c r="C533" s="5" t="s">
        <v>252</v>
      </c>
      <c r="D533" s="5" t="s">
        <v>371</v>
      </c>
      <c r="E533" s="5" t="s">
        <v>252</v>
      </c>
    </row>
    <row r="534">
      <c r="A534" s="5">
        <v>9.811526877E9</v>
      </c>
      <c r="C534" s="5" t="s">
        <v>723</v>
      </c>
      <c r="D534" s="5" t="s">
        <v>371</v>
      </c>
      <c r="E534" s="5" t="s">
        <v>723</v>
      </c>
    </row>
    <row r="535">
      <c r="A535" s="5">
        <v>9.312886562E9</v>
      </c>
      <c r="C535" s="5" t="s">
        <v>724</v>
      </c>
      <c r="D535" s="5" t="s">
        <v>371</v>
      </c>
      <c r="E535" s="5" t="s">
        <v>724</v>
      </c>
    </row>
    <row r="536">
      <c r="A536" s="5">
        <v>9.811451013E9</v>
      </c>
      <c r="C536" s="5" t="s">
        <v>725</v>
      </c>
      <c r="D536" s="5" t="s">
        <v>371</v>
      </c>
      <c r="E536" s="5" t="s">
        <v>725</v>
      </c>
    </row>
    <row r="537">
      <c r="A537" s="5">
        <v>9.555184701E9</v>
      </c>
      <c r="C537" s="5" t="s">
        <v>181</v>
      </c>
      <c r="D537" s="5" t="s">
        <v>371</v>
      </c>
      <c r="E537" s="5" t="s">
        <v>180</v>
      </c>
    </row>
    <row r="538">
      <c r="A538" s="5">
        <v>7.303158154E9</v>
      </c>
      <c r="C538" s="5" t="s">
        <v>726</v>
      </c>
      <c r="D538" s="5" t="s">
        <v>371</v>
      </c>
      <c r="E538" s="5" t="s">
        <v>726</v>
      </c>
    </row>
    <row r="539">
      <c r="A539" s="5">
        <v>9.582724231E9</v>
      </c>
      <c r="C539" s="5" t="s">
        <v>727</v>
      </c>
      <c r="D539" s="5" t="s">
        <v>371</v>
      </c>
      <c r="E539" s="5" t="s">
        <v>727</v>
      </c>
    </row>
    <row r="540">
      <c r="A540" s="5">
        <v>8.588956935E9</v>
      </c>
      <c r="C540" s="5" t="s">
        <v>175</v>
      </c>
      <c r="D540" s="5" t="s">
        <v>371</v>
      </c>
      <c r="E540" s="5" t="s">
        <v>175</v>
      </c>
    </row>
    <row r="541">
      <c r="A541" s="5">
        <v>9.971744837E9</v>
      </c>
      <c r="C541" s="5" t="s">
        <v>728</v>
      </c>
      <c r="D541" s="5" t="s">
        <v>371</v>
      </c>
      <c r="E541" s="5" t="s">
        <v>728</v>
      </c>
    </row>
    <row r="542">
      <c r="A542" s="5">
        <v>9.811575861E9</v>
      </c>
      <c r="C542" s="5" t="s">
        <v>183</v>
      </c>
      <c r="D542" s="5" t="s">
        <v>371</v>
      </c>
      <c r="E542" s="5" t="s">
        <v>182</v>
      </c>
    </row>
    <row r="543">
      <c r="A543" s="5">
        <v>9.810795882E9</v>
      </c>
      <c r="C543" s="5" t="s">
        <v>729</v>
      </c>
      <c r="D543" s="5" t="s">
        <v>371</v>
      </c>
      <c r="E543" s="5" t="s">
        <v>729</v>
      </c>
    </row>
    <row r="544">
      <c r="A544" s="5">
        <v>8.278802684E9</v>
      </c>
      <c r="C544" s="5" t="s">
        <v>408</v>
      </c>
      <c r="D544" s="5" t="s">
        <v>371</v>
      </c>
      <c r="E544" s="5" t="s">
        <v>408</v>
      </c>
    </row>
    <row r="545">
      <c r="A545" s="5">
        <v>9.818104462E9</v>
      </c>
      <c r="C545" s="5" t="s">
        <v>421</v>
      </c>
      <c r="D545" s="5" t="s">
        <v>371</v>
      </c>
      <c r="E545" s="5" t="s">
        <v>421</v>
      </c>
    </row>
    <row r="546">
      <c r="A546" s="5">
        <v>9.799497509E9</v>
      </c>
      <c r="C546" s="5" t="s">
        <v>672</v>
      </c>
      <c r="D546" s="5" t="s">
        <v>371</v>
      </c>
      <c r="E546" s="5" t="s">
        <v>672</v>
      </c>
    </row>
    <row r="547">
      <c r="A547" s="5">
        <v>8.807648771E9</v>
      </c>
      <c r="C547" s="5" t="s">
        <v>730</v>
      </c>
      <c r="D547" s="5" t="s">
        <v>371</v>
      </c>
      <c r="E547" s="5" t="s">
        <v>730</v>
      </c>
    </row>
    <row r="548">
      <c r="A548" s="5">
        <v>8.368002854E9</v>
      </c>
      <c r="C548" s="5" t="s">
        <v>731</v>
      </c>
      <c r="D548" s="5" t="s">
        <v>371</v>
      </c>
      <c r="E548" s="5" t="s">
        <v>731</v>
      </c>
    </row>
    <row r="549">
      <c r="A549" s="5">
        <v>7.982560879E9</v>
      </c>
      <c r="C549" s="5" t="s">
        <v>732</v>
      </c>
      <c r="D549" s="5" t="s">
        <v>371</v>
      </c>
      <c r="E549" s="5" t="s">
        <v>732</v>
      </c>
    </row>
    <row r="550">
      <c r="A550" s="5">
        <v>9.811011258E9</v>
      </c>
      <c r="C550" s="5" t="s">
        <v>385</v>
      </c>
      <c r="D550" s="5" t="s">
        <v>371</v>
      </c>
      <c r="E550" s="5" t="s">
        <v>385</v>
      </c>
    </row>
    <row r="551">
      <c r="A551" s="5">
        <v>9.717201147E9</v>
      </c>
      <c r="C551" s="5" t="s">
        <v>733</v>
      </c>
      <c r="D551" s="5" t="s">
        <v>371</v>
      </c>
      <c r="E551" s="5" t="s">
        <v>733</v>
      </c>
    </row>
    <row r="552">
      <c r="A552" s="5">
        <v>9.953950419E9</v>
      </c>
      <c r="C552" s="5" t="s">
        <v>185</v>
      </c>
      <c r="D552" s="5" t="s">
        <v>371</v>
      </c>
      <c r="E552" s="5" t="s">
        <v>184</v>
      </c>
    </row>
    <row r="553">
      <c r="A553" s="5">
        <v>9.711027972E9</v>
      </c>
      <c r="C553" s="5" t="s">
        <v>734</v>
      </c>
      <c r="D553" s="5" t="s">
        <v>371</v>
      </c>
      <c r="E553" s="5" t="s">
        <v>734</v>
      </c>
    </row>
    <row r="554">
      <c r="A554" s="5">
        <v>7.022026702E9</v>
      </c>
      <c r="C554" s="5" t="s">
        <v>735</v>
      </c>
      <c r="D554" s="5" t="s">
        <v>371</v>
      </c>
      <c r="E554" s="5" t="s">
        <v>735</v>
      </c>
    </row>
    <row r="555">
      <c r="A555" s="5">
        <v>9.65191327E9</v>
      </c>
      <c r="C555" s="5" t="s">
        <v>444</v>
      </c>
      <c r="D555" s="5" t="s">
        <v>371</v>
      </c>
      <c r="E555" s="5" t="s">
        <v>444</v>
      </c>
    </row>
    <row r="556">
      <c r="A556" s="5">
        <v>9.873224748E9</v>
      </c>
      <c r="C556" s="5" t="s">
        <v>736</v>
      </c>
      <c r="D556" s="5" t="s">
        <v>371</v>
      </c>
      <c r="E556" s="5" t="s">
        <v>736</v>
      </c>
    </row>
    <row r="557">
      <c r="A557" s="5">
        <v>9.1367814E9</v>
      </c>
      <c r="C557" s="5" t="s">
        <v>737</v>
      </c>
      <c r="D557" s="5" t="s">
        <v>371</v>
      </c>
      <c r="E557" s="5" t="s">
        <v>737</v>
      </c>
    </row>
    <row r="558">
      <c r="A558" s="5">
        <v>9.643403539E9</v>
      </c>
      <c r="C558" s="5" t="s">
        <v>738</v>
      </c>
      <c r="D558" s="5" t="s">
        <v>371</v>
      </c>
      <c r="E558" s="5" t="s">
        <v>738</v>
      </c>
    </row>
    <row r="559">
      <c r="A559" s="5">
        <v>9.205750464E9</v>
      </c>
      <c r="C559" s="5" t="s">
        <v>217</v>
      </c>
      <c r="D559" s="5" t="s">
        <v>371</v>
      </c>
      <c r="E559" s="5" t="s">
        <v>217</v>
      </c>
    </row>
    <row r="560">
      <c r="A560" s="5">
        <v>9.211144183E9</v>
      </c>
      <c r="C560" s="5" t="s">
        <v>739</v>
      </c>
      <c r="D560" s="5" t="s">
        <v>371</v>
      </c>
      <c r="E560" s="5" t="s">
        <v>739</v>
      </c>
    </row>
    <row r="561">
      <c r="A561" s="5">
        <v>9.541084376E9</v>
      </c>
      <c r="C561" s="5" t="s">
        <v>740</v>
      </c>
      <c r="D561" s="5" t="s">
        <v>371</v>
      </c>
      <c r="E561" s="5" t="s">
        <v>740</v>
      </c>
    </row>
    <row r="562">
      <c r="A562" s="5">
        <v>9.312515414E9</v>
      </c>
      <c r="C562" s="5" t="s">
        <v>741</v>
      </c>
      <c r="D562" s="5" t="s">
        <v>371</v>
      </c>
      <c r="E562" s="5" t="s">
        <v>741</v>
      </c>
    </row>
    <row r="563">
      <c r="A563" s="5">
        <v>9.999242584E9</v>
      </c>
      <c r="C563" s="5" t="s">
        <v>742</v>
      </c>
      <c r="D563" s="5" t="s">
        <v>371</v>
      </c>
      <c r="E563" s="5" t="s">
        <v>742</v>
      </c>
    </row>
    <row r="564">
      <c r="A564" s="5">
        <v>8.383004492E9</v>
      </c>
      <c r="C564" s="5" t="s">
        <v>743</v>
      </c>
      <c r="D564" s="5" t="s">
        <v>371</v>
      </c>
      <c r="E564" s="5" t="s">
        <v>743</v>
      </c>
    </row>
    <row r="565">
      <c r="A565" s="5">
        <v>7.071463534E9</v>
      </c>
      <c r="C565" s="5" t="s">
        <v>437</v>
      </c>
      <c r="D565" s="5" t="s">
        <v>371</v>
      </c>
      <c r="E565" s="5" t="s">
        <v>437</v>
      </c>
    </row>
    <row r="566">
      <c r="A566" s="5">
        <v>7.982443155E9</v>
      </c>
      <c r="C566" s="5" t="s">
        <v>744</v>
      </c>
      <c r="D566" s="5" t="s">
        <v>371</v>
      </c>
      <c r="E566" s="5" t="s">
        <v>744</v>
      </c>
    </row>
    <row r="567">
      <c r="A567" s="5">
        <v>9.899973808E9</v>
      </c>
      <c r="C567" s="5" t="s">
        <v>458</v>
      </c>
      <c r="D567" s="5" t="s">
        <v>371</v>
      </c>
      <c r="E567" s="5" t="s">
        <v>458</v>
      </c>
    </row>
    <row r="568">
      <c r="A568" s="5">
        <v>9.31268844E9</v>
      </c>
      <c r="C568" s="5" t="s">
        <v>745</v>
      </c>
      <c r="D568" s="5" t="s">
        <v>371</v>
      </c>
      <c r="E568" s="5" t="s">
        <v>745</v>
      </c>
    </row>
    <row r="569">
      <c r="A569" s="5">
        <v>9.971250049E9</v>
      </c>
      <c r="C569" s="5" t="s">
        <v>746</v>
      </c>
      <c r="D569" s="5" t="s">
        <v>371</v>
      </c>
      <c r="E569" s="5" t="s">
        <v>746</v>
      </c>
    </row>
    <row r="570">
      <c r="A570" s="5">
        <v>9.99966365E9</v>
      </c>
      <c r="C570" s="5" t="s">
        <v>747</v>
      </c>
      <c r="D570" s="5" t="s">
        <v>371</v>
      </c>
      <c r="E570" s="5" t="s">
        <v>747</v>
      </c>
    </row>
    <row r="571">
      <c r="A571" s="5">
        <v>8.287915548E9</v>
      </c>
      <c r="C571" s="5" t="s">
        <v>495</v>
      </c>
      <c r="D571" s="5" t="s">
        <v>371</v>
      </c>
      <c r="E571" s="5" t="s">
        <v>495</v>
      </c>
    </row>
    <row r="572">
      <c r="A572" s="5">
        <v>9.89999281E9</v>
      </c>
      <c r="C572" s="5" t="s">
        <v>748</v>
      </c>
      <c r="D572" s="5" t="s">
        <v>371</v>
      </c>
      <c r="E572" s="5" t="s">
        <v>748</v>
      </c>
    </row>
    <row r="573">
      <c r="A573" s="5">
        <v>9.350934841E9</v>
      </c>
      <c r="C573" s="5" t="s">
        <v>749</v>
      </c>
      <c r="D573" s="5" t="s">
        <v>371</v>
      </c>
      <c r="E573" s="5" t="s">
        <v>749</v>
      </c>
    </row>
    <row r="574">
      <c r="A574" s="5">
        <v>9.911070398E9</v>
      </c>
      <c r="C574" s="5" t="s">
        <v>750</v>
      </c>
      <c r="D574" s="5" t="s">
        <v>371</v>
      </c>
      <c r="E574" s="5" t="s">
        <v>750</v>
      </c>
    </row>
    <row r="575">
      <c r="A575" s="5">
        <v>8.368494008E9</v>
      </c>
      <c r="C575" s="5" t="s">
        <v>187</v>
      </c>
      <c r="D575" s="5" t="s">
        <v>371</v>
      </c>
      <c r="E575" s="5" t="s">
        <v>186</v>
      </c>
    </row>
    <row r="576">
      <c r="A576" s="5">
        <v>9.650513789E9</v>
      </c>
      <c r="C576" s="5" t="s">
        <v>385</v>
      </c>
      <c r="D576" s="5" t="s">
        <v>371</v>
      </c>
      <c r="E576" s="5" t="s">
        <v>385</v>
      </c>
    </row>
    <row r="577">
      <c r="A577" s="5">
        <v>9.868164348E9</v>
      </c>
      <c r="C577" s="5" t="s">
        <v>135</v>
      </c>
      <c r="D577" s="5" t="s">
        <v>371</v>
      </c>
      <c r="E577" s="5" t="s">
        <v>135</v>
      </c>
    </row>
    <row r="578">
      <c r="A578" s="5">
        <v>9.814811848E9</v>
      </c>
      <c r="C578" s="5" t="s">
        <v>217</v>
      </c>
      <c r="D578" s="5" t="s">
        <v>371</v>
      </c>
      <c r="E578" s="5" t="s">
        <v>217</v>
      </c>
    </row>
    <row r="579">
      <c r="A579" s="5">
        <v>9.818333029E9</v>
      </c>
      <c r="C579" s="5" t="s">
        <v>538</v>
      </c>
      <c r="D579" s="5" t="s">
        <v>371</v>
      </c>
      <c r="E579" s="5" t="s">
        <v>538</v>
      </c>
    </row>
    <row r="580">
      <c r="A580" s="5">
        <v>9.873127884E9</v>
      </c>
      <c r="C580" s="5" t="s">
        <v>751</v>
      </c>
      <c r="D580" s="5" t="s">
        <v>371</v>
      </c>
      <c r="E580" s="5" t="s">
        <v>751</v>
      </c>
    </row>
    <row r="581">
      <c r="A581" s="5">
        <v>9.891283408E9</v>
      </c>
      <c r="C581" s="5" t="s">
        <v>752</v>
      </c>
      <c r="D581" s="5" t="s">
        <v>371</v>
      </c>
      <c r="E581" s="5" t="s">
        <v>752</v>
      </c>
    </row>
    <row r="582">
      <c r="A582" s="5">
        <v>8.860980806E9</v>
      </c>
      <c r="C582" s="5" t="s">
        <v>189</v>
      </c>
      <c r="D582" s="5" t="s">
        <v>371</v>
      </c>
      <c r="E582" s="5" t="s">
        <v>188</v>
      </c>
    </row>
    <row r="583">
      <c r="A583" s="5">
        <v>9.810262026E9</v>
      </c>
      <c r="C583" s="5" t="s">
        <v>753</v>
      </c>
      <c r="D583" s="5" t="s">
        <v>371</v>
      </c>
      <c r="E583" s="5" t="s">
        <v>753</v>
      </c>
    </row>
    <row r="584">
      <c r="A584" s="5">
        <v>9.911338801E9</v>
      </c>
      <c r="C584" s="5" t="s">
        <v>754</v>
      </c>
      <c r="D584" s="5" t="s">
        <v>371</v>
      </c>
      <c r="E584" s="5" t="s">
        <v>754</v>
      </c>
    </row>
    <row r="585">
      <c r="A585" s="5">
        <v>8.287813542E9</v>
      </c>
      <c r="C585" s="5" t="s">
        <v>123</v>
      </c>
      <c r="D585" s="5" t="s">
        <v>371</v>
      </c>
      <c r="E585" s="5" t="s">
        <v>123</v>
      </c>
    </row>
    <row r="586">
      <c r="A586" s="5">
        <v>6.289926452E9</v>
      </c>
      <c r="C586" s="5" t="s">
        <v>755</v>
      </c>
      <c r="D586" s="5" t="s">
        <v>371</v>
      </c>
      <c r="E586" s="5" t="s">
        <v>755</v>
      </c>
    </row>
    <row r="587">
      <c r="A587" s="5">
        <v>9.999855519E9</v>
      </c>
      <c r="C587" s="5" t="s">
        <v>437</v>
      </c>
      <c r="D587" s="5" t="s">
        <v>371</v>
      </c>
      <c r="E587" s="5" t="s">
        <v>437</v>
      </c>
    </row>
    <row r="588">
      <c r="A588" s="5">
        <v>8.85169017E9</v>
      </c>
      <c r="C588" s="5" t="s">
        <v>756</v>
      </c>
      <c r="D588" s="5" t="s">
        <v>371</v>
      </c>
      <c r="E588" s="5" t="s">
        <v>756</v>
      </c>
    </row>
    <row r="589">
      <c r="A589" s="5">
        <v>9.871810855E9</v>
      </c>
      <c r="C589" s="5" t="s">
        <v>757</v>
      </c>
      <c r="D589" s="5" t="s">
        <v>371</v>
      </c>
      <c r="E589" s="5" t="s">
        <v>757</v>
      </c>
    </row>
    <row r="590">
      <c r="A590" s="5">
        <v>9.810798532E9</v>
      </c>
      <c r="C590" s="5" t="s">
        <v>758</v>
      </c>
      <c r="D590" s="5" t="s">
        <v>371</v>
      </c>
      <c r="E590" s="5" t="s">
        <v>758</v>
      </c>
    </row>
    <row r="591">
      <c r="A591" s="5">
        <v>9.911181366E9</v>
      </c>
      <c r="C591" s="5" t="s">
        <v>661</v>
      </c>
      <c r="D591" s="5" t="s">
        <v>371</v>
      </c>
      <c r="E591" s="5" t="s">
        <v>661</v>
      </c>
    </row>
    <row r="592">
      <c r="A592" s="5">
        <v>7.982855589E9</v>
      </c>
      <c r="C592" s="5" t="s">
        <v>478</v>
      </c>
      <c r="D592" s="5" t="s">
        <v>371</v>
      </c>
      <c r="E592" s="5" t="s">
        <v>478</v>
      </c>
    </row>
    <row r="593">
      <c r="A593" s="5">
        <v>9.818247342E9</v>
      </c>
      <c r="C593" s="5" t="s">
        <v>759</v>
      </c>
      <c r="D593" s="5" t="s">
        <v>371</v>
      </c>
      <c r="E593" s="5" t="s">
        <v>759</v>
      </c>
    </row>
    <row r="594">
      <c r="A594" s="5">
        <v>9.999901385E9</v>
      </c>
      <c r="C594" s="5" t="s">
        <v>760</v>
      </c>
      <c r="D594" s="5" t="s">
        <v>371</v>
      </c>
      <c r="E594" s="5" t="s">
        <v>760</v>
      </c>
    </row>
    <row r="595">
      <c r="A595" s="5">
        <v>8.077147351E9</v>
      </c>
      <c r="C595" s="5" t="s">
        <v>761</v>
      </c>
      <c r="D595" s="5" t="s">
        <v>371</v>
      </c>
      <c r="E595" s="5" t="s">
        <v>761</v>
      </c>
    </row>
    <row r="596">
      <c r="A596" s="5">
        <v>9.350978264E9</v>
      </c>
      <c r="C596" s="5" t="s">
        <v>762</v>
      </c>
      <c r="D596" s="5" t="s">
        <v>371</v>
      </c>
      <c r="E596" s="5" t="s">
        <v>762</v>
      </c>
    </row>
    <row r="597">
      <c r="A597" s="5">
        <v>9.667905486E9</v>
      </c>
      <c r="C597" s="5" t="s">
        <v>763</v>
      </c>
      <c r="D597" s="5" t="s">
        <v>371</v>
      </c>
      <c r="E597" s="5" t="s">
        <v>763</v>
      </c>
    </row>
    <row r="598">
      <c r="A598" s="5">
        <v>8.285907668E9</v>
      </c>
      <c r="C598" s="5" t="s">
        <v>764</v>
      </c>
      <c r="D598" s="5" t="s">
        <v>371</v>
      </c>
      <c r="E598" s="5" t="s">
        <v>764</v>
      </c>
    </row>
    <row r="599">
      <c r="A599" s="5">
        <v>7.00289264E9</v>
      </c>
      <c r="C599" s="5" t="s">
        <v>765</v>
      </c>
      <c r="D599" s="5" t="s">
        <v>371</v>
      </c>
      <c r="E599" s="5" t="s">
        <v>765</v>
      </c>
    </row>
    <row r="600">
      <c r="A600" s="5">
        <v>9.810413274E9</v>
      </c>
      <c r="C600" s="5" t="s">
        <v>83</v>
      </c>
      <c r="D600" s="5" t="s">
        <v>371</v>
      </c>
      <c r="E600" s="5" t="s">
        <v>83</v>
      </c>
    </row>
    <row r="601">
      <c r="A601" s="5">
        <v>9.991108888E9</v>
      </c>
      <c r="C601" s="5" t="s">
        <v>766</v>
      </c>
      <c r="D601" s="5" t="s">
        <v>371</v>
      </c>
      <c r="E601" s="5" t="s">
        <v>766</v>
      </c>
    </row>
    <row r="602">
      <c r="A602" s="5">
        <v>8.882799877E9</v>
      </c>
      <c r="C602" s="5" t="s">
        <v>541</v>
      </c>
      <c r="D602" s="5" t="s">
        <v>371</v>
      </c>
      <c r="E602" s="5" t="s">
        <v>541</v>
      </c>
    </row>
    <row r="603">
      <c r="A603" s="5">
        <v>8.448413913E9</v>
      </c>
      <c r="C603" s="5" t="s">
        <v>767</v>
      </c>
      <c r="D603" s="5" t="s">
        <v>371</v>
      </c>
      <c r="E603" s="5" t="s">
        <v>767</v>
      </c>
    </row>
    <row r="604">
      <c r="A604" s="5">
        <v>9.871687051E9</v>
      </c>
      <c r="C604" s="5" t="s">
        <v>768</v>
      </c>
      <c r="D604" s="5" t="s">
        <v>371</v>
      </c>
      <c r="E604" s="5" t="s">
        <v>768</v>
      </c>
    </row>
    <row r="605">
      <c r="A605" s="5">
        <v>9.891959187E9</v>
      </c>
      <c r="C605" s="5" t="s">
        <v>769</v>
      </c>
      <c r="D605" s="5" t="s">
        <v>371</v>
      </c>
      <c r="E605" s="5" t="s">
        <v>769</v>
      </c>
    </row>
    <row r="606">
      <c r="A606" s="5">
        <v>9.810705924E9</v>
      </c>
      <c r="C606" s="5" t="s">
        <v>770</v>
      </c>
      <c r="D606" s="5" t="s">
        <v>371</v>
      </c>
      <c r="E606" s="5" t="s">
        <v>770</v>
      </c>
    </row>
    <row r="607">
      <c r="A607" s="5">
        <v>9.871150346E9</v>
      </c>
      <c r="C607" s="5" t="s">
        <v>771</v>
      </c>
      <c r="D607" s="5" t="s">
        <v>371</v>
      </c>
      <c r="E607" s="5" t="s">
        <v>771</v>
      </c>
    </row>
    <row r="608">
      <c r="A608" s="5">
        <v>6.30609941E9</v>
      </c>
      <c r="C608" s="5" t="s">
        <v>745</v>
      </c>
      <c r="D608" s="5" t="s">
        <v>371</v>
      </c>
      <c r="E608" s="5" t="s">
        <v>745</v>
      </c>
    </row>
    <row r="609">
      <c r="A609" s="5">
        <v>9.910950251E9</v>
      </c>
      <c r="C609" s="5" t="s">
        <v>772</v>
      </c>
      <c r="D609" s="5" t="s">
        <v>371</v>
      </c>
      <c r="E609" s="5" t="s">
        <v>772</v>
      </c>
    </row>
    <row r="610">
      <c r="A610" s="5">
        <v>9.999788778E9</v>
      </c>
      <c r="C610" s="5" t="s">
        <v>765</v>
      </c>
      <c r="D610" s="5" t="s">
        <v>371</v>
      </c>
      <c r="E610" s="5" t="s">
        <v>765</v>
      </c>
    </row>
    <row r="611">
      <c r="A611" s="5">
        <v>9.971543232E9</v>
      </c>
      <c r="C611" s="5" t="s">
        <v>773</v>
      </c>
      <c r="D611" s="5" t="s">
        <v>371</v>
      </c>
      <c r="E611" s="5" t="s">
        <v>773</v>
      </c>
    </row>
    <row r="612">
      <c r="A612" s="5">
        <v>9.91139729E9</v>
      </c>
      <c r="C612" s="5" t="s">
        <v>774</v>
      </c>
      <c r="D612" s="5" t="s">
        <v>371</v>
      </c>
      <c r="E612" s="5" t="s">
        <v>774</v>
      </c>
    </row>
    <row r="613">
      <c r="A613" s="5">
        <v>9.872758037E9</v>
      </c>
      <c r="C613" s="5" t="s">
        <v>123</v>
      </c>
      <c r="D613" s="5" t="s">
        <v>371</v>
      </c>
      <c r="E613" s="5" t="s">
        <v>123</v>
      </c>
    </row>
    <row r="614">
      <c r="A614" s="5">
        <v>9.555683585E9</v>
      </c>
      <c r="C614" s="5" t="s">
        <v>751</v>
      </c>
      <c r="D614" s="5" t="s">
        <v>371</v>
      </c>
      <c r="E614" s="5" t="s">
        <v>751</v>
      </c>
    </row>
    <row r="615">
      <c r="A615" s="5">
        <v>9.996156841E9</v>
      </c>
      <c r="C615" s="5" t="s">
        <v>775</v>
      </c>
      <c r="D615" s="5" t="s">
        <v>371</v>
      </c>
      <c r="E615" s="5" t="s">
        <v>775</v>
      </c>
    </row>
    <row r="616">
      <c r="A616" s="5">
        <v>9.999008756E9</v>
      </c>
      <c r="C616" s="5" t="s">
        <v>192</v>
      </c>
      <c r="D616" s="5" t="s">
        <v>371</v>
      </c>
      <c r="E616" s="5" t="s">
        <v>191</v>
      </c>
    </row>
    <row r="617">
      <c r="A617" s="5">
        <v>9.810239602E9</v>
      </c>
      <c r="C617" s="5" t="s">
        <v>776</v>
      </c>
      <c r="D617" s="5" t="s">
        <v>371</v>
      </c>
      <c r="E617" s="5" t="s">
        <v>776</v>
      </c>
    </row>
    <row r="618">
      <c r="A618" s="5">
        <v>9.667903853E9</v>
      </c>
      <c r="C618" s="5" t="s">
        <v>777</v>
      </c>
      <c r="D618" s="5" t="s">
        <v>371</v>
      </c>
      <c r="E618" s="5" t="s">
        <v>777</v>
      </c>
    </row>
    <row r="619">
      <c r="A619" s="5">
        <v>9.899383939E9</v>
      </c>
      <c r="C619" s="5" t="s">
        <v>194</v>
      </c>
      <c r="D619" s="5" t="s">
        <v>371</v>
      </c>
      <c r="E619" s="5" t="s">
        <v>193</v>
      </c>
    </row>
    <row r="620">
      <c r="A620" s="5">
        <v>9.958520241E9</v>
      </c>
      <c r="C620" s="5" t="s">
        <v>778</v>
      </c>
      <c r="D620" s="5" t="s">
        <v>371</v>
      </c>
      <c r="E620" s="5" t="s">
        <v>778</v>
      </c>
    </row>
    <row r="621">
      <c r="A621" s="5">
        <v>9.540632121E9</v>
      </c>
      <c r="C621" s="5" t="s">
        <v>779</v>
      </c>
      <c r="D621" s="5" t="s">
        <v>371</v>
      </c>
      <c r="E621" s="5" t="s">
        <v>779</v>
      </c>
    </row>
    <row r="622">
      <c r="A622" s="5">
        <v>9.717661915E9</v>
      </c>
      <c r="C622" s="5" t="s">
        <v>729</v>
      </c>
      <c r="D622" s="5" t="s">
        <v>371</v>
      </c>
      <c r="E622" s="5" t="s">
        <v>729</v>
      </c>
    </row>
    <row r="623">
      <c r="A623" s="5">
        <v>9.871141433E9</v>
      </c>
      <c r="C623" s="5" t="s">
        <v>196</v>
      </c>
      <c r="D623" s="5" t="s">
        <v>371</v>
      </c>
      <c r="E623" s="5" t="s">
        <v>195</v>
      </c>
    </row>
    <row r="624">
      <c r="A624" s="5">
        <v>9.871320285E9</v>
      </c>
      <c r="C624" s="5" t="s">
        <v>780</v>
      </c>
      <c r="D624" s="5" t="s">
        <v>371</v>
      </c>
      <c r="E624" s="5" t="s">
        <v>780</v>
      </c>
    </row>
    <row r="625">
      <c r="A625" s="5">
        <v>8.866013116E9</v>
      </c>
      <c r="C625" s="5" t="s">
        <v>781</v>
      </c>
      <c r="D625" s="5" t="s">
        <v>371</v>
      </c>
      <c r="E625" s="5" t="s">
        <v>781</v>
      </c>
    </row>
    <row r="626">
      <c r="A626" s="5">
        <v>9.953937777E9</v>
      </c>
      <c r="C626" s="5" t="s">
        <v>198</v>
      </c>
      <c r="D626" s="5" t="s">
        <v>371</v>
      </c>
      <c r="E626" s="5" t="s">
        <v>197</v>
      </c>
    </row>
    <row r="627">
      <c r="A627" s="5">
        <v>9.868649591E9</v>
      </c>
      <c r="C627" s="5" t="s">
        <v>782</v>
      </c>
      <c r="D627" s="5" t="s">
        <v>371</v>
      </c>
      <c r="E627" s="5" t="s">
        <v>782</v>
      </c>
    </row>
    <row r="628">
      <c r="A628" s="5">
        <v>9.871871546E9</v>
      </c>
      <c r="C628" s="5" t="s">
        <v>444</v>
      </c>
      <c r="D628" s="5" t="s">
        <v>371</v>
      </c>
      <c r="E628" s="5" t="s">
        <v>444</v>
      </c>
    </row>
    <row r="629">
      <c r="A629" s="5">
        <v>8.686901313E9</v>
      </c>
      <c r="C629" s="5" t="s">
        <v>783</v>
      </c>
      <c r="D629" s="5" t="s">
        <v>371</v>
      </c>
      <c r="E629" s="5" t="s">
        <v>783</v>
      </c>
    </row>
    <row r="630">
      <c r="A630" s="5">
        <v>9.810822945E9</v>
      </c>
      <c r="C630" s="5" t="s">
        <v>437</v>
      </c>
      <c r="D630" s="5" t="s">
        <v>371</v>
      </c>
      <c r="E630" s="5" t="s">
        <v>437</v>
      </c>
    </row>
    <row r="631">
      <c r="A631" s="5">
        <v>9.999744896E9</v>
      </c>
      <c r="C631" s="5" t="s">
        <v>784</v>
      </c>
      <c r="D631" s="5" t="s">
        <v>371</v>
      </c>
      <c r="E631" s="5" t="s">
        <v>784</v>
      </c>
    </row>
    <row r="632">
      <c r="A632" s="5">
        <v>8.70033597E9</v>
      </c>
      <c r="C632" s="5" t="s">
        <v>437</v>
      </c>
      <c r="D632" s="5" t="s">
        <v>371</v>
      </c>
      <c r="E632" s="5" t="s">
        <v>437</v>
      </c>
    </row>
    <row r="633">
      <c r="A633" s="5">
        <v>9.773504855E9</v>
      </c>
      <c r="C633" s="5" t="s">
        <v>785</v>
      </c>
      <c r="D633" s="5" t="s">
        <v>371</v>
      </c>
      <c r="E633" s="5" t="s">
        <v>785</v>
      </c>
    </row>
    <row r="634">
      <c r="A634" s="5">
        <v>9.899988552E9</v>
      </c>
      <c r="C634" s="5" t="s">
        <v>786</v>
      </c>
      <c r="D634" s="5" t="s">
        <v>371</v>
      </c>
      <c r="E634" s="5" t="s">
        <v>786</v>
      </c>
    </row>
    <row r="635">
      <c r="A635" s="5">
        <v>8.108557725E9</v>
      </c>
      <c r="C635" s="5" t="s">
        <v>787</v>
      </c>
      <c r="D635" s="5" t="s">
        <v>371</v>
      </c>
      <c r="E635" s="5" t="s">
        <v>787</v>
      </c>
    </row>
    <row r="636">
      <c r="A636" s="5">
        <v>9.953677855E9</v>
      </c>
      <c r="C636" s="5" t="s">
        <v>683</v>
      </c>
      <c r="D636" s="5" t="s">
        <v>371</v>
      </c>
      <c r="E636" s="5" t="s">
        <v>683</v>
      </c>
    </row>
    <row r="637">
      <c r="A637" s="5">
        <v>9.999347116E9</v>
      </c>
      <c r="C637" s="5" t="s">
        <v>788</v>
      </c>
      <c r="D637" s="5" t="s">
        <v>371</v>
      </c>
      <c r="E637" s="5" t="s">
        <v>788</v>
      </c>
    </row>
    <row r="638">
      <c r="A638" s="5">
        <v>9.873596247E9</v>
      </c>
      <c r="C638" s="5" t="s">
        <v>789</v>
      </c>
      <c r="D638" s="5" t="s">
        <v>371</v>
      </c>
      <c r="E638" s="5" t="s">
        <v>789</v>
      </c>
    </row>
    <row r="639">
      <c r="A639" s="5">
        <v>9.599882233E9</v>
      </c>
      <c r="C639" s="5" t="s">
        <v>200</v>
      </c>
      <c r="D639" s="5" t="s">
        <v>371</v>
      </c>
      <c r="E639" s="5" t="s">
        <v>199</v>
      </c>
    </row>
    <row r="640">
      <c r="A640" s="5">
        <v>9.810250602E9</v>
      </c>
      <c r="C640" s="5" t="s">
        <v>790</v>
      </c>
      <c r="D640" s="5" t="s">
        <v>371</v>
      </c>
      <c r="E640" s="5" t="s">
        <v>790</v>
      </c>
    </row>
    <row r="641">
      <c r="A641" s="5">
        <v>9.868857378E9</v>
      </c>
      <c r="C641" s="5" t="s">
        <v>791</v>
      </c>
      <c r="D641" s="5" t="s">
        <v>371</v>
      </c>
      <c r="E641" s="5" t="s">
        <v>791</v>
      </c>
    </row>
    <row r="642">
      <c r="A642" s="5">
        <v>9.810092819E9</v>
      </c>
      <c r="C642" s="5" t="s">
        <v>792</v>
      </c>
      <c r="D642" s="5" t="s">
        <v>371</v>
      </c>
      <c r="E642" s="5" t="s">
        <v>792</v>
      </c>
    </row>
    <row r="643">
      <c r="A643" s="5">
        <v>9.643715157E9</v>
      </c>
      <c r="C643" s="5" t="s">
        <v>793</v>
      </c>
      <c r="D643" s="5" t="s">
        <v>371</v>
      </c>
      <c r="E643" s="5" t="s">
        <v>793</v>
      </c>
    </row>
    <row r="644">
      <c r="A644" s="5">
        <v>9.999928834E9</v>
      </c>
      <c r="C644" s="5" t="s">
        <v>794</v>
      </c>
      <c r="D644" s="5" t="s">
        <v>371</v>
      </c>
      <c r="E644" s="5" t="s">
        <v>794</v>
      </c>
    </row>
    <row r="645">
      <c r="A645" s="5">
        <v>8.95024306E9</v>
      </c>
      <c r="C645" s="5" t="s">
        <v>572</v>
      </c>
      <c r="D645" s="5" t="s">
        <v>371</v>
      </c>
      <c r="E645" s="5" t="s">
        <v>572</v>
      </c>
    </row>
    <row r="646">
      <c r="A646" s="5">
        <v>9.958853781E9</v>
      </c>
      <c r="C646" s="5" t="s">
        <v>795</v>
      </c>
      <c r="D646" s="5" t="s">
        <v>371</v>
      </c>
      <c r="E646" s="5" t="s">
        <v>795</v>
      </c>
    </row>
    <row r="647">
      <c r="A647" s="5">
        <v>7.982275693E9</v>
      </c>
      <c r="C647" s="5" t="s">
        <v>796</v>
      </c>
      <c r="D647" s="5" t="s">
        <v>371</v>
      </c>
      <c r="E647" s="5" t="s">
        <v>796</v>
      </c>
    </row>
    <row r="648">
      <c r="A648" s="5">
        <v>8.882646525E9</v>
      </c>
      <c r="C648" s="5" t="s">
        <v>797</v>
      </c>
      <c r="D648" s="5" t="s">
        <v>371</v>
      </c>
      <c r="E648" s="5" t="s">
        <v>797</v>
      </c>
    </row>
    <row r="649">
      <c r="A649" s="5">
        <v>9.868506683E9</v>
      </c>
      <c r="C649" s="5" t="s">
        <v>798</v>
      </c>
      <c r="D649" s="5" t="s">
        <v>371</v>
      </c>
      <c r="E649" s="5" t="s">
        <v>798</v>
      </c>
    </row>
    <row r="650">
      <c r="A650" s="5">
        <v>9.857862957E9</v>
      </c>
      <c r="C650" s="5" t="s">
        <v>799</v>
      </c>
      <c r="D650" s="5" t="s">
        <v>371</v>
      </c>
      <c r="E650" s="5" t="s">
        <v>799</v>
      </c>
    </row>
    <row r="651">
      <c r="A651" s="5">
        <v>9.891181272E9</v>
      </c>
      <c r="C651" s="5" t="s">
        <v>202</v>
      </c>
      <c r="D651" s="5" t="s">
        <v>371</v>
      </c>
      <c r="E651" s="5" t="s">
        <v>201</v>
      </c>
    </row>
    <row r="652">
      <c r="A652" s="5">
        <v>8.13097101E9</v>
      </c>
      <c r="C652" s="5" t="s">
        <v>510</v>
      </c>
      <c r="D652" s="5" t="s">
        <v>371</v>
      </c>
      <c r="E652" s="5" t="s">
        <v>510</v>
      </c>
    </row>
    <row r="653">
      <c r="A653" s="5">
        <v>9.728543318E9</v>
      </c>
      <c r="C653" s="5" t="s">
        <v>800</v>
      </c>
      <c r="D653" s="5" t="s">
        <v>371</v>
      </c>
      <c r="E653" s="5" t="s">
        <v>800</v>
      </c>
    </row>
    <row r="654">
      <c r="A654" s="5">
        <v>9.899559925E9</v>
      </c>
      <c r="C654" s="5" t="s">
        <v>436</v>
      </c>
      <c r="D654" s="5" t="s">
        <v>371</v>
      </c>
      <c r="E654" s="5" t="s">
        <v>436</v>
      </c>
    </row>
    <row r="655">
      <c r="A655" s="5">
        <v>9.818711033E9</v>
      </c>
      <c r="C655" s="5" t="s">
        <v>204</v>
      </c>
      <c r="D655" s="5" t="s">
        <v>371</v>
      </c>
      <c r="E655" s="5" t="s">
        <v>203</v>
      </c>
    </row>
    <row r="656">
      <c r="A656" s="5">
        <v>9.65405999E9</v>
      </c>
      <c r="C656" s="5" t="s">
        <v>206</v>
      </c>
      <c r="D656" s="5" t="s">
        <v>371</v>
      </c>
      <c r="E656" s="5" t="s">
        <v>205</v>
      </c>
    </row>
    <row r="657">
      <c r="A657" s="5">
        <v>6.381747507E9</v>
      </c>
      <c r="C657" s="5" t="s">
        <v>801</v>
      </c>
      <c r="D657" s="5" t="s">
        <v>371</v>
      </c>
      <c r="E657" s="5" t="s">
        <v>801</v>
      </c>
    </row>
    <row r="658">
      <c r="A658" s="5">
        <v>9.818752857E9</v>
      </c>
      <c r="C658" s="5" t="s">
        <v>802</v>
      </c>
      <c r="D658" s="5" t="s">
        <v>371</v>
      </c>
      <c r="E658" s="5" t="s">
        <v>802</v>
      </c>
    </row>
    <row r="659">
      <c r="A659" s="5">
        <v>9.140083501E9</v>
      </c>
      <c r="C659" s="5" t="s">
        <v>742</v>
      </c>
      <c r="D659" s="5" t="s">
        <v>371</v>
      </c>
      <c r="E659" s="5" t="s">
        <v>742</v>
      </c>
    </row>
    <row r="660">
      <c r="A660" s="5">
        <v>9.212222888E9</v>
      </c>
      <c r="C660" s="5" t="s">
        <v>803</v>
      </c>
      <c r="D660" s="5" t="s">
        <v>371</v>
      </c>
      <c r="E660" s="5" t="s">
        <v>803</v>
      </c>
    </row>
    <row r="661">
      <c r="A661" s="5">
        <v>8.275382687E9</v>
      </c>
      <c r="C661" s="5" t="s">
        <v>481</v>
      </c>
      <c r="D661" s="5" t="s">
        <v>371</v>
      </c>
      <c r="E661" s="5" t="s">
        <v>481</v>
      </c>
    </row>
    <row r="662">
      <c r="A662" s="5">
        <v>8.178240939E9</v>
      </c>
      <c r="C662" s="5" t="s">
        <v>661</v>
      </c>
      <c r="D662" s="5" t="s">
        <v>371</v>
      </c>
      <c r="E662" s="5" t="s">
        <v>661</v>
      </c>
    </row>
    <row r="663">
      <c r="A663" s="5">
        <v>9.711778646E9</v>
      </c>
      <c r="C663" s="5" t="s">
        <v>804</v>
      </c>
      <c r="D663" s="5" t="s">
        <v>371</v>
      </c>
      <c r="E663" s="5" t="s">
        <v>804</v>
      </c>
    </row>
    <row r="664">
      <c r="A664" s="5">
        <v>9.650852037E9</v>
      </c>
      <c r="C664" s="5" t="s">
        <v>805</v>
      </c>
      <c r="D664" s="5" t="s">
        <v>371</v>
      </c>
      <c r="E664" s="5" t="s">
        <v>805</v>
      </c>
    </row>
    <row r="665">
      <c r="A665" s="5">
        <v>9.99932322E9</v>
      </c>
      <c r="C665" s="5" t="s">
        <v>251</v>
      </c>
      <c r="D665" s="5" t="s">
        <v>371</v>
      </c>
      <c r="E665" s="5" t="s">
        <v>251</v>
      </c>
    </row>
    <row r="666">
      <c r="A666" s="5">
        <v>9.867585898E9</v>
      </c>
      <c r="C666" s="5" t="s">
        <v>806</v>
      </c>
      <c r="D666" s="5" t="s">
        <v>371</v>
      </c>
      <c r="E666" s="5" t="s">
        <v>806</v>
      </c>
    </row>
    <row r="667">
      <c r="A667" s="5">
        <v>7.042775899E9</v>
      </c>
      <c r="C667" s="5" t="s">
        <v>807</v>
      </c>
      <c r="D667" s="5" t="s">
        <v>371</v>
      </c>
      <c r="E667" s="5" t="s">
        <v>807</v>
      </c>
    </row>
    <row r="668">
      <c r="A668" s="5">
        <v>7.503982731E9</v>
      </c>
      <c r="C668" s="5" t="s">
        <v>572</v>
      </c>
      <c r="D668" s="5" t="s">
        <v>371</v>
      </c>
      <c r="E668" s="5" t="s">
        <v>572</v>
      </c>
    </row>
    <row r="669">
      <c r="A669" s="5">
        <v>8.13098475E9</v>
      </c>
      <c r="C669" s="5" t="s">
        <v>808</v>
      </c>
      <c r="D669" s="5" t="s">
        <v>371</v>
      </c>
      <c r="E669" s="5" t="s">
        <v>808</v>
      </c>
    </row>
    <row r="670">
      <c r="A670" s="5">
        <v>7.982125833E9</v>
      </c>
      <c r="C670" s="5" t="s">
        <v>209</v>
      </c>
      <c r="D670" s="5" t="s">
        <v>371</v>
      </c>
      <c r="E670" s="5" t="s">
        <v>208</v>
      </c>
    </row>
    <row r="671">
      <c r="A671" s="5">
        <v>8.860647524E9</v>
      </c>
      <c r="C671" s="5" t="s">
        <v>623</v>
      </c>
      <c r="D671" s="5" t="s">
        <v>371</v>
      </c>
      <c r="E671" s="5" t="s">
        <v>623</v>
      </c>
    </row>
    <row r="672">
      <c r="A672" s="5">
        <v>8.010768209E9</v>
      </c>
      <c r="C672" s="5" t="s">
        <v>809</v>
      </c>
      <c r="D672" s="5" t="s">
        <v>371</v>
      </c>
      <c r="E672" s="5" t="s">
        <v>809</v>
      </c>
    </row>
    <row r="673">
      <c r="A673" s="5">
        <v>9.212399066E9</v>
      </c>
      <c r="C673" s="5" t="s">
        <v>212</v>
      </c>
      <c r="D673" s="5" t="s">
        <v>371</v>
      </c>
      <c r="E673" s="5" t="s">
        <v>211</v>
      </c>
    </row>
    <row r="674">
      <c r="A674" s="5">
        <v>9.650798068E9</v>
      </c>
      <c r="C674" s="5" t="s">
        <v>214</v>
      </c>
      <c r="D674" s="5" t="s">
        <v>371</v>
      </c>
      <c r="E674" s="5" t="s">
        <v>213</v>
      </c>
    </row>
    <row r="675">
      <c r="A675" s="5">
        <v>9.312263494E9</v>
      </c>
      <c r="C675" s="5" t="s">
        <v>216</v>
      </c>
      <c r="D675" s="5" t="s">
        <v>371</v>
      </c>
      <c r="E675" s="5" t="s">
        <v>215</v>
      </c>
    </row>
    <row r="676">
      <c r="A676" s="5">
        <v>9.419190227E9</v>
      </c>
      <c r="C676" s="5" t="s">
        <v>810</v>
      </c>
      <c r="D676" s="5" t="s">
        <v>371</v>
      </c>
      <c r="E676" s="5" t="s">
        <v>810</v>
      </c>
    </row>
    <row r="677">
      <c r="A677" s="5">
        <v>9.013329595E9</v>
      </c>
      <c r="C677" s="5" t="s">
        <v>219</v>
      </c>
      <c r="D677" s="5" t="s">
        <v>371</v>
      </c>
      <c r="E677" s="5" t="s">
        <v>218</v>
      </c>
    </row>
    <row r="678">
      <c r="A678" s="5">
        <v>8.29923193E9</v>
      </c>
      <c r="C678" s="5" t="s">
        <v>221</v>
      </c>
      <c r="D678" s="5" t="s">
        <v>371</v>
      </c>
      <c r="E678" s="5" t="s">
        <v>220</v>
      </c>
    </row>
    <row r="679">
      <c r="A679" s="5">
        <v>8.368117424E9</v>
      </c>
      <c r="C679" s="5" t="s">
        <v>543</v>
      </c>
      <c r="D679" s="5" t="s">
        <v>371</v>
      </c>
      <c r="E679" s="5" t="s">
        <v>543</v>
      </c>
    </row>
    <row r="680">
      <c r="A680" s="5">
        <v>9.162963605E9</v>
      </c>
      <c r="C680" s="5" t="s">
        <v>811</v>
      </c>
      <c r="D680" s="5" t="s">
        <v>371</v>
      </c>
      <c r="E680" s="5" t="s">
        <v>811</v>
      </c>
    </row>
    <row r="681">
      <c r="A681" s="5">
        <v>9.368877011E9</v>
      </c>
      <c r="C681" s="5" t="s">
        <v>223</v>
      </c>
      <c r="D681" s="5" t="s">
        <v>371</v>
      </c>
      <c r="E681" s="5" t="s">
        <v>222</v>
      </c>
    </row>
    <row r="682">
      <c r="A682" s="5">
        <v>8.187961053E9</v>
      </c>
      <c r="C682" s="5" t="s">
        <v>812</v>
      </c>
      <c r="D682" s="5" t="s">
        <v>371</v>
      </c>
      <c r="E682" s="5" t="s">
        <v>812</v>
      </c>
    </row>
    <row r="683">
      <c r="A683" s="5">
        <v>7.006511249E9</v>
      </c>
      <c r="C683" s="5" t="s">
        <v>813</v>
      </c>
      <c r="D683" s="5" t="s">
        <v>371</v>
      </c>
      <c r="E683" s="5" t="s">
        <v>813</v>
      </c>
    </row>
    <row r="684">
      <c r="A684" s="5">
        <v>9.62532792E9</v>
      </c>
      <c r="C684" s="5" t="s">
        <v>814</v>
      </c>
      <c r="D684" s="5" t="s">
        <v>371</v>
      </c>
      <c r="E684" s="5" t="s">
        <v>814</v>
      </c>
    </row>
    <row r="685">
      <c r="A685" s="5">
        <v>7.838042351E9</v>
      </c>
      <c r="C685" s="5" t="s">
        <v>169</v>
      </c>
      <c r="D685" s="5" t="s">
        <v>371</v>
      </c>
      <c r="E685" s="5" t="s">
        <v>169</v>
      </c>
    </row>
    <row r="686">
      <c r="A686" s="5">
        <v>8.269328532E9</v>
      </c>
      <c r="C686" s="5" t="s">
        <v>815</v>
      </c>
      <c r="D686" s="5" t="s">
        <v>371</v>
      </c>
      <c r="E686" s="5" t="s">
        <v>815</v>
      </c>
    </row>
    <row r="687">
      <c r="A687" s="5">
        <v>9.810113462E9</v>
      </c>
      <c r="C687" s="5" t="s">
        <v>816</v>
      </c>
      <c r="D687" s="5" t="s">
        <v>371</v>
      </c>
      <c r="E687" s="5" t="s">
        <v>816</v>
      </c>
    </row>
    <row r="688">
      <c r="A688" s="5">
        <v>9.919674399E9</v>
      </c>
      <c r="C688" s="5" t="s">
        <v>817</v>
      </c>
      <c r="D688" s="5" t="s">
        <v>371</v>
      </c>
      <c r="E688" s="5" t="s">
        <v>817</v>
      </c>
    </row>
    <row r="689">
      <c r="A689" s="5">
        <v>9.871973908E9</v>
      </c>
      <c r="C689" s="5" t="s">
        <v>818</v>
      </c>
      <c r="D689" s="5" t="s">
        <v>371</v>
      </c>
      <c r="E689" s="5" t="s">
        <v>818</v>
      </c>
    </row>
    <row r="690">
      <c r="A690" s="5">
        <v>9.899200043E9</v>
      </c>
      <c r="C690" s="5" t="s">
        <v>752</v>
      </c>
      <c r="D690" s="5" t="s">
        <v>371</v>
      </c>
      <c r="E690" s="5" t="s">
        <v>752</v>
      </c>
    </row>
    <row r="691">
      <c r="A691" s="5">
        <v>9.99978954E9</v>
      </c>
      <c r="C691" s="5" t="s">
        <v>819</v>
      </c>
      <c r="D691" s="5" t="s">
        <v>371</v>
      </c>
      <c r="E691" s="5" t="s">
        <v>819</v>
      </c>
    </row>
    <row r="692">
      <c r="A692" s="5">
        <v>9.971001415E9</v>
      </c>
      <c r="C692" s="5" t="s">
        <v>820</v>
      </c>
      <c r="D692" s="5" t="s">
        <v>371</v>
      </c>
      <c r="E692" s="5" t="s">
        <v>820</v>
      </c>
    </row>
    <row r="693">
      <c r="A693" s="5">
        <v>9.910100011E9</v>
      </c>
      <c r="C693" s="5" t="s">
        <v>821</v>
      </c>
      <c r="D693" s="5" t="s">
        <v>371</v>
      </c>
      <c r="E693" s="5" t="s">
        <v>821</v>
      </c>
    </row>
    <row r="694">
      <c r="A694" s="5">
        <v>7.060482036E9</v>
      </c>
      <c r="C694" s="5" t="s">
        <v>822</v>
      </c>
      <c r="D694" s="5" t="s">
        <v>371</v>
      </c>
      <c r="E694" s="5" t="s">
        <v>822</v>
      </c>
    </row>
    <row r="695">
      <c r="A695" s="5">
        <v>8.860339734E9</v>
      </c>
      <c r="C695" s="5" t="s">
        <v>823</v>
      </c>
      <c r="D695" s="5" t="s">
        <v>371</v>
      </c>
      <c r="E695" s="5" t="s">
        <v>823</v>
      </c>
    </row>
    <row r="696">
      <c r="A696" s="5">
        <v>6.397181896E9</v>
      </c>
      <c r="C696" s="5" t="s">
        <v>629</v>
      </c>
      <c r="D696" s="5" t="s">
        <v>371</v>
      </c>
      <c r="E696" s="5" t="s">
        <v>629</v>
      </c>
    </row>
    <row r="697">
      <c r="A697" s="5">
        <v>8.882231502E9</v>
      </c>
      <c r="C697" s="5" t="s">
        <v>650</v>
      </c>
      <c r="D697" s="5" t="s">
        <v>371</v>
      </c>
      <c r="E697" s="5" t="s">
        <v>650</v>
      </c>
    </row>
    <row r="698">
      <c r="A698" s="5">
        <v>9.89920709E9</v>
      </c>
      <c r="C698" s="5" t="s">
        <v>824</v>
      </c>
      <c r="D698" s="5" t="s">
        <v>371</v>
      </c>
      <c r="E698" s="5" t="s">
        <v>824</v>
      </c>
    </row>
    <row r="699">
      <c r="A699" s="5">
        <v>8.750564968E9</v>
      </c>
      <c r="C699" s="5" t="s">
        <v>825</v>
      </c>
      <c r="D699" s="5" t="s">
        <v>371</v>
      </c>
      <c r="E699" s="5" t="s">
        <v>825</v>
      </c>
    </row>
    <row r="700">
      <c r="A700" s="5">
        <v>8.750949393E9</v>
      </c>
      <c r="C700" s="5" t="s">
        <v>826</v>
      </c>
      <c r="D700" s="5" t="s">
        <v>371</v>
      </c>
      <c r="E700" s="5" t="s">
        <v>826</v>
      </c>
    </row>
    <row r="701">
      <c r="A701" s="5">
        <v>9.810040357E9</v>
      </c>
      <c r="C701" s="5" t="s">
        <v>827</v>
      </c>
      <c r="D701" s="5" t="s">
        <v>371</v>
      </c>
      <c r="E701" s="5" t="s">
        <v>827</v>
      </c>
    </row>
    <row r="702">
      <c r="A702" s="5">
        <v>7.997588888E9</v>
      </c>
      <c r="C702" s="5" t="s">
        <v>828</v>
      </c>
      <c r="D702" s="5" t="s">
        <v>371</v>
      </c>
      <c r="E702" s="5" t="s">
        <v>828</v>
      </c>
    </row>
    <row r="703">
      <c r="A703" s="5">
        <v>8.800440222E9</v>
      </c>
      <c r="C703" s="5" t="s">
        <v>829</v>
      </c>
      <c r="D703" s="5" t="s">
        <v>371</v>
      </c>
      <c r="E703" s="5" t="s">
        <v>829</v>
      </c>
    </row>
    <row r="704">
      <c r="A704" s="5">
        <v>9.87037422E9</v>
      </c>
      <c r="C704" s="5" t="s">
        <v>830</v>
      </c>
      <c r="D704" s="5" t="s">
        <v>371</v>
      </c>
      <c r="E704" s="5" t="s">
        <v>830</v>
      </c>
    </row>
    <row r="705">
      <c r="A705" s="5">
        <v>9.810764341E9</v>
      </c>
      <c r="C705" s="5" t="s">
        <v>831</v>
      </c>
      <c r="D705" s="5" t="s">
        <v>371</v>
      </c>
      <c r="E705" s="5" t="s">
        <v>831</v>
      </c>
    </row>
    <row r="706">
      <c r="A706" s="5">
        <v>9.315387153E9</v>
      </c>
      <c r="C706" s="5" t="s">
        <v>832</v>
      </c>
      <c r="D706" s="5" t="s">
        <v>371</v>
      </c>
      <c r="E706" s="5" t="s">
        <v>832</v>
      </c>
    </row>
    <row r="707">
      <c r="A707" s="5">
        <v>9.694947447E9</v>
      </c>
      <c r="C707" s="5" t="s">
        <v>833</v>
      </c>
      <c r="D707" s="5" t="s">
        <v>371</v>
      </c>
      <c r="E707" s="5" t="s">
        <v>833</v>
      </c>
    </row>
    <row r="708">
      <c r="A708" s="5">
        <v>9.810658206E9</v>
      </c>
      <c r="C708" s="5" t="s">
        <v>227</v>
      </c>
      <c r="D708" s="5" t="s">
        <v>371</v>
      </c>
      <c r="E708" s="5" t="s">
        <v>226</v>
      </c>
    </row>
    <row r="709">
      <c r="A709" s="5">
        <v>8.860339733E9</v>
      </c>
      <c r="C709" s="5" t="s">
        <v>823</v>
      </c>
      <c r="D709" s="5" t="s">
        <v>371</v>
      </c>
      <c r="E709" s="5" t="s">
        <v>823</v>
      </c>
    </row>
    <row r="710">
      <c r="A710" s="5">
        <v>8.384049838E9</v>
      </c>
      <c r="C710" s="5" t="s">
        <v>229</v>
      </c>
      <c r="D710" s="5" t="s">
        <v>371</v>
      </c>
      <c r="E710" s="5" t="s">
        <v>228</v>
      </c>
    </row>
    <row r="711">
      <c r="A711" s="5">
        <v>9.811557564E9</v>
      </c>
      <c r="C711" s="5" t="s">
        <v>834</v>
      </c>
      <c r="D711" s="5" t="s">
        <v>371</v>
      </c>
      <c r="E711" s="5" t="s">
        <v>834</v>
      </c>
    </row>
    <row r="712">
      <c r="A712" s="5">
        <v>9.311193547E9</v>
      </c>
      <c r="C712" s="5" t="s">
        <v>835</v>
      </c>
      <c r="D712" s="5" t="s">
        <v>371</v>
      </c>
      <c r="E712" s="5" t="s">
        <v>835</v>
      </c>
    </row>
    <row r="713">
      <c r="A713" s="5">
        <v>9.910544267E9</v>
      </c>
      <c r="C713" s="5" t="s">
        <v>66</v>
      </c>
      <c r="D713" s="5" t="s">
        <v>371</v>
      </c>
      <c r="E713" s="5" t="s">
        <v>65</v>
      </c>
    </row>
    <row r="714">
      <c r="A714" s="5">
        <v>9.810100576E9</v>
      </c>
      <c r="C714" s="5" t="s">
        <v>836</v>
      </c>
      <c r="D714" s="5" t="s">
        <v>371</v>
      </c>
      <c r="E714" s="5" t="s">
        <v>836</v>
      </c>
    </row>
    <row r="715">
      <c r="A715" s="5">
        <v>7.087868187E9</v>
      </c>
      <c r="C715" s="5" t="s">
        <v>837</v>
      </c>
      <c r="D715" s="5" t="s">
        <v>371</v>
      </c>
      <c r="E715" s="5" t="s">
        <v>837</v>
      </c>
    </row>
    <row r="716">
      <c r="A716" s="5">
        <v>9.910797272E9</v>
      </c>
      <c r="C716" s="5" t="s">
        <v>231</v>
      </c>
      <c r="D716" s="5" t="s">
        <v>371</v>
      </c>
      <c r="E716" s="5" t="s">
        <v>230</v>
      </c>
    </row>
    <row r="717">
      <c r="A717" s="5">
        <v>9.999966187E9</v>
      </c>
      <c r="C717" s="5" t="s">
        <v>37</v>
      </c>
      <c r="D717" s="5" t="s">
        <v>371</v>
      </c>
      <c r="E717" s="5" t="s">
        <v>37</v>
      </c>
    </row>
    <row r="718">
      <c r="A718" s="5">
        <v>9.582929727E9</v>
      </c>
      <c r="C718" s="5" t="s">
        <v>838</v>
      </c>
      <c r="D718" s="5" t="s">
        <v>371</v>
      </c>
      <c r="E718" s="5" t="s">
        <v>838</v>
      </c>
    </row>
    <row r="719">
      <c r="A719" s="5">
        <v>9.312401235E9</v>
      </c>
      <c r="C719" s="5" t="s">
        <v>839</v>
      </c>
      <c r="D719" s="5" t="s">
        <v>371</v>
      </c>
      <c r="E719" s="5" t="s">
        <v>839</v>
      </c>
    </row>
    <row r="720">
      <c r="A720" s="5">
        <v>9.310338843E9</v>
      </c>
      <c r="C720" s="5" t="s">
        <v>840</v>
      </c>
      <c r="D720" s="5" t="s">
        <v>371</v>
      </c>
      <c r="E720" s="5" t="s">
        <v>840</v>
      </c>
    </row>
    <row r="721">
      <c r="A721" s="5">
        <v>9.355031025E9</v>
      </c>
      <c r="C721" s="5" t="s">
        <v>233</v>
      </c>
      <c r="D721" s="5" t="s">
        <v>371</v>
      </c>
      <c r="E721" s="5" t="s">
        <v>232</v>
      </c>
    </row>
    <row r="722">
      <c r="A722" s="5">
        <v>7.726868778E9</v>
      </c>
      <c r="C722" s="5" t="s">
        <v>841</v>
      </c>
      <c r="D722" s="5" t="s">
        <v>371</v>
      </c>
      <c r="E722" s="5" t="s">
        <v>841</v>
      </c>
    </row>
    <row r="723">
      <c r="A723" s="5">
        <v>9.460907696E9</v>
      </c>
      <c r="C723" s="5" t="s">
        <v>236</v>
      </c>
      <c r="D723" s="5" t="s">
        <v>371</v>
      </c>
      <c r="E723" s="5" t="s">
        <v>235</v>
      </c>
    </row>
    <row r="724">
      <c r="A724" s="5">
        <v>9.953533153E9</v>
      </c>
      <c r="C724" s="5" t="s">
        <v>697</v>
      </c>
      <c r="D724" s="5" t="s">
        <v>371</v>
      </c>
      <c r="E724" s="5" t="s">
        <v>697</v>
      </c>
    </row>
    <row r="725">
      <c r="A725" s="5">
        <v>9.926096416E9</v>
      </c>
      <c r="C725" s="5" t="s">
        <v>842</v>
      </c>
      <c r="D725" s="5" t="s">
        <v>371</v>
      </c>
      <c r="E725" s="5" t="s">
        <v>842</v>
      </c>
    </row>
    <row r="726">
      <c r="A726" s="5">
        <v>9.582843222E9</v>
      </c>
      <c r="C726" s="5" t="s">
        <v>843</v>
      </c>
      <c r="D726" s="5" t="s">
        <v>371</v>
      </c>
      <c r="E726" s="5" t="s">
        <v>843</v>
      </c>
    </row>
    <row r="727">
      <c r="A727" s="5">
        <v>8.860435565E9</v>
      </c>
      <c r="C727" s="5" t="s">
        <v>238</v>
      </c>
      <c r="D727" s="5" t="s">
        <v>371</v>
      </c>
      <c r="E727" s="5" t="s">
        <v>237</v>
      </c>
    </row>
    <row r="728">
      <c r="A728" s="5">
        <v>9.896804072E9</v>
      </c>
      <c r="C728" s="5" t="s">
        <v>844</v>
      </c>
      <c r="D728" s="5" t="s">
        <v>371</v>
      </c>
      <c r="E728" s="5" t="s">
        <v>844</v>
      </c>
    </row>
    <row r="729">
      <c r="A729" s="5">
        <v>9.811101399E9</v>
      </c>
      <c r="C729" s="5" t="s">
        <v>845</v>
      </c>
      <c r="D729" s="5" t="s">
        <v>371</v>
      </c>
      <c r="E729" s="5" t="s">
        <v>845</v>
      </c>
    </row>
    <row r="730">
      <c r="A730" s="5">
        <v>9.87392801E9</v>
      </c>
      <c r="C730" s="5" t="s">
        <v>846</v>
      </c>
      <c r="D730" s="5" t="s">
        <v>371</v>
      </c>
      <c r="E730" s="5" t="s">
        <v>846</v>
      </c>
    </row>
    <row r="731">
      <c r="A731" s="5">
        <v>8.816867365E9</v>
      </c>
      <c r="C731" s="5" t="s">
        <v>847</v>
      </c>
      <c r="D731" s="5" t="s">
        <v>371</v>
      </c>
      <c r="E731" s="5" t="s">
        <v>847</v>
      </c>
    </row>
    <row r="732">
      <c r="A732" s="5">
        <v>8.700819298E9</v>
      </c>
      <c r="C732" s="5" t="s">
        <v>477</v>
      </c>
      <c r="D732" s="5" t="s">
        <v>371</v>
      </c>
      <c r="E732" s="5" t="s">
        <v>477</v>
      </c>
    </row>
    <row r="733">
      <c r="A733" s="5">
        <v>9.99979166E9</v>
      </c>
      <c r="C733" s="5" t="s">
        <v>848</v>
      </c>
      <c r="D733" s="5" t="s">
        <v>371</v>
      </c>
      <c r="E733" s="5" t="s">
        <v>848</v>
      </c>
    </row>
    <row r="734">
      <c r="A734" s="5">
        <v>7.015427856E9</v>
      </c>
      <c r="C734" s="5" t="s">
        <v>636</v>
      </c>
      <c r="D734" s="5" t="s">
        <v>371</v>
      </c>
      <c r="E734" s="5" t="s">
        <v>636</v>
      </c>
    </row>
    <row r="735">
      <c r="A735" s="5">
        <v>9.870383056E9</v>
      </c>
      <c r="C735" s="5" t="s">
        <v>240</v>
      </c>
      <c r="D735" s="5" t="s">
        <v>371</v>
      </c>
      <c r="E735" s="5" t="s">
        <v>239</v>
      </c>
    </row>
    <row r="736">
      <c r="A736" s="5">
        <v>9.81197911E9</v>
      </c>
      <c r="C736" s="5" t="s">
        <v>849</v>
      </c>
      <c r="D736" s="5" t="s">
        <v>371</v>
      </c>
      <c r="E736" s="5" t="s">
        <v>849</v>
      </c>
    </row>
    <row r="737">
      <c r="A737" s="5">
        <v>9.311163494E9</v>
      </c>
      <c r="C737" s="5" t="s">
        <v>242</v>
      </c>
      <c r="D737" s="5" t="s">
        <v>371</v>
      </c>
      <c r="E737" s="5" t="s">
        <v>241</v>
      </c>
    </row>
    <row r="738">
      <c r="A738" s="5">
        <v>7.674984154E9</v>
      </c>
      <c r="C738" s="5" t="s">
        <v>385</v>
      </c>
      <c r="D738" s="5" t="s">
        <v>371</v>
      </c>
      <c r="E738" s="5" t="s">
        <v>385</v>
      </c>
    </row>
    <row r="739">
      <c r="A739" s="5">
        <v>9.871037317E9</v>
      </c>
      <c r="C739" s="5" t="s">
        <v>850</v>
      </c>
      <c r="D739" s="5" t="s">
        <v>371</v>
      </c>
      <c r="E739" s="5" t="s">
        <v>850</v>
      </c>
    </row>
    <row r="740">
      <c r="A740" s="5">
        <v>7.535022621E9</v>
      </c>
      <c r="C740" s="5" t="s">
        <v>851</v>
      </c>
      <c r="D740" s="5" t="s">
        <v>371</v>
      </c>
      <c r="E740" s="5" t="s">
        <v>851</v>
      </c>
    </row>
    <row r="741">
      <c r="A741" s="5">
        <v>9.650464021E9</v>
      </c>
      <c r="C741" s="5" t="s">
        <v>852</v>
      </c>
      <c r="D741" s="5" t="s">
        <v>371</v>
      </c>
      <c r="E741" s="5" t="s">
        <v>852</v>
      </c>
    </row>
    <row r="742">
      <c r="A742" s="5">
        <v>9.161114007E9</v>
      </c>
      <c r="C742" s="5" t="s">
        <v>244</v>
      </c>
      <c r="D742" s="5" t="s">
        <v>371</v>
      </c>
      <c r="E742" s="5" t="s">
        <v>243</v>
      </c>
    </row>
    <row r="743">
      <c r="A743" s="5">
        <v>9.811113272E9</v>
      </c>
      <c r="C743" s="5" t="s">
        <v>853</v>
      </c>
      <c r="D743" s="5" t="s">
        <v>371</v>
      </c>
      <c r="E743" s="5" t="s">
        <v>853</v>
      </c>
    </row>
    <row r="744">
      <c r="A744" s="5">
        <v>9.999110696E9</v>
      </c>
      <c r="C744" s="5" t="s">
        <v>854</v>
      </c>
      <c r="D744" s="5" t="s">
        <v>371</v>
      </c>
      <c r="E744" s="5" t="s">
        <v>854</v>
      </c>
    </row>
    <row r="745">
      <c r="A745" s="5">
        <v>9.394161005E9</v>
      </c>
      <c r="C745" s="5" t="s">
        <v>855</v>
      </c>
      <c r="D745" s="5" t="s">
        <v>371</v>
      </c>
      <c r="E745" s="5" t="s">
        <v>855</v>
      </c>
    </row>
    <row r="746">
      <c r="A746" s="5">
        <v>8.368117429E9</v>
      </c>
      <c r="C746" s="5" t="s">
        <v>543</v>
      </c>
      <c r="D746" s="5" t="s">
        <v>371</v>
      </c>
      <c r="E746" s="5" t="s">
        <v>543</v>
      </c>
    </row>
    <row r="747">
      <c r="A747" s="5">
        <v>7.83829005E9</v>
      </c>
      <c r="C747" s="5" t="s">
        <v>246</v>
      </c>
      <c r="D747" s="5" t="s">
        <v>371</v>
      </c>
      <c r="E747" s="5" t="s">
        <v>245</v>
      </c>
    </row>
    <row r="748">
      <c r="A748" s="5">
        <v>8.368953488E9</v>
      </c>
      <c r="C748" s="5" t="s">
        <v>248</v>
      </c>
      <c r="D748" s="5" t="s">
        <v>371</v>
      </c>
      <c r="E748" s="5" t="s">
        <v>247</v>
      </c>
    </row>
    <row r="749">
      <c r="A749" s="5">
        <v>8.384071504E9</v>
      </c>
      <c r="C749" s="5" t="s">
        <v>796</v>
      </c>
      <c r="D749" s="5" t="s">
        <v>371</v>
      </c>
      <c r="E749" s="5" t="s">
        <v>796</v>
      </c>
    </row>
    <row r="750">
      <c r="A750" s="5">
        <v>9.953690284E9</v>
      </c>
      <c r="C750" s="5" t="s">
        <v>856</v>
      </c>
      <c r="D750" s="5" t="s">
        <v>371</v>
      </c>
      <c r="E750" s="5" t="s">
        <v>856</v>
      </c>
    </row>
    <row r="751">
      <c r="A751" s="5">
        <v>9.811983134E9</v>
      </c>
      <c r="C751" s="5" t="s">
        <v>857</v>
      </c>
      <c r="D751" s="5" t="s">
        <v>371</v>
      </c>
      <c r="E751" s="5" t="s">
        <v>857</v>
      </c>
    </row>
    <row r="752">
      <c r="A752" s="5">
        <v>8.920910811E9</v>
      </c>
      <c r="C752" s="5" t="s">
        <v>808</v>
      </c>
      <c r="D752" s="5" t="s">
        <v>371</v>
      </c>
      <c r="E752" s="5" t="s">
        <v>808</v>
      </c>
    </row>
    <row r="753">
      <c r="A753" s="5">
        <v>8.045123222E9</v>
      </c>
      <c r="C753" s="5" t="s">
        <v>858</v>
      </c>
      <c r="D753" s="5" t="s">
        <v>371</v>
      </c>
      <c r="E753" s="5" t="s">
        <v>858</v>
      </c>
    </row>
    <row r="754">
      <c r="A754" s="5">
        <v>8.920332096E9</v>
      </c>
      <c r="C754" s="5" t="s">
        <v>859</v>
      </c>
      <c r="D754" s="5" t="s">
        <v>371</v>
      </c>
      <c r="E754" s="5" t="s">
        <v>859</v>
      </c>
    </row>
    <row r="755">
      <c r="A755" s="5">
        <v>9.910930162E9</v>
      </c>
      <c r="C755" s="5" t="s">
        <v>250</v>
      </c>
      <c r="D755" s="5" t="s">
        <v>371</v>
      </c>
      <c r="E755" s="5" t="s">
        <v>249</v>
      </c>
    </row>
    <row r="756">
      <c r="A756" s="5">
        <v>8.700386691E9</v>
      </c>
      <c r="C756" s="5" t="s">
        <v>175</v>
      </c>
      <c r="D756" s="5" t="s">
        <v>371</v>
      </c>
      <c r="E756" s="5" t="s">
        <v>175</v>
      </c>
    </row>
    <row r="757">
      <c r="A757" s="5">
        <v>9.8991E9</v>
      </c>
      <c r="C757" s="5" t="s">
        <v>860</v>
      </c>
      <c r="D757" s="5" t="s">
        <v>371</v>
      </c>
      <c r="E757" s="5" t="s">
        <v>860</v>
      </c>
    </row>
    <row r="758">
      <c r="A758" s="5">
        <v>8.076545582E9</v>
      </c>
      <c r="C758" s="5" t="s">
        <v>826</v>
      </c>
      <c r="D758" s="5" t="s">
        <v>371</v>
      </c>
      <c r="E758" s="5" t="s">
        <v>826</v>
      </c>
    </row>
    <row r="759">
      <c r="A759" s="5">
        <v>7.06588257E9</v>
      </c>
      <c r="C759" s="5" t="s">
        <v>861</v>
      </c>
      <c r="D759" s="5" t="s">
        <v>371</v>
      </c>
      <c r="E759" s="5" t="s">
        <v>861</v>
      </c>
    </row>
    <row r="760">
      <c r="A760" s="5">
        <v>7.827405346E9</v>
      </c>
      <c r="C760" s="5" t="s">
        <v>826</v>
      </c>
      <c r="D760" s="5" t="s">
        <v>371</v>
      </c>
      <c r="E760" s="5" t="s">
        <v>826</v>
      </c>
    </row>
    <row r="761">
      <c r="A761" s="5">
        <v>9.958535411E9</v>
      </c>
      <c r="C761" s="5" t="s">
        <v>25</v>
      </c>
      <c r="D761" s="5" t="s">
        <v>371</v>
      </c>
      <c r="E761" s="5" t="s">
        <v>25</v>
      </c>
    </row>
    <row r="762">
      <c r="A762" s="5">
        <v>9.029845655E9</v>
      </c>
      <c r="C762" s="5" t="s">
        <v>862</v>
      </c>
      <c r="D762" s="5" t="s">
        <v>371</v>
      </c>
      <c r="E762" s="5" t="s">
        <v>862</v>
      </c>
    </row>
    <row r="763">
      <c r="A763" s="5">
        <v>9.31155707E9</v>
      </c>
      <c r="C763" s="5" t="s">
        <v>253</v>
      </c>
      <c r="D763" s="5" t="s">
        <v>371</v>
      </c>
      <c r="E763" s="5" t="s">
        <v>252</v>
      </c>
    </row>
    <row r="764">
      <c r="A764" s="5">
        <v>8.283935445E9</v>
      </c>
      <c r="C764" s="5" t="s">
        <v>808</v>
      </c>
      <c r="D764" s="5" t="s">
        <v>371</v>
      </c>
      <c r="E764" s="5" t="s">
        <v>808</v>
      </c>
    </row>
    <row r="765">
      <c r="A765" s="5">
        <v>8.076242906E9</v>
      </c>
      <c r="C765" s="5" t="s">
        <v>256</v>
      </c>
      <c r="D765" s="5" t="s">
        <v>371</v>
      </c>
      <c r="E765" s="5" t="s">
        <v>255</v>
      </c>
    </row>
    <row r="766">
      <c r="A766" s="5">
        <v>9.013687215E9</v>
      </c>
      <c r="C766" s="5" t="s">
        <v>863</v>
      </c>
      <c r="D766" s="5" t="s">
        <v>371</v>
      </c>
      <c r="E766" s="5" t="s">
        <v>863</v>
      </c>
    </row>
    <row r="767">
      <c r="A767" s="5">
        <v>9.810799668E9</v>
      </c>
      <c r="C767" s="5" t="s">
        <v>258</v>
      </c>
      <c r="D767" s="5" t="s">
        <v>371</v>
      </c>
      <c r="E767" s="5" t="s">
        <v>257</v>
      </c>
    </row>
    <row r="768">
      <c r="A768" s="5">
        <v>8.700335998E9</v>
      </c>
      <c r="C768" s="5" t="s">
        <v>681</v>
      </c>
      <c r="D768" s="5" t="s">
        <v>371</v>
      </c>
      <c r="E768" s="5" t="s">
        <v>681</v>
      </c>
    </row>
    <row r="769">
      <c r="A769" s="5">
        <v>8.851927982E9</v>
      </c>
      <c r="C769" s="5" t="s">
        <v>864</v>
      </c>
      <c r="D769" s="5" t="s">
        <v>371</v>
      </c>
      <c r="E769" s="5" t="s">
        <v>864</v>
      </c>
    </row>
    <row r="770">
      <c r="A770" s="5">
        <v>9.667760028E9</v>
      </c>
      <c r="C770" s="5" t="s">
        <v>261</v>
      </c>
      <c r="D770" s="5" t="s">
        <v>371</v>
      </c>
      <c r="E770" s="5" t="s">
        <v>260</v>
      </c>
    </row>
    <row r="771">
      <c r="A771" s="5">
        <v>9.069172299E9</v>
      </c>
      <c r="C771" s="5" t="s">
        <v>807</v>
      </c>
      <c r="D771" s="5" t="s">
        <v>371</v>
      </c>
      <c r="E771" s="5" t="s">
        <v>807</v>
      </c>
    </row>
    <row r="772">
      <c r="A772" s="5">
        <v>9.999094345E9</v>
      </c>
      <c r="C772" s="5" t="s">
        <v>865</v>
      </c>
      <c r="D772" s="5" t="s">
        <v>371</v>
      </c>
      <c r="E772" s="5" t="s">
        <v>865</v>
      </c>
    </row>
    <row r="773">
      <c r="A773" s="5">
        <v>9.205822759E9</v>
      </c>
      <c r="C773" s="5" t="s">
        <v>866</v>
      </c>
      <c r="D773" s="5" t="s">
        <v>371</v>
      </c>
      <c r="E773" s="5" t="s">
        <v>866</v>
      </c>
    </row>
    <row r="774">
      <c r="A774" s="5">
        <v>9.899236225E9</v>
      </c>
      <c r="C774" s="5" t="s">
        <v>562</v>
      </c>
      <c r="D774" s="5" t="s">
        <v>371</v>
      </c>
      <c r="E774" s="5" t="s">
        <v>562</v>
      </c>
    </row>
    <row r="775">
      <c r="A775" s="5">
        <v>9.899209967E9</v>
      </c>
      <c r="C775" s="5" t="s">
        <v>867</v>
      </c>
      <c r="D775" s="5" t="s">
        <v>371</v>
      </c>
      <c r="E775" s="5" t="s">
        <v>867</v>
      </c>
    </row>
    <row r="776">
      <c r="A776" s="5">
        <v>9.501926855E9</v>
      </c>
      <c r="C776" s="5" t="s">
        <v>868</v>
      </c>
      <c r="D776" s="5" t="s">
        <v>371</v>
      </c>
      <c r="E776" s="5" t="s">
        <v>868</v>
      </c>
    </row>
    <row r="777">
      <c r="A777" s="5">
        <v>8.178415371E9</v>
      </c>
      <c r="C777" s="5" t="s">
        <v>869</v>
      </c>
      <c r="D777" s="5" t="s">
        <v>371</v>
      </c>
      <c r="E777" s="5" t="s">
        <v>869</v>
      </c>
    </row>
    <row r="778">
      <c r="A778" s="5">
        <v>9.213557105E9</v>
      </c>
      <c r="C778" s="5" t="s">
        <v>870</v>
      </c>
      <c r="D778" s="5" t="s">
        <v>371</v>
      </c>
      <c r="E778" s="5" t="s">
        <v>870</v>
      </c>
    </row>
    <row r="779">
      <c r="A779" s="5">
        <v>9.818325522E9</v>
      </c>
      <c r="C779" s="5" t="s">
        <v>263</v>
      </c>
      <c r="D779" s="5" t="s">
        <v>371</v>
      </c>
      <c r="E779" s="5" t="s">
        <v>262</v>
      </c>
    </row>
    <row r="780">
      <c r="A780" s="5">
        <v>9.810119786E9</v>
      </c>
      <c r="C780" s="5" t="s">
        <v>871</v>
      </c>
      <c r="D780" s="5" t="s">
        <v>371</v>
      </c>
      <c r="E780" s="5" t="s">
        <v>871</v>
      </c>
    </row>
    <row r="781">
      <c r="A781" s="5">
        <v>9.650581304E9</v>
      </c>
      <c r="C781" s="5" t="s">
        <v>195</v>
      </c>
      <c r="D781" s="5" t="s">
        <v>371</v>
      </c>
      <c r="E781" s="5" t="s">
        <v>195</v>
      </c>
    </row>
    <row r="782">
      <c r="A782" s="5">
        <v>9.899438638E9</v>
      </c>
      <c r="C782" s="5" t="s">
        <v>693</v>
      </c>
      <c r="D782" s="5" t="s">
        <v>371</v>
      </c>
      <c r="E782" s="5" t="s">
        <v>693</v>
      </c>
    </row>
    <row r="783">
      <c r="A783" s="5">
        <v>8.899540581E9</v>
      </c>
      <c r="C783" s="5" t="s">
        <v>872</v>
      </c>
      <c r="D783" s="5" t="s">
        <v>371</v>
      </c>
      <c r="E783" s="5" t="s">
        <v>872</v>
      </c>
    </row>
    <row r="784">
      <c r="A784" s="5">
        <v>9.811195679E9</v>
      </c>
      <c r="C784" s="5" t="s">
        <v>193</v>
      </c>
      <c r="D784" s="5" t="s">
        <v>371</v>
      </c>
      <c r="E784" s="5" t="s">
        <v>193</v>
      </c>
    </row>
    <row r="785">
      <c r="A785" s="5">
        <v>6.387534566E9</v>
      </c>
      <c r="C785" s="5" t="s">
        <v>873</v>
      </c>
      <c r="D785" s="5" t="s">
        <v>371</v>
      </c>
      <c r="E785" s="5" t="s">
        <v>873</v>
      </c>
    </row>
    <row r="786">
      <c r="A786" s="5">
        <v>9.958420574E9</v>
      </c>
      <c r="C786" s="5" t="s">
        <v>849</v>
      </c>
      <c r="D786" s="5" t="s">
        <v>371</v>
      </c>
      <c r="E786" s="5" t="s">
        <v>849</v>
      </c>
    </row>
    <row r="787">
      <c r="A787" s="5">
        <v>9.625470327E9</v>
      </c>
      <c r="C787" s="5" t="s">
        <v>708</v>
      </c>
      <c r="D787" s="5" t="s">
        <v>371</v>
      </c>
      <c r="E787" s="5" t="s">
        <v>708</v>
      </c>
    </row>
    <row r="788">
      <c r="A788" s="5">
        <v>9.540074634E9</v>
      </c>
      <c r="C788" s="5" t="s">
        <v>874</v>
      </c>
      <c r="D788" s="5" t="s">
        <v>371</v>
      </c>
      <c r="E788" s="5" t="s">
        <v>874</v>
      </c>
    </row>
    <row r="789">
      <c r="A789" s="5">
        <v>9.811904046E9</v>
      </c>
      <c r="C789" s="5" t="s">
        <v>265</v>
      </c>
      <c r="D789" s="5" t="s">
        <v>371</v>
      </c>
      <c r="E789" s="5" t="s">
        <v>264</v>
      </c>
    </row>
    <row r="790">
      <c r="A790" s="5">
        <v>9.971828177E9</v>
      </c>
      <c r="C790" s="5" t="s">
        <v>267</v>
      </c>
      <c r="D790" s="5" t="s">
        <v>371</v>
      </c>
      <c r="E790" s="5" t="s">
        <v>266</v>
      </c>
    </row>
    <row r="791">
      <c r="A791" s="5">
        <v>8.992995405E9</v>
      </c>
      <c r="C791" s="5" t="s">
        <v>875</v>
      </c>
      <c r="D791" s="5" t="s">
        <v>371</v>
      </c>
      <c r="E791" s="5" t="s">
        <v>875</v>
      </c>
    </row>
    <row r="792">
      <c r="A792" s="5">
        <v>9.977451684E9</v>
      </c>
      <c r="C792" s="5" t="s">
        <v>745</v>
      </c>
      <c r="D792" s="5" t="s">
        <v>371</v>
      </c>
      <c r="E792" s="5" t="s">
        <v>745</v>
      </c>
    </row>
    <row r="793">
      <c r="A793" s="5">
        <v>8.800440272E9</v>
      </c>
      <c r="C793" s="5" t="s">
        <v>876</v>
      </c>
      <c r="D793" s="5" t="s">
        <v>371</v>
      </c>
      <c r="E793" s="5" t="s">
        <v>876</v>
      </c>
    </row>
    <row r="794">
      <c r="A794" s="5">
        <v>8.51001003E9</v>
      </c>
      <c r="C794" s="5" t="s">
        <v>747</v>
      </c>
      <c r="D794" s="5" t="s">
        <v>371</v>
      </c>
      <c r="E794" s="5" t="s">
        <v>747</v>
      </c>
    </row>
    <row r="795">
      <c r="A795" s="5">
        <v>9.811506976E9</v>
      </c>
      <c r="C795" s="5" t="s">
        <v>877</v>
      </c>
      <c r="D795" s="5" t="s">
        <v>371</v>
      </c>
      <c r="E795" s="5" t="s">
        <v>877</v>
      </c>
    </row>
    <row r="796">
      <c r="A796" s="5">
        <v>7.210655101E9</v>
      </c>
      <c r="C796" s="5" t="s">
        <v>878</v>
      </c>
      <c r="D796" s="5" t="s">
        <v>371</v>
      </c>
      <c r="E796" s="5" t="s">
        <v>878</v>
      </c>
    </row>
    <row r="797">
      <c r="A797" s="5">
        <v>9.606025531E9</v>
      </c>
      <c r="C797" s="5" t="s">
        <v>879</v>
      </c>
      <c r="D797" s="5" t="s">
        <v>371</v>
      </c>
      <c r="E797" s="5" t="s">
        <v>879</v>
      </c>
    </row>
    <row r="798">
      <c r="A798" s="5">
        <v>9.65416037E9</v>
      </c>
      <c r="C798" s="5" t="s">
        <v>269</v>
      </c>
      <c r="D798" s="5" t="s">
        <v>371</v>
      </c>
      <c r="E798" s="5" t="s">
        <v>268</v>
      </c>
    </row>
    <row r="799">
      <c r="A799" s="5">
        <v>8.851788997E9</v>
      </c>
      <c r="C799" s="5" t="s">
        <v>880</v>
      </c>
      <c r="D799" s="5" t="s">
        <v>371</v>
      </c>
      <c r="E799" s="5" t="s">
        <v>880</v>
      </c>
    </row>
    <row r="800">
      <c r="A800" s="5">
        <v>9.99915008E9</v>
      </c>
      <c r="C800" s="5" t="s">
        <v>87</v>
      </c>
      <c r="D800" s="5" t="s">
        <v>371</v>
      </c>
      <c r="E800" s="5" t="s">
        <v>87</v>
      </c>
    </row>
    <row r="801">
      <c r="A801" s="5">
        <v>9.810836303E9</v>
      </c>
      <c r="C801" s="5" t="s">
        <v>881</v>
      </c>
      <c r="D801" s="5" t="s">
        <v>371</v>
      </c>
      <c r="E801" s="5" t="s">
        <v>881</v>
      </c>
    </row>
    <row r="802">
      <c r="A802" s="5">
        <v>9.810020669E9</v>
      </c>
      <c r="C802" s="5" t="s">
        <v>882</v>
      </c>
      <c r="D802" s="5" t="s">
        <v>371</v>
      </c>
      <c r="E802" s="5" t="s">
        <v>882</v>
      </c>
    </row>
    <row r="803">
      <c r="A803" s="5">
        <v>9.818285017E9</v>
      </c>
      <c r="C803" s="5" t="s">
        <v>883</v>
      </c>
      <c r="D803" s="5" t="s">
        <v>371</v>
      </c>
      <c r="E803" s="5" t="s">
        <v>883</v>
      </c>
    </row>
    <row r="804">
      <c r="A804" s="5">
        <v>9.582731986E9</v>
      </c>
      <c r="C804" s="5" t="s">
        <v>195</v>
      </c>
      <c r="D804" s="5" t="s">
        <v>371</v>
      </c>
      <c r="E804" s="5" t="s">
        <v>195</v>
      </c>
    </row>
    <row r="805">
      <c r="A805" s="5">
        <v>7.303324435E9</v>
      </c>
      <c r="C805" s="5" t="s">
        <v>609</v>
      </c>
      <c r="D805" s="5" t="s">
        <v>371</v>
      </c>
      <c r="E805" s="5" t="s">
        <v>609</v>
      </c>
    </row>
    <row r="806">
      <c r="A806" s="5">
        <v>9.999987268E9</v>
      </c>
      <c r="C806" s="5" t="s">
        <v>89</v>
      </c>
      <c r="D806" s="5" t="s">
        <v>371</v>
      </c>
      <c r="E806" s="5" t="s">
        <v>89</v>
      </c>
    </row>
    <row r="807">
      <c r="A807" s="5">
        <v>9.868879407E9</v>
      </c>
      <c r="C807" s="5" t="s">
        <v>884</v>
      </c>
      <c r="D807" s="5" t="s">
        <v>371</v>
      </c>
      <c r="E807" s="5" t="s">
        <v>884</v>
      </c>
    </row>
    <row r="808">
      <c r="A808" s="5">
        <v>9.873449727E9</v>
      </c>
      <c r="C808" s="5" t="s">
        <v>885</v>
      </c>
      <c r="D808" s="5" t="s">
        <v>371</v>
      </c>
      <c r="E808" s="5" t="s">
        <v>885</v>
      </c>
    </row>
    <row r="809">
      <c r="A809" s="5">
        <v>8.700996353E9</v>
      </c>
      <c r="C809" s="5" t="s">
        <v>403</v>
      </c>
      <c r="D809" s="5" t="s">
        <v>371</v>
      </c>
      <c r="E809" s="5" t="s">
        <v>403</v>
      </c>
    </row>
    <row r="810">
      <c r="A810" s="5">
        <v>9.999209489E9</v>
      </c>
      <c r="C810" s="5" t="s">
        <v>886</v>
      </c>
      <c r="D810" s="5" t="s">
        <v>371</v>
      </c>
      <c r="E810" s="5" t="s">
        <v>886</v>
      </c>
    </row>
    <row r="811">
      <c r="A811" s="5">
        <v>9.999399577E9</v>
      </c>
      <c r="C811" s="5" t="s">
        <v>273</v>
      </c>
      <c r="D811" s="5" t="s">
        <v>371</v>
      </c>
      <c r="E811" s="5" t="s">
        <v>272</v>
      </c>
    </row>
    <row r="812">
      <c r="A812" s="5">
        <v>9.818777145E9</v>
      </c>
      <c r="C812" s="5" t="s">
        <v>887</v>
      </c>
      <c r="D812" s="5" t="s">
        <v>371</v>
      </c>
      <c r="E812" s="5" t="s">
        <v>887</v>
      </c>
    </row>
    <row r="813">
      <c r="A813" s="5">
        <v>9.250340928E9</v>
      </c>
      <c r="C813" s="5" t="s">
        <v>888</v>
      </c>
      <c r="D813" s="5" t="s">
        <v>371</v>
      </c>
      <c r="E813" s="5" t="s">
        <v>888</v>
      </c>
    </row>
    <row r="814">
      <c r="A814" s="5">
        <v>7.5037E9</v>
      </c>
      <c r="C814" s="5" t="s">
        <v>889</v>
      </c>
      <c r="D814" s="5" t="s">
        <v>371</v>
      </c>
      <c r="E814" s="5" t="s">
        <v>889</v>
      </c>
    </row>
    <row r="815">
      <c r="A815" s="5">
        <v>8.999504724E9</v>
      </c>
      <c r="C815" s="5" t="s">
        <v>890</v>
      </c>
      <c r="D815" s="5" t="s">
        <v>371</v>
      </c>
      <c r="E815" s="5" t="s">
        <v>890</v>
      </c>
    </row>
    <row r="816">
      <c r="A816" s="5">
        <v>9.213077935E9</v>
      </c>
      <c r="C816" s="5" t="s">
        <v>891</v>
      </c>
      <c r="D816" s="5" t="s">
        <v>371</v>
      </c>
      <c r="E816" s="5" t="s">
        <v>891</v>
      </c>
    </row>
    <row r="817">
      <c r="A817" s="5">
        <v>9.81002191E9</v>
      </c>
      <c r="C817" s="5" t="s">
        <v>892</v>
      </c>
      <c r="D817" s="5" t="s">
        <v>371</v>
      </c>
      <c r="E817" s="5" t="s">
        <v>892</v>
      </c>
    </row>
    <row r="818">
      <c r="A818" s="5">
        <v>9.819496621E9</v>
      </c>
      <c r="C818" s="5" t="s">
        <v>893</v>
      </c>
      <c r="D818" s="5" t="s">
        <v>371</v>
      </c>
      <c r="E818" s="5" t="s">
        <v>893</v>
      </c>
    </row>
    <row r="819">
      <c r="A819" s="5">
        <v>9.101950248E9</v>
      </c>
      <c r="C819" s="5" t="s">
        <v>254</v>
      </c>
      <c r="D819" s="5" t="s">
        <v>371</v>
      </c>
      <c r="E819" s="5" t="s">
        <v>254</v>
      </c>
    </row>
    <row r="820">
      <c r="A820" s="5">
        <v>8.432506282E9</v>
      </c>
      <c r="C820" s="5" t="s">
        <v>894</v>
      </c>
      <c r="D820" s="5" t="s">
        <v>371</v>
      </c>
      <c r="E820" s="5" t="s">
        <v>894</v>
      </c>
    </row>
    <row r="821">
      <c r="A821" s="5">
        <v>9.818304741E9</v>
      </c>
      <c r="C821" s="5" t="s">
        <v>496</v>
      </c>
      <c r="D821" s="5" t="s">
        <v>371</v>
      </c>
      <c r="E821" s="5" t="s">
        <v>496</v>
      </c>
    </row>
    <row r="822">
      <c r="A822" s="5">
        <v>9.828594616E9</v>
      </c>
      <c r="C822" s="5" t="s">
        <v>107</v>
      </c>
      <c r="D822" s="5" t="s">
        <v>371</v>
      </c>
      <c r="E822" s="5" t="s">
        <v>107</v>
      </c>
    </row>
    <row r="823">
      <c r="A823" s="5">
        <v>9.811380088E9</v>
      </c>
      <c r="C823" s="5" t="s">
        <v>895</v>
      </c>
      <c r="D823" s="5" t="s">
        <v>371</v>
      </c>
      <c r="E823" s="5" t="s">
        <v>895</v>
      </c>
    </row>
    <row r="824">
      <c r="A824" s="5">
        <v>8.447610764E9</v>
      </c>
      <c r="C824" s="5" t="s">
        <v>896</v>
      </c>
      <c r="D824" s="5" t="s">
        <v>371</v>
      </c>
      <c r="E824" s="5" t="s">
        <v>896</v>
      </c>
    </row>
    <row r="825">
      <c r="A825" s="5">
        <v>9.810085139E9</v>
      </c>
      <c r="C825" s="5" t="s">
        <v>897</v>
      </c>
      <c r="D825" s="5" t="s">
        <v>371</v>
      </c>
      <c r="E825" s="5" t="s">
        <v>897</v>
      </c>
    </row>
    <row r="826">
      <c r="A826" s="5">
        <v>9.310337017E9</v>
      </c>
      <c r="C826" s="5" t="s">
        <v>898</v>
      </c>
      <c r="D826" s="5" t="s">
        <v>371</v>
      </c>
      <c r="E826" s="5" t="s">
        <v>898</v>
      </c>
    </row>
    <row r="827">
      <c r="A827" s="5">
        <v>9.818720209E9</v>
      </c>
      <c r="C827" s="5" t="s">
        <v>784</v>
      </c>
      <c r="D827" s="5" t="s">
        <v>371</v>
      </c>
      <c r="E827" s="5" t="s">
        <v>784</v>
      </c>
    </row>
    <row r="828">
      <c r="A828" s="5">
        <v>8.368114066E9</v>
      </c>
      <c r="C828" s="5" t="s">
        <v>899</v>
      </c>
      <c r="D828" s="5" t="s">
        <v>371</v>
      </c>
      <c r="E828" s="5" t="s">
        <v>899</v>
      </c>
    </row>
    <row r="829">
      <c r="A829" s="5">
        <v>9.999887268E9</v>
      </c>
      <c r="C829" s="5" t="s">
        <v>900</v>
      </c>
      <c r="D829" s="5" t="s">
        <v>371</v>
      </c>
      <c r="E829" s="5" t="s">
        <v>900</v>
      </c>
    </row>
    <row r="830">
      <c r="A830" s="5">
        <v>9.654951709E9</v>
      </c>
      <c r="C830" s="5" t="s">
        <v>901</v>
      </c>
      <c r="D830" s="5" t="s">
        <v>371</v>
      </c>
      <c r="E830" s="5" t="s">
        <v>901</v>
      </c>
    </row>
    <row r="831">
      <c r="A831" s="5">
        <v>9.4784954E9</v>
      </c>
      <c r="C831" s="5" t="s">
        <v>279</v>
      </c>
      <c r="D831" s="5" t="s">
        <v>371</v>
      </c>
      <c r="E831" s="5" t="s">
        <v>278</v>
      </c>
    </row>
    <row r="832">
      <c r="A832" s="5">
        <v>9.910488907E9</v>
      </c>
      <c r="C832" s="5" t="s">
        <v>902</v>
      </c>
      <c r="D832" s="5" t="s">
        <v>371</v>
      </c>
      <c r="E832" s="5" t="s">
        <v>902</v>
      </c>
    </row>
    <row r="833">
      <c r="A833" s="5">
        <v>9.953318887E9</v>
      </c>
      <c r="C833" s="5" t="s">
        <v>903</v>
      </c>
      <c r="D833" s="5" t="s">
        <v>371</v>
      </c>
      <c r="E833" s="5" t="s">
        <v>903</v>
      </c>
    </row>
    <row r="834">
      <c r="A834" s="5">
        <v>9.953063597E9</v>
      </c>
      <c r="C834" s="5" t="s">
        <v>904</v>
      </c>
      <c r="D834" s="5" t="s">
        <v>371</v>
      </c>
      <c r="E834" s="5" t="s">
        <v>904</v>
      </c>
    </row>
    <row r="835">
      <c r="A835" s="5">
        <v>7.982756328E9</v>
      </c>
      <c r="C835" s="5" t="s">
        <v>905</v>
      </c>
      <c r="D835" s="5" t="s">
        <v>371</v>
      </c>
      <c r="E835" s="5" t="s">
        <v>905</v>
      </c>
    </row>
    <row r="836">
      <c r="A836" s="5">
        <v>8.448100127E9</v>
      </c>
      <c r="C836" s="5" t="s">
        <v>906</v>
      </c>
      <c r="D836" s="5" t="s">
        <v>371</v>
      </c>
      <c r="E836" s="5" t="s">
        <v>906</v>
      </c>
    </row>
    <row r="837">
      <c r="A837" s="5">
        <v>7.082809197E9</v>
      </c>
      <c r="C837" s="5" t="s">
        <v>907</v>
      </c>
      <c r="D837" s="5" t="s">
        <v>371</v>
      </c>
      <c r="E837" s="5" t="s">
        <v>907</v>
      </c>
    </row>
    <row r="838">
      <c r="A838" s="5">
        <v>9.555343053E9</v>
      </c>
      <c r="C838" s="5" t="s">
        <v>908</v>
      </c>
      <c r="D838" s="5" t="s">
        <v>371</v>
      </c>
      <c r="E838" s="5" t="s">
        <v>908</v>
      </c>
    </row>
    <row r="839">
      <c r="A839" s="5">
        <v>9.871231215E9</v>
      </c>
      <c r="C839" s="5" t="s">
        <v>280</v>
      </c>
      <c r="D839" s="5" t="s">
        <v>371</v>
      </c>
      <c r="E839" s="5" t="s">
        <v>254</v>
      </c>
    </row>
    <row r="840">
      <c r="A840" s="5">
        <v>9.990256379E9</v>
      </c>
      <c r="C840" s="5" t="s">
        <v>282</v>
      </c>
      <c r="D840" s="5" t="s">
        <v>371</v>
      </c>
      <c r="E840" s="5" t="s">
        <v>281</v>
      </c>
    </row>
    <row r="841">
      <c r="A841" s="5">
        <v>9.999373896E9</v>
      </c>
      <c r="C841" s="5" t="s">
        <v>205</v>
      </c>
      <c r="D841" s="5" t="s">
        <v>371</v>
      </c>
      <c r="E841" s="5" t="s">
        <v>205</v>
      </c>
    </row>
    <row r="842">
      <c r="A842" s="5">
        <v>9.205726956E9</v>
      </c>
      <c r="C842" s="5" t="s">
        <v>909</v>
      </c>
      <c r="D842" s="5" t="s">
        <v>371</v>
      </c>
      <c r="E842" s="5" t="s">
        <v>909</v>
      </c>
    </row>
    <row r="843">
      <c r="A843" s="5">
        <v>9.826419725E9</v>
      </c>
      <c r="C843" s="5" t="s">
        <v>796</v>
      </c>
      <c r="D843" s="5" t="s">
        <v>371</v>
      </c>
      <c r="E843" s="5" t="s">
        <v>796</v>
      </c>
    </row>
    <row r="844">
      <c r="A844" s="5">
        <v>8.447166487E9</v>
      </c>
      <c r="C844" s="5" t="s">
        <v>910</v>
      </c>
      <c r="D844" s="5" t="s">
        <v>371</v>
      </c>
      <c r="E844" s="5" t="s">
        <v>910</v>
      </c>
    </row>
    <row r="845">
      <c r="A845" s="5">
        <v>9.811311747E9</v>
      </c>
      <c r="C845" s="5" t="s">
        <v>911</v>
      </c>
      <c r="D845" s="5" t="s">
        <v>371</v>
      </c>
      <c r="E845" s="5" t="s">
        <v>911</v>
      </c>
    </row>
    <row r="846">
      <c r="A846" s="5">
        <v>9.899459402E9</v>
      </c>
      <c r="C846" s="5" t="s">
        <v>842</v>
      </c>
      <c r="D846" s="5" t="s">
        <v>371</v>
      </c>
      <c r="E846" s="5" t="s">
        <v>842</v>
      </c>
    </row>
    <row r="847">
      <c r="A847" s="5">
        <v>9.81116777E9</v>
      </c>
      <c r="C847" s="5" t="s">
        <v>99</v>
      </c>
      <c r="D847" s="5" t="s">
        <v>371</v>
      </c>
      <c r="E847" s="5" t="s">
        <v>99</v>
      </c>
    </row>
    <row r="848">
      <c r="A848" s="5">
        <v>9.289317137E9</v>
      </c>
      <c r="C848" s="5" t="s">
        <v>75</v>
      </c>
      <c r="D848" s="5" t="s">
        <v>371</v>
      </c>
      <c r="E848" s="5" t="s">
        <v>75</v>
      </c>
    </row>
    <row r="849">
      <c r="A849" s="5">
        <v>9.323726535E9</v>
      </c>
      <c r="C849" s="5" t="s">
        <v>912</v>
      </c>
      <c r="D849" s="5" t="s">
        <v>371</v>
      </c>
      <c r="E849" s="5" t="s">
        <v>912</v>
      </c>
    </row>
    <row r="850">
      <c r="A850" s="5">
        <v>9.811233455E9</v>
      </c>
      <c r="C850" s="5" t="s">
        <v>913</v>
      </c>
      <c r="D850" s="5" t="s">
        <v>371</v>
      </c>
      <c r="E850" s="5" t="s">
        <v>913</v>
      </c>
    </row>
    <row r="851">
      <c r="A851" s="5">
        <v>9.650060991E9</v>
      </c>
      <c r="C851" s="5" t="s">
        <v>562</v>
      </c>
      <c r="D851" s="5" t="s">
        <v>371</v>
      </c>
      <c r="E851" s="5" t="s">
        <v>562</v>
      </c>
    </row>
    <row r="852">
      <c r="A852" s="5">
        <v>9.818345009E9</v>
      </c>
      <c r="C852" s="5" t="s">
        <v>101</v>
      </c>
      <c r="D852" s="5" t="s">
        <v>371</v>
      </c>
      <c r="E852" s="5" t="s">
        <v>101</v>
      </c>
    </row>
    <row r="853">
      <c r="A853" s="5">
        <v>9.860483319E9</v>
      </c>
      <c r="C853" s="5" t="s">
        <v>914</v>
      </c>
      <c r="D853" s="5" t="s">
        <v>371</v>
      </c>
      <c r="E853" s="5" t="s">
        <v>914</v>
      </c>
    </row>
    <row r="854">
      <c r="A854" s="5">
        <v>9.079826701E9</v>
      </c>
      <c r="C854" s="5" t="s">
        <v>915</v>
      </c>
      <c r="D854" s="5" t="s">
        <v>371</v>
      </c>
      <c r="E854" s="5" t="s">
        <v>915</v>
      </c>
    </row>
    <row r="855">
      <c r="A855" s="5">
        <v>9.667337279E9</v>
      </c>
      <c r="C855" s="5" t="s">
        <v>286</v>
      </c>
      <c r="D855" s="5" t="s">
        <v>371</v>
      </c>
      <c r="E855" s="5" t="s">
        <v>286</v>
      </c>
    </row>
    <row r="856">
      <c r="A856" s="5">
        <v>7.827677772E9</v>
      </c>
      <c r="C856" s="5" t="s">
        <v>916</v>
      </c>
      <c r="D856" s="5" t="s">
        <v>371</v>
      </c>
      <c r="E856" s="5" t="s">
        <v>916</v>
      </c>
    </row>
    <row r="857">
      <c r="A857" s="5">
        <v>9.95311425E9</v>
      </c>
      <c r="C857" s="5" t="s">
        <v>521</v>
      </c>
      <c r="D857" s="5" t="s">
        <v>371</v>
      </c>
      <c r="E857" s="5" t="s">
        <v>521</v>
      </c>
    </row>
    <row r="858">
      <c r="A858" s="5">
        <v>9.81182022E9</v>
      </c>
      <c r="C858" s="5" t="s">
        <v>917</v>
      </c>
      <c r="D858" s="5" t="s">
        <v>371</v>
      </c>
      <c r="E858" s="5" t="s">
        <v>917</v>
      </c>
    </row>
    <row r="859">
      <c r="A859" s="5">
        <v>9.810548661E9</v>
      </c>
      <c r="C859" s="5" t="s">
        <v>918</v>
      </c>
      <c r="D859" s="5" t="s">
        <v>371</v>
      </c>
      <c r="E859" s="5" t="s">
        <v>918</v>
      </c>
    </row>
    <row r="860">
      <c r="A860" s="5">
        <v>8.860015116E9</v>
      </c>
      <c r="C860" s="5" t="s">
        <v>919</v>
      </c>
      <c r="D860" s="5" t="s">
        <v>371</v>
      </c>
      <c r="E860" s="5" t="s">
        <v>919</v>
      </c>
    </row>
    <row r="861">
      <c r="A861" s="5">
        <v>9.996528515E9</v>
      </c>
      <c r="C861" s="5" t="s">
        <v>920</v>
      </c>
      <c r="D861" s="5" t="s">
        <v>371</v>
      </c>
      <c r="E861" s="5" t="s">
        <v>920</v>
      </c>
    </row>
    <row r="862">
      <c r="A862" s="5">
        <v>8.432506262E9</v>
      </c>
      <c r="C862" s="5" t="s">
        <v>921</v>
      </c>
      <c r="D862" s="5" t="s">
        <v>371</v>
      </c>
      <c r="E862" s="5" t="s">
        <v>921</v>
      </c>
    </row>
    <row r="863">
      <c r="A863" s="5">
        <v>9.625570997E9</v>
      </c>
      <c r="C863" s="5" t="s">
        <v>922</v>
      </c>
      <c r="D863" s="5" t="s">
        <v>371</v>
      </c>
      <c r="E863" s="5" t="s">
        <v>922</v>
      </c>
    </row>
    <row r="864">
      <c r="A864" s="5">
        <v>9.708351987E9</v>
      </c>
      <c r="C864" s="5" t="s">
        <v>923</v>
      </c>
      <c r="D864" s="5" t="s">
        <v>371</v>
      </c>
      <c r="E864" s="5" t="s">
        <v>923</v>
      </c>
    </row>
    <row r="865">
      <c r="A865" s="5">
        <v>9.211910401E9</v>
      </c>
      <c r="C865" s="5" t="s">
        <v>289</v>
      </c>
      <c r="D865" s="5" t="s">
        <v>371</v>
      </c>
      <c r="E865" s="5" t="s">
        <v>288</v>
      </c>
    </row>
    <row r="866">
      <c r="A866" s="5">
        <v>9.811224638E9</v>
      </c>
      <c r="C866" s="5" t="s">
        <v>291</v>
      </c>
      <c r="D866" s="5" t="s">
        <v>371</v>
      </c>
      <c r="E866" s="5" t="s">
        <v>290</v>
      </c>
    </row>
    <row r="867">
      <c r="A867" s="5">
        <v>9.311409596E9</v>
      </c>
      <c r="C867" s="5" t="s">
        <v>924</v>
      </c>
      <c r="D867" s="5" t="s">
        <v>371</v>
      </c>
      <c r="E867" s="5" t="s">
        <v>924</v>
      </c>
    </row>
    <row r="868">
      <c r="A868" s="5">
        <v>8.882916844E9</v>
      </c>
      <c r="C868" s="5" t="s">
        <v>925</v>
      </c>
      <c r="D868" s="5" t="s">
        <v>371</v>
      </c>
      <c r="E868" s="5" t="s">
        <v>925</v>
      </c>
    </row>
    <row r="869">
      <c r="A869" s="5">
        <v>9.891567166E9</v>
      </c>
      <c r="C869" s="5" t="s">
        <v>926</v>
      </c>
      <c r="D869" s="5" t="s">
        <v>371</v>
      </c>
      <c r="E869" s="5" t="s">
        <v>926</v>
      </c>
    </row>
    <row r="870">
      <c r="A870" s="5">
        <v>9.811084741E9</v>
      </c>
      <c r="C870" s="5" t="s">
        <v>927</v>
      </c>
      <c r="D870" s="5" t="s">
        <v>371</v>
      </c>
      <c r="E870" s="5" t="s">
        <v>927</v>
      </c>
    </row>
    <row r="871">
      <c r="A871" s="5">
        <v>9.811072827E9</v>
      </c>
      <c r="C871" s="5" t="s">
        <v>928</v>
      </c>
      <c r="D871" s="5" t="s">
        <v>371</v>
      </c>
      <c r="E871" s="5" t="s">
        <v>928</v>
      </c>
    </row>
    <row r="872">
      <c r="A872" s="5">
        <v>9.811505962E9</v>
      </c>
      <c r="C872" s="5" t="s">
        <v>929</v>
      </c>
      <c r="D872" s="5" t="s">
        <v>371</v>
      </c>
      <c r="E872" s="5" t="s">
        <v>929</v>
      </c>
    </row>
    <row r="873">
      <c r="A873" s="5">
        <v>9.4192007E9</v>
      </c>
      <c r="C873" s="5" t="s">
        <v>930</v>
      </c>
      <c r="D873" s="5" t="s">
        <v>371</v>
      </c>
      <c r="E873" s="5" t="s">
        <v>930</v>
      </c>
    </row>
    <row r="874">
      <c r="A874" s="5">
        <v>7.417489778E9</v>
      </c>
      <c r="C874" s="5" t="s">
        <v>931</v>
      </c>
      <c r="D874" s="5" t="s">
        <v>371</v>
      </c>
      <c r="E874" s="5" t="s">
        <v>931</v>
      </c>
    </row>
    <row r="875">
      <c r="A875" s="5">
        <v>9.650778004E9</v>
      </c>
      <c r="C875" s="5" t="s">
        <v>932</v>
      </c>
      <c r="D875" s="5" t="s">
        <v>371</v>
      </c>
      <c r="E875" s="5" t="s">
        <v>932</v>
      </c>
    </row>
    <row r="876">
      <c r="A876" s="5">
        <v>9.999942122E9</v>
      </c>
      <c r="C876" s="5" t="s">
        <v>478</v>
      </c>
      <c r="D876" s="5" t="s">
        <v>371</v>
      </c>
      <c r="E876" s="5" t="s">
        <v>478</v>
      </c>
    </row>
    <row r="877">
      <c r="A877" s="5">
        <v>7.846882641E9</v>
      </c>
      <c r="C877" s="5" t="s">
        <v>933</v>
      </c>
      <c r="D877" s="5" t="s">
        <v>371</v>
      </c>
      <c r="E877" s="5" t="s">
        <v>933</v>
      </c>
    </row>
    <row r="878">
      <c r="A878" s="5">
        <v>7.806897981E9</v>
      </c>
      <c r="C878" s="5" t="s">
        <v>752</v>
      </c>
      <c r="D878" s="5" t="s">
        <v>371</v>
      </c>
      <c r="E878" s="5" t="s">
        <v>752</v>
      </c>
    </row>
    <row r="879">
      <c r="A879" s="5">
        <v>8.8603534E9</v>
      </c>
      <c r="C879" s="5" t="s">
        <v>934</v>
      </c>
      <c r="D879" s="5" t="s">
        <v>371</v>
      </c>
      <c r="E879" s="5" t="s">
        <v>934</v>
      </c>
    </row>
    <row r="880">
      <c r="A880" s="5">
        <v>9.818260067E9</v>
      </c>
      <c r="C880" s="5" t="s">
        <v>935</v>
      </c>
      <c r="D880" s="5" t="s">
        <v>371</v>
      </c>
      <c r="E880" s="5" t="s">
        <v>935</v>
      </c>
    </row>
    <row r="881">
      <c r="A881" s="5">
        <v>8.744042452E9</v>
      </c>
      <c r="C881" s="5" t="s">
        <v>936</v>
      </c>
      <c r="D881" s="5" t="s">
        <v>371</v>
      </c>
      <c r="E881" s="5" t="s">
        <v>936</v>
      </c>
    </row>
    <row r="882">
      <c r="A882" s="5">
        <v>9.013927456E9</v>
      </c>
      <c r="C882" s="5" t="s">
        <v>295</v>
      </c>
      <c r="D882" s="5" t="s">
        <v>371</v>
      </c>
      <c r="E882" s="5" t="s">
        <v>294</v>
      </c>
    </row>
    <row r="883">
      <c r="A883" s="5">
        <v>8.802798023E9</v>
      </c>
      <c r="C883" s="5" t="s">
        <v>610</v>
      </c>
      <c r="D883" s="5" t="s">
        <v>371</v>
      </c>
      <c r="E883" s="5" t="s">
        <v>610</v>
      </c>
    </row>
    <row r="884">
      <c r="A884" s="5">
        <v>9.654195544E9</v>
      </c>
      <c r="C884" s="5" t="s">
        <v>363</v>
      </c>
      <c r="D884" s="5" t="s">
        <v>371</v>
      </c>
      <c r="E884" s="5" t="s">
        <v>363</v>
      </c>
    </row>
    <row r="885">
      <c r="A885" s="5">
        <v>9.21273974E9</v>
      </c>
      <c r="C885" s="5" t="s">
        <v>937</v>
      </c>
      <c r="D885" s="5" t="s">
        <v>371</v>
      </c>
      <c r="E885" s="5" t="s">
        <v>937</v>
      </c>
    </row>
    <row r="886">
      <c r="A886" s="5">
        <v>8.076175003E9</v>
      </c>
      <c r="C886" s="5" t="s">
        <v>297</v>
      </c>
      <c r="D886" s="5" t="s">
        <v>371</v>
      </c>
      <c r="E886" s="5" t="s">
        <v>296</v>
      </c>
    </row>
    <row r="887">
      <c r="A887" s="5">
        <v>9.899993041E9</v>
      </c>
      <c r="C887" s="5" t="s">
        <v>938</v>
      </c>
      <c r="D887" s="5" t="s">
        <v>371</v>
      </c>
      <c r="E887" s="5" t="s">
        <v>938</v>
      </c>
    </row>
    <row r="888">
      <c r="A888" s="5">
        <v>9.920524024E9</v>
      </c>
      <c r="C888" s="5" t="s">
        <v>491</v>
      </c>
      <c r="D888" s="5" t="s">
        <v>371</v>
      </c>
      <c r="E888" s="5" t="s">
        <v>491</v>
      </c>
    </row>
    <row r="889">
      <c r="A889" s="5">
        <v>9.717998888E9</v>
      </c>
      <c r="C889" s="5" t="s">
        <v>939</v>
      </c>
      <c r="D889" s="5" t="s">
        <v>371</v>
      </c>
      <c r="E889" s="5" t="s">
        <v>939</v>
      </c>
    </row>
    <row r="890">
      <c r="A890" s="5">
        <v>9.013967456E9</v>
      </c>
      <c r="C890" s="5" t="s">
        <v>294</v>
      </c>
      <c r="D890" s="5" t="s">
        <v>371</v>
      </c>
      <c r="E890" s="5" t="s">
        <v>294</v>
      </c>
    </row>
    <row r="891">
      <c r="A891" s="5">
        <v>9.899655488E9</v>
      </c>
      <c r="C891" s="5" t="s">
        <v>940</v>
      </c>
      <c r="D891" s="5" t="s">
        <v>371</v>
      </c>
      <c r="E891" s="5" t="s">
        <v>940</v>
      </c>
    </row>
    <row r="892">
      <c r="A892" s="5">
        <v>9.555930963E9</v>
      </c>
      <c r="C892" s="5" t="s">
        <v>941</v>
      </c>
      <c r="D892" s="5" t="s">
        <v>371</v>
      </c>
      <c r="E892" s="5" t="s">
        <v>941</v>
      </c>
    </row>
    <row r="893">
      <c r="A893" s="5">
        <v>9.81807272E9</v>
      </c>
      <c r="C893" s="5" t="s">
        <v>301</v>
      </c>
      <c r="D893" s="5" t="s">
        <v>371</v>
      </c>
      <c r="E893" s="5" t="s">
        <v>300</v>
      </c>
    </row>
    <row r="894">
      <c r="A894" s="5">
        <v>9.818611586E9</v>
      </c>
      <c r="C894" s="5" t="s">
        <v>942</v>
      </c>
      <c r="D894" s="5" t="s">
        <v>371</v>
      </c>
      <c r="E894" s="5" t="s">
        <v>942</v>
      </c>
    </row>
    <row r="895">
      <c r="A895" s="5">
        <v>8.68606686E9</v>
      </c>
      <c r="C895" s="5" t="s">
        <v>943</v>
      </c>
      <c r="D895" s="5" t="s">
        <v>371</v>
      </c>
      <c r="E895" s="5" t="s">
        <v>943</v>
      </c>
    </row>
    <row r="896">
      <c r="A896" s="5">
        <v>9.811466448E9</v>
      </c>
      <c r="C896" s="5" t="s">
        <v>944</v>
      </c>
      <c r="D896" s="5" t="s">
        <v>371</v>
      </c>
      <c r="E896" s="5" t="s">
        <v>944</v>
      </c>
    </row>
    <row r="897">
      <c r="A897" s="5">
        <v>9.650947399E9</v>
      </c>
      <c r="C897" s="5" t="s">
        <v>945</v>
      </c>
      <c r="D897" s="5" t="s">
        <v>371</v>
      </c>
      <c r="E897" s="5" t="s">
        <v>945</v>
      </c>
    </row>
    <row r="898">
      <c r="A898" s="5">
        <v>9.62533502E9</v>
      </c>
      <c r="C898" s="5" t="s">
        <v>946</v>
      </c>
      <c r="D898" s="5" t="s">
        <v>371</v>
      </c>
      <c r="E898" s="5" t="s">
        <v>946</v>
      </c>
    </row>
    <row r="899">
      <c r="A899" s="5">
        <v>8.860855515E9</v>
      </c>
      <c r="C899" s="5" t="s">
        <v>947</v>
      </c>
      <c r="D899" s="5" t="s">
        <v>371</v>
      </c>
      <c r="E899" s="5" t="s">
        <v>947</v>
      </c>
    </row>
    <row r="900">
      <c r="A900" s="5">
        <v>9.8996911E9</v>
      </c>
      <c r="C900" s="5" t="s">
        <v>306</v>
      </c>
      <c r="D900" s="5" t="s">
        <v>371</v>
      </c>
      <c r="E900" s="5" t="s">
        <v>305</v>
      </c>
    </row>
    <row r="901">
      <c r="A901" s="5">
        <v>9.818881865E9</v>
      </c>
      <c r="C901" s="5" t="s">
        <v>948</v>
      </c>
      <c r="D901" s="5" t="s">
        <v>371</v>
      </c>
      <c r="E901" s="5" t="s">
        <v>948</v>
      </c>
    </row>
    <row r="902">
      <c r="A902" s="5">
        <v>9.350001947E9</v>
      </c>
      <c r="C902" s="5" t="s">
        <v>949</v>
      </c>
      <c r="D902" s="5" t="s">
        <v>371</v>
      </c>
      <c r="E902" s="5" t="s">
        <v>949</v>
      </c>
    </row>
    <row r="903">
      <c r="A903" s="5">
        <v>9.650461574E9</v>
      </c>
      <c r="C903" s="5" t="s">
        <v>950</v>
      </c>
      <c r="D903" s="5" t="s">
        <v>371</v>
      </c>
      <c r="E903" s="5" t="s">
        <v>950</v>
      </c>
    </row>
    <row r="904">
      <c r="A904" s="5">
        <v>9.999918304E9</v>
      </c>
      <c r="C904" s="5" t="s">
        <v>125</v>
      </c>
      <c r="D904" s="5" t="s">
        <v>371</v>
      </c>
      <c r="E904" s="5" t="s">
        <v>125</v>
      </c>
    </row>
    <row r="905">
      <c r="A905" s="5">
        <v>9.21242235E9</v>
      </c>
      <c r="C905" s="5" t="s">
        <v>951</v>
      </c>
      <c r="D905" s="5" t="s">
        <v>371</v>
      </c>
      <c r="E905" s="5" t="s">
        <v>951</v>
      </c>
    </row>
    <row r="906">
      <c r="A906" s="5">
        <v>8.105988005E9</v>
      </c>
      <c r="C906" s="5" t="s">
        <v>308</v>
      </c>
      <c r="D906" s="5" t="s">
        <v>371</v>
      </c>
      <c r="E906" s="5" t="s">
        <v>307</v>
      </c>
    </row>
    <row r="907">
      <c r="A907" s="5">
        <v>9.818011805E9</v>
      </c>
      <c r="C907" s="5" t="s">
        <v>952</v>
      </c>
      <c r="D907" s="5" t="s">
        <v>371</v>
      </c>
      <c r="E907" s="5" t="s">
        <v>952</v>
      </c>
    </row>
    <row r="908">
      <c r="A908" s="5">
        <v>9.899199723E9</v>
      </c>
      <c r="C908" s="5" t="s">
        <v>953</v>
      </c>
      <c r="D908" s="5" t="s">
        <v>371</v>
      </c>
      <c r="E908" s="5" t="s">
        <v>953</v>
      </c>
    </row>
    <row r="909">
      <c r="A909" s="5">
        <v>9.796222585E9</v>
      </c>
      <c r="C909" s="5" t="s">
        <v>954</v>
      </c>
      <c r="D909" s="5" t="s">
        <v>371</v>
      </c>
      <c r="E909" s="5" t="s">
        <v>954</v>
      </c>
    </row>
    <row r="910">
      <c r="A910" s="5">
        <v>7.065703296E9</v>
      </c>
      <c r="C910" s="5" t="s">
        <v>955</v>
      </c>
      <c r="D910" s="5" t="s">
        <v>371</v>
      </c>
      <c r="E910" s="5" t="s">
        <v>955</v>
      </c>
    </row>
    <row r="911">
      <c r="A911" s="5">
        <v>9.650119669E9</v>
      </c>
      <c r="C911" s="5" t="s">
        <v>956</v>
      </c>
      <c r="D911" s="5" t="s">
        <v>371</v>
      </c>
      <c r="E911" s="5" t="s">
        <v>956</v>
      </c>
    </row>
    <row r="912">
      <c r="A912" s="5">
        <v>9.711816444E9</v>
      </c>
      <c r="C912" s="5" t="s">
        <v>957</v>
      </c>
      <c r="D912" s="5" t="s">
        <v>371</v>
      </c>
      <c r="E912" s="5" t="s">
        <v>957</v>
      </c>
    </row>
    <row r="913">
      <c r="A913" s="5">
        <v>9.818293968E9</v>
      </c>
      <c r="C913" s="5" t="s">
        <v>958</v>
      </c>
      <c r="D913" s="5" t="s">
        <v>371</v>
      </c>
      <c r="E913" s="5" t="s">
        <v>958</v>
      </c>
    </row>
    <row r="914">
      <c r="A914" s="5">
        <v>9.555722786E9</v>
      </c>
      <c r="C914" s="5" t="s">
        <v>959</v>
      </c>
      <c r="D914" s="5" t="s">
        <v>371</v>
      </c>
      <c r="E914" s="5" t="s">
        <v>959</v>
      </c>
    </row>
    <row r="915">
      <c r="A915" s="5">
        <v>9.891201813E9</v>
      </c>
      <c r="C915" s="5" t="s">
        <v>960</v>
      </c>
      <c r="D915" s="5" t="s">
        <v>371</v>
      </c>
      <c r="E915" s="5" t="s">
        <v>960</v>
      </c>
    </row>
    <row r="916">
      <c r="A916" s="5">
        <v>7.01106595E9</v>
      </c>
      <c r="C916" s="5" t="s">
        <v>961</v>
      </c>
      <c r="D916" s="5" t="s">
        <v>371</v>
      </c>
      <c r="E916" s="5" t="s">
        <v>961</v>
      </c>
    </row>
    <row r="917">
      <c r="A917" s="5">
        <v>9.811071707E9</v>
      </c>
      <c r="C917" s="5" t="s">
        <v>962</v>
      </c>
      <c r="D917" s="5" t="s">
        <v>371</v>
      </c>
      <c r="E917" s="5" t="s">
        <v>962</v>
      </c>
    </row>
    <row r="918">
      <c r="A918" s="5">
        <v>9.999165123E9</v>
      </c>
      <c r="C918" s="5" t="s">
        <v>963</v>
      </c>
      <c r="D918" s="5" t="s">
        <v>371</v>
      </c>
      <c r="E918" s="5" t="s">
        <v>963</v>
      </c>
    </row>
    <row r="919">
      <c r="A919" s="5">
        <v>8.448661005E9</v>
      </c>
      <c r="C919" s="5" t="s">
        <v>964</v>
      </c>
      <c r="D919" s="5" t="s">
        <v>371</v>
      </c>
      <c r="E919" s="5" t="s">
        <v>964</v>
      </c>
    </row>
    <row r="920">
      <c r="A920" s="5">
        <v>8.826277795E9</v>
      </c>
      <c r="C920" s="5" t="s">
        <v>965</v>
      </c>
      <c r="D920" s="5" t="s">
        <v>371</v>
      </c>
      <c r="E920" s="5" t="s">
        <v>965</v>
      </c>
    </row>
    <row r="921">
      <c r="A921" s="5">
        <v>9.871417753E9</v>
      </c>
      <c r="C921" s="5" t="s">
        <v>966</v>
      </c>
      <c r="D921" s="5" t="s">
        <v>371</v>
      </c>
      <c r="E921" s="5" t="s">
        <v>966</v>
      </c>
    </row>
    <row r="922">
      <c r="A922" s="5">
        <v>8.07665406E9</v>
      </c>
      <c r="C922" s="5" t="s">
        <v>967</v>
      </c>
      <c r="D922" s="5" t="s">
        <v>371</v>
      </c>
      <c r="E922" s="5" t="s">
        <v>967</v>
      </c>
    </row>
    <row r="923">
      <c r="A923" s="5">
        <v>9.619078136E9</v>
      </c>
      <c r="C923" s="5" t="s">
        <v>968</v>
      </c>
      <c r="D923" s="5" t="s">
        <v>371</v>
      </c>
      <c r="E923" s="5" t="s">
        <v>968</v>
      </c>
    </row>
    <row r="924">
      <c r="A924" s="5">
        <v>9.870340842E9</v>
      </c>
      <c r="C924" s="5" t="s">
        <v>316</v>
      </c>
      <c r="D924" s="5" t="s">
        <v>371</v>
      </c>
      <c r="E924" s="5" t="s">
        <v>315</v>
      </c>
    </row>
    <row r="925">
      <c r="A925" s="5">
        <v>8.447309345E9</v>
      </c>
      <c r="C925" s="5" t="s">
        <v>318</v>
      </c>
      <c r="D925" s="5" t="s">
        <v>371</v>
      </c>
      <c r="E925" s="5" t="s">
        <v>317</v>
      </c>
    </row>
    <row r="926">
      <c r="A926" s="5">
        <v>8.595559063E9</v>
      </c>
      <c r="C926" s="5" t="s">
        <v>969</v>
      </c>
      <c r="D926" s="5" t="s">
        <v>371</v>
      </c>
      <c r="E926" s="5" t="s">
        <v>969</v>
      </c>
    </row>
    <row r="927">
      <c r="A927" s="5">
        <v>8.076243029E9</v>
      </c>
      <c r="C927" s="5" t="s">
        <v>320</v>
      </c>
      <c r="D927" s="5" t="s">
        <v>371</v>
      </c>
      <c r="E927" s="5" t="s">
        <v>319</v>
      </c>
    </row>
    <row r="928">
      <c r="A928" s="5">
        <v>8.010108099E9</v>
      </c>
      <c r="C928" s="5" t="s">
        <v>970</v>
      </c>
      <c r="D928" s="5" t="s">
        <v>371</v>
      </c>
      <c r="E928" s="5" t="s">
        <v>970</v>
      </c>
    </row>
    <row r="929">
      <c r="A929" s="5">
        <v>7.01198407E9</v>
      </c>
      <c r="C929" s="5" t="s">
        <v>971</v>
      </c>
      <c r="D929" s="5" t="s">
        <v>371</v>
      </c>
      <c r="E929" s="5" t="s">
        <v>971</v>
      </c>
    </row>
    <row r="930">
      <c r="A930" s="5">
        <v>8.800503827E9</v>
      </c>
      <c r="C930" s="5" t="s">
        <v>972</v>
      </c>
      <c r="D930" s="5" t="s">
        <v>371</v>
      </c>
      <c r="E930" s="5" t="s">
        <v>972</v>
      </c>
    </row>
    <row r="931">
      <c r="A931" s="5">
        <v>8.178330055E9</v>
      </c>
      <c r="C931" s="5" t="s">
        <v>973</v>
      </c>
      <c r="D931" s="5" t="s">
        <v>371</v>
      </c>
      <c r="E931" s="5" t="s">
        <v>973</v>
      </c>
    </row>
    <row r="932">
      <c r="A932" s="5">
        <v>8.800471293E9</v>
      </c>
      <c r="C932" s="5" t="s">
        <v>974</v>
      </c>
      <c r="D932" s="5" t="s">
        <v>371</v>
      </c>
      <c r="E932" s="5" t="s">
        <v>974</v>
      </c>
    </row>
    <row r="933">
      <c r="A933" s="5">
        <v>9.313701872E9</v>
      </c>
      <c r="C933" s="5" t="s">
        <v>975</v>
      </c>
      <c r="D933" s="5" t="s">
        <v>371</v>
      </c>
      <c r="E933" s="5" t="s">
        <v>975</v>
      </c>
    </row>
    <row r="934">
      <c r="A934" s="5">
        <v>9.810140599E9</v>
      </c>
      <c r="C934" s="5" t="s">
        <v>976</v>
      </c>
      <c r="D934" s="5" t="s">
        <v>371</v>
      </c>
      <c r="E934" s="5" t="s">
        <v>976</v>
      </c>
    </row>
    <row r="935">
      <c r="A935" s="5">
        <v>8.076626167E9</v>
      </c>
      <c r="C935" s="5" t="s">
        <v>977</v>
      </c>
      <c r="D935" s="5" t="s">
        <v>371</v>
      </c>
      <c r="E935" s="5" t="s">
        <v>977</v>
      </c>
    </row>
    <row r="936">
      <c r="A936" s="5">
        <v>9.821329234E9</v>
      </c>
      <c r="C936" s="5" t="s">
        <v>978</v>
      </c>
      <c r="D936" s="5" t="s">
        <v>371</v>
      </c>
      <c r="E936" s="5" t="s">
        <v>978</v>
      </c>
    </row>
    <row r="937">
      <c r="A937" s="5">
        <v>8.826736892E9</v>
      </c>
      <c r="C937" s="5" t="s">
        <v>979</v>
      </c>
      <c r="D937" s="5" t="s">
        <v>371</v>
      </c>
      <c r="E937" s="5" t="s">
        <v>979</v>
      </c>
    </row>
    <row r="938">
      <c r="A938" s="5">
        <v>7.01182446E9</v>
      </c>
      <c r="C938" s="5" t="s">
        <v>322</v>
      </c>
      <c r="D938" s="5" t="s">
        <v>371</v>
      </c>
      <c r="E938" s="5" t="s">
        <v>322</v>
      </c>
    </row>
    <row r="939">
      <c r="A939" s="5">
        <v>7.827954385E9</v>
      </c>
      <c r="C939" s="5" t="s">
        <v>980</v>
      </c>
      <c r="D939" s="5" t="s">
        <v>371</v>
      </c>
      <c r="E939" s="5" t="s">
        <v>980</v>
      </c>
    </row>
    <row r="940">
      <c r="A940" s="5">
        <v>7.001907532E9</v>
      </c>
      <c r="C940" s="5" t="s">
        <v>981</v>
      </c>
      <c r="D940" s="5" t="s">
        <v>371</v>
      </c>
      <c r="E940" s="5" t="s">
        <v>981</v>
      </c>
    </row>
    <row r="941">
      <c r="A941" s="5">
        <v>9.811725515E9</v>
      </c>
      <c r="C941" s="5" t="s">
        <v>982</v>
      </c>
      <c r="D941" s="5" t="s">
        <v>371</v>
      </c>
      <c r="E941" s="5" t="s">
        <v>982</v>
      </c>
    </row>
    <row r="942">
      <c r="A942" s="5">
        <v>9.873313132E9</v>
      </c>
      <c r="C942" s="5" t="s">
        <v>983</v>
      </c>
      <c r="D942" s="5" t="s">
        <v>371</v>
      </c>
      <c r="E942" s="5" t="s">
        <v>983</v>
      </c>
    </row>
    <row r="943">
      <c r="A943" s="5">
        <v>9.71838553E9</v>
      </c>
      <c r="C943" s="5" t="s">
        <v>984</v>
      </c>
      <c r="D943" s="5" t="s">
        <v>371</v>
      </c>
      <c r="E943" s="5" t="s">
        <v>984</v>
      </c>
    </row>
    <row r="944">
      <c r="A944" s="5">
        <v>9.266985894E9</v>
      </c>
      <c r="C944" s="5" t="s">
        <v>305</v>
      </c>
      <c r="D944" s="5" t="s">
        <v>371</v>
      </c>
      <c r="E944" s="5" t="s">
        <v>305</v>
      </c>
    </row>
    <row r="945">
      <c r="A945" s="5">
        <v>9.999481786E9</v>
      </c>
      <c r="C945" s="5" t="s">
        <v>324</v>
      </c>
      <c r="D945" s="5" t="s">
        <v>371</v>
      </c>
      <c r="E945" s="5" t="s">
        <v>323</v>
      </c>
    </row>
    <row r="946">
      <c r="A946" s="5">
        <v>9.312248882E9</v>
      </c>
      <c r="C946" s="5" t="s">
        <v>985</v>
      </c>
      <c r="D946" s="5" t="s">
        <v>371</v>
      </c>
      <c r="E946" s="5" t="s">
        <v>985</v>
      </c>
    </row>
    <row r="947">
      <c r="A947" s="5">
        <v>9.818997528E9</v>
      </c>
      <c r="C947" s="5" t="s">
        <v>986</v>
      </c>
      <c r="D947" s="5" t="s">
        <v>371</v>
      </c>
      <c r="E947" s="5" t="s">
        <v>986</v>
      </c>
    </row>
    <row r="948">
      <c r="A948" s="5">
        <v>9.568339368E9</v>
      </c>
      <c r="C948" s="5" t="s">
        <v>987</v>
      </c>
      <c r="D948" s="5" t="s">
        <v>371</v>
      </c>
      <c r="E948" s="5" t="s">
        <v>987</v>
      </c>
    </row>
    <row r="949">
      <c r="A949" s="5">
        <v>9.599444787E9</v>
      </c>
      <c r="C949" s="5" t="s">
        <v>988</v>
      </c>
      <c r="D949" s="5" t="s">
        <v>371</v>
      </c>
      <c r="E949" s="5" t="s">
        <v>988</v>
      </c>
    </row>
    <row r="950">
      <c r="A950" s="5">
        <v>9.2110257E9</v>
      </c>
      <c r="C950" s="5" t="s">
        <v>989</v>
      </c>
      <c r="D950" s="5" t="s">
        <v>371</v>
      </c>
      <c r="E950" s="5" t="s">
        <v>989</v>
      </c>
    </row>
    <row r="951">
      <c r="A951" s="5">
        <v>9.30989671E9</v>
      </c>
      <c r="C951" s="5" t="s">
        <v>990</v>
      </c>
      <c r="D951" s="5" t="s">
        <v>371</v>
      </c>
      <c r="E951" s="5" t="s">
        <v>990</v>
      </c>
    </row>
    <row r="952">
      <c r="A952" s="5">
        <v>9.958443938E9</v>
      </c>
      <c r="C952" s="5" t="s">
        <v>991</v>
      </c>
      <c r="D952" s="5" t="s">
        <v>371</v>
      </c>
      <c r="E952" s="5" t="s">
        <v>991</v>
      </c>
    </row>
    <row r="953">
      <c r="A953" s="5">
        <v>9.871122833E9</v>
      </c>
      <c r="C953" s="5" t="s">
        <v>992</v>
      </c>
      <c r="D953" s="5" t="s">
        <v>371</v>
      </c>
      <c r="E953" s="5" t="s">
        <v>992</v>
      </c>
    </row>
    <row r="954">
      <c r="A954" s="5">
        <v>9.8730251E9</v>
      </c>
      <c r="C954" s="5" t="s">
        <v>993</v>
      </c>
      <c r="D954" s="5" t="s">
        <v>371</v>
      </c>
      <c r="E954" s="5" t="s">
        <v>993</v>
      </c>
    </row>
    <row r="955">
      <c r="A955" s="5">
        <v>8.076374848E9</v>
      </c>
      <c r="C955" s="5" t="s">
        <v>326</v>
      </c>
      <c r="D955" s="5" t="s">
        <v>371</v>
      </c>
      <c r="E955" s="5" t="s">
        <v>325</v>
      </c>
    </row>
    <row r="956">
      <c r="A956" s="5">
        <v>9.868409966E9</v>
      </c>
      <c r="C956" s="5" t="s">
        <v>994</v>
      </c>
      <c r="D956" s="5" t="s">
        <v>371</v>
      </c>
      <c r="E956" s="5" t="s">
        <v>994</v>
      </c>
    </row>
    <row r="957">
      <c r="A957" s="5">
        <v>7.827230212E9</v>
      </c>
      <c r="C957" s="5" t="s">
        <v>995</v>
      </c>
      <c r="D957" s="5" t="s">
        <v>371</v>
      </c>
      <c r="E957" s="5" t="s">
        <v>995</v>
      </c>
    </row>
    <row r="958">
      <c r="A958" s="5">
        <v>7.827574738E9</v>
      </c>
      <c r="C958" s="5" t="s">
        <v>996</v>
      </c>
      <c r="D958" s="5" t="s">
        <v>371</v>
      </c>
      <c r="E958" s="5" t="s">
        <v>996</v>
      </c>
    </row>
    <row r="959">
      <c r="A959" s="5">
        <v>9.953994467E9</v>
      </c>
      <c r="C959" s="5" t="s">
        <v>997</v>
      </c>
      <c r="D959" s="5" t="s">
        <v>371</v>
      </c>
      <c r="E959" s="5" t="s">
        <v>997</v>
      </c>
    </row>
    <row r="960">
      <c r="A960" s="5">
        <v>9.911706427E9</v>
      </c>
      <c r="C960" s="5" t="s">
        <v>998</v>
      </c>
      <c r="D960" s="5" t="s">
        <v>371</v>
      </c>
      <c r="E960" s="5" t="s">
        <v>998</v>
      </c>
    </row>
    <row r="961">
      <c r="A961" s="5">
        <v>9.71875819E9</v>
      </c>
      <c r="C961" s="5" t="s">
        <v>999</v>
      </c>
      <c r="D961" s="5" t="s">
        <v>371</v>
      </c>
      <c r="E961" s="5" t="s">
        <v>999</v>
      </c>
    </row>
    <row r="962">
      <c r="A962" s="5">
        <v>9.840476111E9</v>
      </c>
      <c r="C962" s="5" t="s">
        <v>1000</v>
      </c>
      <c r="D962" s="5" t="s">
        <v>371</v>
      </c>
      <c r="E962" s="5" t="s">
        <v>1000</v>
      </c>
    </row>
    <row r="963">
      <c r="A963" s="5">
        <v>9.873903756E9</v>
      </c>
      <c r="C963" s="5" t="s">
        <v>328</v>
      </c>
      <c r="D963" s="5" t="s">
        <v>371</v>
      </c>
      <c r="E963" s="5" t="s">
        <v>327</v>
      </c>
    </row>
    <row r="964">
      <c r="A964" s="5">
        <v>9.625808328E9</v>
      </c>
      <c r="C964" s="5" t="s">
        <v>1001</v>
      </c>
      <c r="D964" s="5" t="s">
        <v>371</v>
      </c>
      <c r="E964" s="5" t="s">
        <v>1001</v>
      </c>
    </row>
    <row r="965">
      <c r="A965" s="5">
        <v>9.6432393E9</v>
      </c>
      <c r="C965" s="5" t="s">
        <v>1002</v>
      </c>
      <c r="D965" s="5" t="s">
        <v>371</v>
      </c>
      <c r="E965" s="5" t="s">
        <v>1002</v>
      </c>
    </row>
    <row r="966">
      <c r="A966" s="5">
        <v>7.827312752E9</v>
      </c>
      <c r="C966" s="5" t="s">
        <v>1003</v>
      </c>
      <c r="D966" s="5" t="s">
        <v>371</v>
      </c>
      <c r="E966" s="5" t="s">
        <v>1003</v>
      </c>
    </row>
    <row r="967">
      <c r="A967" s="5">
        <v>9.818267218E9</v>
      </c>
      <c r="C967" s="5" t="s">
        <v>1004</v>
      </c>
      <c r="D967" s="5" t="s">
        <v>371</v>
      </c>
      <c r="E967" s="5" t="s">
        <v>1004</v>
      </c>
    </row>
    <row r="968">
      <c r="A968" s="5">
        <v>9.716946645E9</v>
      </c>
      <c r="C968" s="5" t="s">
        <v>1005</v>
      </c>
      <c r="D968" s="5" t="s">
        <v>371</v>
      </c>
      <c r="E968" s="5" t="s">
        <v>1005</v>
      </c>
    </row>
    <row r="969">
      <c r="A969" s="5">
        <v>7.993399128E9</v>
      </c>
      <c r="C969" s="5" t="s">
        <v>1006</v>
      </c>
      <c r="D969" s="5" t="s">
        <v>371</v>
      </c>
      <c r="E969" s="5" t="s">
        <v>1006</v>
      </c>
    </row>
    <row r="970">
      <c r="A970" s="5">
        <v>9.414250475E9</v>
      </c>
      <c r="C970" s="5" t="s">
        <v>1007</v>
      </c>
      <c r="D970" s="5" t="s">
        <v>371</v>
      </c>
      <c r="E970" s="5" t="s">
        <v>1007</v>
      </c>
    </row>
    <row r="971">
      <c r="A971" s="5">
        <v>9.419293588E9</v>
      </c>
      <c r="C971" s="5" t="s">
        <v>1008</v>
      </c>
      <c r="D971" s="5" t="s">
        <v>371</v>
      </c>
      <c r="E971" s="5" t="s">
        <v>1008</v>
      </c>
    </row>
    <row r="972">
      <c r="A972" s="5">
        <v>8.920763366E9</v>
      </c>
      <c r="C972" s="5" t="s">
        <v>1009</v>
      </c>
      <c r="D972" s="5" t="s">
        <v>371</v>
      </c>
      <c r="E972" s="5" t="s">
        <v>1009</v>
      </c>
    </row>
    <row r="973">
      <c r="A973" s="5">
        <v>9.711411929E9</v>
      </c>
      <c r="C973" s="5" t="s">
        <v>1010</v>
      </c>
      <c r="D973" s="5" t="s">
        <v>371</v>
      </c>
      <c r="E973" s="5" t="s">
        <v>1010</v>
      </c>
    </row>
    <row r="974">
      <c r="A974" s="5">
        <v>9.654288686E9</v>
      </c>
      <c r="C974" s="5" t="s">
        <v>1011</v>
      </c>
      <c r="D974" s="5" t="s">
        <v>371</v>
      </c>
      <c r="E974" s="5" t="s">
        <v>1011</v>
      </c>
    </row>
    <row r="975">
      <c r="A975" s="5">
        <v>9.810552571E9</v>
      </c>
      <c r="C975" s="5" t="s">
        <v>1012</v>
      </c>
      <c r="D975" s="5" t="s">
        <v>371</v>
      </c>
      <c r="E975" s="5" t="s">
        <v>1012</v>
      </c>
    </row>
    <row r="976">
      <c r="A976" s="5">
        <v>9.310223776E9</v>
      </c>
      <c r="C976" s="5" t="s">
        <v>1013</v>
      </c>
      <c r="D976" s="5" t="s">
        <v>371</v>
      </c>
      <c r="E976" s="5" t="s">
        <v>1013</v>
      </c>
    </row>
    <row r="977">
      <c r="A977" s="5">
        <v>9.4151457E9</v>
      </c>
      <c r="C977" s="5" t="s">
        <v>1014</v>
      </c>
      <c r="D977" s="5" t="s">
        <v>371</v>
      </c>
      <c r="E977" s="5" t="s">
        <v>1014</v>
      </c>
    </row>
    <row r="978">
      <c r="A978" s="5">
        <v>8.800319246E9</v>
      </c>
      <c r="C978" s="5" t="s">
        <v>1015</v>
      </c>
      <c r="D978" s="5" t="s">
        <v>371</v>
      </c>
      <c r="E978" s="5" t="s">
        <v>1015</v>
      </c>
    </row>
    <row r="979">
      <c r="A979" s="5">
        <v>8.70039129E9</v>
      </c>
      <c r="C979" s="5" t="s">
        <v>951</v>
      </c>
      <c r="D979" s="5" t="s">
        <v>371</v>
      </c>
      <c r="E979" s="5" t="s">
        <v>951</v>
      </c>
    </row>
    <row r="980">
      <c r="A980" s="5">
        <v>9.968016155E9</v>
      </c>
      <c r="C980" s="5" t="s">
        <v>1016</v>
      </c>
      <c r="D980" s="5" t="s">
        <v>371</v>
      </c>
      <c r="E980" s="5" t="s">
        <v>1016</v>
      </c>
    </row>
    <row r="981">
      <c r="A981" s="5">
        <v>9.899699432E9</v>
      </c>
      <c r="C981" s="5" t="s">
        <v>1017</v>
      </c>
      <c r="D981" s="5" t="s">
        <v>371</v>
      </c>
      <c r="E981" s="5" t="s">
        <v>1017</v>
      </c>
    </row>
    <row r="982">
      <c r="A982" s="5">
        <v>9.999949301E9</v>
      </c>
      <c r="C982" s="5" t="s">
        <v>1018</v>
      </c>
      <c r="D982" s="5" t="s">
        <v>371</v>
      </c>
      <c r="E982" s="5" t="s">
        <v>1018</v>
      </c>
    </row>
    <row r="983">
      <c r="A983" s="5">
        <v>9.310083603E9</v>
      </c>
      <c r="C983" s="5" t="s">
        <v>1019</v>
      </c>
      <c r="D983" s="5" t="s">
        <v>371</v>
      </c>
      <c r="E983" s="5" t="s">
        <v>1019</v>
      </c>
    </row>
    <row r="984">
      <c r="A984" s="5">
        <v>9.131080175E9</v>
      </c>
      <c r="C984" s="5" t="s">
        <v>1020</v>
      </c>
      <c r="D984" s="5" t="s">
        <v>371</v>
      </c>
      <c r="E984" s="5" t="s">
        <v>1020</v>
      </c>
    </row>
    <row r="985">
      <c r="A985" s="5">
        <v>6.305440302E9</v>
      </c>
      <c r="C985" s="5" t="s">
        <v>1021</v>
      </c>
      <c r="D985" s="5" t="s">
        <v>371</v>
      </c>
      <c r="E985" s="5" t="s">
        <v>1021</v>
      </c>
    </row>
    <row r="986">
      <c r="A986" s="5">
        <v>8.708014248E9</v>
      </c>
      <c r="C986" s="5" t="s">
        <v>1022</v>
      </c>
      <c r="D986" s="5" t="s">
        <v>371</v>
      </c>
      <c r="E986" s="5" t="s">
        <v>1022</v>
      </c>
    </row>
    <row r="987">
      <c r="A987" s="5">
        <v>9.871064699E9</v>
      </c>
      <c r="C987" s="5" t="s">
        <v>1023</v>
      </c>
      <c r="D987" s="5" t="s">
        <v>371</v>
      </c>
      <c r="E987" s="5" t="s">
        <v>1023</v>
      </c>
    </row>
    <row r="988">
      <c r="A988" s="5">
        <v>9.810746578E9</v>
      </c>
      <c r="C988" s="5" t="s">
        <v>1024</v>
      </c>
      <c r="D988" s="5" t="s">
        <v>371</v>
      </c>
      <c r="E988" s="5" t="s">
        <v>1024</v>
      </c>
    </row>
    <row r="989">
      <c r="A989" s="5">
        <v>8.459174388E9</v>
      </c>
      <c r="C989" s="5" t="s">
        <v>1025</v>
      </c>
      <c r="D989" s="5" t="s">
        <v>371</v>
      </c>
      <c r="E989" s="5" t="s">
        <v>1025</v>
      </c>
    </row>
    <row r="990">
      <c r="A990" s="5">
        <v>9.811159032E9</v>
      </c>
      <c r="C990" s="5" t="s">
        <v>1026</v>
      </c>
      <c r="D990" s="5" t="s">
        <v>371</v>
      </c>
      <c r="E990" s="5" t="s">
        <v>1026</v>
      </c>
    </row>
    <row r="991">
      <c r="A991" s="5">
        <v>8.756200282E9</v>
      </c>
      <c r="C991" s="5" t="s">
        <v>1027</v>
      </c>
      <c r="D991" s="5" t="s">
        <v>371</v>
      </c>
      <c r="E991" s="5" t="s">
        <v>1027</v>
      </c>
    </row>
    <row r="992">
      <c r="A992" s="5">
        <v>9.810104562E9</v>
      </c>
      <c r="C992" s="5" t="s">
        <v>1028</v>
      </c>
      <c r="D992" s="5" t="s">
        <v>371</v>
      </c>
      <c r="E992" s="5" t="s">
        <v>1028</v>
      </c>
    </row>
    <row r="993">
      <c r="A993" s="5">
        <v>9.250873439E9</v>
      </c>
      <c r="C993" s="5" t="s">
        <v>1029</v>
      </c>
      <c r="D993" s="5" t="s">
        <v>371</v>
      </c>
      <c r="E993" s="5" t="s">
        <v>1029</v>
      </c>
    </row>
    <row r="994">
      <c r="A994" s="5">
        <v>9.91095025E9</v>
      </c>
      <c r="C994" s="5" t="s">
        <v>1030</v>
      </c>
      <c r="D994" s="5" t="s">
        <v>371</v>
      </c>
      <c r="E994" s="5" t="s">
        <v>1030</v>
      </c>
    </row>
    <row r="995">
      <c r="A995" s="5">
        <v>8.700142855E9</v>
      </c>
      <c r="C995" s="5" t="s">
        <v>1031</v>
      </c>
      <c r="D995" s="5" t="s">
        <v>371</v>
      </c>
      <c r="E995" s="5" t="s">
        <v>1031</v>
      </c>
    </row>
    <row r="996">
      <c r="A996" s="5">
        <v>9.996042652E9</v>
      </c>
      <c r="C996" s="5" t="s">
        <v>957</v>
      </c>
      <c r="D996" s="5" t="s">
        <v>371</v>
      </c>
      <c r="E996" s="5" t="s">
        <v>957</v>
      </c>
    </row>
    <row r="997">
      <c r="A997" s="5">
        <v>9.999675569E9</v>
      </c>
      <c r="C997" s="5" t="s">
        <v>1032</v>
      </c>
      <c r="D997" s="5" t="s">
        <v>371</v>
      </c>
      <c r="E997" s="5" t="s">
        <v>1032</v>
      </c>
    </row>
    <row r="998">
      <c r="A998" s="5">
        <v>9.99994563E9</v>
      </c>
      <c r="C998" s="5" t="s">
        <v>1033</v>
      </c>
      <c r="D998" s="5" t="s">
        <v>371</v>
      </c>
      <c r="E998" s="5" t="s">
        <v>1033</v>
      </c>
    </row>
    <row r="999">
      <c r="A999" s="5">
        <v>9.266041377E9</v>
      </c>
      <c r="C999" s="5" t="s">
        <v>1034</v>
      </c>
      <c r="D999" s="5" t="s">
        <v>371</v>
      </c>
      <c r="E999" s="5" t="s">
        <v>1034</v>
      </c>
    </row>
    <row r="1000">
      <c r="A1000" s="5">
        <v>7.065555029E9</v>
      </c>
      <c r="C1000" s="5" t="s">
        <v>1035</v>
      </c>
      <c r="D1000" s="5" t="s">
        <v>371</v>
      </c>
      <c r="E1000" s="5" t="s">
        <v>1035</v>
      </c>
    </row>
    <row r="1001">
      <c r="A1001" s="5">
        <v>9.953308666E9</v>
      </c>
      <c r="C1001" s="5" t="s">
        <v>1036</v>
      </c>
      <c r="D1001" s="5" t="s">
        <v>371</v>
      </c>
      <c r="E1001" s="5" t="s">
        <v>1036</v>
      </c>
    </row>
    <row r="1002">
      <c r="A1002" s="5">
        <v>9.87195766E9</v>
      </c>
      <c r="C1002" s="5" t="s">
        <v>335</v>
      </c>
      <c r="D1002" s="5" t="s">
        <v>371</v>
      </c>
      <c r="E1002" s="5" t="s">
        <v>334</v>
      </c>
    </row>
    <row r="1003">
      <c r="A1003" s="5">
        <v>9.811441464E9</v>
      </c>
      <c r="C1003" s="5" t="s">
        <v>1037</v>
      </c>
      <c r="D1003" s="5" t="s">
        <v>371</v>
      </c>
      <c r="E1003" s="5" t="s">
        <v>1037</v>
      </c>
    </row>
    <row r="1004">
      <c r="A1004" s="5">
        <v>9.911002648E9</v>
      </c>
      <c r="C1004" s="5" t="s">
        <v>1038</v>
      </c>
      <c r="D1004" s="5" t="s">
        <v>371</v>
      </c>
      <c r="E1004" s="5" t="s">
        <v>1038</v>
      </c>
    </row>
    <row r="1005">
      <c r="A1005" s="5">
        <v>9.911136081E9</v>
      </c>
      <c r="C1005" s="5" t="s">
        <v>1039</v>
      </c>
      <c r="D1005" s="5" t="s">
        <v>371</v>
      </c>
      <c r="E1005" s="5" t="s">
        <v>1039</v>
      </c>
    </row>
    <row r="1006">
      <c r="A1006" s="5">
        <v>8.920966676E9</v>
      </c>
      <c r="C1006" s="5" t="s">
        <v>1040</v>
      </c>
      <c r="D1006" s="5" t="s">
        <v>371</v>
      </c>
      <c r="E1006" s="5" t="s">
        <v>1040</v>
      </c>
    </row>
    <row r="1007">
      <c r="A1007" s="5">
        <v>8.448834015E9</v>
      </c>
      <c r="C1007" s="5" t="s">
        <v>1041</v>
      </c>
      <c r="D1007" s="5" t="s">
        <v>371</v>
      </c>
      <c r="E1007" s="5" t="s">
        <v>1041</v>
      </c>
    </row>
    <row r="1008">
      <c r="A1008" s="5">
        <v>9.5551882E9</v>
      </c>
      <c r="C1008" s="5" t="s">
        <v>1042</v>
      </c>
      <c r="D1008" s="5" t="s">
        <v>371</v>
      </c>
      <c r="E1008" s="5" t="s">
        <v>1042</v>
      </c>
    </row>
    <row r="1009">
      <c r="A1009" s="5">
        <v>7.985310225E9</v>
      </c>
      <c r="C1009" s="5" t="s">
        <v>1043</v>
      </c>
      <c r="D1009" s="5" t="s">
        <v>371</v>
      </c>
      <c r="E1009" s="5" t="s">
        <v>1043</v>
      </c>
    </row>
    <row r="1010">
      <c r="A1010" s="5">
        <v>9.958059151E9</v>
      </c>
      <c r="C1010" s="5" t="s">
        <v>1044</v>
      </c>
      <c r="D1010" s="5" t="s">
        <v>371</v>
      </c>
      <c r="E1010" s="5" t="s">
        <v>1044</v>
      </c>
    </row>
    <row r="1011">
      <c r="A1011" s="5">
        <v>8.586813226E9</v>
      </c>
      <c r="C1011" s="5" t="s">
        <v>1045</v>
      </c>
      <c r="D1011" s="5" t="s">
        <v>371</v>
      </c>
      <c r="E1011" s="5" t="s">
        <v>1045</v>
      </c>
    </row>
    <row r="1012">
      <c r="A1012" s="5">
        <v>9.891715745E9</v>
      </c>
      <c r="C1012" s="5" t="s">
        <v>1046</v>
      </c>
      <c r="D1012" s="5" t="s">
        <v>371</v>
      </c>
      <c r="E1012" s="5" t="s">
        <v>1046</v>
      </c>
    </row>
    <row r="1013">
      <c r="A1013" s="5">
        <v>9.999103109E9</v>
      </c>
      <c r="C1013" s="5" t="s">
        <v>1047</v>
      </c>
      <c r="D1013" s="5" t="s">
        <v>371</v>
      </c>
      <c r="E1013" s="5" t="s">
        <v>1047</v>
      </c>
    </row>
    <row r="1014">
      <c r="A1014" s="5">
        <v>9.871282922E9</v>
      </c>
      <c r="C1014" s="5" t="s">
        <v>1048</v>
      </c>
      <c r="D1014" s="5" t="s">
        <v>371</v>
      </c>
      <c r="E1014" s="5" t="s">
        <v>1048</v>
      </c>
    </row>
    <row r="1015">
      <c r="A1015" s="5">
        <v>9.871084213E9</v>
      </c>
      <c r="C1015" s="5" t="s">
        <v>1049</v>
      </c>
      <c r="D1015" s="5" t="s">
        <v>371</v>
      </c>
      <c r="E1015" s="5" t="s">
        <v>1049</v>
      </c>
    </row>
    <row r="1016">
      <c r="A1016" s="5">
        <v>8.920524024E9</v>
      </c>
      <c r="C1016" s="5" t="s">
        <v>339</v>
      </c>
      <c r="D1016" s="5" t="s">
        <v>371</v>
      </c>
      <c r="E1016" s="5" t="s">
        <v>338</v>
      </c>
    </row>
    <row r="1017">
      <c r="A1017" s="5">
        <v>9.9585769E9</v>
      </c>
      <c r="C1017" s="5" t="s">
        <v>1050</v>
      </c>
      <c r="D1017" s="5" t="s">
        <v>371</v>
      </c>
      <c r="E1017" s="5" t="s">
        <v>1050</v>
      </c>
    </row>
    <row r="1018">
      <c r="A1018" s="5">
        <v>9.086000431E9</v>
      </c>
      <c r="C1018" s="5" t="s">
        <v>1051</v>
      </c>
      <c r="D1018" s="5" t="s">
        <v>371</v>
      </c>
      <c r="E1018" s="5" t="s">
        <v>1051</v>
      </c>
    </row>
    <row r="1019">
      <c r="A1019" s="5">
        <v>9.899155525E9</v>
      </c>
      <c r="C1019" s="5" t="s">
        <v>1025</v>
      </c>
      <c r="D1019" s="5" t="s">
        <v>371</v>
      </c>
      <c r="E1019" s="5" t="s">
        <v>1025</v>
      </c>
    </row>
    <row r="1020">
      <c r="A1020" s="5">
        <v>9.885352979E9</v>
      </c>
      <c r="C1020" s="5" t="s">
        <v>1052</v>
      </c>
      <c r="D1020" s="5" t="s">
        <v>371</v>
      </c>
      <c r="E1020" s="5" t="s">
        <v>1052</v>
      </c>
    </row>
    <row r="1021">
      <c r="A1021" s="5">
        <v>8.882799899E9</v>
      </c>
      <c r="C1021" s="5" t="s">
        <v>1053</v>
      </c>
      <c r="D1021" s="5" t="s">
        <v>371</v>
      </c>
      <c r="E1021" s="5" t="s">
        <v>1053</v>
      </c>
    </row>
    <row r="1022">
      <c r="A1022" s="5">
        <v>9.899971113E9</v>
      </c>
      <c r="C1022" s="5" t="s">
        <v>1054</v>
      </c>
      <c r="D1022" s="5" t="s">
        <v>371</v>
      </c>
      <c r="E1022" s="5" t="s">
        <v>1054</v>
      </c>
    </row>
    <row r="1023">
      <c r="A1023" s="5">
        <v>9.910230174E9</v>
      </c>
      <c r="C1023" s="5" t="s">
        <v>1055</v>
      </c>
      <c r="D1023" s="5" t="s">
        <v>371</v>
      </c>
      <c r="E1023" s="5" t="s">
        <v>1055</v>
      </c>
    </row>
    <row r="1024">
      <c r="A1024" s="5">
        <v>9.54056787E9</v>
      </c>
      <c r="C1024" s="5" t="s">
        <v>1056</v>
      </c>
      <c r="D1024" s="5" t="s">
        <v>371</v>
      </c>
      <c r="E1024" s="5" t="s">
        <v>1056</v>
      </c>
    </row>
    <row r="1025">
      <c r="A1025" s="5">
        <v>9.871140012E9</v>
      </c>
      <c r="C1025" s="5" t="s">
        <v>1057</v>
      </c>
      <c r="D1025" s="5" t="s">
        <v>371</v>
      </c>
      <c r="E1025" s="5" t="s">
        <v>1057</v>
      </c>
    </row>
    <row r="1026">
      <c r="A1026" s="5">
        <v>9.555906133E9</v>
      </c>
      <c r="C1026" s="5" t="s">
        <v>1058</v>
      </c>
      <c r="D1026" s="5" t="s">
        <v>371</v>
      </c>
      <c r="E1026" s="5" t="s">
        <v>1058</v>
      </c>
    </row>
    <row r="1027">
      <c r="A1027" s="5">
        <v>9.086000439E9</v>
      </c>
      <c r="C1027" s="5" t="s">
        <v>1059</v>
      </c>
      <c r="D1027" s="5" t="s">
        <v>371</v>
      </c>
      <c r="E1027" s="5" t="s">
        <v>1059</v>
      </c>
    </row>
    <row r="1028">
      <c r="A1028" s="5">
        <v>9.716165322E9</v>
      </c>
      <c r="C1028" s="5" t="s">
        <v>1060</v>
      </c>
      <c r="D1028" s="5" t="s">
        <v>371</v>
      </c>
      <c r="E1028" s="5" t="s">
        <v>1060</v>
      </c>
    </row>
    <row r="1029">
      <c r="A1029" s="5">
        <v>6.544271814E9</v>
      </c>
      <c r="C1029" s="5" t="s">
        <v>1061</v>
      </c>
      <c r="D1029" s="5" t="s">
        <v>371</v>
      </c>
      <c r="E1029" s="5" t="s">
        <v>1061</v>
      </c>
    </row>
    <row r="1030">
      <c r="A1030" s="5">
        <v>9.999822656E9</v>
      </c>
      <c r="C1030" s="5" t="s">
        <v>1062</v>
      </c>
      <c r="D1030" s="5" t="s">
        <v>371</v>
      </c>
      <c r="E1030" s="5" t="s">
        <v>1062</v>
      </c>
    </row>
    <row r="1031">
      <c r="A1031" s="5">
        <v>9.004736864E9</v>
      </c>
      <c r="C1031" s="5" t="s">
        <v>1063</v>
      </c>
      <c r="D1031" s="5" t="s">
        <v>371</v>
      </c>
      <c r="E1031" s="5" t="s">
        <v>1063</v>
      </c>
    </row>
    <row r="1032">
      <c r="A1032" s="5">
        <v>9.71108755E9</v>
      </c>
      <c r="C1032" s="5" t="s">
        <v>1064</v>
      </c>
      <c r="D1032" s="5" t="s">
        <v>371</v>
      </c>
      <c r="E1032" s="5" t="s">
        <v>1064</v>
      </c>
    </row>
    <row r="1033">
      <c r="A1033" s="5">
        <v>9.728504564E9</v>
      </c>
      <c r="C1033" s="5" t="s">
        <v>1065</v>
      </c>
      <c r="D1033" s="5" t="s">
        <v>371</v>
      </c>
      <c r="E1033" s="5" t="s">
        <v>1065</v>
      </c>
    </row>
    <row r="1034">
      <c r="A1034" s="5">
        <v>9.805880792E9</v>
      </c>
      <c r="C1034" s="5" t="s">
        <v>1066</v>
      </c>
      <c r="D1034" s="5" t="s">
        <v>371</v>
      </c>
      <c r="E1034" s="5" t="s">
        <v>1066</v>
      </c>
    </row>
    <row r="1035">
      <c r="A1035" s="5">
        <v>9.3133147E9</v>
      </c>
      <c r="C1035" s="5" t="s">
        <v>1067</v>
      </c>
      <c r="D1035" s="5" t="s">
        <v>371</v>
      </c>
      <c r="E1035" s="5" t="s">
        <v>1067</v>
      </c>
    </row>
    <row r="1036">
      <c r="A1036" s="5">
        <v>9.87146801E9</v>
      </c>
      <c r="C1036" s="5" t="s">
        <v>1068</v>
      </c>
      <c r="D1036" s="5" t="s">
        <v>371</v>
      </c>
      <c r="E1036" s="5" t="s">
        <v>1068</v>
      </c>
    </row>
    <row r="1037">
      <c r="A1037" s="5">
        <v>9.811117709E9</v>
      </c>
      <c r="C1037" s="5" t="s">
        <v>1069</v>
      </c>
      <c r="D1037" s="5" t="s">
        <v>371</v>
      </c>
      <c r="E1037" s="5" t="s">
        <v>1069</v>
      </c>
    </row>
    <row r="1038">
      <c r="A1038" s="5">
        <v>8.368040489E9</v>
      </c>
      <c r="C1038" s="5" t="s">
        <v>1070</v>
      </c>
      <c r="D1038" s="5" t="s">
        <v>371</v>
      </c>
      <c r="E1038" s="5" t="s">
        <v>1070</v>
      </c>
    </row>
    <row r="1039">
      <c r="A1039" s="5">
        <v>9.999994422E9</v>
      </c>
      <c r="C1039" s="5" t="s">
        <v>1071</v>
      </c>
      <c r="D1039" s="5" t="s">
        <v>371</v>
      </c>
      <c r="E1039" s="5" t="s">
        <v>1071</v>
      </c>
    </row>
    <row r="1040">
      <c r="A1040" s="5">
        <v>9.870622331E9</v>
      </c>
      <c r="C1040" s="5" t="s">
        <v>1072</v>
      </c>
      <c r="D1040" s="5" t="s">
        <v>371</v>
      </c>
      <c r="E1040" s="5" t="s">
        <v>1072</v>
      </c>
    </row>
    <row r="1041">
      <c r="A1041" s="5">
        <v>9.873774443E9</v>
      </c>
      <c r="C1041" s="5" t="s">
        <v>1073</v>
      </c>
      <c r="D1041" s="5" t="s">
        <v>371</v>
      </c>
      <c r="E1041" s="5" t="s">
        <v>1073</v>
      </c>
    </row>
    <row r="1042">
      <c r="A1042" s="5">
        <v>9.899155625E9</v>
      </c>
      <c r="C1042" s="5" t="s">
        <v>1074</v>
      </c>
      <c r="D1042" s="5" t="s">
        <v>371</v>
      </c>
      <c r="E1042" s="5" t="s">
        <v>1074</v>
      </c>
    </row>
    <row r="1043">
      <c r="A1043" s="5">
        <v>9.212710152E9</v>
      </c>
      <c r="C1043" s="5" t="s">
        <v>1075</v>
      </c>
      <c r="D1043" s="5" t="s">
        <v>371</v>
      </c>
      <c r="E1043" s="5" t="s">
        <v>1075</v>
      </c>
    </row>
    <row r="1044">
      <c r="A1044" s="5">
        <v>9.21216052E9</v>
      </c>
      <c r="C1044" s="5" t="s">
        <v>1076</v>
      </c>
      <c r="D1044" s="5" t="s">
        <v>371</v>
      </c>
      <c r="E1044" s="5" t="s">
        <v>1076</v>
      </c>
    </row>
    <row r="1045">
      <c r="A1045" s="5">
        <v>9.582260719E9</v>
      </c>
      <c r="C1045" s="5" t="s">
        <v>1077</v>
      </c>
      <c r="D1045" s="5" t="s">
        <v>371</v>
      </c>
      <c r="E1045" s="5" t="s">
        <v>1077</v>
      </c>
    </row>
    <row r="1046">
      <c r="A1046" s="5">
        <v>9.891583223E9</v>
      </c>
      <c r="C1046" s="5" t="s">
        <v>1078</v>
      </c>
      <c r="D1046" s="5" t="s">
        <v>371</v>
      </c>
      <c r="E1046" s="5" t="s">
        <v>1078</v>
      </c>
    </row>
    <row r="1047">
      <c r="A1047" s="5">
        <v>8.826733366E9</v>
      </c>
      <c r="C1047" s="5" t="s">
        <v>1079</v>
      </c>
      <c r="D1047" s="5" t="s">
        <v>371</v>
      </c>
      <c r="E1047" s="5" t="s">
        <v>1079</v>
      </c>
    </row>
    <row r="1048">
      <c r="A1048" s="5">
        <v>8.800792934E9</v>
      </c>
      <c r="C1048" s="5" t="s">
        <v>1080</v>
      </c>
      <c r="D1048" s="5" t="s">
        <v>371</v>
      </c>
      <c r="E1048" s="5" t="s">
        <v>1080</v>
      </c>
    </row>
    <row r="1049">
      <c r="A1049" s="5">
        <v>9.35430439E9</v>
      </c>
      <c r="C1049" s="5" t="s">
        <v>1081</v>
      </c>
      <c r="D1049" s="5" t="s">
        <v>371</v>
      </c>
      <c r="E1049" s="5" t="s">
        <v>1081</v>
      </c>
    </row>
    <row r="1050">
      <c r="A1050" s="5">
        <v>8.810668639E9</v>
      </c>
      <c r="C1050" s="5" t="s">
        <v>1082</v>
      </c>
      <c r="D1050" s="5" t="s">
        <v>371</v>
      </c>
      <c r="E1050" s="5" t="s">
        <v>1082</v>
      </c>
    </row>
    <row r="1051">
      <c r="A1051" s="5">
        <v>7.428676583E9</v>
      </c>
      <c r="C1051" s="5" t="s">
        <v>1083</v>
      </c>
      <c r="D1051" s="5" t="s">
        <v>371</v>
      </c>
      <c r="E1051" s="5" t="s">
        <v>1083</v>
      </c>
    </row>
    <row r="1052">
      <c r="A1052" s="5">
        <v>9.560193569E9</v>
      </c>
      <c r="C1052" s="5" t="s">
        <v>1065</v>
      </c>
      <c r="D1052" s="5" t="s">
        <v>371</v>
      </c>
      <c r="E1052" s="5" t="s">
        <v>1065</v>
      </c>
    </row>
    <row r="1053">
      <c r="A1053" s="5">
        <v>8.826202484E9</v>
      </c>
      <c r="C1053" s="5" t="s">
        <v>1084</v>
      </c>
      <c r="D1053" s="5" t="s">
        <v>371</v>
      </c>
      <c r="E1053" s="5" t="s">
        <v>1084</v>
      </c>
    </row>
    <row r="1054">
      <c r="A1054" s="5">
        <v>9.01324446E9</v>
      </c>
      <c r="C1054" s="5" t="s">
        <v>1085</v>
      </c>
      <c r="D1054" s="5" t="s">
        <v>371</v>
      </c>
      <c r="E1054" s="5" t="s">
        <v>1085</v>
      </c>
    </row>
    <row r="1055">
      <c r="A1055" s="5">
        <v>8.010808615E9</v>
      </c>
      <c r="C1055" s="5" t="s">
        <v>1086</v>
      </c>
      <c r="D1055" s="5" t="s">
        <v>371</v>
      </c>
      <c r="E1055" s="5" t="s">
        <v>1086</v>
      </c>
    </row>
    <row r="1056">
      <c r="A1056" s="5">
        <v>9.891999306E9</v>
      </c>
      <c r="C1056" s="5" t="s">
        <v>1087</v>
      </c>
      <c r="D1056" s="5" t="s">
        <v>371</v>
      </c>
      <c r="E1056" s="5" t="s">
        <v>1087</v>
      </c>
    </row>
    <row r="1057">
      <c r="A1057" s="5">
        <v>9.717661183E9</v>
      </c>
      <c r="C1057" s="5" t="s">
        <v>1088</v>
      </c>
      <c r="D1057" s="5" t="s">
        <v>371</v>
      </c>
      <c r="E1057" s="5" t="s">
        <v>1088</v>
      </c>
    </row>
    <row r="1058">
      <c r="A1058" s="5">
        <v>9.911815367E9</v>
      </c>
      <c r="C1058" s="5" t="s">
        <v>1089</v>
      </c>
      <c r="D1058" s="5" t="s">
        <v>371</v>
      </c>
      <c r="E1058" s="5" t="s">
        <v>1089</v>
      </c>
    </row>
    <row r="1059">
      <c r="A1059" s="5">
        <v>9.654195549E9</v>
      </c>
      <c r="C1059" s="5" t="s">
        <v>1035</v>
      </c>
      <c r="D1059" s="5" t="s">
        <v>371</v>
      </c>
      <c r="E1059" s="5" t="s">
        <v>1035</v>
      </c>
    </row>
    <row r="1060">
      <c r="A1060" s="5">
        <v>9.89999207E9</v>
      </c>
      <c r="C1060" s="5" t="s">
        <v>1090</v>
      </c>
      <c r="D1060" s="5" t="s">
        <v>371</v>
      </c>
      <c r="E1060" s="5" t="s">
        <v>1090</v>
      </c>
    </row>
    <row r="1061">
      <c r="A1061" s="5">
        <v>9.818173312E9</v>
      </c>
      <c r="C1061" s="5" t="s">
        <v>1091</v>
      </c>
      <c r="D1061" s="5" t="s">
        <v>371</v>
      </c>
      <c r="E1061" s="5" t="s">
        <v>1091</v>
      </c>
    </row>
    <row r="1062">
      <c r="A1062" s="5">
        <v>8.860285011E9</v>
      </c>
      <c r="C1062" s="5" t="s">
        <v>1092</v>
      </c>
      <c r="D1062" s="5" t="s">
        <v>371</v>
      </c>
      <c r="E1062" s="5" t="s">
        <v>1092</v>
      </c>
    </row>
    <row r="1063">
      <c r="A1063" s="5">
        <v>7.757022573E9</v>
      </c>
      <c r="C1063" s="5" t="s">
        <v>1093</v>
      </c>
      <c r="D1063" s="5" t="s">
        <v>371</v>
      </c>
      <c r="E1063" s="5" t="s">
        <v>1093</v>
      </c>
    </row>
    <row r="1064">
      <c r="A1064" s="5">
        <v>9.289831565E9</v>
      </c>
      <c r="C1064" s="5" t="s">
        <v>1094</v>
      </c>
      <c r="D1064" s="5" t="s">
        <v>371</v>
      </c>
      <c r="E1064" s="5" t="s">
        <v>1094</v>
      </c>
    </row>
    <row r="1065">
      <c r="A1065" s="5">
        <v>8.081226476E9</v>
      </c>
      <c r="C1065" s="5" t="s">
        <v>1095</v>
      </c>
      <c r="D1065" s="5" t="s">
        <v>371</v>
      </c>
      <c r="E1065" s="5" t="s">
        <v>1095</v>
      </c>
    </row>
    <row r="1066">
      <c r="A1066" s="5">
        <v>9.811646101E9</v>
      </c>
      <c r="C1066" s="5" t="s">
        <v>1096</v>
      </c>
      <c r="D1066" s="5" t="s">
        <v>371</v>
      </c>
      <c r="E1066" s="5" t="s">
        <v>1096</v>
      </c>
    </row>
    <row r="1067">
      <c r="A1067" s="5">
        <v>8.000813156E9</v>
      </c>
      <c r="C1067" s="5" t="s">
        <v>1097</v>
      </c>
      <c r="D1067" s="5" t="s">
        <v>371</v>
      </c>
      <c r="E1067" s="5" t="s">
        <v>1097</v>
      </c>
    </row>
    <row r="1068">
      <c r="A1068" s="5">
        <v>8.014541403E9</v>
      </c>
      <c r="C1068" s="5" t="s">
        <v>1098</v>
      </c>
      <c r="D1068" s="5" t="s">
        <v>371</v>
      </c>
      <c r="E1068" s="5" t="s">
        <v>1098</v>
      </c>
    </row>
    <row r="1069">
      <c r="A1069" s="5">
        <v>9.958275105E9</v>
      </c>
      <c r="C1069" s="5" t="s">
        <v>1061</v>
      </c>
      <c r="D1069" s="5" t="s">
        <v>371</v>
      </c>
      <c r="E1069" s="5" t="s">
        <v>1061</v>
      </c>
    </row>
    <row r="1070">
      <c r="A1070" s="5">
        <v>9.8102632E9</v>
      </c>
      <c r="C1070" s="5" t="s">
        <v>1099</v>
      </c>
      <c r="D1070" s="5" t="s">
        <v>371</v>
      </c>
      <c r="E1070" s="5" t="s">
        <v>1099</v>
      </c>
    </row>
    <row r="1071">
      <c r="A1071" s="5">
        <v>9.311163493E9</v>
      </c>
      <c r="C1071" s="5" t="s">
        <v>995</v>
      </c>
      <c r="D1071" s="5" t="s">
        <v>371</v>
      </c>
      <c r="E1071" s="5" t="s">
        <v>995</v>
      </c>
    </row>
    <row r="1072">
      <c r="A1072" s="5">
        <v>9.336112838E9</v>
      </c>
      <c r="C1072" s="5" t="s">
        <v>1100</v>
      </c>
      <c r="D1072" s="5" t="s">
        <v>371</v>
      </c>
      <c r="E1072" s="5" t="s">
        <v>1100</v>
      </c>
    </row>
    <row r="1073">
      <c r="A1073" s="5">
        <v>9.810080903E9</v>
      </c>
      <c r="C1073" s="5" t="s">
        <v>341</v>
      </c>
      <c r="D1073" s="5" t="s">
        <v>371</v>
      </c>
      <c r="E1073" s="5" t="s">
        <v>341</v>
      </c>
    </row>
    <row r="1074">
      <c r="A1074" s="5">
        <v>9.873944034E9</v>
      </c>
      <c r="C1074" s="5" t="s">
        <v>1101</v>
      </c>
      <c r="D1074" s="5" t="s">
        <v>371</v>
      </c>
      <c r="E1074" s="5" t="s">
        <v>1101</v>
      </c>
    </row>
    <row r="1075">
      <c r="A1075" s="5">
        <v>8.851106251E9</v>
      </c>
      <c r="C1075" s="5" t="s">
        <v>1102</v>
      </c>
      <c r="D1075" s="5" t="s">
        <v>371</v>
      </c>
      <c r="E1075" s="5" t="s">
        <v>1102</v>
      </c>
    </row>
    <row r="1076">
      <c r="A1076" s="5">
        <v>9.899019935E9</v>
      </c>
      <c r="C1076" s="5" t="s">
        <v>1103</v>
      </c>
      <c r="D1076" s="5" t="s">
        <v>371</v>
      </c>
      <c r="E1076" s="5" t="s">
        <v>1103</v>
      </c>
    </row>
    <row r="1077">
      <c r="A1077" s="5">
        <v>9.899115887E9</v>
      </c>
      <c r="C1077" s="5" t="s">
        <v>1094</v>
      </c>
      <c r="D1077" s="5" t="s">
        <v>371</v>
      </c>
      <c r="E1077" s="5" t="s">
        <v>1094</v>
      </c>
    </row>
    <row r="1078">
      <c r="A1078" s="5">
        <v>9.811181307E9</v>
      </c>
      <c r="C1078" s="5" t="s">
        <v>1104</v>
      </c>
      <c r="D1078" s="5" t="s">
        <v>371</v>
      </c>
      <c r="E1078" s="5" t="s">
        <v>1104</v>
      </c>
    </row>
    <row r="1079">
      <c r="A1079" s="5">
        <v>9.41602465E9</v>
      </c>
      <c r="C1079" s="5" t="s">
        <v>1105</v>
      </c>
      <c r="D1079" s="5" t="s">
        <v>371</v>
      </c>
      <c r="E1079" s="5" t="s">
        <v>1105</v>
      </c>
    </row>
    <row r="1080">
      <c r="A1080" s="5">
        <v>9.811891231E9</v>
      </c>
      <c r="C1080" s="5" t="s">
        <v>1106</v>
      </c>
      <c r="D1080" s="5" t="s">
        <v>371</v>
      </c>
      <c r="E1080" s="5" t="s">
        <v>1106</v>
      </c>
    </row>
    <row r="1081">
      <c r="A1081" s="5">
        <v>9.314010771E9</v>
      </c>
      <c r="C1081" s="5" t="s">
        <v>1107</v>
      </c>
      <c r="D1081" s="5" t="s">
        <v>371</v>
      </c>
      <c r="E1081" s="5" t="s">
        <v>1107</v>
      </c>
    </row>
    <row r="1082">
      <c r="A1082" s="5">
        <v>9.469473538E9</v>
      </c>
      <c r="C1082" s="5" t="s">
        <v>348</v>
      </c>
      <c r="D1082" s="5" t="s">
        <v>371</v>
      </c>
      <c r="E1082" s="5" t="s">
        <v>347</v>
      </c>
    </row>
    <row r="1083">
      <c r="A1083" s="5">
        <v>9.711336518E9</v>
      </c>
      <c r="C1083" s="5" t="s">
        <v>1108</v>
      </c>
      <c r="D1083" s="5" t="s">
        <v>371</v>
      </c>
      <c r="E1083" s="5" t="s">
        <v>1108</v>
      </c>
    </row>
    <row r="1084">
      <c r="A1084" s="5">
        <v>9.21058852E9</v>
      </c>
      <c r="C1084" s="5" t="s">
        <v>1109</v>
      </c>
      <c r="D1084" s="5" t="s">
        <v>371</v>
      </c>
      <c r="E1084" s="5" t="s">
        <v>1109</v>
      </c>
    </row>
    <row r="1085">
      <c r="A1085" s="5">
        <v>9.716335323E9</v>
      </c>
      <c r="C1085" s="5" t="s">
        <v>1110</v>
      </c>
      <c r="D1085" s="5" t="s">
        <v>371</v>
      </c>
      <c r="E1085" s="5" t="s">
        <v>1110</v>
      </c>
    </row>
    <row r="1086">
      <c r="A1086" s="5">
        <v>8.920465183E9</v>
      </c>
      <c r="C1086" s="5" t="s">
        <v>387</v>
      </c>
      <c r="D1086" s="5" t="s">
        <v>371</v>
      </c>
      <c r="E1086" s="5" t="s">
        <v>387</v>
      </c>
    </row>
    <row r="1087">
      <c r="A1087" s="5">
        <v>9.319569354E9</v>
      </c>
      <c r="C1087" s="5" t="s">
        <v>1111</v>
      </c>
      <c r="D1087" s="5" t="s">
        <v>371</v>
      </c>
      <c r="E1087" s="5" t="s">
        <v>1111</v>
      </c>
    </row>
    <row r="1088">
      <c r="A1088" s="5">
        <v>9.800816742E9</v>
      </c>
      <c r="C1088" s="5" t="s">
        <v>1112</v>
      </c>
      <c r="D1088" s="5" t="s">
        <v>371</v>
      </c>
      <c r="E1088" s="5" t="s">
        <v>1112</v>
      </c>
    </row>
    <row r="1089">
      <c r="A1089" s="5">
        <v>9.953052536E9</v>
      </c>
      <c r="C1089" s="5" t="s">
        <v>1113</v>
      </c>
      <c r="D1089" s="5" t="s">
        <v>371</v>
      </c>
      <c r="E1089" s="5" t="s">
        <v>1113</v>
      </c>
    </row>
    <row r="1090">
      <c r="A1090" s="5">
        <v>7.838389951E9</v>
      </c>
      <c r="C1090" s="5" t="s">
        <v>25</v>
      </c>
      <c r="D1090" s="5" t="s">
        <v>371</v>
      </c>
      <c r="E1090" s="5" t="s">
        <v>25</v>
      </c>
    </row>
    <row r="1091">
      <c r="A1091" s="5">
        <v>7.827407655E9</v>
      </c>
      <c r="C1091" s="5" t="s">
        <v>1114</v>
      </c>
      <c r="D1091" s="5" t="s">
        <v>371</v>
      </c>
      <c r="E1091" s="5" t="s">
        <v>1114</v>
      </c>
    </row>
    <row r="1092">
      <c r="A1092" s="5">
        <v>9.75237098E9</v>
      </c>
      <c r="C1092" s="5" t="s">
        <v>1115</v>
      </c>
      <c r="D1092" s="5" t="s">
        <v>371</v>
      </c>
      <c r="E1092" s="5" t="s">
        <v>1115</v>
      </c>
    </row>
    <row r="1093">
      <c r="A1093" s="5">
        <v>9.355611119E9</v>
      </c>
      <c r="C1093" s="5" t="s">
        <v>1116</v>
      </c>
      <c r="D1093" s="5" t="s">
        <v>371</v>
      </c>
      <c r="E1093" s="5" t="s">
        <v>1116</v>
      </c>
    </row>
    <row r="1094">
      <c r="A1094" s="5">
        <v>9.910470144E9</v>
      </c>
      <c r="C1094" s="5" t="s">
        <v>1023</v>
      </c>
      <c r="D1094" s="5" t="s">
        <v>371</v>
      </c>
      <c r="E1094" s="5" t="s">
        <v>1023</v>
      </c>
    </row>
    <row r="1095">
      <c r="A1095" s="5">
        <v>9.910378325E9</v>
      </c>
      <c r="C1095" s="5" t="s">
        <v>1117</v>
      </c>
      <c r="D1095" s="5" t="s">
        <v>371</v>
      </c>
      <c r="E1095" s="5" t="s">
        <v>1117</v>
      </c>
    </row>
    <row r="1096">
      <c r="A1096" s="5">
        <v>9.810882842E9</v>
      </c>
      <c r="C1096" s="5" t="s">
        <v>1118</v>
      </c>
      <c r="D1096" s="5" t="s">
        <v>371</v>
      </c>
      <c r="E1096" s="5" t="s">
        <v>1118</v>
      </c>
    </row>
    <row r="1097">
      <c r="A1097" s="5">
        <v>8.750212242E9</v>
      </c>
      <c r="C1097" s="5" t="s">
        <v>1119</v>
      </c>
      <c r="D1097" s="5" t="s">
        <v>371</v>
      </c>
      <c r="E1097" s="5" t="s">
        <v>1119</v>
      </c>
    </row>
    <row r="1098">
      <c r="A1098" s="5">
        <v>9.873305151E9</v>
      </c>
      <c r="C1098" s="5" t="s">
        <v>1120</v>
      </c>
      <c r="D1098" s="5" t="s">
        <v>371</v>
      </c>
      <c r="E1098" s="5" t="s">
        <v>1120</v>
      </c>
    </row>
    <row r="1099">
      <c r="A1099" s="5">
        <v>9.891306342E9</v>
      </c>
      <c r="C1099" s="5" t="s">
        <v>1121</v>
      </c>
      <c r="D1099" s="5" t="s">
        <v>371</v>
      </c>
      <c r="E1099" s="5" t="s">
        <v>1121</v>
      </c>
    </row>
    <row r="1100">
      <c r="A1100" s="5">
        <v>9.873989789E9</v>
      </c>
      <c r="C1100" s="5" t="s">
        <v>1122</v>
      </c>
      <c r="D1100" s="5" t="s">
        <v>371</v>
      </c>
      <c r="E1100" s="5" t="s">
        <v>1122</v>
      </c>
    </row>
    <row r="1101">
      <c r="A1101" s="5">
        <v>9.999341393E9</v>
      </c>
      <c r="C1101" s="5" t="s">
        <v>1123</v>
      </c>
      <c r="D1101" s="5" t="s">
        <v>371</v>
      </c>
      <c r="E1101" s="5" t="s">
        <v>1123</v>
      </c>
    </row>
    <row r="1102">
      <c r="A1102" s="5">
        <v>8.287096447E9</v>
      </c>
      <c r="C1102" s="5" t="s">
        <v>1124</v>
      </c>
      <c r="D1102" s="5" t="s">
        <v>371</v>
      </c>
      <c r="E1102" s="5" t="s">
        <v>1124</v>
      </c>
    </row>
    <row r="1103">
      <c r="A1103" s="5">
        <v>9.899882198E9</v>
      </c>
      <c r="C1103" s="5" t="s">
        <v>1125</v>
      </c>
      <c r="D1103" s="5" t="s">
        <v>371</v>
      </c>
      <c r="E1103" s="5" t="s">
        <v>1125</v>
      </c>
    </row>
    <row r="1104">
      <c r="A1104" s="5">
        <v>8.52721345E9</v>
      </c>
      <c r="C1104" s="5" t="s">
        <v>353</v>
      </c>
      <c r="D1104" s="5" t="s">
        <v>371</v>
      </c>
      <c r="E1104" s="5" t="s">
        <v>352</v>
      </c>
    </row>
    <row r="1105">
      <c r="A1105" s="5">
        <v>9.654887826E9</v>
      </c>
      <c r="C1105" s="5" t="s">
        <v>1126</v>
      </c>
      <c r="D1105" s="5" t="s">
        <v>371</v>
      </c>
      <c r="E1105" s="5" t="s">
        <v>1126</v>
      </c>
    </row>
    <row r="1106">
      <c r="A1106" s="5">
        <v>9.55591206E9</v>
      </c>
      <c r="C1106" s="5" t="s">
        <v>1127</v>
      </c>
      <c r="D1106" s="5" t="s">
        <v>371</v>
      </c>
      <c r="E1106" s="5" t="s">
        <v>1127</v>
      </c>
    </row>
    <row r="1107">
      <c r="A1107" s="5">
        <v>8.285733143E9</v>
      </c>
      <c r="C1107" s="5" t="s">
        <v>1128</v>
      </c>
      <c r="D1107" s="5" t="s">
        <v>371</v>
      </c>
      <c r="E1107" s="5" t="s">
        <v>1128</v>
      </c>
    </row>
    <row r="1108">
      <c r="A1108" s="5">
        <v>8.368135941E9</v>
      </c>
      <c r="C1108" s="5" t="s">
        <v>1129</v>
      </c>
      <c r="D1108" s="5" t="s">
        <v>371</v>
      </c>
      <c r="E1108" s="5" t="s">
        <v>1129</v>
      </c>
    </row>
    <row r="1109">
      <c r="A1109" s="5">
        <v>8.447210689E9</v>
      </c>
      <c r="C1109" s="5" t="s">
        <v>1004</v>
      </c>
      <c r="D1109" s="5" t="s">
        <v>371</v>
      </c>
      <c r="E1109" s="5" t="s">
        <v>1004</v>
      </c>
    </row>
    <row r="1110">
      <c r="A1110" s="5">
        <v>9.910043295E9</v>
      </c>
      <c r="C1110" s="5" t="s">
        <v>1130</v>
      </c>
      <c r="D1110" s="5" t="s">
        <v>371</v>
      </c>
      <c r="E1110" s="5" t="s">
        <v>1130</v>
      </c>
    </row>
    <row r="1111">
      <c r="A1111" s="5">
        <v>8.12346781E9</v>
      </c>
      <c r="C1111" s="5" t="s">
        <v>1131</v>
      </c>
      <c r="D1111" s="5" t="s">
        <v>371</v>
      </c>
      <c r="E1111" s="5" t="s">
        <v>1131</v>
      </c>
    </row>
    <row r="1112">
      <c r="A1112" s="5">
        <v>9.873438078E9</v>
      </c>
      <c r="C1112" s="5" t="s">
        <v>1132</v>
      </c>
      <c r="D1112" s="5" t="s">
        <v>371</v>
      </c>
      <c r="E1112" s="5" t="s">
        <v>1132</v>
      </c>
    </row>
    <row r="1113">
      <c r="A1113" s="5">
        <v>9.654195545E9</v>
      </c>
      <c r="C1113" s="5" t="s">
        <v>1035</v>
      </c>
      <c r="D1113" s="5" t="s">
        <v>371</v>
      </c>
      <c r="E1113" s="5" t="s">
        <v>1035</v>
      </c>
    </row>
    <row r="1114">
      <c r="A1114" s="5">
        <v>9.810133082E9</v>
      </c>
      <c r="C1114" s="5" t="s">
        <v>1133</v>
      </c>
      <c r="D1114" s="5" t="s">
        <v>371</v>
      </c>
      <c r="E1114" s="5" t="s">
        <v>1133</v>
      </c>
    </row>
    <row r="1115">
      <c r="A1115" s="5">
        <v>9.871394198E9</v>
      </c>
      <c r="C1115" s="5" t="s">
        <v>1134</v>
      </c>
      <c r="D1115" s="5" t="s">
        <v>371</v>
      </c>
      <c r="E1115" s="5" t="s">
        <v>1134</v>
      </c>
    </row>
    <row r="1116">
      <c r="A1116" s="5">
        <v>9.350290331E9</v>
      </c>
      <c r="C1116" s="5" t="s">
        <v>1135</v>
      </c>
      <c r="D1116" s="5" t="s">
        <v>371</v>
      </c>
      <c r="E1116" s="5" t="s">
        <v>1135</v>
      </c>
    </row>
    <row r="1117">
      <c r="A1117" s="5">
        <v>9.81857007E9</v>
      </c>
      <c r="C1117" s="5" t="s">
        <v>1136</v>
      </c>
      <c r="D1117" s="5" t="s">
        <v>371</v>
      </c>
      <c r="E1117" s="5" t="s">
        <v>1136</v>
      </c>
    </row>
    <row r="1118">
      <c r="A1118" s="5">
        <v>9.310348015E9</v>
      </c>
      <c r="C1118" s="5" t="s">
        <v>1137</v>
      </c>
      <c r="D1118" s="5" t="s">
        <v>371</v>
      </c>
      <c r="E1118" s="5" t="s">
        <v>1137</v>
      </c>
    </row>
    <row r="1119">
      <c r="A1119" s="5">
        <v>7.351923465E9</v>
      </c>
      <c r="C1119" s="5" t="s">
        <v>1138</v>
      </c>
      <c r="D1119" s="5" t="s">
        <v>371</v>
      </c>
      <c r="E1119" s="5" t="s">
        <v>1138</v>
      </c>
    </row>
    <row r="1120">
      <c r="A1120" s="5">
        <v>9.818223853E9</v>
      </c>
      <c r="C1120" s="5" t="s">
        <v>963</v>
      </c>
      <c r="D1120" s="5" t="s">
        <v>371</v>
      </c>
      <c r="E1120" s="5" t="s">
        <v>963</v>
      </c>
    </row>
    <row r="1121">
      <c r="A1121" s="5">
        <v>9.871501384E9</v>
      </c>
      <c r="C1121" s="5" t="s">
        <v>1139</v>
      </c>
      <c r="D1121" s="5" t="s">
        <v>371</v>
      </c>
      <c r="E1121" s="5" t="s">
        <v>1139</v>
      </c>
    </row>
    <row r="1122">
      <c r="A1122" s="5">
        <v>9.310698129E9</v>
      </c>
      <c r="C1122" s="5" t="s">
        <v>356</v>
      </c>
      <c r="D1122" s="5" t="s">
        <v>371</v>
      </c>
      <c r="E1122" s="5" t="s">
        <v>355</v>
      </c>
    </row>
    <row r="1123">
      <c r="A1123" s="5">
        <v>9.818864604E9</v>
      </c>
      <c r="C1123" s="5" t="s">
        <v>1140</v>
      </c>
      <c r="D1123" s="5" t="s">
        <v>371</v>
      </c>
      <c r="E1123" s="5" t="s">
        <v>1140</v>
      </c>
    </row>
    <row r="1124">
      <c r="A1124" s="5">
        <v>7.827056315E9</v>
      </c>
      <c r="C1124" s="5" t="s">
        <v>1141</v>
      </c>
      <c r="D1124" s="5" t="s">
        <v>371</v>
      </c>
      <c r="E1124" s="5" t="s">
        <v>1141</v>
      </c>
    </row>
    <row r="1125">
      <c r="A1125" s="5">
        <v>8.971503665E9</v>
      </c>
      <c r="C1125" s="5" t="s">
        <v>1142</v>
      </c>
      <c r="D1125" s="5" t="s">
        <v>371</v>
      </c>
      <c r="E1125" s="5" t="s">
        <v>1142</v>
      </c>
    </row>
    <row r="1126">
      <c r="A1126" s="5">
        <v>9.711699689E9</v>
      </c>
      <c r="C1126" s="5" t="s">
        <v>1143</v>
      </c>
      <c r="D1126" s="5" t="s">
        <v>371</v>
      </c>
      <c r="E1126" s="5" t="s">
        <v>1143</v>
      </c>
    </row>
    <row r="1127">
      <c r="A1127" s="5">
        <v>8.822252225E9</v>
      </c>
      <c r="C1127" s="5" t="s">
        <v>1144</v>
      </c>
      <c r="D1127" s="5" t="s">
        <v>371</v>
      </c>
      <c r="E1127" s="5" t="s">
        <v>1144</v>
      </c>
    </row>
    <row r="1128">
      <c r="A1128" s="5">
        <v>9.899988844E9</v>
      </c>
      <c r="C1128" s="5" t="s">
        <v>1145</v>
      </c>
      <c r="D1128" s="5" t="s">
        <v>371</v>
      </c>
      <c r="E1128" s="5" t="s">
        <v>1145</v>
      </c>
    </row>
    <row r="1129">
      <c r="A1129" s="5">
        <v>9.896918939E9</v>
      </c>
      <c r="C1129" s="5" t="s">
        <v>1146</v>
      </c>
      <c r="D1129" s="5" t="s">
        <v>371</v>
      </c>
      <c r="E1129" s="5" t="s">
        <v>1146</v>
      </c>
    </row>
    <row r="1130">
      <c r="A1130" s="5">
        <v>9.210348773E9</v>
      </c>
      <c r="C1130" s="5" t="s">
        <v>1147</v>
      </c>
      <c r="D1130" s="5" t="s">
        <v>371</v>
      </c>
      <c r="E1130" s="5" t="s">
        <v>1147</v>
      </c>
    </row>
    <row r="1131">
      <c r="A1131" s="5">
        <v>8.826236053E9</v>
      </c>
      <c r="C1131" s="5" t="s">
        <v>358</v>
      </c>
      <c r="D1131" s="5" t="s">
        <v>371</v>
      </c>
      <c r="E1131" s="5" t="s">
        <v>25</v>
      </c>
    </row>
    <row r="1132">
      <c r="A1132" s="5">
        <v>9.650074967E9</v>
      </c>
      <c r="C1132" s="5" t="s">
        <v>1148</v>
      </c>
      <c r="D1132" s="5" t="s">
        <v>371</v>
      </c>
      <c r="E1132" s="5" t="s">
        <v>1148</v>
      </c>
    </row>
    <row r="1133">
      <c r="A1133" s="5">
        <v>9.953438515E9</v>
      </c>
      <c r="C1133" s="5" t="s">
        <v>1149</v>
      </c>
      <c r="D1133" s="5" t="s">
        <v>371</v>
      </c>
      <c r="E1133" s="5" t="s">
        <v>1149</v>
      </c>
    </row>
    <row r="1134">
      <c r="A1134" s="5">
        <v>9.868504376E9</v>
      </c>
      <c r="C1134" s="5" t="s">
        <v>1150</v>
      </c>
      <c r="D1134" s="5" t="s">
        <v>371</v>
      </c>
      <c r="E1134" s="5" t="s">
        <v>1150</v>
      </c>
    </row>
    <row r="1135">
      <c r="A1135" s="5">
        <v>9.989148791E9</v>
      </c>
      <c r="C1135" s="5" t="s">
        <v>1151</v>
      </c>
      <c r="D1135" s="5" t="s">
        <v>371</v>
      </c>
      <c r="E1135" s="5" t="s">
        <v>1151</v>
      </c>
    </row>
    <row r="1136">
      <c r="A1136" s="5">
        <v>8.130876428E9</v>
      </c>
      <c r="C1136" s="5" t="s">
        <v>1152</v>
      </c>
      <c r="D1136" s="5" t="s">
        <v>371</v>
      </c>
      <c r="E1136" s="5" t="s">
        <v>1152</v>
      </c>
    </row>
    <row r="1137">
      <c r="A1137" s="5">
        <v>8.708850971E9</v>
      </c>
      <c r="C1137" s="5" t="s">
        <v>1153</v>
      </c>
      <c r="D1137" s="5" t="s">
        <v>371</v>
      </c>
      <c r="E1137" s="5" t="s">
        <v>1153</v>
      </c>
    </row>
    <row r="1138">
      <c r="A1138" s="5">
        <v>9.582971001E9</v>
      </c>
      <c r="C1138" s="5" t="s">
        <v>1154</v>
      </c>
      <c r="D1138" s="5" t="s">
        <v>371</v>
      </c>
      <c r="E1138" s="5" t="s">
        <v>1154</v>
      </c>
    </row>
    <row r="1139">
      <c r="A1139" s="5">
        <v>5.879838221E9</v>
      </c>
      <c r="C1139" s="5" t="s">
        <v>1155</v>
      </c>
      <c r="D1139" s="5" t="s">
        <v>371</v>
      </c>
      <c r="E1139" s="5" t="s">
        <v>1155</v>
      </c>
    </row>
    <row r="1140">
      <c r="A1140" s="5">
        <v>8.860930737E9</v>
      </c>
      <c r="C1140" s="5" t="s">
        <v>1156</v>
      </c>
      <c r="D1140" s="5" t="s">
        <v>371</v>
      </c>
      <c r="E1140" s="5" t="s">
        <v>1156</v>
      </c>
    </row>
    <row r="1141">
      <c r="A1141" s="5">
        <v>8.794449636E9</v>
      </c>
      <c r="C1141" s="5" t="s">
        <v>1157</v>
      </c>
      <c r="D1141" s="5" t="s">
        <v>371</v>
      </c>
      <c r="E1141" s="5" t="s">
        <v>1157</v>
      </c>
    </row>
    <row r="1142">
      <c r="A1142" s="5">
        <v>8.0705103E9</v>
      </c>
      <c r="C1142" s="5" t="s">
        <v>1158</v>
      </c>
      <c r="D1142" s="5" t="s">
        <v>371</v>
      </c>
      <c r="E1142" s="5" t="s">
        <v>1158</v>
      </c>
    </row>
    <row r="1143">
      <c r="A1143" s="5">
        <v>8.586925507E9</v>
      </c>
      <c r="C1143" s="5" t="s">
        <v>1159</v>
      </c>
      <c r="D1143" s="5" t="s">
        <v>371</v>
      </c>
      <c r="E1143" s="5" t="s">
        <v>1159</v>
      </c>
    </row>
    <row r="1144">
      <c r="A1144" s="5">
        <v>8.8529798E9</v>
      </c>
      <c r="C1144" s="5" t="s">
        <v>1160</v>
      </c>
      <c r="D1144" s="5" t="s">
        <v>371</v>
      </c>
      <c r="E1144" s="5" t="s">
        <v>1160</v>
      </c>
    </row>
    <row r="1145">
      <c r="A1145" s="5">
        <v>9.899074822E9</v>
      </c>
      <c r="C1145" s="5" t="s">
        <v>1161</v>
      </c>
      <c r="D1145" s="5" t="s">
        <v>371</v>
      </c>
      <c r="E1145" s="5" t="s">
        <v>1161</v>
      </c>
    </row>
    <row r="1146">
      <c r="A1146" s="5">
        <v>9.622499867E9</v>
      </c>
      <c r="C1146" s="5" t="s">
        <v>1162</v>
      </c>
      <c r="D1146" s="5" t="s">
        <v>371</v>
      </c>
      <c r="E1146" s="5" t="s">
        <v>1162</v>
      </c>
    </row>
    <row r="1147">
      <c r="A1147" s="5">
        <v>8.130887311E9</v>
      </c>
      <c r="C1147" s="5" t="s">
        <v>1163</v>
      </c>
      <c r="D1147" s="5" t="s">
        <v>371</v>
      </c>
      <c r="E1147" s="5" t="s">
        <v>1163</v>
      </c>
    </row>
    <row r="1148">
      <c r="A1148" s="5">
        <v>9.810019487E9</v>
      </c>
      <c r="C1148" s="5" t="s">
        <v>362</v>
      </c>
      <c r="D1148" s="5" t="s">
        <v>371</v>
      </c>
      <c r="E1148" s="5" t="s">
        <v>361</v>
      </c>
    </row>
    <row r="1149">
      <c r="A1149" s="5">
        <v>9.871463768E9</v>
      </c>
      <c r="C1149" s="5" t="s">
        <v>1164</v>
      </c>
      <c r="D1149" s="5" t="s">
        <v>371</v>
      </c>
      <c r="E1149" s="5" t="s">
        <v>1164</v>
      </c>
    </row>
    <row r="1150">
      <c r="A1150" s="5">
        <v>9.716579227E9</v>
      </c>
      <c r="C1150" s="5" t="s">
        <v>1165</v>
      </c>
      <c r="D1150" s="5" t="s">
        <v>371</v>
      </c>
      <c r="E1150" s="5" t="s">
        <v>1165</v>
      </c>
    </row>
    <row r="1151">
      <c r="A1151" s="5">
        <v>9.899965297E9</v>
      </c>
      <c r="C1151" s="5" t="s">
        <v>1166</v>
      </c>
      <c r="D1151" s="5" t="s">
        <v>371</v>
      </c>
      <c r="E1151" s="5" t="s">
        <v>1166</v>
      </c>
    </row>
    <row r="1152">
      <c r="A1152" s="5">
        <v>7.011744188E9</v>
      </c>
      <c r="C1152" s="5" t="s">
        <v>1167</v>
      </c>
      <c r="D1152" s="5" t="s">
        <v>371</v>
      </c>
      <c r="E1152" s="5" t="s">
        <v>1167</v>
      </c>
    </row>
    <row r="1153">
      <c r="A1153" s="5">
        <v>9.911385399E9</v>
      </c>
      <c r="C1153" s="5" t="s">
        <v>1168</v>
      </c>
      <c r="D1153" s="5" t="s">
        <v>371</v>
      </c>
      <c r="E1153" s="5" t="s">
        <v>1168</v>
      </c>
    </row>
    <row r="1154">
      <c r="A1154" s="5">
        <v>9.205976385E9</v>
      </c>
      <c r="C1154" s="5" t="s">
        <v>1169</v>
      </c>
      <c r="D1154" s="5" t="s">
        <v>371</v>
      </c>
      <c r="E1154" s="5" t="s">
        <v>1169</v>
      </c>
    </row>
    <row r="1155">
      <c r="A1155" s="5">
        <v>9.643268623E9</v>
      </c>
      <c r="C1155" s="5" t="s">
        <v>1170</v>
      </c>
      <c r="D1155" s="5" t="s">
        <v>371</v>
      </c>
      <c r="E1155" s="5" t="s">
        <v>1170</v>
      </c>
    </row>
    <row r="1156">
      <c r="A1156" s="5">
        <v>8.911032336E9</v>
      </c>
      <c r="C1156" s="5" t="s">
        <v>1171</v>
      </c>
      <c r="D1156" s="5" t="s">
        <v>371</v>
      </c>
      <c r="E1156" s="5" t="s">
        <v>1171</v>
      </c>
    </row>
    <row r="1157">
      <c r="A1157" s="5">
        <v>9.796224005E9</v>
      </c>
      <c r="C1157" s="5" t="s">
        <v>434</v>
      </c>
      <c r="D1157" s="5" t="s">
        <v>371</v>
      </c>
      <c r="E1157" s="5" t="s">
        <v>434</v>
      </c>
    </row>
    <row r="1158">
      <c r="A1158" s="5">
        <v>8.860183073E9</v>
      </c>
      <c r="C1158" s="5" t="s">
        <v>1053</v>
      </c>
      <c r="D1158" s="5" t="s">
        <v>371</v>
      </c>
      <c r="E1158" s="5" t="s">
        <v>1053</v>
      </c>
    </row>
    <row r="1159">
      <c r="A1159" s="5">
        <v>8.595342299E9</v>
      </c>
      <c r="C1159" s="5" t="s">
        <v>433</v>
      </c>
      <c r="D1159" s="5" t="s">
        <v>371</v>
      </c>
      <c r="E1159" s="5" t="s">
        <v>433</v>
      </c>
    </row>
    <row r="1160">
      <c r="A1160" s="5">
        <v>8.130302299E9</v>
      </c>
      <c r="C1160" s="5" t="s">
        <v>1172</v>
      </c>
      <c r="D1160" s="5" t="s">
        <v>371</v>
      </c>
      <c r="E1160" s="5" t="s">
        <v>1172</v>
      </c>
    </row>
    <row r="1161">
      <c r="A1161" s="5">
        <v>9.21729979E9</v>
      </c>
      <c r="C1161" s="5" t="s">
        <v>1173</v>
      </c>
      <c r="D1161" s="5" t="s">
        <v>371</v>
      </c>
      <c r="E1161" s="5" t="s">
        <v>1173</v>
      </c>
    </row>
    <row r="1162">
      <c r="A1162" s="5">
        <v>8.095720564E9</v>
      </c>
      <c r="C1162" s="5" t="s">
        <v>1174</v>
      </c>
      <c r="D1162" s="5" t="s">
        <v>371</v>
      </c>
      <c r="E1162" s="5" t="s">
        <v>1174</v>
      </c>
    </row>
    <row r="1163">
      <c r="A1163" s="5">
        <v>8.218191244E9</v>
      </c>
      <c r="C1163" s="5" t="s">
        <v>1175</v>
      </c>
      <c r="D1163" s="5" t="s">
        <v>371</v>
      </c>
      <c r="E1163" s="5" t="s">
        <v>1175</v>
      </c>
    </row>
    <row r="1164">
      <c r="A1164" s="5">
        <v>9.910116364E9</v>
      </c>
      <c r="C1164" s="5" t="s">
        <v>1176</v>
      </c>
      <c r="D1164" s="5" t="s">
        <v>371</v>
      </c>
      <c r="E1164" s="5" t="s">
        <v>1176</v>
      </c>
    </row>
    <row r="1165">
      <c r="A1165" s="5">
        <v>8.826871984E9</v>
      </c>
      <c r="C1165" s="5" t="s">
        <v>364</v>
      </c>
      <c r="D1165" s="5" t="s">
        <v>371</v>
      </c>
      <c r="E1165" s="5" t="s">
        <v>363</v>
      </c>
    </row>
    <row r="1166">
      <c r="A1166" s="5">
        <v>9.910116304E9</v>
      </c>
      <c r="C1166" s="5" t="s">
        <v>1176</v>
      </c>
      <c r="D1166" s="5" t="s">
        <v>371</v>
      </c>
      <c r="E1166" s="5" t="s">
        <v>1176</v>
      </c>
    </row>
    <row r="1167">
      <c r="A1167" s="5">
        <v>9.350104287E9</v>
      </c>
      <c r="C1167" s="5" t="s">
        <v>1177</v>
      </c>
      <c r="D1167" s="5" t="s">
        <v>371</v>
      </c>
      <c r="E1167" s="5" t="s">
        <v>1177</v>
      </c>
    </row>
    <row r="1168">
      <c r="A1168" s="5">
        <v>4.5020577E9</v>
      </c>
      <c r="C1168" s="5" t="s">
        <v>1178</v>
      </c>
      <c r="D1168" s="5" t="s">
        <v>371</v>
      </c>
      <c r="E1168" s="5" t="s">
        <v>1178</v>
      </c>
    </row>
    <row r="1169">
      <c r="A1169" s="5">
        <v>9.899725515E9</v>
      </c>
      <c r="C1169" s="5" t="s">
        <v>366</v>
      </c>
      <c r="D1169" s="5" t="s">
        <v>371</v>
      </c>
      <c r="E1169" s="5" t="s">
        <v>365</v>
      </c>
    </row>
    <row r="1170">
      <c r="A1170" s="5">
        <v>9.350115868E9</v>
      </c>
      <c r="C1170" s="5" t="s">
        <v>1179</v>
      </c>
      <c r="D1170" s="5" t="s">
        <v>371</v>
      </c>
      <c r="E1170" s="5" t="s">
        <v>1179</v>
      </c>
    </row>
    <row r="1171">
      <c r="A1171" s="5">
        <v>9.110083501E9</v>
      </c>
      <c r="C1171" s="5" t="s">
        <v>1180</v>
      </c>
      <c r="D1171" s="5" t="s">
        <v>371</v>
      </c>
      <c r="E1171" s="5" t="s">
        <v>1180</v>
      </c>
    </row>
    <row r="1172">
      <c r="A1172" s="5">
        <v>9.891184225E9</v>
      </c>
      <c r="C1172" s="5" t="s">
        <v>1181</v>
      </c>
      <c r="D1172" s="5" t="s">
        <v>371</v>
      </c>
      <c r="E1172" s="5" t="s">
        <v>1181</v>
      </c>
    </row>
    <row r="1173">
      <c r="A1173" s="5">
        <v>9.416519794E9</v>
      </c>
      <c r="C1173" s="5" t="s">
        <v>125</v>
      </c>
      <c r="D1173" s="5" t="s">
        <v>371</v>
      </c>
      <c r="E1173" s="5" t="s">
        <v>125</v>
      </c>
    </row>
    <row r="1174">
      <c r="A1174" s="5">
        <v>8.491028157E9</v>
      </c>
      <c r="C1174" s="5" t="s">
        <v>1182</v>
      </c>
      <c r="D1174" s="5" t="s">
        <v>371</v>
      </c>
      <c r="E1174" s="5" t="s">
        <v>1182</v>
      </c>
    </row>
    <row r="1175">
      <c r="A1175" s="5">
        <v>9.034107797E9</v>
      </c>
      <c r="C1175" s="5" t="s">
        <v>25</v>
      </c>
      <c r="D1175" s="5" t="s">
        <v>371</v>
      </c>
      <c r="E1175" s="5" t="s">
        <v>25</v>
      </c>
    </row>
    <row r="1176">
      <c r="A1176" s="5">
        <v>9.821722208E9</v>
      </c>
      <c r="C1176" s="5" t="s">
        <v>1183</v>
      </c>
      <c r="D1176" s="5" t="s">
        <v>371</v>
      </c>
      <c r="E1176" s="5" t="s">
        <v>1183</v>
      </c>
    </row>
    <row r="1177">
      <c r="A1177" s="5">
        <v>9.013362005E9</v>
      </c>
      <c r="C1177" s="5" t="s">
        <v>1184</v>
      </c>
      <c r="D1177" s="5" t="s">
        <v>371</v>
      </c>
      <c r="E1177" s="5" t="s">
        <v>1184</v>
      </c>
    </row>
    <row r="1178">
      <c r="A1178" s="5">
        <v>9.810578174E9</v>
      </c>
      <c r="C1178" s="5" t="s">
        <v>65</v>
      </c>
      <c r="D1178" s="5" t="s">
        <v>371</v>
      </c>
      <c r="E1178" s="5" t="s">
        <v>65</v>
      </c>
    </row>
    <row r="1179">
      <c r="A1179" s="5">
        <v>9.821776055E9</v>
      </c>
      <c r="C1179" s="5" t="s">
        <v>1185</v>
      </c>
      <c r="D1179" s="5" t="s">
        <v>371</v>
      </c>
      <c r="E1179" s="5" t="s">
        <v>1185</v>
      </c>
    </row>
    <row r="1180">
      <c r="A1180" s="5">
        <v>8.92048752E9</v>
      </c>
      <c r="C1180" s="5" t="s">
        <v>1186</v>
      </c>
      <c r="D1180" s="5" t="s">
        <v>371</v>
      </c>
      <c r="E1180" s="5" t="s">
        <v>1186</v>
      </c>
    </row>
    <row r="1181">
      <c r="A1181" s="5">
        <v>9.896059501E9</v>
      </c>
      <c r="C1181" s="5" t="s">
        <v>169</v>
      </c>
      <c r="D1181" s="5" t="s">
        <v>371</v>
      </c>
      <c r="E1181" s="5" t="s">
        <v>169</v>
      </c>
    </row>
    <row r="1182">
      <c r="A1182" s="5">
        <v>9.958149785E9</v>
      </c>
      <c r="C1182" s="5" t="s">
        <v>569</v>
      </c>
      <c r="D1182" s="5" t="s">
        <v>371</v>
      </c>
      <c r="E1182" s="5" t="s">
        <v>569</v>
      </c>
    </row>
    <row r="1183">
      <c r="A1183" s="5">
        <v>8.267693002E9</v>
      </c>
      <c r="C1183" s="5" t="s">
        <v>1187</v>
      </c>
      <c r="D1183" s="5" t="s">
        <v>371</v>
      </c>
      <c r="E1183" s="5" t="s">
        <v>1187</v>
      </c>
    </row>
    <row r="1184">
      <c r="A1184" s="5">
        <v>2.0</v>
      </c>
      <c r="C1184" s="5" t="s">
        <v>1188</v>
      </c>
      <c r="D1184" s="5" t="s">
        <v>371</v>
      </c>
      <c r="E1184" s="5" t="s">
        <v>1188</v>
      </c>
    </row>
    <row r="1185">
      <c r="A1185" s="5">
        <v>5.253172E7</v>
      </c>
      <c r="C1185" s="5" t="s">
        <v>1189</v>
      </c>
      <c r="D1185" s="5" t="s">
        <v>371</v>
      </c>
      <c r="E1185" s="5" t="s">
        <v>1189</v>
      </c>
    </row>
    <row r="1186">
      <c r="A1186" s="5">
        <v>4.88017818E8</v>
      </c>
      <c r="C1186" s="5" t="s">
        <v>377</v>
      </c>
      <c r="D1186" s="5" t="s">
        <v>371</v>
      </c>
      <c r="E1186" s="5" t="s">
        <v>377</v>
      </c>
    </row>
    <row r="1187">
      <c r="A1187" s="5">
        <v>6.22130284E8</v>
      </c>
      <c r="C1187" s="5" t="s">
        <v>1190</v>
      </c>
      <c r="D1187" s="5" t="s">
        <v>371</v>
      </c>
      <c r="E1187" s="5" t="s">
        <v>1190</v>
      </c>
    </row>
    <row r="1188">
      <c r="A1188" s="5">
        <v>8.00503827E8</v>
      </c>
      <c r="C1188" s="5" t="s">
        <v>951</v>
      </c>
      <c r="D1188" s="5" t="s">
        <v>371</v>
      </c>
      <c r="E1188" s="5" t="s">
        <v>951</v>
      </c>
    </row>
    <row r="1189">
      <c r="A1189" s="5">
        <v>8.01080601E8</v>
      </c>
      <c r="C1189" s="5" t="s">
        <v>1191</v>
      </c>
      <c r="D1189" s="5" t="s">
        <v>371</v>
      </c>
      <c r="E1189" s="5" t="s">
        <v>1191</v>
      </c>
    </row>
    <row r="1190">
      <c r="A1190" s="5">
        <v>8.49190077E8</v>
      </c>
      <c r="C1190" s="5" t="s">
        <v>1192</v>
      </c>
      <c r="D1190" s="5" t="s">
        <v>371</v>
      </c>
      <c r="E1190" s="5" t="s">
        <v>1192</v>
      </c>
    </row>
    <row r="1191">
      <c r="A1191" s="5">
        <v>8.80299419E8</v>
      </c>
      <c r="C1191" s="5" t="s">
        <v>319</v>
      </c>
      <c r="D1191" s="5" t="s">
        <v>371</v>
      </c>
      <c r="E1191" s="5" t="s">
        <v>319</v>
      </c>
    </row>
    <row r="1192">
      <c r="A1192" s="5">
        <v>8.81016949E8</v>
      </c>
      <c r="C1192" s="5" t="s">
        <v>1193</v>
      </c>
      <c r="D1192" s="5" t="s">
        <v>371</v>
      </c>
      <c r="E1192" s="5" t="s">
        <v>1193</v>
      </c>
    </row>
    <row r="1193">
      <c r="A1193" s="5">
        <v>9.1105226E8</v>
      </c>
      <c r="C1193" s="5" t="s">
        <v>226</v>
      </c>
      <c r="D1193" s="5" t="s">
        <v>371</v>
      </c>
      <c r="E1193" s="5" t="s">
        <v>226</v>
      </c>
    </row>
    <row r="1194">
      <c r="A1194" s="5">
        <v>9.31005938E8</v>
      </c>
      <c r="C1194" s="5" t="s">
        <v>1194</v>
      </c>
      <c r="D1194" s="5" t="s">
        <v>371</v>
      </c>
      <c r="E1194" s="5" t="s">
        <v>1194</v>
      </c>
    </row>
    <row r="1195">
      <c r="A1195" s="5">
        <v>9.31224882E8</v>
      </c>
      <c r="C1195" s="5" t="s">
        <v>57</v>
      </c>
      <c r="D1195" s="5" t="s">
        <v>371</v>
      </c>
      <c r="E1195" s="5" t="s">
        <v>57</v>
      </c>
    </row>
    <row r="1196">
      <c r="A1196" s="5">
        <v>9.46473538E8</v>
      </c>
      <c r="C1196" s="5" t="s">
        <v>1195</v>
      </c>
      <c r="D1196" s="5" t="s">
        <v>371</v>
      </c>
      <c r="E1196" s="5" t="s">
        <v>1195</v>
      </c>
    </row>
    <row r="1197">
      <c r="A1197" s="5">
        <v>9.63705979E8</v>
      </c>
      <c r="C1197" s="5" t="s">
        <v>37</v>
      </c>
      <c r="D1197" s="5" t="s">
        <v>371</v>
      </c>
      <c r="E1197" s="5" t="s">
        <v>37</v>
      </c>
    </row>
    <row r="1198">
      <c r="A1198" s="5">
        <v>9.752609E8</v>
      </c>
      <c r="C1198" s="5" t="s">
        <v>1196</v>
      </c>
      <c r="D1198" s="5" t="s">
        <v>371</v>
      </c>
      <c r="E1198" s="5" t="s">
        <v>1196</v>
      </c>
    </row>
    <row r="1199">
      <c r="A1199" s="5">
        <v>9.81144932E8</v>
      </c>
      <c r="C1199" s="5" t="s">
        <v>437</v>
      </c>
      <c r="D1199" s="5" t="s">
        <v>371</v>
      </c>
      <c r="E1199" s="5" t="s">
        <v>437</v>
      </c>
    </row>
    <row r="1200">
      <c r="A1200" s="5">
        <v>9.81844411E8</v>
      </c>
      <c r="C1200" s="5" t="s">
        <v>1197</v>
      </c>
      <c r="D1200" s="5" t="s">
        <v>371</v>
      </c>
      <c r="E1200" s="5" t="s">
        <v>1197</v>
      </c>
    </row>
    <row r="1201">
      <c r="A1201" s="5">
        <v>9.82124854E8</v>
      </c>
      <c r="C1201" s="5" t="s">
        <v>437</v>
      </c>
      <c r="D1201" s="5" t="s">
        <v>371</v>
      </c>
      <c r="E1201" s="5" t="s">
        <v>437</v>
      </c>
    </row>
    <row r="1202">
      <c r="A1202" s="5">
        <v>9.86890813E8</v>
      </c>
      <c r="C1202" s="5" t="s">
        <v>1198</v>
      </c>
      <c r="D1202" s="5" t="s">
        <v>371</v>
      </c>
      <c r="E1202" s="5" t="s">
        <v>1198</v>
      </c>
    </row>
    <row r="1203">
      <c r="A1203" s="5">
        <v>9.89908112E8</v>
      </c>
      <c r="C1203" s="5" t="s">
        <v>1199</v>
      </c>
      <c r="D1203" s="5" t="s">
        <v>371</v>
      </c>
      <c r="E1203" s="5" t="s">
        <v>1199</v>
      </c>
    </row>
    <row r="1204">
      <c r="A1204" s="5">
        <v>9.89920043E8</v>
      </c>
      <c r="C1204" s="5" t="s">
        <v>752</v>
      </c>
      <c r="D1204" s="5" t="s">
        <v>371</v>
      </c>
      <c r="E1204" s="5" t="s">
        <v>752</v>
      </c>
    </row>
    <row r="1205">
      <c r="A1205" s="5">
        <v>9.91037832E8</v>
      </c>
      <c r="C1205" s="5" t="s">
        <v>1200</v>
      </c>
      <c r="D1205" s="5" t="s">
        <v>371</v>
      </c>
      <c r="E1205" s="5" t="s">
        <v>1200</v>
      </c>
    </row>
    <row r="1206">
      <c r="A1206" s="5">
        <v>9.91079727E8</v>
      </c>
      <c r="C1206" s="5" t="s">
        <v>230</v>
      </c>
      <c r="D1206" s="5" t="s">
        <v>371</v>
      </c>
      <c r="E1206" s="5" t="s">
        <v>230</v>
      </c>
    </row>
    <row r="1207">
      <c r="A1207" s="5">
        <v>9.91197333E8</v>
      </c>
      <c r="C1207" s="5" t="s">
        <v>1201</v>
      </c>
      <c r="D1207" s="5" t="s">
        <v>371</v>
      </c>
      <c r="E1207" s="5" t="s">
        <v>1201</v>
      </c>
    </row>
    <row r="1208">
      <c r="A1208" s="5">
        <v>9.92640208E8</v>
      </c>
      <c r="C1208" s="5" t="s">
        <v>135</v>
      </c>
      <c r="D1208" s="5" t="s">
        <v>371</v>
      </c>
      <c r="E1208" s="5" t="s">
        <v>135</v>
      </c>
    </row>
    <row r="1209">
      <c r="A1209" s="5">
        <v>9.95841483E8</v>
      </c>
      <c r="C1209" s="5" t="s">
        <v>125</v>
      </c>
      <c r="D1209" s="5" t="s">
        <v>371</v>
      </c>
      <c r="E1209" s="5" t="s">
        <v>125</v>
      </c>
    </row>
    <row r="1210">
      <c r="A1210" s="5">
        <v>9.99365851E8</v>
      </c>
      <c r="C1210" s="5" t="s">
        <v>593</v>
      </c>
      <c r="D1210" s="5" t="s">
        <v>371</v>
      </c>
      <c r="E1210" s="5" t="s">
        <v>593</v>
      </c>
    </row>
    <row r="1211">
      <c r="A1211" s="5">
        <v>9.99972828E8</v>
      </c>
      <c r="C1211" s="5" t="s">
        <v>1202</v>
      </c>
      <c r="D1211" s="5" t="s">
        <v>371</v>
      </c>
      <c r="E1211" s="5" t="s">
        <v>1202</v>
      </c>
    </row>
    <row r="1212">
      <c r="A1212" s="5">
        <v>9.99976925E8</v>
      </c>
      <c r="C1212" s="5" t="s">
        <v>167</v>
      </c>
      <c r="D1212" s="5" t="s">
        <v>371</v>
      </c>
      <c r="E1212" s="5" t="s">
        <v>167</v>
      </c>
    </row>
    <row r="1213">
      <c r="A1213" s="5">
        <v>9.11019947E8</v>
      </c>
      <c r="C1213" s="5" t="s">
        <v>1203</v>
      </c>
      <c r="D1213" s="5" t="s">
        <v>371</v>
      </c>
      <c r="E1213" s="5" t="s">
        <v>1203</v>
      </c>
    </row>
    <row r="1214">
      <c r="A1214" s="5">
        <v>4.08834834E8</v>
      </c>
      <c r="C1214" s="5" t="s">
        <v>745</v>
      </c>
      <c r="D1214" s="5" t="s">
        <v>371</v>
      </c>
      <c r="E1214" s="5" t="s">
        <v>745</v>
      </c>
    </row>
    <row r="1215">
      <c r="A1215" s="5">
        <v>6.94661111E8</v>
      </c>
      <c r="C1215" s="5" t="s">
        <v>631</v>
      </c>
      <c r="D1215" s="5" t="s">
        <v>371</v>
      </c>
      <c r="E1215" s="5" t="s">
        <v>631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75"/>
  </cols>
  <sheetData>
    <row r="1">
      <c r="A1" s="5" t="s">
        <v>0</v>
      </c>
      <c r="B1" s="5" t="s">
        <v>1204</v>
      </c>
      <c r="C1" s="5" t="s">
        <v>1205</v>
      </c>
      <c r="D1" s="5" t="s">
        <v>1206</v>
      </c>
      <c r="E1" s="5" t="s">
        <v>1207</v>
      </c>
      <c r="F1" s="5" t="s">
        <v>1208</v>
      </c>
    </row>
    <row r="2">
      <c r="A2" s="5">
        <v>9.811023449E9</v>
      </c>
      <c r="B2" s="6">
        <v>45284.589913668984</v>
      </c>
      <c r="C2" s="7">
        <v>69.0</v>
      </c>
      <c r="D2" s="5" t="s">
        <v>1209</v>
      </c>
      <c r="E2" s="5" t="s">
        <v>1210</v>
      </c>
      <c r="F2" s="5" t="s">
        <v>1211</v>
      </c>
    </row>
    <row r="3">
      <c r="A3" s="5">
        <v>9.610072943E9</v>
      </c>
      <c r="B3" s="6">
        <v>45284.653517604165</v>
      </c>
      <c r="C3" s="7">
        <v>1.0</v>
      </c>
      <c r="D3" s="5" t="s">
        <v>1209</v>
      </c>
      <c r="E3" s="5" t="s">
        <v>1210</v>
      </c>
      <c r="F3" s="5" t="s">
        <v>1212</v>
      </c>
    </row>
    <row r="4">
      <c r="A4" s="5">
        <v>7.042183683E9</v>
      </c>
      <c r="B4" s="6">
        <v>45284.65494628472</v>
      </c>
      <c r="C4" s="7">
        <v>1.0</v>
      </c>
      <c r="D4" s="5" t="s">
        <v>1209</v>
      </c>
      <c r="E4" s="5" t="s">
        <v>1210</v>
      </c>
      <c r="F4" s="5" t="s">
        <v>1211</v>
      </c>
    </row>
    <row r="5">
      <c r="A5" s="5">
        <v>9.810668596E9</v>
      </c>
      <c r="B5" s="6">
        <v>45284.66027451389</v>
      </c>
      <c r="C5" s="7">
        <v>1.0</v>
      </c>
      <c r="D5" s="5" t="s">
        <v>1209</v>
      </c>
      <c r="E5" s="5" t="s">
        <v>1210</v>
      </c>
      <c r="F5" s="5" t="s">
        <v>1212</v>
      </c>
    </row>
    <row r="6">
      <c r="A6" s="5">
        <v>8.1781488E9</v>
      </c>
      <c r="B6" s="6">
        <v>45284.66167179398</v>
      </c>
      <c r="C6" s="7">
        <v>137.0</v>
      </c>
      <c r="D6" s="5" t="s">
        <v>1209</v>
      </c>
      <c r="E6" s="5" t="s">
        <v>1210</v>
      </c>
      <c r="F6" s="5" t="s">
        <v>1211</v>
      </c>
    </row>
    <row r="7">
      <c r="A7" s="5">
        <v>9.953450909E9</v>
      </c>
      <c r="B7" s="6">
        <v>45284.798352858794</v>
      </c>
      <c r="C7" s="7">
        <v>137.0</v>
      </c>
      <c r="D7" s="5" t="s">
        <v>1209</v>
      </c>
      <c r="E7" s="5" t="s">
        <v>1210</v>
      </c>
      <c r="F7" s="5" t="s">
        <v>1211</v>
      </c>
    </row>
    <row r="8">
      <c r="A8" s="5">
        <v>8.700173741E9</v>
      </c>
      <c r="B8" s="6">
        <v>45284.826503634264</v>
      </c>
      <c r="C8" s="7">
        <v>679.0</v>
      </c>
      <c r="D8" s="5" t="s">
        <v>1209</v>
      </c>
      <c r="E8" s="5" t="s">
        <v>1210</v>
      </c>
      <c r="F8" s="5" t="s">
        <v>1211</v>
      </c>
    </row>
    <row r="9">
      <c r="A9" s="5">
        <v>9.311691012E9</v>
      </c>
      <c r="B9" s="6">
        <v>45284.82810510417</v>
      </c>
      <c r="C9" s="7">
        <v>204.0</v>
      </c>
      <c r="D9" s="5" t="s">
        <v>1209</v>
      </c>
      <c r="E9" s="5" t="s">
        <v>1210</v>
      </c>
      <c r="F9" s="5" t="s">
        <v>1211</v>
      </c>
    </row>
    <row r="10">
      <c r="A10" s="5">
        <v>9.810222843E9</v>
      </c>
      <c r="B10" s="6">
        <v>45286.70094918981</v>
      </c>
      <c r="C10" s="7">
        <v>1.0</v>
      </c>
      <c r="D10" s="5" t="s">
        <v>1209</v>
      </c>
      <c r="E10" s="5" t="s">
        <v>1210</v>
      </c>
      <c r="F10" s="5" t="s">
        <v>1212</v>
      </c>
    </row>
    <row r="11">
      <c r="A11" s="5">
        <v>9.82148915E9</v>
      </c>
      <c r="B11" s="6">
        <v>45286.7020274074</v>
      </c>
      <c r="C11" s="7">
        <v>1.0</v>
      </c>
      <c r="D11" s="5" t="s">
        <v>1209</v>
      </c>
      <c r="E11" s="5" t="s">
        <v>1210</v>
      </c>
      <c r="F11" s="5" t="s">
        <v>1211</v>
      </c>
    </row>
    <row r="12">
      <c r="A12" s="5">
        <v>9.810007503E9</v>
      </c>
      <c r="B12" s="6">
        <v>45286.703307268515</v>
      </c>
      <c r="C12" s="7">
        <v>68.0</v>
      </c>
      <c r="D12" s="5" t="s">
        <v>1213</v>
      </c>
      <c r="E12" s="5" t="s">
        <v>1210</v>
      </c>
      <c r="F12" s="5" t="s">
        <v>1212</v>
      </c>
    </row>
    <row r="13">
      <c r="A13" s="5">
        <v>9.873041853E9</v>
      </c>
      <c r="B13" s="6">
        <v>45286.70625836805</v>
      </c>
      <c r="C13" s="7">
        <v>267.0</v>
      </c>
      <c r="D13" s="5" t="s">
        <v>1213</v>
      </c>
      <c r="E13" s="5" t="s">
        <v>1210</v>
      </c>
      <c r="F13" s="5" t="s">
        <v>1211</v>
      </c>
    </row>
    <row r="14">
      <c r="A14" s="5">
        <v>9.9106033E9</v>
      </c>
      <c r="B14" s="6">
        <v>45287.71937539351</v>
      </c>
      <c r="C14" s="7">
        <v>1.0</v>
      </c>
      <c r="D14" s="5" t="s">
        <v>1209</v>
      </c>
      <c r="E14" s="5" t="s">
        <v>1210</v>
      </c>
      <c r="F14" s="5" t="s">
        <v>1212</v>
      </c>
    </row>
    <row r="15">
      <c r="A15" s="5">
        <v>9.560358448E9</v>
      </c>
      <c r="B15" s="6">
        <v>45287.72091509259</v>
      </c>
      <c r="C15" s="7">
        <v>1.0</v>
      </c>
      <c r="D15" s="5" t="s">
        <v>1209</v>
      </c>
      <c r="E15" s="5" t="s">
        <v>1210</v>
      </c>
    </row>
    <row r="16">
      <c r="A16" s="5">
        <v>8.882584436E9</v>
      </c>
      <c r="B16" s="6">
        <v>45287.77194773148</v>
      </c>
      <c r="C16" s="7">
        <v>1.0</v>
      </c>
      <c r="D16" s="5" t="s">
        <v>1209</v>
      </c>
      <c r="E16" s="5" t="s">
        <v>1210</v>
      </c>
      <c r="F16" s="5" t="s">
        <v>1211</v>
      </c>
    </row>
    <row r="17">
      <c r="A17" s="5">
        <v>9.21232777E9</v>
      </c>
      <c r="B17" s="6">
        <v>45287.80258584491</v>
      </c>
      <c r="C17" s="7">
        <v>1.0</v>
      </c>
      <c r="D17" s="5" t="s">
        <v>1209</v>
      </c>
      <c r="E17" s="5" t="s">
        <v>1210</v>
      </c>
    </row>
    <row r="18">
      <c r="A18" s="5">
        <v>9.212674929E9</v>
      </c>
      <c r="B18" s="6">
        <v>45288.67011466435</v>
      </c>
      <c r="C18" s="7">
        <v>69.0</v>
      </c>
      <c r="D18" s="5" t="s">
        <v>1209</v>
      </c>
      <c r="E18" s="5" t="s">
        <v>1210</v>
      </c>
      <c r="F18" s="5" t="s">
        <v>1211</v>
      </c>
    </row>
    <row r="19">
      <c r="A19" s="5">
        <v>8.800939462E9</v>
      </c>
      <c r="B19" s="6">
        <v>45288.76570982639</v>
      </c>
      <c r="C19" s="7">
        <v>402.0</v>
      </c>
      <c r="D19" s="5" t="s">
        <v>1213</v>
      </c>
      <c r="E19" s="5" t="s">
        <v>1210</v>
      </c>
      <c r="F19" s="5" t="s">
        <v>1211</v>
      </c>
    </row>
    <row r="20">
      <c r="A20" s="5">
        <v>9.999728283E9</v>
      </c>
      <c r="B20" s="6">
        <v>45288.782954016206</v>
      </c>
      <c r="C20" s="7">
        <v>530.0</v>
      </c>
      <c r="D20" s="5" t="s">
        <v>1213</v>
      </c>
      <c r="E20" s="5" t="s">
        <v>1210</v>
      </c>
      <c r="F20" s="5" t="s">
        <v>1211</v>
      </c>
    </row>
    <row r="21">
      <c r="A21" s="5">
        <v>9.958950595E9</v>
      </c>
      <c r="B21" s="6">
        <v>45288.78442914352</v>
      </c>
      <c r="C21" s="7">
        <v>1.0</v>
      </c>
      <c r="D21" s="5" t="s">
        <v>1209</v>
      </c>
      <c r="E21" s="5" t="s">
        <v>1210</v>
      </c>
      <c r="F21" s="5" t="s">
        <v>1212</v>
      </c>
    </row>
    <row r="22">
      <c r="A22" s="5">
        <v>7.021183656E9</v>
      </c>
      <c r="B22" s="6">
        <v>45288.80139440972</v>
      </c>
      <c r="C22" s="7">
        <v>1.0</v>
      </c>
      <c r="D22" s="5" t="s">
        <v>1209</v>
      </c>
      <c r="E22" s="5" t="s">
        <v>1210</v>
      </c>
      <c r="F22" s="5" t="s">
        <v>1211</v>
      </c>
    </row>
    <row r="23">
      <c r="A23" s="5">
        <v>9.818926253E9</v>
      </c>
      <c r="B23" s="6">
        <v>45288.802339629634</v>
      </c>
      <c r="C23" s="7">
        <v>1.0</v>
      </c>
      <c r="D23" s="5" t="s">
        <v>1209</v>
      </c>
      <c r="E23" s="5" t="s">
        <v>1210</v>
      </c>
      <c r="F23" s="5" t="s">
        <v>1211</v>
      </c>
    </row>
    <row r="24">
      <c r="A24" s="5">
        <v>8.860741616E9</v>
      </c>
      <c r="B24" s="6">
        <v>45289.73327679398</v>
      </c>
      <c r="C24" s="7">
        <v>738.0</v>
      </c>
      <c r="D24" s="5" t="s">
        <v>1213</v>
      </c>
      <c r="E24" s="5" t="s">
        <v>1210</v>
      </c>
      <c r="F24" s="5" t="s">
        <v>1211</v>
      </c>
    </row>
    <row r="25">
      <c r="A25" s="5">
        <v>7.011729202E9</v>
      </c>
      <c r="B25" s="6">
        <v>45289.74173136574</v>
      </c>
      <c r="C25" s="7">
        <v>1.0</v>
      </c>
      <c r="D25" s="5" t="s">
        <v>1209</v>
      </c>
      <c r="E25" s="5" t="s">
        <v>1210</v>
      </c>
    </row>
    <row r="26">
      <c r="A26" s="5">
        <v>8.860590814E9</v>
      </c>
      <c r="B26" s="6">
        <v>45289.74856206018</v>
      </c>
      <c r="C26" s="7">
        <v>205.0</v>
      </c>
      <c r="D26" s="5" t="s">
        <v>1209</v>
      </c>
      <c r="E26" s="5" t="s">
        <v>1210</v>
      </c>
      <c r="F26" s="5" t="s">
        <v>1211</v>
      </c>
    </row>
    <row r="27">
      <c r="A27" s="5">
        <v>9.650745331E9</v>
      </c>
      <c r="B27" s="6">
        <v>45289.78883543982</v>
      </c>
      <c r="C27" s="7">
        <v>1.0</v>
      </c>
      <c r="D27" s="5" t="s">
        <v>1209</v>
      </c>
      <c r="E27" s="5" t="s">
        <v>1210</v>
      </c>
      <c r="F27" s="5" t="s">
        <v>1212</v>
      </c>
    </row>
    <row r="28">
      <c r="A28" s="5">
        <v>8.974251308E9</v>
      </c>
      <c r="B28" s="6">
        <v>45290.53474510417</v>
      </c>
      <c r="C28" s="7">
        <v>135.0</v>
      </c>
      <c r="D28" s="5" t="s">
        <v>1209</v>
      </c>
      <c r="E28" s="5" t="s">
        <v>1210</v>
      </c>
      <c r="F28" s="5" t="s">
        <v>1212</v>
      </c>
    </row>
    <row r="29">
      <c r="A29" s="5">
        <v>9.81077575E9</v>
      </c>
      <c r="B29" s="6">
        <v>45290.67956762732</v>
      </c>
      <c r="C29" s="7">
        <v>136.0</v>
      </c>
      <c r="D29" s="5" t="s">
        <v>1209</v>
      </c>
      <c r="E29" s="5" t="s">
        <v>1210</v>
      </c>
      <c r="F29" s="5" t="s">
        <v>1211</v>
      </c>
    </row>
    <row r="30">
      <c r="A30" s="5">
        <v>2.122710187E9</v>
      </c>
      <c r="B30" s="6">
        <v>45290.68137435185</v>
      </c>
      <c r="C30" s="7">
        <v>1.0</v>
      </c>
      <c r="D30" s="5" t="s">
        <v>1209</v>
      </c>
      <c r="E30" s="5" t="s">
        <v>1210</v>
      </c>
      <c r="F30" s="5" t="s">
        <v>1211</v>
      </c>
    </row>
    <row r="31">
      <c r="A31" s="5">
        <v>9.811172888E9</v>
      </c>
      <c r="B31" s="6">
        <v>45290.77260210648</v>
      </c>
      <c r="C31" s="7">
        <v>1.0</v>
      </c>
      <c r="D31" s="5" t="s">
        <v>1209</v>
      </c>
      <c r="E31" s="5" t="s">
        <v>1210</v>
      </c>
      <c r="F31" s="5" t="s">
        <v>1211</v>
      </c>
    </row>
    <row r="32">
      <c r="A32" s="5">
        <v>9.818668439E9</v>
      </c>
      <c r="B32" s="6">
        <v>45290.78080778936</v>
      </c>
      <c r="C32" s="7">
        <v>1.0</v>
      </c>
      <c r="D32" s="5" t="s">
        <v>1209</v>
      </c>
      <c r="E32" s="5" t="s">
        <v>1210</v>
      </c>
    </row>
    <row r="33">
      <c r="A33" s="5">
        <v>9.818926153E9</v>
      </c>
      <c r="B33" s="6">
        <v>45291.69340123843</v>
      </c>
      <c r="C33" s="7">
        <v>1.0</v>
      </c>
      <c r="D33" s="5" t="s">
        <v>1209</v>
      </c>
      <c r="E33" s="5" t="s">
        <v>1210</v>
      </c>
      <c r="F33" s="5" t="s">
        <v>1211</v>
      </c>
    </row>
    <row r="34">
      <c r="A34" s="5">
        <v>9.81880272E9</v>
      </c>
      <c r="B34" s="6">
        <v>45291.69438215278</v>
      </c>
      <c r="C34" s="7">
        <v>203.0</v>
      </c>
      <c r="D34" s="5" t="s">
        <v>1213</v>
      </c>
      <c r="E34" s="5" t="s">
        <v>1210</v>
      </c>
      <c r="F34" s="5" t="s">
        <v>1212</v>
      </c>
    </row>
    <row r="35">
      <c r="A35" s="5">
        <v>9.811488999E9</v>
      </c>
      <c r="B35" s="6">
        <v>45291.69560637731</v>
      </c>
      <c r="C35" s="7">
        <v>1.0</v>
      </c>
      <c r="D35" s="5" t="s">
        <v>1209</v>
      </c>
      <c r="E35" s="5" t="s">
        <v>1210</v>
      </c>
      <c r="F35" s="5" t="s">
        <v>1211</v>
      </c>
    </row>
    <row r="36">
      <c r="A36" s="5">
        <v>9.811795829E9</v>
      </c>
      <c r="B36" s="6">
        <v>45293.78131431713</v>
      </c>
      <c r="C36" s="7">
        <v>69.0</v>
      </c>
      <c r="D36" s="5" t="s">
        <v>1209</v>
      </c>
      <c r="E36" s="5" t="s">
        <v>1210</v>
      </c>
      <c r="F36" s="5" t="s">
        <v>1211</v>
      </c>
    </row>
    <row r="37">
      <c r="A37" s="5">
        <v>8.860211768E9</v>
      </c>
      <c r="B37" s="6">
        <v>45293.782149907405</v>
      </c>
      <c r="C37" s="7">
        <v>1.0</v>
      </c>
      <c r="D37" s="5" t="s">
        <v>1209</v>
      </c>
      <c r="E37" s="5" t="s">
        <v>1210</v>
      </c>
    </row>
    <row r="38">
      <c r="A38" s="5">
        <v>8.826313399E9</v>
      </c>
      <c r="B38" s="6">
        <v>45294.67071131944</v>
      </c>
      <c r="C38" s="7">
        <v>135.0</v>
      </c>
      <c r="D38" s="5" t="s">
        <v>1209</v>
      </c>
      <c r="E38" s="5" t="s">
        <v>1210</v>
      </c>
      <c r="F38" s="5" t="s">
        <v>1212</v>
      </c>
    </row>
    <row r="39">
      <c r="A39" s="5">
        <v>9.810100011E9</v>
      </c>
      <c r="B39" s="6">
        <v>45294.81035994213</v>
      </c>
      <c r="C39" s="7">
        <v>135.0</v>
      </c>
      <c r="D39" s="5" t="s">
        <v>1213</v>
      </c>
      <c r="E39" s="5" t="s">
        <v>1210</v>
      </c>
      <c r="F39" s="5" t="s">
        <v>1211</v>
      </c>
    </row>
    <row r="40">
      <c r="A40" s="5">
        <v>8.920285128E9</v>
      </c>
      <c r="B40" s="6">
        <v>45295.67432399305</v>
      </c>
      <c r="C40" s="7">
        <v>1.0</v>
      </c>
      <c r="D40" s="5" t="s">
        <v>1209</v>
      </c>
      <c r="E40" s="5" t="s">
        <v>1210</v>
      </c>
      <c r="F40" s="5" t="s">
        <v>1211</v>
      </c>
    </row>
    <row r="41">
      <c r="A41" s="5">
        <v>8.920731234E9</v>
      </c>
      <c r="B41" s="6">
        <v>45295.76565918981</v>
      </c>
      <c r="C41" s="7">
        <v>68.0</v>
      </c>
      <c r="D41" s="5" t="s">
        <v>1213</v>
      </c>
      <c r="E41" s="5" t="s">
        <v>1210</v>
      </c>
      <c r="F41" s="5" t="s">
        <v>1212</v>
      </c>
    </row>
    <row r="42">
      <c r="A42" s="5">
        <v>7.053000572E9</v>
      </c>
      <c r="B42" s="6">
        <v>45296.77452090278</v>
      </c>
      <c r="C42" s="7">
        <v>69.0</v>
      </c>
      <c r="D42" s="5" t="s">
        <v>1209</v>
      </c>
      <c r="E42" s="5" t="s">
        <v>1210</v>
      </c>
      <c r="F42" s="5" t="s">
        <v>1211</v>
      </c>
    </row>
    <row r="43">
      <c r="A43" s="5">
        <v>9.582588575E9</v>
      </c>
      <c r="B43" s="6">
        <v>45296.77572989583</v>
      </c>
      <c r="C43" s="7">
        <v>1.0</v>
      </c>
      <c r="D43" s="5" t="s">
        <v>1209</v>
      </c>
      <c r="E43" s="5" t="s">
        <v>1210</v>
      </c>
    </row>
    <row r="44">
      <c r="A44" s="5">
        <v>9.999882673E9</v>
      </c>
      <c r="B44" s="6">
        <v>45296.802358553236</v>
      </c>
      <c r="C44" s="7">
        <v>1.0</v>
      </c>
      <c r="D44" s="5" t="s">
        <v>1209</v>
      </c>
      <c r="E44" s="5" t="s">
        <v>1210</v>
      </c>
      <c r="F44" s="5" t="s">
        <v>1212</v>
      </c>
    </row>
    <row r="45">
      <c r="A45" s="5">
        <v>7.390880818E9</v>
      </c>
      <c r="B45" s="6">
        <v>45297.64062337963</v>
      </c>
      <c r="C45" s="7">
        <v>1.0</v>
      </c>
      <c r="D45" s="5" t="s">
        <v>1209</v>
      </c>
      <c r="E45" s="5" t="s">
        <v>1210</v>
      </c>
      <c r="F45" s="5" t="s">
        <v>1212</v>
      </c>
    </row>
    <row r="46">
      <c r="A46" s="5">
        <v>8.929184477E9</v>
      </c>
      <c r="B46" s="6">
        <v>45297.64202353009</v>
      </c>
      <c r="C46" s="7">
        <v>1.0</v>
      </c>
      <c r="D46" s="5" t="s">
        <v>1209</v>
      </c>
      <c r="E46" s="5" t="s">
        <v>1210</v>
      </c>
      <c r="F46" s="5" t="s">
        <v>1211</v>
      </c>
    </row>
    <row r="47">
      <c r="A47" s="5">
        <v>9.971389387E9</v>
      </c>
      <c r="B47" s="6">
        <v>45297.64357185185</v>
      </c>
      <c r="C47" s="7">
        <v>69.0</v>
      </c>
      <c r="D47" s="5" t="s">
        <v>1209</v>
      </c>
      <c r="E47" s="5" t="s">
        <v>1210</v>
      </c>
    </row>
    <row r="48">
      <c r="A48" s="5">
        <v>9.21317156E9</v>
      </c>
      <c r="B48" s="6">
        <v>45297.644990995366</v>
      </c>
      <c r="C48" s="7">
        <v>1.0</v>
      </c>
      <c r="D48" s="5" t="s">
        <v>1209</v>
      </c>
      <c r="E48" s="5" t="s">
        <v>1210</v>
      </c>
    </row>
    <row r="49">
      <c r="A49" s="5">
        <v>8.587085269E9</v>
      </c>
      <c r="B49" s="6">
        <v>45297.76428887731</v>
      </c>
      <c r="C49" s="7">
        <v>1.0</v>
      </c>
      <c r="D49" s="5" t="s">
        <v>1209</v>
      </c>
      <c r="E49" s="5" t="s">
        <v>1210</v>
      </c>
    </row>
    <row r="50">
      <c r="A50" s="5">
        <v>9.818756677E9</v>
      </c>
      <c r="B50" s="6">
        <v>45297.76578094908</v>
      </c>
      <c r="C50" s="7">
        <v>1.0</v>
      </c>
      <c r="D50" s="5" t="s">
        <v>1209</v>
      </c>
      <c r="E50" s="5" t="s">
        <v>1210</v>
      </c>
    </row>
    <row r="51">
      <c r="A51" s="5">
        <v>9.868120901E9</v>
      </c>
      <c r="B51" s="6">
        <v>45298.760306956014</v>
      </c>
      <c r="C51" s="7">
        <v>1.0</v>
      </c>
      <c r="D51" s="5" t="s">
        <v>1209</v>
      </c>
      <c r="E51" s="5" t="s">
        <v>1210</v>
      </c>
    </row>
    <row r="52">
      <c r="A52" s="5">
        <v>9.525203641E9</v>
      </c>
      <c r="B52" s="6">
        <v>45298.76515759259</v>
      </c>
      <c r="C52" s="7">
        <v>1.0</v>
      </c>
      <c r="D52" s="5" t="s">
        <v>1209</v>
      </c>
      <c r="E52" s="5" t="s">
        <v>1210</v>
      </c>
      <c r="F52" s="5" t="s">
        <v>1212</v>
      </c>
    </row>
    <row r="53">
      <c r="A53" s="5">
        <v>9.999507907E9</v>
      </c>
      <c r="B53" s="6">
        <v>45298.766068275465</v>
      </c>
      <c r="C53" s="7">
        <v>1.0</v>
      </c>
      <c r="D53" s="5" t="s">
        <v>1209</v>
      </c>
      <c r="E53" s="5" t="s">
        <v>1210</v>
      </c>
      <c r="F53" s="5" t="s">
        <v>1211</v>
      </c>
    </row>
    <row r="54">
      <c r="A54" s="5">
        <v>9.643705979E9</v>
      </c>
      <c r="B54" s="6">
        <v>45298.773632488424</v>
      </c>
      <c r="C54" s="7">
        <v>137.0</v>
      </c>
      <c r="D54" s="5" t="s">
        <v>1209</v>
      </c>
      <c r="E54" s="5" t="s">
        <v>1210</v>
      </c>
      <c r="F54" s="5" t="s">
        <v>1211</v>
      </c>
    </row>
    <row r="55">
      <c r="A55" s="5">
        <v>9.312229038E9</v>
      </c>
      <c r="B55" s="6">
        <v>45298.80313747685</v>
      </c>
      <c r="C55" s="7">
        <v>1.0</v>
      </c>
      <c r="D55" s="5" t="s">
        <v>1209</v>
      </c>
      <c r="E55" s="5" t="s">
        <v>1210</v>
      </c>
      <c r="F55" s="5" t="s">
        <v>1212</v>
      </c>
    </row>
    <row r="56">
      <c r="A56" s="5">
        <v>9.886328522E9</v>
      </c>
      <c r="B56" s="6">
        <v>45298.822281458335</v>
      </c>
      <c r="C56" s="7">
        <v>1.0</v>
      </c>
      <c r="D56" s="5" t="s">
        <v>1209</v>
      </c>
      <c r="E56" s="5" t="s">
        <v>1210</v>
      </c>
      <c r="F56" s="5" t="s">
        <v>1211</v>
      </c>
    </row>
    <row r="57">
      <c r="A57" s="5">
        <v>9.654141505E9</v>
      </c>
      <c r="B57" s="6">
        <v>45298.824689050925</v>
      </c>
      <c r="C57" s="7">
        <v>203.0</v>
      </c>
      <c r="D57" s="5" t="s">
        <v>1213</v>
      </c>
      <c r="E57" s="5" t="s">
        <v>1210</v>
      </c>
      <c r="F57" s="5" t="s">
        <v>1211</v>
      </c>
    </row>
    <row r="58">
      <c r="A58" s="5">
        <v>9.818802702E9</v>
      </c>
      <c r="B58" s="6">
        <v>45300.738871064816</v>
      </c>
      <c r="C58" s="7">
        <v>1.0</v>
      </c>
      <c r="D58" s="5" t="s">
        <v>1209</v>
      </c>
      <c r="E58" s="5" t="s">
        <v>1210</v>
      </c>
    </row>
    <row r="59">
      <c r="A59" s="5">
        <v>9.56034111E9</v>
      </c>
      <c r="B59" s="6">
        <v>45300.74003880787</v>
      </c>
      <c r="C59" s="7">
        <v>69.0</v>
      </c>
      <c r="D59" s="5" t="s">
        <v>1209</v>
      </c>
      <c r="E59" s="5" t="s">
        <v>1210</v>
      </c>
      <c r="F59" s="5" t="s">
        <v>1212</v>
      </c>
    </row>
    <row r="60">
      <c r="A60" s="5">
        <v>7.021020509E9</v>
      </c>
      <c r="B60" s="6">
        <v>45300.7410861574</v>
      </c>
      <c r="C60" s="7">
        <v>1.0</v>
      </c>
      <c r="D60" s="5" t="s">
        <v>1209</v>
      </c>
      <c r="E60" s="5" t="s">
        <v>1210</v>
      </c>
      <c r="F60" s="5" t="s">
        <v>1211</v>
      </c>
    </row>
    <row r="61">
      <c r="A61" s="5">
        <v>9.711428669E9</v>
      </c>
      <c r="B61" s="6">
        <v>45301.75851650463</v>
      </c>
      <c r="C61" s="7">
        <v>1.0</v>
      </c>
      <c r="D61" s="5" t="s">
        <v>1209</v>
      </c>
      <c r="E61" s="5" t="s">
        <v>1210</v>
      </c>
      <c r="F61" s="5" t="s">
        <v>1212</v>
      </c>
    </row>
    <row r="62">
      <c r="A62" s="5">
        <v>9.743705979E9</v>
      </c>
      <c r="B62" s="6">
        <v>45301.76203751157</v>
      </c>
      <c r="C62" s="7">
        <v>1.0</v>
      </c>
      <c r="D62" s="5" t="s">
        <v>1209</v>
      </c>
      <c r="E62" s="5" t="s">
        <v>1210</v>
      </c>
    </row>
    <row r="63">
      <c r="A63" s="5">
        <v>9.821136219E9</v>
      </c>
      <c r="B63" s="6">
        <v>45301.7630774537</v>
      </c>
      <c r="C63" s="7">
        <v>69.0</v>
      </c>
      <c r="D63" s="5" t="s">
        <v>1209</v>
      </c>
      <c r="E63" s="5" t="s">
        <v>1210</v>
      </c>
    </row>
    <row r="64">
      <c r="A64" s="5">
        <v>9.810068111E9</v>
      </c>
      <c r="B64" s="6">
        <v>45302.77454033565</v>
      </c>
      <c r="C64" s="7">
        <v>1.0</v>
      </c>
      <c r="D64" s="5" t="s">
        <v>1209</v>
      </c>
      <c r="E64" s="5" t="s">
        <v>1210</v>
      </c>
      <c r="F64" s="5" t="s">
        <v>1212</v>
      </c>
    </row>
    <row r="65">
      <c r="A65" s="5">
        <v>1.488017818E9</v>
      </c>
      <c r="B65" s="6">
        <v>45302.77574606481</v>
      </c>
      <c r="C65" s="7">
        <v>1.0</v>
      </c>
      <c r="D65" s="5" t="s">
        <v>1209</v>
      </c>
      <c r="E65" s="5" t="s">
        <v>1210</v>
      </c>
      <c r="F65" s="5" t="s">
        <v>1212</v>
      </c>
    </row>
    <row r="66">
      <c r="A66" s="5">
        <v>9.89922268E9</v>
      </c>
      <c r="B66" s="6">
        <v>45302.77721719907</v>
      </c>
      <c r="C66" s="7">
        <v>1.0</v>
      </c>
      <c r="D66" s="5" t="s">
        <v>1209</v>
      </c>
      <c r="E66" s="5" t="s">
        <v>1210</v>
      </c>
      <c r="F66" s="5" t="s">
        <v>1212</v>
      </c>
    </row>
    <row r="67">
      <c r="A67" s="5">
        <v>9.11019947E8</v>
      </c>
      <c r="B67" s="6">
        <v>45302.80746491898</v>
      </c>
      <c r="C67" s="7">
        <v>1.0</v>
      </c>
      <c r="D67" s="5" t="s">
        <v>1209</v>
      </c>
      <c r="E67" s="5" t="s">
        <v>1210</v>
      </c>
      <c r="F67" s="5" t="s">
        <v>1211</v>
      </c>
    </row>
    <row r="68">
      <c r="A68" s="5">
        <v>9.711216574E9</v>
      </c>
      <c r="B68" s="6">
        <v>45302.808311064815</v>
      </c>
      <c r="C68" s="7">
        <v>1.0</v>
      </c>
      <c r="D68" s="5" t="s">
        <v>1209</v>
      </c>
      <c r="E68" s="5" t="s">
        <v>1210</v>
      </c>
      <c r="F68" s="5" t="s">
        <v>1212</v>
      </c>
    </row>
    <row r="69">
      <c r="A69" s="5">
        <v>8.010046101E9</v>
      </c>
      <c r="B69" s="6">
        <v>45303.77224979167</v>
      </c>
      <c r="C69" s="7">
        <v>136.0</v>
      </c>
      <c r="D69" s="5" t="s">
        <v>1209</v>
      </c>
      <c r="E69" s="5" t="s">
        <v>1210</v>
      </c>
      <c r="F69" s="5" t="s">
        <v>1212</v>
      </c>
    </row>
    <row r="70">
      <c r="A70" s="5">
        <v>9.780560701E9</v>
      </c>
      <c r="B70" s="6">
        <v>45304.747411550925</v>
      </c>
      <c r="C70" s="7">
        <v>1.0</v>
      </c>
      <c r="D70" s="5" t="s">
        <v>1209</v>
      </c>
      <c r="E70" s="5" t="s">
        <v>1210</v>
      </c>
      <c r="F70" s="5" t="s">
        <v>1211</v>
      </c>
    </row>
    <row r="71">
      <c r="A71" s="5">
        <v>8.700909391E9</v>
      </c>
      <c r="B71" s="6">
        <v>45304.748456967594</v>
      </c>
      <c r="C71" s="7">
        <v>1.0</v>
      </c>
      <c r="D71" s="5" t="s">
        <v>1209</v>
      </c>
      <c r="E71" s="5" t="s">
        <v>1210</v>
      </c>
      <c r="F71" s="5" t="s">
        <v>1212</v>
      </c>
    </row>
    <row r="72">
      <c r="A72" s="5">
        <v>8.860036737E9</v>
      </c>
      <c r="B72" s="6">
        <v>45304.74926564815</v>
      </c>
      <c r="C72" s="7">
        <v>1.0</v>
      </c>
      <c r="D72" s="5" t="s">
        <v>1209</v>
      </c>
      <c r="E72" s="5" t="s">
        <v>1210</v>
      </c>
      <c r="F72" s="5" t="s">
        <v>1211</v>
      </c>
    </row>
    <row r="73">
      <c r="A73" s="5">
        <v>7.385216713E9</v>
      </c>
      <c r="B73" s="6">
        <v>45305.75186694444</v>
      </c>
      <c r="C73" s="7">
        <v>1.0</v>
      </c>
      <c r="D73" s="5" t="s">
        <v>1209</v>
      </c>
      <c r="E73" s="5" t="s">
        <v>1210</v>
      </c>
      <c r="F73" s="5" t="s">
        <v>1211</v>
      </c>
    </row>
    <row r="74">
      <c r="A74" s="5">
        <v>9.810337136E9</v>
      </c>
      <c r="B74" s="6">
        <v>45305.752595555554</v>
      </c>
      <c r="C74" s="7">
        <v>1.0</v>
      </c>
      <c r="D74" s="5" t="s">
        <v>1209</v>
      </c>
      <c r="E74" s="5" t="s">
        <v>1210</v>
      </c>
      <c r="F74" s="5" t="s">
        <v>1212</v>
      </c>
    </row>
    <row r="75">
      <c r="A75" s="5">
        <v>9.899442938E9</v>
      </c>
      <c r="B75" s="6">
        <v>45305.75386645833</v>
      </c>
      <c r="C75" s="7">
        <v>1.0</v>
      </c>
      <c r="D75" s="5" t="s">
        <v>1209</v>
      </c>
      <c r="E75" s="5" t="s">
        <v>1210</v>
      </c>
    </row>
    <row r="76">
      <c r="A76" s="5">
        <v>9.811448932E9</v>
      </c>
      <c r="B76" s="6">
        <v>45305.81436773148</v>
      </c>
      <c r="C76" s="7">
        <v>1.0</v>
      </c>
      <c r="D76" s="5" t="s">
        <v>1209</v>
      </c>
      <c r="E76" s="5" t="s">
        <v>1210</v>
      </c>
      <c r="F76" s="5" t="s">
        <v>1212</v>
      </c>
    </row>
    <row r="77">
      <c r="A77" s="5">
        <v>9.810857727E9</v>
      </c>
      <c r="B77" s="6">
        <v>45305.81533745371</v>
      </c>
      <c r="C77" s="7">
        <v>68.0</v>
      </c>
      <c r="D77" s="5" t="s">
        <v>1209</v>
      </c>
      <c r="E77" s="5" t="s">
        <v>1210</v>
      </c>
      <c r="F77" s="5" t="s">
        <v>1212</v>
      </c>
    </row>
    <row r="78">
      <c r="A78" s="5">
        <v>9.999446004E9</v>
      </c>
      <c r="B78" s="6">
        <v>45307.76233760417</v>
      </c>
      <c r="C78" s="7">
        <v>1.0</v>
      </c>
      <c r="D78" s="5" t="s">
        <v>1209</v>
      </c>
      <c r="E78" s="5" t="s">
        <v>1210</v>
      </c>
      <c r="F78" s="5" t="s">
        <v>1211</v>
      </c>
    </row>
    <row r="79">
      <c r="A79" s="5">
        <v>9.319319976E9</v>
      </c>
      <c r="B79" s="6">
        <v>45308.75525844908</v>
      </c>
      <c r="C79" s="7">
        <v>1.0</v>
      </c>
      <c r="D79" s="5" t="s">
        <v>1209</v>
      </c>
      <c r="E79" s="5" t="s">
        <v>1210</v>
      </c>
      <c r="F79" s="5" t="s">
        <v>1212</v>
      </c>
    </row>
    <row r="80">
      <c r="A80" s="5">
        <v>8.59224619E9</v>
      </c>
      <c r="B80" s="6">
        <v>45308.778058275464</v>
      </c>
      <c r="C80" s="7">
        <v>1.0</v>
      </c>
      <c r="D80" s="5" t="s">
        <v>1209</v>
      </c>
      <c r="E80" s="5" t="s">
        <v>1210</v>
      </c>
      <c r="F80" s="5" t="s">
        <v>1212</v>
      </c>
    </row>
    <row r="81">
      <c r="A81" s="5">
        <v>9.820731234E9</v>
      </c>
      <c r="B81" s="6">
        <v>45308.805003368056</v>
      </c>
      <c r="C81" s="7">
        <v>1.0</v>
      </c>
      <c r="D81" s="5" t="s">
        <v>1209</v>
      </c>
      <c r="E81" s="5" t="s">
        <v>1210</v>
      </c>
    </row>
    <row r="82">
      <c r="A82" s="5">
        <v>9.971989789E9</v>
      </c>
      <c r="B82" s="6">
        <v>45309.784350856484</v>
      </c>
      <c r="C82" s="7">
        <v>1.0</v>
      </c>
      <c r="D82" s="5" t="s">
        <v>1209</v>
      </c>
      <c r="E82" s="5" t="s">
        <v>1210</v>
      </c>
      <c r="F82" s="5" t="s">
        <v>1212</v>
      </c>
    </row>
    <row r="83">
      <c r="A83" s="5">
        <v>5.92246219E9</v>
      </c>
      <c r="B83" s="6">
        <v>45309.78554482639</v>
      </c>
      <c r="C83" s="7">
        <v>1.0</v>
      </c>
      <c r="D83" s="5" t="s">
        <v>1209</v>
      </c>
      <c r="E83" s="5" t="s">
        <v>1210</v>
      </c>
      <c r="F83" s="5" t="s">
        <v>1212</v>
      </c>
    </row>
    <row r="84">
      <c r="A84" s="5">
        <v>9.560915533E9</v>
      </c>
      <c r="B84" s="6">
        <v>45310.78584300926</v>
      </c>
      <c r="C84" s="7">
        <v>136.0</v>
      </c>
      <c r="D84" s="5" t="s">
        <v>1209</v>
      </c>
      <c r="E84" s="5" t="s">
        <v>1210</v>
      </c>
      <c r="F84" s="5" t="s">
        <v>1212</v>
      </c>
    </row>
    <row r="85">
      <c r="A85" s="5">
        <v>8.218058775E9</v>
      </c>
      <c r="B85" s="6">
        <v>45311.76602185185</v>
      </c>
      <c r="C85" s="7">
        <v>1.0</v>
      </c>
      <c r="D85" s="5" t="s">
        <v>1209</v>
      </c>
      <c r="E85" s="5" t="s">
        <v>1210</v>
      </c>
      <c r="F85" s="5" t="s">
        <v>1211</v>
      </c>
    </row>
    <row r="86">
      <c r="A86" s="5">
        <v>9.891143023E9</v>
      </c>
      <c r="B86" s="6">
        <v>45312.792758310185</v>
      </c>
      <c r="C86" s="7">
        <v>1.0</v>
      </c>
      <c r="D86" s="5" t="s">
        <v>1209</v>
      </c>
      <c r="E86" s="5" t="s">
        <v>1210</v>
      </c>
      <c r="F86" s="5" t="s">
        <v>1212</v>
      </c>
    </row>
    <row r="87">
      <c r="A87" s="5">
        <v>8.375933947E9</v>
      </c>
      <c r="B87" s="6">
        <v>45312.79392561343</v>
      </c>
      <c r="C87" s="7">
        <v>203.0</v>
      </c>
      <c r="D87" s="5" t="s">
        <v>1209</v>
      </c>
      <c r="E87" s="5" t="s">
        <v>1210</v>
      </c>
      <c r="F87" s="5" t="s">
        <v>1212</v>
      </c>
    </row>
    <row r="88">
      <c r="A88" s="5">
        <v>7.83840825E9</v>
      </c>
      <c r="B88" s="6">
        <v>45312.81749888889</v>
      </c>
      <c r="C88" s="7">
        <v>1.0</v>
      </c>
      <c r="D88" s="5" t="s">
        <v>1209</v>
      </c>
      <c r="E88" s="5" t="s">
        <v>1210</v>
      </c>
    </row>
    <row r="89">
      <c r="A89" s="5">
        <v>9.817922929E9</v>
      </c>
      <c r="B89" s="6">
        <v>45314.74846353009</v>
      </c>
      <c r="C89" s="7">
        <v>1.0</v>
      </c>
      <c r="D89" s="5" t="s">
        <v>1209</v>
      </c>
      <c r="E89" s="5" t="s">
        <v>1210</v>
      </c>
      <c r="F89" s="5" t="s">
        <v>1212</v>
      </c>
    </row>
    <row r="90">
      <c r="A90" s="5">
        <v>9.990145453E9</v>
      </c>
      <c r="B90" s="6">
        <v>45314.75030623843</v>
      </c>
      <c r="C90" s="7">
        <v>68.0</v>
      </c>
      <c r="D90" s="5" t="s">
        <v>1209</v>
      </c>
      <c r="E90" s="5" t="s">
        <v>1210</v>
      </c>
      <c r="F90" s="5" t="s">
        <v>1211</v>
      </c>
    </row>
    <row r="91">
      <c r="A91" s="5">
        <v>8.287645704E9</v>
      </c>
      <c r="B91" s="6">
        <v>45314.75455716436</v>
      </c>
      <c r="C91" s="7">
        <v>1.0</v>
      </c>
      <c r="D91" s="5" t="s">
        <v>1209</v>
      </c>
      <c r="E91" s="5" t="s">
        <v>1210</v>
      </c>
      <c r="F91" s="5" t="s">
        <v>1212</v>
      </c>
    </row>
    <row r="92">
      <c r="A92" s="5">
        <v>3.052526697E9</v>
      </c>
      <c r="B92" s="6">
        <v>45314.7575331713</v>
      </c>
      <c r="C92" s="7">
        <v>69.0</v>
      </c>
      <c r="D92" s="5" t="s">
        <v>1209</v>
      </c>
      <c r="E92" s="5" t="s">
        <v>1210</v>
      </c>
      <c r="F92" s="5" t="s">
        <v>1212</v>
      </c>
    </row>
    <row r="93">
      <c r="A93" s="5">
        <v>7.300620421E9</v>
      </c>
      <c r="B93" s="6">
        <v>45319.72063599537</v>
      </c>
      <c r="C93" s="7">
        <v>69.0</v>
      </c>
      <c r="D93" s="5" t="s">
        <v>1209</v>
      </c>
      <c r="E93" s="5" t="s">
        <v>1210</v>
      </c>
      <c r="F93" s="5" t="s">
        <v>1212</v>
      </c>
    </row>
    <row r="94">
      <c r="A94" s="5">
        <v>9.717611464E9</v>
      </c>
      <c r="B94" s="6">
        <v>45319.72302320602</v>
      </c>
      <c r="C94" s="7">
        <v>1.0</v>
      </c>
      <c r="D94" s="5" t="s">
        <v>1209</v>
      </c>
      <c r="E94" s="5" t="s">
        <v>1210</v>
      </c>
    </row>
    <row r="95">
      <c r="A95" s="5">
        <v>9.910925269E9</v>
      </c>
      <c r="B95" s="6">
        <v>45319.724210092594</v>
      </c>
      <c r="C95" s="7">
        <v>68.0</v>
      </c>
      <c r="D95" s="5" t="s">
        <v>1213</v>
      </c>
      <c r="E95" s="5" t="s">
        <v>1210</v>
      </c>
      <c r="F95" s="5" t="s">
        <v>1212</v>
      </c>
    </row>
    <row r="96">
      <c r="A96" s="5">
        <v>9.310857548E9</v>
      </c>
      <c r="B96" s="6">
        <v>45319.72542054398</v>
      </c>
      <c r="C96" s="7">
        <v>1.0</v>
      </c>
      <c r="D96" s="5" t="s">
        <v>1209</v>
      </c>
      <c r="E96" s="5" t="s">
        <v>1210</v>
      </c>
      <c r="F96" s="5" t="s">
        <v>1212</v>
      </c>
    </row>
    <row r="97">
      <c r="A97" s="5">
        <v>9.873833656E9</v>
      </c>
      <c r="B97" s="6">
        <v>45319.727684467594</v>
      </c>
      <c r="C97" s="7">
        <v>273.0</v>
      </c>
      <c r="D97" s="5" t="s">
        <v>1209</v>
      </c>
      <c r="E97" s="5" t="s">
        <v>1210</v>
      </c>
      <c r="F97" s="5" t="s">
        <v>1211</v>
      </c>
    </row>
    <row r="98">
      <c r="A98" s="5">
        <v>9.971097482E9</v>
      </c>
      <c r="B98" s="6">
        <v>45319.72986340278</v>
      </c>
      <c r="C98" s="7">
        <v>1.0</v>
      </c>
      <c r="D98" s="5" t="s">
        <v>1209</v>
      </c>
      <c r="E98" s="5" t="s">
        <v>1210</v>
      </c>
      <c r="F98" s="5" t="s">
        <v>1211</v>
      </c>
    </row>
    <row r="99">
      <c r="A99" s="5">
        <v>6.20520388E9</v>
      </c>
      <c r="B99" s="6">
        <v>45319.73098153935</v>
      </c>
      <c r="C99" s="7">
        <v>1.0</v>
      </c>
      <c r="D99" s="5" t="s">
        <v>1209</v>
      </c>
      <c r="E99" s="5" t="s">
        <v>1210</v>
      </c>
      <c r="F99" s="5" t="s">
        <v>1211</v>
      </c>
    </row>
    <row r="100">
      <c r="A100" s="5">
        <v>9.555152166E9</v>
      </c>
      <c r="B100" s="6">
        <v>45319.73225648148</v>
      </c>
      <c r="C100" s="7">
        <v>68.0</v>
      </c>
      <c r="D100" s="5" t="s">
        <v>1209</v>
      </c>
      <c r="E100" s="5" t="s">
        <v>1210</v>
      </c>
      <c r="F100" s="5" t="s">
        <v>1211</v>
      </c>
    </row>
    <row r="101">
      <c r="A101" s="5">
        <v>9.899226225E9</v>
      </c>
      <c r="B101" s="6">
        <v>45319.73313965277</v>
      </c>
      <c r="C101" s="7">
        <v>406.0</v>
      </c>
      <c r="D101" s="5" t="s">
        <v>1209</v>
      </c>
      <c r="E101" s="5" t="s">
        <v>1210</v>
      </c>
      <c r="F101" s="5" t="s">
        <v>1212</v>
      </c>
    </row>
    <row r="102">
      <c r="A102" s="5">
        <v>9.999678088E9</v>
      </c>
      <c r="B102" s="6">
        <v>45319.76601378473</v>
      </c>
      <c r="C102" s="7">
        <v>1.0</v>
      </c>
      <c r="D102" s="5" t="s">
        <v>1209</v>
      </c>
      <c r="E102" s="5" t="s">
        <v>1210</v>
      </c>
    </row>
    <row r="103">
      <c r="A103" s="5">
        <v>9.811456708E9</v>
      </c>
      <c r="B103" s="6">
        <v>45319.79879693287</v>
      </c>
      <c r="C103" s="7">
        <v>1.0</v>
      </c>
      <c r="D103" s="5" t="s">
        <v>1209</v>
      </c>
      <c r="E103" s="5" t="s">
        <v>1210</v>
      </c>
      <c r="F103" s="5" t="s">
        <v>1211</v>
      </c>
    </row>
    <row r="104">
      <c r="A104" s="5">
        <v>9.971052404E9</v>
      </c>
      <c r="B104" s="6">
        <v>45322.72754475694</v>
      </c>
      <c r="C104" s="7">
        <v>1.0</v>
      </c>
      <c r="D104" s="5" t="s">
        <v>1209</v>
      </c>
      <c r="E104" s="5" t="s">
        <v>1210</v>
      </c>
      <c r="F104" s="5" t="s">
        <v>1211</v>
      </c>
    </row>
    <row r="105">
      <c r="A105" s="5">
        <v>9.871024292E9</v>
      </c>
      <c r="B105" s="6">
        <v>45323.78892021991</v>
      </c>
      <c r="C105" s="7">
        <v>135.0</v>
      </c>
      <c r="D105" s="5" t="s">
        <v>1213</v>
      </c>
      <c r="E105" s="5" t="s">
        <v>1210</v>
      </c>
      <c r="F105" s="5" t="s">
        <v>1212</v>
      </c>
    </row>
    <row r="106">
      <c r="A106" s="5">
        <v>9.873273593E9</v>
      </c>
      <c r="B106" s="6">
        <v>45323.797851828705</v>
      </c>
      <c r="C106" s="7">
        <v>1.0</v>
      </c>
      <c r="D106" s="5" t="s">
        <v>1209</v>
      </c>
      <c r="E106" s="5" t="s">
        <v>1210</v>
      </c>
    </row>
    <row r="107">
      <c r="A107" s="5">
        <v>9.310379264E9</v>
      </c>
      <c r="B107" s="6">
        <v>45323.818769606485</v>
      </c>
      <c r="C107" s="7">
        <v>1.0</v>
      </c>
      <c r="D107" s="5" t="s">
        <v>1209</v>
      </c>
      <c r="E107" s="5" t="s">
        <v>1210</v>
      </c>
    </row>
    <row r="108">
      <c r="A108" s="5">
        <v>7.217786373E9</v>
      </c>
      <c r="B108" s="6">
        <v>45324.72076847222</v>
      </c>
      <c r="C108" s="7">
        <v>1.0</v>
      </c>
      <c r="D108" s="5" t="s">
        <v>1209</v>
      </c>
      <c r="E108" s="5" t="s">
        <v>1210</v>
      </c>
      <c r="F108" s="5" t="s">
        <v>1211</v>
      </c>
    </row>
    <row r="109">
      <c r="A109" s="5">
        <v>9.910773855E9</v>
      </c>
      <c r="B109" s="6">
        <v>45324.72174412037</v>
      </c>
      <c r="C109" s="7">
        <v>1.0</v>
      </c>
      <c r="D109" s="5" t="s">
        <v>1209</v>
      </c>
      <c r="E109" s="5" t="s">
        <v>1210</v>
      </c>
      <c r="F109" s="5" t="s">
        <v>1212</v>
      </c>
    </row>
    <row r="110">
      <c r="A110" s="5">
        <v>9.36983726E9</v>
      </c>
      <c r="B110" s="6">
        <v>45326.77014601852</v>
      </c>
      <c r="C110" s="7">
        <v>69.0</v>
      </c>
      <c r="D110" s="5" t="s">
        <v>1209</v>
      </c>
      <c r="E110" s="5" t="s">
        <v>1210</v>
      </c>
    </row>
    <row r="111">
      <c r="A111" s="5">
        <v>9.818110346E9</v>
      </c>
      <c r="B111" s="6">
        <v>45326.770915625</v>
      </c>
      <c r="C111" s="7">
        <v>137.0</v>
      </c>
      <c r="D111" s="5" t="s">
        <v>1209</v>
      </c>
      <c r="E111" s="5" t="s">
        <v>1210</v>
      </c>
      <c r="F111" s="5" t="s">
        <v>1212</v>
      </c>
    </row>
    <row r="112">
      <c r="A112" s="5">
        <v>9.811755998E9</v>
      </c>
      <c r="B112" s="6">
        <v>45326.81061390047</v>
      </c>
      <c r="C112" s="7">
        <v>1.0</v>
      </c>
      <c r="D112" s="5" t="s">
        <v>1209</v>
      </c>
      <c r="E112" s="5" t="s">
        <v>1210</v>
      </c>
    </row>
    <row r="113">
      <c r="A113" s="5">
        <v>9.892203082E9</v>
      </c>
      <c r="B113" s="6">
        <v>45326.81644844907</v>
      </c>
      <c r="C113" s="7">
        <v>1.0</v>
      </c>
      <c r="D113" s="5" t="s">
        <v>1209</v>
      </c>
      <c r="E113" s="5" t="s">
        <v>1210</v>
      </c>
      <c r="F113" s="5" t="s">
        <v>1211</v>
      </c>
    </row>
    <row r="114">
      <c r="A114" s="5">
        <v>9.910278945E9</v>
      </c>
      <c r="B114" s="6">
        <v>45328.73449581019</v>
      </c>
      <c r="C114" s="7">
        <v>1.0</v>
      </c>
      <c r="D114" s="5" t="s">
        <v>1209</v>
      </c>
      <c r="E114" s="5" t="s">
        <v>1210</v>
      </c>
      <c r="F114" s="5" t="s">
        <v>1211</v>
      </c>
    </row>
    <row r="115">
      <c r="A115" s="5">
        <v>8.094884343E9</v>
      </c>
      <c r="B115" s="6">
        <v>45331.792766053244</v>
      </c>
      <c r="C115" s="7">
        <v>1.0</v>
      </c>
      <c r="D115" s="5" t="s">
        <v>1209</v>
      </c>
      <c r="E115" s="5" t="s">
        <v>1210</v>
      </c>
      <c r="F115" s="5" t="s">
        <v>1212</v>
      </c>
    </row>
    <row r="116">
      <c r="A116" s="5">
        <v>9.958166341E9</v>
      </c>
      <c r="B116" s="6">
        <v>45332.76999810185</v>
      </c>
      <c r="C116" s="7">
        <v>1.0</v>
      </c>
      <c r="D116" s="5" t="s">
        <v>1209</v>
      </c>
      <c r="E116" s="5" t="s">
        <v>1210</v>
      </c>
    </row>
    <row r="117">
      <c r="A117" s="5">
        <v>9.818311188E9</v>
      </c>
      <c r="B117" s="6">
        <v>45336.77782354166</v>
      </c>
      <c r="C117" s="7">
        <v>1.0</v>
      </c>
      <c r="D117" s="5" t="s">
        <v>1209</v>
      </c>
      <c r="E117" s="5" t="s">
        <v>1210</v>
      </c>
    </row>
    <row r="118">
      <c r="A118" s="5">
        <v>9.810947581E9</v>
      </c>
      <c r="B118" s="6">
        <v>45336.7786946875</v>
      </c>
      <c r="C118" s="7">
        <v>1.0</v>
      </c>
      <c r="D118" s="5" t="s">
        <v>1209</v>
      </c>
      <c r="E118" s="5" t="s">
        <v>1210</v>
      </c>
      <c r="F118" s="5" t="s">
        <v>1212</v>
      </c>
    </row>
    <row r="119">
      <c r="A119" s="5">
        <v>8.130437059E9</v>
      </c>
      <c r="B119" s="6">
        <v>45336.779782025464</v>
      </c>
      <c r="C119" s="7">
        <v>1.0</v>
      </c>
      <c r="D119" s="5" t="s">
        <v>1209</v>
      </c>
      <c r="E119" s="5" t="s">
        <v>1210</v>
      </c>
      <c r="F119" s="5" t="s">
        <v>1211</v>
      </c>
    </row>
    <row r="120">
      <c r="A120" s="5">
        <v>8.587888357E9</v>
      </c>
      <c r="B120" s="6">
        <v>45336.780679131945</v>
      </c>
      <c r="C120" s="7">
        <v>1.0</v>
      </c>
      <c r="D120" s="5" t="s">
        <v>1209</v>
      </c>
      <c r="E120" s="5" t="s">
        <v>1210</v>
      </c>
    </row>
    <row r="121">
      <c r="A121" s="5">
        <v>7.827182727E9</v>
      </c>
      <c r="B121" s="6">
        <v>45337.778535844904</v>
      </c>
      <c r="C121" s="7">
        <v>69.0</v>
      </c>
      <c r="D121" s="5" t="s">
        <v>1209</v>
      </c>
      <c r="E121" s="5" t="s">
        <v>1210</v>
      </c>
      <c r="F121" s="5" t="s">
        <v>1211</v>
      </c>
    </row>
    <row r="122">
      <c r="A122" s="5">
        <v>9.86872356E9</v>
      </c>
      <c r="B122" s="6">
        <v>45338.75917774306</v>
      </c>
      <c r="C122" s="7">
        <v>1.0</v>
      </c>
      <c r="D122" s="5" t="s">
        <v>1209</v>
      </c>
      <c r="E122" s="5" t="s">
        <v>1210</v>
      </c>
      <c r="F122" s="5" t="s">
        <v>1211</v>
      </c>
    </row>
    <row r="123">
      <c r="A123" s="5">
        <v>7.827399396E9</v>
      </c>
      <c r="B123" s="6">
        <v>45338.779180983795</v>
      </c>
      <c r="C123" s="7">
        <v>1.0</v>
      </c>
      <c r="D123" s="5" t="s">
        <v>1209</v>
      </c>
      <c r="E123" s="5" t="s">
        <v>1210</v>
      </c>
      <c r="F123" s="5" t="s">
        <v>1211</v>
      </c>
    </row>
    <row r="124">
      <c r="A124" s="5">
        <v>9.899615881E9</v>
      </c>
      <c r="B124" s="6">
        <v>45340.74866525463</v>
      </c>
      <c r="C124" s="7">
        <v>1.0</v>
      </c>
      <c r="D124" s="5" t="s">
        <v>1209</v>
      </c>
      <c r="E124" s="5" t="s">
        <v>1210</v>
      </c>
    </row>
    <row r="125">
      <c r="A125" s="5">
        <v>9.311580781E9</v>
      </c>
      <c r="B125" s="6">
        <v>45340.74925724537</v>
      </c>
      <c r="C125" s="7">
        <v>1.0</v>
      </c>
      <c r="D125" s="5" t="s">
        <v>1209</v>
      </c>
      <c r="E125" s="5" t="s">
        <v>1210</v>
      </c>
      <c r="F125" s="5" t="s">
        <v>1211</v>
      </c>
    </row>
    <row r="126">
      <c r="A126" s="5">
        <v>9.818766685E9</v>
      </c>
      <c r="B126" s="6">
        <v>45340.75002303241</v>
      </c>
      <c r="C126" s="7">
        <v>69.0</v>
      </c>
      <c r="D126" s="5" t="s">
        <v>1209</v>
      </c>
      <c r="E126" s="5" t="s">
        <v>1210</v>
      </c>
      <c r="F126" s="5" t="s">
        <v>1211</v>
      </c>
    </row>
    <row r="127">
      <c r="A127" s="5">
        <v>9.871089414E9</v>
      </c>
      <c r="B127" s="6">
        <v>45342.79339689815</v>
      </c>
      <c r="C127" s="7">
        <v>201.0</v>
      </c>
      <c r="D127" s="5" t="s">
        <v>1213</v>
      </c>
      <c r="E127" s="5" t="s">
        <v>1210</v>
      </c>
      <c r="F127" s="5" t="s">
        <v>1212</v>
      </c>
    </row>
    <row r="128">
      <c r="A128" s="5">
        <v>6.1388288E9</v>
      </c>
      <c r="B128" s="6">
        <v>45343.805217245375</v>
      </c>
      <c r="C128" s="7">
        <v>1.0</v>
      </c>
      <c r="D128" s="5" t="s">
        <v>1209</v>
      </c>
      <c r="E128" s="5" t="s">
        <v>1210</v>
      </c>
      <c r="F128" s="5" t="s">
        <v>1212</v>
      </c>
    </row>
    <row r="129">
      <c r="A129" s="5">
        <v>9.711686788E9</v>
      </c>
      <c r="B129" s="6">
        <v>45343.80602282408</v>
      </c>
      <c r="C129" s="7">
        <v>1.0</v>
      </c>
      <c r="D129" s="5" t="s">
        <v>1209</v>
      </c>
      <c r="E129" s="5" t="s">
        <v>1210</v>
      </c>
      <c r="F129" s="5" t="s">
        <v>1211</v>
      </c>
    </row>
    <row r="130">
      <c r="A130" s="5">
        <v>9.958481195E9</v>
      </c>
      <c r="B130" s="6">
        <v>45343.821207789355</v>
      </c>
      <c r="C130" s="7">
        <v>69.0</v>
      </c>
      <c r="D130" s="5" t="s">
        <v>1209</v>
      </c>
      <c r="E130" s="5" t="s">
        <v>1210</v>
      </c>
    </row>
    <row r="131">
      <c r="A131" s="5">
        <v>9.650557706E9</v>
      </c>
      <c r="B131" s="6">
        <v>45344.76682405092</v>
      </c>
      <c r="C131" s="7">
        <v>1.0</v>
      </c>
      <c r="D131" s="5" t="s">
        <v>1209</v>
      </c>
      <c r="E131" s="5" t="s">
        <v>1210</v>
      </c>
    </row>
    <row r="132">
      <c r="A132" s="5">
        <v>9.625148818E9</v>
      </c>
      <c r="B132" s="6">
        <v>45344.770569953704</v>
      </c>
      <c r="C132" s="7">
        <v>1.0</v>
      </c>
      <c r="D132" s="5" t="s">
        <v>1209</v>
      </c>
      <c r="E132" s="5" t="s">
        <v>1210</v>
      </c>
    </row>
    <row r="133">
      <c r="A133" s="5">
        <v>3.987E9</v>
      </c>
      <c r="B133" s="6">
        <v>45344.77837195602</v>
      </c>
      <c r="C133" s="7">
        <v>1.0</v>
      </c>
      <c r="D133" s="5" t="s">
        <v>1209</v>
      </c>
      <c r="E133" s="5" t="s">
        <v>1210</v>
      </c>
    </row>
    <row r="134">
      <c r="A134" s="5">
        <v>9.654311323E9</v>
      </c>
      <c r="B134" s="6">
        <v>45344.82692958333</v>
      </c>
      <c r="C134" s="7">
        <v>1.0</v>
      </c>
      <c r="D134" s="5" t="s">
        <v>1209</v>
      </c>
      <c r="E134" s="5" t="s">
        <v>1210</v>
      </c>
      <c r="F134" s="5" t="s">
        <v>1212</v>
      </c>
    </row>
    <row r="135">
      <c r="A135" s="5">
        <v>9.419015579E9</v>
      </c>
      <c r="B135" s="6">
        <v>45345.78351789352</v>
      </c>
      <c r="C135" s="7">
        <v>1.0</v>
      </c>
      <c r="D135" s="5" t="s">
        <v>1209</v>
      </c>
      <c r="E135" s="5" t="s">
        <v>1210</v>
      </c>
      <c r="F135" s="5" t="s">
        <v>1211</v>
      </c>
    </row>
    <row r="136">
      <c r="A136" s="5">
        <v>9.64107874E9</v>
      </c>
      <c r="B136" s="6">
        <v>45345.78529584491</v>
      </c>
      <c r="C136" s="7">
        <v>1.0</v>
      </c>
      <c r="D136" s="5" t="s">
        <v>1209</v>
      </c>
      <c r="E136" s="5" t="s">
        <v>1210</v>
      </c>
    </row>
    <row r="137">
      <c r="A137" s="5">
        <v>9.927643391E9</v>
      </c>
      <c r="B137" s="6">
        <v>45345.81497450231</v>
      </c>
      <c r="C137" s="7">
        <v>1.0</v>
      </c>
      <c r="D137" s="5" t="s">
        <v>1209</v>
      </c>
      <c r="E137" s="5" t="s">
        <v>1210</v>
      </c>
      <c r="F137" s="5" t="s">
        <v>1211</v>
      </c>
    </row>
    <row r="138">
      <c r="A138" s="5">
        <v>8.448763272E9</v>
      </c>
      <c r="B138" s="6">
        <v>45346.741676053236</v>
      </c>
      <c r="C138" s="7">
        <v>69.0</v>
      </c>
      <c r="D138" s="5" t="s">
        <v>1209</v>
      </c>
      <c r="E138" s="5" t="s">
        <v>1210</v>
      </c>
      <c r="F138" s="5" t="s">
        <v>1211</v>
      </c>
    </row>
    <row r="139">
      <c r="A139" s="5">
        <v>9.873652585E9</v>
      </c>
      <c r="B139" s="6">
        <v>45346.74326621528</v>
      </c>
      <c r="C139" s="7">
        <v>1.0</v>
      </c>
      <c r="D139" s="5" t="s">
        <v>1209</v>
      </c>
      <c r="E139" s="5" t="s">
        <v>1210</v>
      </c>
      <c r="F139" s="5" t="s">
        <v>1211</v>
      </c>
    </row>
    <row r="140">
      <c r="A140" s="5">
        <v>9.534107191E9</v>
      </c>
      <c r="B140" s="6">
        <v>45346.74408682871</v>
      </c>
      <c r="C140" s="7">
        <v>1.0</v>
      </c>
      <c r="D140" s="5" t="s">
        <v>1209</v>
      </c>
      <c r="E140" s="5" t="s">
        <v>1210</v>
      </c>
      <c r="F140" s="5" t="s">
        <v>1211</v>
      </c>
    </row>
    <row r="141">
      <c r="A141" s="5">
        <v>7.906897981E9</v>
      </c>
      <c r="B141" s="6">
        <v>45347.69487712963</v>
      </c>
      <c r="C141" s="7">
        <v>69.0</v>
      </c>
      <c r="D141" s="5" t="s">
        <v>1209</v>
      </c>
      <c r="E141" s="5" t="s">
        <v>1210</v>
      </c>
    </row>
    <row r="142">
      <c r="A142" s="5">
        <v>9.81805745E9</v>
      </c>
      <c r="B142" s="6">
        <v>45347.69581469907</v>
      </c>
      <c r="C142" s="7">
        <v>1.0</v>
      </c>
      <c r="D142" s="5" t="s">
        <v>1209</v>
      </c>
      <c r="E142" s="5" t="s">
        <v>1210</v>
      </c>
      <c r="F142" s="5" t="s">
        <v>1211</v>
      </c>
    </row>
    <row r="143">
      <c r="A143" s="5">
        <v>7.838194917E9</v>
      </c>
      <c r="B143" s="6">
        <v>45347.6968059375</v>
      </c>
      <c r="C143" s="7">
        <v>1.0</v>
      </c>
      <c r="D143" s="5" t="s">
        <v>1209</v>
      </c>
      <c r="E143" s="5" t="s">
        <v>1210</v>
      </c>
      <c r="F143" s="5" t="s">
        <v>1212</v>
      </c>
    </row>
    <row r="144">
      <c r="A144" s="5">
        <v>8.800315834E9</v>
      </c>
      <c r="B144" s="6">
        <v>45347.70614394676</v>
      </c>
      <c r="C144" s="7">
        <v>1.0</v>
      </c>
      <c r="D144" s="5" t="s">
        <v>1209</v>
      </c>
      <c r="E144" s="5" t="s">
        <v>1210</v>
      </c>
    </row>
    <row r="145">
      <c r="A145" s="5">
        <v>9.625811996E9</v>
      </c>
      <c r="B145" s="6">
        <v>45347.70829052084</v>
      </c>
      <c r="C145" s="7">
        <v>1.0</v>
      </c>
      <c r="D145" s="5" t="s">
        <v>1209</v>
      </c>
      <c r="E145" s="5" t="s">
        <v>1210</v>
      </c>
      <c r="F145" s="5" t="s">
        <v>1211</v>
      </c>
    </row>
    <row r="146">
      <c r="A146" s="5">
        <v>9.212157824E9</v>
      </c>
      <c r="B146" s="6">
        <v>45347.711921423615</v>
      </c>
      <c r="C146" s="7">
        <v>68.0</v>
      </c>
      <c r="D146" s="5" t="s">
        <v>1213</v>
      </c>
      <c r="E146" s="5" t="s">
        <v>1210</v>
      </c>
      <c r="F146" s="5" t="s">
        <v>1211</v>
      </c>
    </row>
    <row r="147">
      <c r="A147" s="5">
        <v>8.923711703E9</v>
      </c>
      <c r="B147" s="6">
        <v>45350.765930856476</v>
      </c>
      <c r="C147" s="7">
        <v>1.0</v>
      </c>
      <c r="D147" s="5" t="s">
        <v>1209</v>
      </c>
      <c r="E147" s="5" t="s">
        <v>1210</v>
      </c>
      <c r="F147" s="5" t="s">
        <v>1212</v>
      </c>
    </row>
    <row r="148">
      <c r="A148" s="5">
        <v>9.813566322E9</v>
      </c>
      <c r="B148" s="6">
        <v>45350.771046319445</v>
      </c>
      <c r="C148" s="7">
        <v>1.0</v>
      </c>
      <c r="D148" s="5" t="s">
        <v>1209</v>
      </c>
      <c r="E148" s="5" t="s">
        <v>1210</v>
      </c>
    </row>
    <row r="149">
      <c r="A149" s="5">
        <v>8.586968902E9</v>
      </c>
      <c r="B149" s="6">
        <v>45350.77243262732</v>
      </c>
      <c r="C149" s="7">
        <v>68.0</v>
      </c>
      <c r="D149" s="5" t="s">
        <v>1209</v>
      </c>
      <c r="E149" s="5" t="s">
        <v>1210</v>
      </c>
      <c r="F149" s="5" t="s">
        <v>1211</v>
      </c>
    </row>
    <row r="150">
      <c r="A150" s="5">
        <v>9.899070017E9</v>
      </c>
      <c r="B150" s="6">
        <v>45350.7732868287</v>
      </c>
      <c r="C150" s="7">
        <v>1.0</v>
      </c>
      <c r="D150" s="5" t="s">
        <v>1209</v>
      </c>
      <c r="E150" s="5" t="s">
        <v>1210</v>
      </c>
      <c r="F150" s="5" t="s">
        <v>1211</v>
      </c>
    </row>
    <row r="151">
      <c r="A151" s="5">
        <v>9.810878387E9</v>
      </c>
      <c r="B151" s="6">
        <v>45350.774140243055</v>
      </c>
      <c r="C151" s="7">
        <v>1.0</v>
      </c>
      <c r="D151" s="5" t="s">
        <v>1209</v>
      </c>
      <c r="E151" s="5" t="s">
        <v>1210</v>
      </c>
      <c r="F151" s="5" t="s">
        <v>1211</v>
      </c>
    </row>
    <row r="152">
      <c r="A152" s="5">
        <v>9.711100748E9</v>
      </c>
      <c r="B152" s="6">
        <v>45351.77280608796</v>
      </c>
      <c r="C152" s="7">
        <v>68.0</v>
      </c>
      <c r="D152" s="5" t="s">
        <v>1213</v>
      </c>
      <c r="E152" s="5" t="s">
        <v>1210</v>
      </c>
      <c r="F152" s="5" t="s">
        <v>1211</v>
      </c>
    </row>
    <row r="153">
      <c r="A153" s="5">
        <v>7.292019394E9</v>
      </c>
      <c r="B153" s="6">
        <v>45351.77739811342</v>
      </c>
      <c r="C153" s="7">
        <v>1.0</v>
      </c>
      <c r="D153" s="5" t="s">
        <v>1209</v>
      </c>
      <c r="E153" s="5" t="s">
        <v>1210</v>
      </c>
      <c r="F153" s="5" t="s">
        <v>1211</v>
      </c>
    </row>
    <row r="154">
      <c r="A154" s="5">
        <v>9.971162532E9</v>
      </c>
      <c r="B154" s="6">
        <v>45351.779142581014</v>
      </c>
      <c r="C154" s="7">
        <v>1.0</v>
      </c>
      <c r="D154" s="5" t="s">
        <v>1209</v>
      </c>
      <c r="E154" s="5" t="s">
        <v>1210</v>
      </c>
      <c r="F154" s="5" t="s">
        <v>1211</v>
      </c>
    </row>
    <row r="155">
      <c r="A155" s="5">
        <v>9.371162532E9</v>
      </c>
      <c r="B155" s="6">
        <v>45351.780961192126</v>
      </c>
      <c r="C155" s="7">
        <v>1.0</v>
      </c>
      <c r="D155" s="5" t="s">
        <v>1209</v>
      </c>
      <c r="E155" s="5" t="s">
        <v>1210</v>
      </c>
      <c r="F155" s="5" t="s">
        <v>1211</v>
      </c>
    </row>
    <row r="156">
      <c r="A156" s="5">
        <v>8.920520204E9</v>
      </c>
      <c r="B156" s="6">
        <v>45351.78223956018</v>
      </c>
      <c r="C156" s="7">
        <v>1.0</v>
      </c>
      <c r="D156" s="5" t="s">
        <v>1209</v>
      </c>
      <c r="E156" s="5" t="s">
        <v>1210</v>
      </c>
      <c r="F156" s="5" t="s">
        <v>1211</v>
      </c>
    </row>
    <row r="157">
      <c r="A157" s="5">
        <v>9.83105246E9</v>
      </c>
      <c r="B157" s="6">
        <v>45353.67233615741</v>
      </c>
      <c r="C157" s="7">
        <v>1.0</v>
      </c>
      <c r="D157" s="5" t="s">
        <v>1209</v>
      </c>
      <c r="E157" s="5" t="s">
        <v>1210</v>
      </c>
      <c r="F157" s="5" t="s">
        <v>1211</v>
      </c>
    </row>
    <row r="158">
      <c r="A158" s="5">
        <v>8.86075959E9</v>
      </c>
      <c r="B158" s="6">
        <v>45353.67413105324</v>
      </c>
      <c r="C158" s="7">
        <v>1.0</v>
      </c>
      <c r="D158" s="5" t="s">
        <v>1209</v>
      </c>
      <c r="E158" s="5" t="s">
        <v>1210</v>
      </c>
      <c r="F158" s="5" t="s">
        <v>1212</v>
      </c>
    </row>
    <row r="159">
      <c r="A159" s="5">
        <v>9.89150021E9</v>
      </c>
      <c r="B159" s="6">
        <v>45353.67490174768</v>
      </c>
      <c r="C159" s="7">
        <v>1.0</v>
      </c>
      <c r="D159" s="5" t="s">
        <v>1209</v>
      </c>
      <c r="E159" s="5" t="s">
        <v>1210</v>
      </c>
      <c r="F159" s="5" t="s">
        <v>1211</v>
      </c>
    </row>
    <row r="160">
      <c r="A160" s="5">
        <v>8.08122676E9</v>
      </c>
      <c r="B160" s="6">
        <v>45353.79497077546</v>
      </c>
      <c r="C160" s="7">
        <v>137.0</v>
      </c>
      <c r="D160" s="5" t="s">
        <v>1209</v>
      </c>
      <c r="E160" s="5" t="s">
        <v>1210</v>
      </c>
      <c r="F160" s="5" t="s">
        <v>1212</v>
      </c>
    </row>
    <row r="161">
      <c r="A161" s="5">
        <v>9.386347767E9</v>
      </c>
      <c r="B161" s="6">
        <v>45354.660875104164</v>
      </c>
      <c r="C161" s="7">
        <v>69.0</v>
      </c>
      <c r="D161" s="5" t="s">
        <v>1209</v>
      </c>
      <c r="E161" s="5" t="s">
        <v>1210</v>
      </c>
      <c r="F161" s="5" t="s">
        <v>1212</v>
      </c>
    </row>
    <row r="162">
      <c r="A162" s="5">
        <v>9.810500382E9</v>
      </c>
      <c r="B162" s="6">
        <v>45354.7340568287</v>
      </c>
      <c r="C162" s="7">
        <v>1.0</v>
      </c>
      <c r="D162" s="5" t="s">
        <v>1209</v>
      </c>
      <c r="E162" s="5" t="s">
        <v>1210</v>
      </c>
      <c r="F162" s="5" t="s">
        <v>1211</v>
      </c>
    </row>
    <row r="163">
      <c r="A163" s="5">
        <v>9.818304747E9</v>
      </c>
      <c r="B163" s="6">
        <v>45356.78218174769</v>
      </c>
      <c r="C163" s="7">
        <v>202.0</v>
      </c>
      <c r="D163" s="5" t="s">
        <v>1209</v>
      </c>
      <c r="E163" s="5" t="s">
        <v>1210</v>
      </c>
      <c r="F163" s="5" t="s">
        <v>1212</v>
      </c>
    </row>
    <row r="164">
      <c r="A164" s="5">
        <v>9.810834236E9</v>
      </c>
      <c r="B164" s="6">
        <v>45356.78335427083</v>
      </c>
      <c r="C164" s="7">
        <v>1.0</v>
      </c>
      <c r="D164" s="5" t="s">
        <v>1209</v>
      </c>
      <c r="E164" s="5" t="s">
        <v>1210</v>
      </c>
      <c r="F164" s="5" t="s">
        <v>1211</v>
      </c>
    </row>
    <row r="165">
      <c r="A165" s="5">
        <v>7.838003571E9</v>
      </c>
      <c r="B165" s="6">
        <v>45357.830559027774</v>
      </c>
      <c r="C165" s="7">
        <v>1.0</v>
      </c>
      <c r="D165" s="5" t="s">
        <v>1209</v>
      </c>
      <c r="E165" s="5" t="s">
        <v>1210</v>
      </c>
      <c r="F165" s="5" t="s">
        <v>1211</v>
      </c>
    </row>
    <row r="166">
      <c r="A166" s="5">
        <v>9.098649418E9</v>
      </c>
      <c r="B166" s="6">
        <v>45358.7487669213</v>
      </c>
      <c r="C166" s="7">
        <v>68.0</v>
      </c>
      <c r="D166" s="5" t="s">
        <v>1209</v>
      </c>
      <c r="E166" s="5" t="s">
        <v>1210</v>
      </c>
      <c r="F166" s="5" t="s">
        <v>1211</v>
      </c>
    </row>
    <row r="167">
      <c r="A167" s="5">
        <v>8.377873828E9</v>
      </c>
      <c r="B167" s="6">
        <v>45358.75013541667</v>
      </c>
      <c r="C167" s="7">
        <v>1.0</v>
      </c>
      <c r="D167" s="5" t="s">
        <v>1209</v>
      </c>
      <c r="E167" s="5" t="s">
        <v>1210</v>
      </c>
      <c r="F167" s="5" t="s">
        <v>1211</v>
      </c>
    </row>
    <row r="168">
      <c r="A168" s="5">
        <v>9.910138678E9</v>
      </c>
      <c r="B168" s="6">
        <v>45359.77834658565</v>
      </c>
      <c r="C168" s="7">
        <v>69.0</v>
      </c>
      <c r="D168" s="5" t="s">
        <v>1209</v>
      </c>
      <c r="E168" s="5" t="s">
        <v>1210</v>
      </c>
      <c r="F168" s="5" t="s">
        <v>1212</v>
      </c>
    </row>
    <row r="169">
      <c r="A169" s="5">
        <v>3.751058354E9</v>
      </c>
      <c r="B169" s="6">
        <v>45359.78017060185</v>
      </c>
      <c r="C169" s="7">
        <v>1.0</v>
      </c>
      <c r="D169" s="5" t="s">
        <v>1209</v>
      </c>
      <c r="E169" s="5" t="s">
        <v>1210</v>
      </c>
      <c r="F169" s="5" t="s">
        <v>1211</v>
      </c>
    </row>
    <row r="170">
      <c r="A170" s="5">
        <v>9.958029273E9</v>
      </c>
      <c r="B170" s="6">
        <v>45359.79119116898</v>
      </c>
      <c r="C170" s="7">
        <v>69.0</v>
      </c>
      <c r="D170" s="5" t="s">
        <v>1209</v>
      </c>
      <c r="E170" s="5" t="s">
        <v>1210</v>
      </c>
      <c r="F170" s="5" t="s">
        <v>1211</v>
      </c>
    </row>
    <row r="171">
      <c r="A171" s="5">
        <v>9.717383278E9</v>
      </c>
      <c r="B171" s="6">
        <v>45359.79235405092</v>
      </c>
      <c r="C171" s="7">
        <v>1.0</v>
      </c>
      <c r="D171" s="5" t="s">
        <v>1209</v>
      </c>
      <c r="E171" s="5" t="s">
        <v>1210</v>
      </c>
      <c r="F171" s="5" t="s">
        <v>1212</v>
      </c>
    </row>
    <row r="172">
      <c r="A172" s="5">
        <v>9.891184192E9</v>
      </c>
      <c r="B172" s="6">
        <v>45359.79794559028</v>
      </c>
      <c r="C172" s="7">
        <v>69.0</v>
      </c>
      <c r="D172" s="5" t="s">
        <v>1209</v>
      </c>
      <c r="E172" s="5" t="s">
        <v>1210</v>
      </c>
      <c r="F172" s="5" t="s">
        <v>1211</v>
      </c>
    </row>
    <row r="173">
      <c r="A173" s="5">
        <v>9.13193441E9</v>
      </c>
      <c r="B173" s="6">
        <v>45360.74757739583</v>
      </c>
      <c r="C173" s="7">
        <v>1.0</v>
      </c>
      <c r="D173" s="5" t="s">
        <v>1209</v>
      </c>
      <c r="E173" s="5" t="s">
        <v>1210</v>
      </c>
      <c r="F173" s="5" t="s">
        <v>1211</v>
      </c>
    </row>
    <row r="174">
      <c r="A174" s="5">
        <v>8.375030384E9</v>
      </c>
      <c r="B174" s="6">
        <v>45360.74949505787</v>
      </c>
      <c r="C174" s="7">
        <v>1.0</v>
      </c>
      <c r="D174" s="5" t="s">
        <v>1209</v>
      </c>
      <c r="E174" s="5" t="s">
        <v>1210</v>
      </c>
      <c r="F174" s="5" t="s">
        <v>1211</v>
      </c>
    </row>
    <row r="175">
      <c r="A175" s="5">
        <v>9.958509653E9</v>
      </c>
      <c r="B175" s="6">
        <v>45360.76158475694</v>
      </c>
      <c r="C175" s="7">
        <v>1.0</v>
      </c>
      <c r="D175" s="5" t="s">
        <v>1209</v>
      </c>
      <c r="E175" s="5" t="s">
        <v>1210</v>
      </c>
      <c r="F175" s="5" t="s">
        <v>1211</v>
      </c>
    </row>
    <row r="176">
      <c r="A176" s="5">
        <v>9.999978172E9</v>
      </c>
      <c r="B176" s="6">
        <v>45360.77499484953</v>
      </c>
      <c r="C176" s="7">
        <v>1.0</v>
      </c>
      <c r="D176" s="5" t="s">
        <v>1209</v>
      </c>
      <c r="E176" s="5" t="s">
        <v>1210</v>
      </c>
      <c r="F176" s="5" t="s">
        <v>1211</v>
      </c>
    </row>
    <row r="177">
      <c r="A177" s="5">
        <v>9.873787782E9</v>
      </c>
      <c r="B177" s="6">
        <v>45361.76061423611</v>
      </c>
      <c r="C177" s="7">
        <v>1.0</v>
      </c>
      <c r="D177" s="5" t="s">
        <v>1209</v>
      </c>
      <c r="E177" s="5" t="s">
        <v>1210</v>
      </c>
      <c r="F177" s="5" t="s">
        <v>1211</v>
      </c>
    </row>
    <row r="178">
      <c r="A178" s="5">
        <v>9.810766703E9</v>
      </c>
      <c r="B178" s="6">
        <v>45361.77322170138</v>
      </c>
      <c r="C178" s="7">
        <v>1.0</v>
      </c>
      <c r="D178" s="5" t="s">
        <v>1209</v>
      </c>
      <c r="E178" s="5" t="s">
        <v>1210</v>
      </c>
      <c r="F178" s="5" t="s">
        <v>1211</v>
      </c>
    </row>
    <row r="179">
      <c r="A179" s="5">
        <v>9.650785711E9</v>
      </c>
      <c r="B179" s="6">
        <v>45361.77538302084</v>
      </c>
      <c r="C179" s="7">
        <v>1.0</v>
      </c>
      <c r="D179" s="5" t="s">
        <v>1209</v>
      </c>
      <c r="E179" s="5" t="s">
        <v>1210</v>
      </c>
      <c r="F179" s="5" t="s">
        <v>1212</v>
      </c>
    </row>
    <row r="180">
      <c r="A180" s="5">
        <v>8.825179746E9</v>
      </c>
      <c r="B180" s="6">
        <v>45361.77682833333</v>
      </c>
      <c r="C180" s="7">
        <v>1.0</v>
      </c>
      <c r="D180" s="5" t="s">
        <v>1209</v>
      </c>
      <c r="E180" s="5" t="s">
        <v>1210</v>
      </c>
      <c r="F180" s="5" t="s">
        <v>1211</v>
      </c>
    </row>
    <row r="181">
      <c r="A181" s="5">
        <v>9.268948231E9</v>
      </c>
      <c r="B181" s="6">
        <v>45361.77887763889</v>
      </c>
      <c r="C181" s="7">
        <v>1.0</v>
      </c>
      <c r="D181" s="5" t="s">
        <v>1209</v>
      </c>
      <c r="E181" s="5" t="s">
        <v>1210</v>
      </c>
      <c r="F181" s="5" t="s">
        <v>1211</v>
      </c>
    </row>
    <row r="182">
      <c r="A182" s="5">
        <v>9.599143711E9</v>
      </c>
      <c r="B182" s="6">
        <v>45361.77980726852</v>
      </c>
      <c r="C182" s="7">
        <v>1.0</v>
      </c>
      <c r="D182" s="5" t="s">
        <v>1209</v>
      </c>
      <c r="E182" s="5" t="s">
        <v>1210</v>
      </c>
      <c r="F182" s="5" t="s">
        <v>1212</v>
      </c>
    </row>
    <row r="183">
      <c r="A183" s="5">
        <v>8.76634281E9</v>
      </c>
      <c r="B183" s="6">
        <v>45363.774714756946</v>
      </c>
      <c r="C183" s="7">
        <v>1.0</v>
      </c>
      <c r="D183" s="5" t="s">
        <v>1209</v>
      </c>
      <c r="E183" s="5" t="s">
        <v>1210</v>
      </c>
      <c r="F183" s="5" t="s">
        <v>1211</v>
      </c>
    </row>
    <row r="184">
      <c r="A184" s="5">
        <v>9.42595643E9</v>
      </c>
      <c r="B184" s="6">
        <v>45364.76087586806</v>
      </c>
      <c r="C184" s="7">
        <v>69.0</v>
      </c>
      <c r="D184" s="5" t="s">
        <v>1209</v>
      </c>
      <c r="E184" s="5" t="s">
        <v>1210</v>
      </c>
      <c r="F184" s="5" t="s">
        <v>1211</v>
      </c>
    </row>
    <row r="185">
      <c r="A185" s="5">
        <v>9.86804995E9</v>
      </c>
      <c r="B185" s="6">
        <v>45365.758308159726</v>
      </c>
      <c r="C185" s="7">
        <v>1.0</v>
      </c>
      <c r="D185" s="5" t="s">
        <v>1209</v>
      </c>
      <c r="E185" s="5" t="s">
        <v>1210</v>
      </c>
      <c r="F185" s="5" t="s">
        <v>1211</v>
      </c>
    </row>
    <row r="186">
      <c r="A186" s="5">
        <v>9.71792028E9</v>
      </c>
      <c r="B186" s="6">
        <v>45365.76799847222</v>
      </c>
      <c r="C186" s="7">
        <v>69.0</v>
      </c>
      <c r="D186" s="5" t="s">
        <v>1209</v>
      </c>
      <c r="E186" s="5" t="s">
        <v>1210</v>
      </c>
      <c r="F186" s="5" t="s">
        <v>1211</v>
      </c>
    </row>
    <row r="187">
      <c r="A187" s="5">
        <v>9.891102336E9</v>
      </c>
      <c r="B187" s="6">
        <v>45365.78892344907</v>
      </c>
      <c r="C187" s="7">
        <v>538.0</v>
      </c>
      <c r="D187" s="5" t="s">
        <v>1213</v>
      </c>
      <c r="E187" s="5" t="s">
        <v>1210</v>
      </c>
      <c r="F187" s="5" t="s">
        <v>1212</v>
      </c>
    </row>
    <row r="188">
      <c r="A188" s="5">
        <v>9.319288857E9</v>
      </c>
      <c r="B188" s="6">
        <v>45365.81933517361</v>
      </c>
      <c r="C188" s="7">
        <v>1.0</v>
      </c>
      <c r="D188" s="5" t="s">
        <v>1209</v>
      </c>
      <c r="E188" s="5" t="s">
        <v>1210</v>
      </c>
      <c r="F188" s="5" t="s">
        <v>1211</v>
      </c>
    </row>
    <row r="189">
      <c r="A189" s="5">
        <v>7.303432645E9</v>
      </c>
      <c r="B189" s="6">
        <v>45365.82004039352</v>
      </c>
      <c r="C189" s="7">
        <v>1.0</v>
      </c>
      <c r="D189" s="5" t="s">
        <v>1209</v>
      </c>
      <c r="E189" s="5" t="s">
        <v>1210</v>
      </c>
      <c r="F189" s="5" t="s">
        <v>1212</v>
      </c>
    </row>
    <row r="190">
      <c r="A190" s="5">
        <v>7.303432644E9</v>
      </c>
      <c r="B190" s="6">
        <v>45366.71493287037</v>
      </c>
      <c r="C190" s="7">
        <v>1.0</v>
      </c>
      <c r="D190" s="5" t="s">
        <v>1209</v>
      </c>
      <c r="E190" s="5" t="s">
        <v>1210</v>
      </c>
      <c r="F190" s="5" t="s">
        <v>1212</v>
      </c>
    </row>
    <row r="191">
      <c r="A191" s="5">
        <v>8.384013994E9</v>
      </c>
      <c r="B191" s="6">
        <v>45366.72090961806</v>
      </c>
      <c r="C191" s="7">
        <v>1.0</v>
      </c>
      <c r="D191" s="5" t="s">
        <v>1209</v>
      </c>
      <c r="E191" s="5" t="s">
        <v>1210</v>
      </c>
      <c r="F191" s="5" t="s">
        <v>1211</v>
      </c>
    </row>
    <row r="192">
      <c r="A192" s="5">
        <v>9.962578667E9</v>
      </c>
      <c r="B192" s="6">
        <v>45366.721879930556</v>
      </c>
      <c r="C192" s="7">
        <v>1.0</v>
      </c>
      <c r="D192" s="5" t="s">
        <v>1209</v>
      </c>
      <c r="E192" s="5" t="s">
        <v>1210</v>
      </c>
      <c r="F192" s="5" t="s">
        <v>1211</v>
      </c>
    </row>
    <row r="193">
      <c r="A193" s="5">
        <v>7.217868801E9</v>
      </c>
      <c r="B193" s="6">
        <v>45366.72270828704</v>
      </c>
      <c r="C193" s="7">
        <v>1.0</v>
      </c>
      <c r="D193" s="5" t="s">
        <v>1209</v>
      </c>
      <c r="E193" s="5" t="s">
        <v>1210</v>
      </c>
      <c r="F193" s="5" t="s">
        <v>1211</v>
      </c>
    </row>
    <row r="194">
      <c r="A194" s="5">
        <v>9.711009801E9</v>
      </c>
      <c r="B194" s="6">
        <v>45366.75782665509</v>
      </c>
      <c r="C194" s="7">
        <v>1.0</v>
      </c>
      <c r="D194" s="5" t="s">
        <v>1209</v>
      </c>
      <c r="E194" s="5" t="s">
        <v>1210</v>
      </c>
      <c r="F194" s="5" t="s">
        <v>1211</v>
      </c>
    </row>
    <row r="195">
      <c r="A195" s="5">
        <v>9.86844262E9</v>
      </c>
      <c r="B195" s="6">
        <v>45367.761744918986</v>
      </c>
      <c r="C195" s="7">
        <v>1.0</v>
      </c>
      <c r="D195" s="5" t="s">
        <v>1209</v>
      </c>
      <c r="E195" s="5" t="s">
        <v>1210</v>
      </c>
      <c r="F195" s="5" t="s">
        <v>1211</v>
      </c>
    </row>
    <row r="196">
      <c r="A196" s="5">
        <v>1.711476067E9</v>
      </c>
      <c r="B196" s="6">
        <v>45367.76331995371</v>
      </c>
      <c r="C196" s="7">
        <v>69.0</v>
      </c>
      <c r="D196" s="5" t="s">
        <v>1209</v>
      </c>
      <c r="E196" s="5" t="s">
        <v>1210</v>
      </c>
      <c r="F196" s="5" t="s">
        <v>1212</v>
      </c>
    </row>
    <row r="197">
      <c r="A197" s="5">
        <v>9.81231937E9</v>
      </c>
      <c r="B197" s="6">
        <v>45368.75815751158</v>
      </c>
      <c r="C197" s="7">
        <v>1.0</v>
      </c>
      <c r="D197" s="5" t="s">
        <v>1209</v>
      </c>
      <c r="E197" s="5" t="s">
        <v>1210</v>
      </c>
      <c r="F197" s="5" t="s">
        <v>1212</v>
      </c>
    </row>
    <row r="198">
      <c r="A198" s="5">
        <v>7.906897961E9</v>
      </c>
      <c r="B198" s="6">
        <v>45368.75911175926</v>
      </c>
      <c r="C198" s="7">
        <v>1.0</v>
      </c>
      <c r="D198" s="5" t="s">
        <v>1209</v>
      </c>
      <c r="E198" s="5" t="s">
        <v>1210</v>
      </c>
      <c r="F198" s="5" t="s">
        <v>1212</v>
      </c>
    </row>
    <row r="199">
      <c r="A199" s="5">
        <v>9.560757721E9</v>
      </c>
      <c r="B199" s="6">
        <v>45368.77686731482</v>
      </c>
      <c r="C199" s="7">
        <v>1.0</v>
      </c>
      <c r="D199" s="5" t="s">
        <v>1209</v>
      </c>
      <c r="E199" s="5" t="s">
        <v>1210</v>
      </c>
      <c r="F199" s="5" t="s">
        <v>1212</v>
      </c>
    </row>
    <row r="200">
      <c r="A200" s="5">
        <v>9.811791798E9</v>
      </c>
      <c r="B200" s="6">
        <v>45370.77173851852</v>
      </c>
      <c r="C200" s="7">
        <v>1.0</v>
      </c>
      <c r="D200" s="5" t="s">
        <v>1209</v>
      </c>
      <c r="E200" s="5" t="s">
        <v>1210</v>
      </c>
      <c r="F200" s="5" t="s">
        <v>1211</v>
      </c>
    </row>
    <row r="201">
      <c r="A201" s="5">
        <v>7.4091E9</v>
      </c>
      <c r="B201" s="6">
        <v>45370.77463421296</v>
      </c>
      <c r="C201" s="7">
        <v>1.0</v>
      </c>
      <c r="D201" s="5" t="s">
        <v>1209</v>
      </c>
      <c r="E201" s="5" t="s">
        <v>1210</v>
      </c>
      <c r="F201" s="5" t="s">
        <v>1212</v>
      </c>
    </row>
    <row r="202">
      <c r="A202" s="5">
        <v>9.818024252E9</v>
      </c>
      <c r="B202" s="6">
        <v>45370.80989123843</v>
      </c>
      <c r="C202" s="7">
        <v>1.0</v>
      </c>
      <c r="D202" s="5" t="s">
        <v>1209</v>
      </c>
      <c r="E202" s="5" t="s">
        <v>1210</v>
      </c>
      <c r="F202" s="5" t="s">
        <v>1211</v>
      </c>
    </row>
    <row r="203">
      <c r="A203" s="5">
        <v>8.447575487E9</v>
      </c>
      <c r="B203" s="6">
        <v>45371.78316881944</v>
      </c>
      <c r="C203" s="7">
        <v>1.0</v>
      </c>
      <c r="D203" s="5" t="s">
        <v>1209</v>
      </c>
      <c r="E203" s="5" t="s">
        <v>1210</v>
      </c>
      <c r="F203" s="5" t="s">
        <v>1211</v>
      </c>
    </row>
    <row r="204">
      <c r="A204" s="5">
        <v>7.838100747E9</v>
      </c>
      <c r="B204" s="6">
        <v>45372.59517704861</v>
      </c>
      <c r="C204" s="7">
        <v>1.0</v>
      </c>
      <c r="D204" s="5" t="s">
        <v>1209</v>
      </c>
      <c r="E204" s="5" t="s">
        <v>1210</v>
      </c>
      <c r="F204" s="5" t="s">
        <v>1212</v>
      </c>
    </row>
    <row r="205">
      <c r="A205" s="5">
        <v>8.368667298E9</v>
      </c>
      <c r="B205" s="6">
        <v>45372.763139560186</v>
      </c>
      <c r="C205" s="7">
        <v>1.0</v>
      </c>
      <c r="D205" s="5" t="s">
        <v>1209</v>
      </c>
      <c r="E205" s="5" t="s">
        <v>1210</v>
      </c>
      <c r="F205" s="5" t="s">
        <v>1211</v>
      </c>
    </row>
    <row r="206">
      <c r="A206" s="5">
        <v>9.654528846E9</v>
      </c>
      <c r="B206" s="6">
        <v>45372.76389728009</v>
      </c>
      <c r="C206" s="7">
        <v>1.0</v>
      </c>
      <c r="D206" s="5" t="s">
        <v>1209</v>
      </c>
      <c r="E206" s="5" t="s">
        <v>1210</v>
      </c>
      <c r="F206" s="5" t="s">
        <v>1212</v>
      </c>
    </row>
    <row r="207">
      <c r="A207" s="5">
        <v>7.00816625E9</v>
      </c>
      <c r="B207" s="6">
        <v>45372.81997561343</v>
      </c>
      <c r="C207" s="7">
        <v>1.0</v>
      </c>
      <c r="D207" s="5" t="s">
        <v>1209</v>
      </c>
      <c r="E207" s="5" t="s">
        <v>1210</v>
      </c>
      <c r="F207" s="5" t="s">
        <v>1211</v>
      </c>
    </row>
    <row r="208">
      <c r="A208" s="5">
        <v>9.811333074E9</v>
      </c>
      <c r="B208" s="6">
        <v>45373.692503576385</v>
      </c>
      <c r="C208" s="7">
        <v>1.0</v>
      </c>
      <c r="D208" s="5" t="s">
        <v>1209</v>
      </c>
      <c r="E208" s="5" t="s">
        <v>1210</v>
      </c>
      <c r="F208" s="5" t="s">
        <v>1212</v>
      </c>
    </row>
    <row r="209">
      <c r="A209" s="5">
        <v>9.717321137E9</v>
      </c>
      <c r="B209" s="6">
        <v>45374.68433668981</v>
      </c>
      <c r="C209" s="7">
        <v>1.0</v>
      </c>
      <c r="D209" s="5" t="s">
        <v>1209</v>
      </c>
      <c r="E209" s="5" t="s">
        <v>1210</v>
      </c>
      <c r="F209" s="5" t="s">
        <v>1211</v>
      </c>
    </row>
    <row r="210">
      <c r="A210" s="5">
        <v>7.065869677E9</v>
      </c>
      <c r="B210" s="6">
        <v>45377.782176134264</v>
      </c>
      <c r="C210" s="7">
        <v>1.0</v>
      </c>
      <c r="D210" s="5" t="s">
        <v>1209</v>
      </c>
      <c r="E210" s="5" t="s">
        <v>1210</v>
      </c>
      <c r="F210" s="5" t="s">
        <v>1211</v>
      </c>
    </row>
    <row r="211">
      <c r="A211" s="5">
        <v>9.654591719E9</v>
      </c>
      <c r="B211" s="6">
        <v>45377.78318398148</v>
      </c>
      <c r="C211" s="7">
        <v>136.0</v>
      </c>
      <c r="D211" s="5" t="s">
        <v>1209</v>
      </c>
      <c r="E211" s="5" t="s">
        <v>1210</v>
      </c>
      <c r="F211" s="5" t="s">
        <v>1211</v>
      </c>
    </row>
    <row r="212">
      <c r="A212" s="5">
        <v>6.289219597E9</v>
      </c>
      <c r="B212" s="6">
        <v>45379.755163449074</v>
      </c>
      <c r="C212" s="7">
        <v>1.0</v>
      </c>
      <c r="D212" s="5" t="s">
        <v>1209</v>
      </c>
      <c r="E212" s="5" t="s">
        <v>1210</v>
      </c>
      <c r="F212" s="5" t="s">
        <v>1211</v>
      </c>
    </row>
    <row r="213">
      <c r="A213" s="5">
        <v>8.800985838E9</v>
      </c>
      <c r="B213" s="6">
        <v>45379.77974067129</v>
      </c>
      <c r="C213" s="7">
        <v>69.0</v>
      </c>
      <c r="D213" s="5" t="s">
        <v>1209</v>
      </c>
      <c r="E213" s="5" t="s">
        <v>1210</v>
      </c>
      <c r="F213" s="5" t="s">
        <v>1211</v>
      </c>
    </row>
    <row r="214">
      <c r="A214" s="5">
        <v>9.664591719E9</v>
      </c>
      <c r="B214" s="6">
        <v>45379.78381818287</v>
      </c>
      <c r="C214" s="7">
        <v>205.0</v>
      </c>
      <c r="D214" s="5" t="s">
        <v>1209</v>
      </c>
      <c r="E214" s="5" t="s">
        <v>1210</v>
      </c>
      <c r="F214" s="5" t="s">
        <v>1211</v>
      </c>
    </row>
    <row r="215">
      <c r="A215" s="5">
        <v>9.818747966E9</v>
      </c>
      <c r="B215" s="6">
        <v>45380.73802518519</v>
      </c>
      <c r="C215" s="7">
        <v>1.0</v>
      </c>
      <c r="D215" s="5" t="s">
        <v>1209</v>
      </c>
      <c r="E215" s="5" t="s">
        <v>1210</v>
      </c>
      <c r="F215" s="5" t="s">
        <v>1212</v>
      </c>
    </row>
    <row r="216">
      <c r="A216" s="5">
        <v>8.802238505E9</v>
      </c>
      <c r="B216" s="6">
        <v>45380.73907391204</v>
      </c>
      <c r="C216" s="7">
        <v>1.0</v>
      </c>
      <c r="D216" s="5" t="s">
        <v>1209</v>
      </c>
      <c r="E216" s="5" t="s">
        <v>1210</v>
      </c>
      <c r="F216" s="5" t="s">
        <v>1211</v>
      </c>
    </row>
    <row r="217">
      <c r="A217" s="5">
        <v>9.899980269E9</v>
      </c>
      <c r="B217" s="6">
        <v>45381.76403314815</v>
      </c>
      <c r="C217" s="7">
        <v>1.0</v>
      </c>
      <c r="D217" s="5" t="s">
        <v>1209</v>
      </c>
      <c r="E217" s="5" t="s">
        <v>1210</v>
      </c>
      <c r="F217" s="5" t="s">
        <v>1211</v>
      </c>
    </row>
    <row r="218">
      <c r="A218" s="5">
        <v>8.929324941E9</v>
      </c>
      <c r="B218" s="6">
        <v>45382.85592476852</v>
      </c>
      <c r="C218" s="7">
        <v>69.0</v>
      </c>
      <c r="D218" s="5" t="s">
        <v>1209</v>
      </c>
      <c r="E218" s="5" t="s">
        <v>1210</v>
      </c>
      <c r="F218" s="5" t="s">
        <v>1211</v>
      </c>
    </row>
    <row r="219">
      <c r="A219" s="5">
        <v>9.818325544E9</v>
      </c>
      <c r="B219" s="6">
        <v>45385.706878310186</v>
      </c>
      <c r="C219" s="7">
        <v>1.0</v>
      </c>
      <c r="D219" s="5" t="s">
        <v>1209</v>
      </c>
      <c r="E219" s="5" t="s">
        <v>1210</v>
      </c>
      <c r="F219" s="5" t="s">
        <v>1212</v>
      </c>
    </row>
    <row r="220">
      <c r="A220" s="5">
        <v>9.682615632E9</v>
      </c>
      <c r="B220" s="6">
        <v>45385.70951792824</v>
      </c>
      <c r="C220" s="7">
        <v>1.0</v>
      </c>
      <c r="D220" s="5" t="s">
        <v>1209</v>
      </c>
      <c r="E220" s="5" t="s">
        <v>1210</v>
      </c>
      <c r="F220" s="5" t="s">
        <v>1211</v>
      </c>
    </row>
    <row r="221">
      <c r="A221" s="5">
        <v>9.717700946E9</v>
      </c>
      <c r="B221" s="6">
        <v>45386.759846898145</v>
      </c>
      <c r="C221" s="7">
        <v>1.0</v>
      </c>
      <c r="D221" s="5" t="s">
        <v>1209</v>
      </c>
      <c r="E221" s="5" t="s">
        <v>1210</v>
      </c>
      <c r="F221" s="5" t="s">
        <v>1211</v>
      </c>
    </row>
    <row r="222">
      <c r="A222" s="5">
        <v>9.810413272E9</v>
      </c>
      <c r="B222" s="6">
        <v>45387.67437171296</v>
      </c>
      <c r="C222" s="7">
        <v>536.0</v>
      </c>
      <c r="D222" s="5" t="s">
        <v>1213</v>
      </c>
      <c r="E222" s="5" t="s">
        <v>1210</v>
      </c>
      <c r="F222" s="5" t="s">
        <v>1211</v>
      </c>
    </row>
    <row r="223">
      <c r="A223" s="5">
        <v>9.582636788E9</v>
      </c>
      <c r="B223" s="6">
        <v>45388.711598298614</v>
      </c>
      <c r="C223" s="7">
        <v>1.0</v>
      </c>
      <c r="D223" s="5" t="s">
        <v>1209</v>
      </c>
      <c r="E223" s="5" t="s">
        <v>1210</v>
      </c>
      <c r="F223" s="5" t="s">
        <v>1212</v>
      </c>
    </row>
    <row r="224">
      <c r="A224" s="5">
        <v>9.711525419E9</v>
      </c>
      <c r="B224" s="6">
        <v>45388.71566835648</v>
      </c>
      <c r="C224" s="7">
        <v>1.0</v>
      </c>
      <c r="D224" s="5" t="s">
        <v>1209</v>
      </c>
      <c r="E224" s="5" t="s">
        <v>1210</v>
      </c>
      <c r="F224" s="5" t="s">
        <v>1211</v>
      </c>
    </row>
    <row r="225">
      <c r="A225" s="5">
        <v>9.899007399E9</v>
      </c>
      <c r="B225" s="6">
        <v>45388.716748935185</v>
      </c>
      <c r="C225" s="7">
        <v>1.0</v>
      </c>
      <c r="D225" s="5" t="s">
        <v>1209</v>
      </c>
      <c r="E225" s="5" t="s">
        <v>1210</v>
      </c>
      <c r="F225" s="5" t="s">
        <v>1212</v>
      </c>
    </row>
    <row r="226">
      <c r="A226" s="5">
        <v>9.811255881E9</v>
      </c>
      <c r="B226" s="6">
        <v>45389.75860767361</v>
      </c>
      <c r="C226" s="7">
        <v>1.0</v>
      </c>
      <c r="D226" s="5" t="s">
        <v>1209</v>
      </c>
      <c r="E226" s="5" t="s">
        <v>1210</v>
      </c>
      <c r="F226" s="5" t="s">
        <v>1211</v>
      </c>
    </row>
    <row r="227">
      <c r="A227" s="5">
        <v>9.213882013E9</v>
      </c>
      <c r="B227" s="6">
        <v>45389.7593328125</v>
      </c>
      <c r="C227" s="7">
        <v>1.0</v>
      </c>
      <c r="D227" s="5" t="s">
        <v>1209</v>
      </c>
      <c r="E227" s="5" t="s">
        <v>1210</v>
      </c>
      <c r="F227" s="5" t="s">
        <v>1211</v>
      </c>
    </row>
    <row r="228">
      <c r="A228" s="5">
        <v>9.582356161E9</v>
      </c>
      <c r="B228" s="6">
        <v>45389.76049144676</v>
      </c>
      <c r="C228" s="7">
        <v>1.0</v>
      </c>
      <c r="D228" s="5" t="s">
        <v>1209</v>
      </c>
      <c r="E228" s="5" t="s">
        <v>1210</v>
      </c>
      <c r="F228" s="5" t="s">
        <v>1211</v>
      </c>
    </row>
    <row r="229">
      <c r="A229" s="5">
        <v>9.346561515E9</v>
      </c>
      <c r="B229" s="6">
        <v>45391.8170294213</v>
      </c>
      <c r="C229" s="7">
        <v>1.0</v>
      </c>
      <c r="D229" s="5" t="s">
        <v>1209</v>
      </c>
      <c r="E229" s="5" t="s">
        <v>1210</v>
      </c>
      <c r="F229" s="5" t="s">
        <v>1211</v>
      </c>
    </row>
    <row r="230">
      <c r="A230" s="5">
        <v>9.818498821E9</v>
      </c>
      <c r="B230" s="6">
        <v>45392.81951851852</v>
      </c>
      <c r="C230" s="7">
        <v>1.0</v>
      </c>
      <c r="D230" s="5" t="s">
        <v>1209</v>
      </c>
      <c r="E230" s="5" t="s">
        <v>1210</v>
      </c>
      <c r="F230" s="5" t="s">
        <v>1211</v>
      </c>
    </row>
    <row r="231">
      <c r="A231" s="5">
        <v>7.417700981E9</v>
      </c>
      <c r="B231" s="6">
        <v>45392.82091079861</v>
      </c>
      <c r="C231" s="7">
        <v>137.0</v>
      </c>
      <c r="D231" s="5" t="s">
        <v>1209</v>
      </c>
      <c r="E231" s="5" t="s">
        <v>1210</v>
      </c>
      <c r="F231" s="5" t="s">
        <v>1211</v>
      </c>
    </row>
    <row r="232">
      <c r="A232" s="5">
        <v>7.988345244E9</v>
      </c>
      <c r="B232" s="6">
        <v>45393.80533449074</v>
      </c>
      <c r="C232" s="7">
        <v>1.0</v>
      </c>
      <c r="D232" s="5" t="s">
        <v>1209</v>
      </c>
      <c r="E232" s="5" t="s">
        <v>1210</v>
      </c>
      <c r="F232" s="5" t="s">
        <v>1211</v>
      </c>
    </row>
    <row r="233">
      <c r="A233" s="5">
        <v>8.588087194E9</v>
      </c>
      <c r="B233" s="6">
        <v>45393.8142946875</v>
      </c>
      <c r="C233" s="7">
        <v>1.0</v>
      </c>
      <c r="D233" s="5" t="s">
        <v>1209</v>
      </c>
      <c r="E233" s="5" t="s">
        <v>1210</v>
      </c>
      <c r="F233" s="5" t="s">
        <v>1212</v>
      </c>
    </row>
    <row r="234">
      <c r="A234" s="5">
        <v>9.971620451E9</v>
      </c>
      <c r="B234" s="6">
        <v>45394.78887725694</v>
      </c>
      <c r="C234" s="7">
        <v>1.0</v>
      </c>
      <c r="D234" s="5" t="s">
        <v>1209</v>
      </c>
      <c r="E234" s="5" t="s">
        <v>1210</v>
      </c>
      <c r="F234" s="5" t="s">
        <v>1211</v>
      </c>
    </row>
    <row r="235">
      <c r="A235" s="5">
        <v>8.920888312E9</v>
      </c>
      <c r="B235" s="6">
        <v>45394.78957009259</v>
      </c>
      <c r="C235" s="7">
        <v>1.0</v>
      </c>
      <c r="D235" s="5" t="s">
        <v>1209</v>
      </c>
      <c r="E235" s="5" t="s">
        <v>1210</v>
      </c>
      <c r="F235" s="5" t="s">
        <v>1212</v>
      </c>
    </row>
    <row r="236">
      <c r="A236" s="5">
        <v>7.82772007E9</v>
      </c>
      <c r="B236" s="6">
        <v>45395.74558008102</v>
      </c>
      <c r="C236" s="7">
        <v>1.0</v>
      </c>
      <c r="D236" s="5" t="s">
        <v>1209</v>
      </c>
      <c r="E236" s="5" t="s">
        <v>1210</v>
      </c>
      <c r="F236" s="5" t="s">
        <v>1211</v>
      </c>
    </row>
    <row r="237">
      <c r="A237" s="5">
        <v>8.377867496E9</v>
      </c>
      <c r="B237" s="6">
        <v>45395.74618967593</v>
      </c>
      <c r="C237" s="7">
        <v>1.0</v>
      </c>
      <c r="D237" s="5" t="s">
        <v>1209</v>
      </c>
      <c r="E237" s="5" t="s">
        <v>1210</v>
      </c>
      <c r="F237" s="5" t="s">
        <v>1211</v>
      </c>
    </row>
    <row r="238">
      <c r="A238" s="5">
        <v>9.599026033E9</v>
      </c>
      <c r="B238" s="6">
        <v>45395.7470749537</v>
      </c>
      <c r="C238" s="7">
        <v>1.0</v>
      </c>
      <c r="D238" s="5" t="s">
        <v>1209</v>
      </c>
      <c r="E238" s="5" t="s">
        <v>1210</v>
      </c>
      <c r="F238" s="5" t="s">
        <v>1211</v>
      </c>
    </row>
    <row r="239">
      <c r="A239" s="5">
        <v>9.899090013E9</v>
      </c>
      <c r="B239" s="6">
        <v>45402.79491189815</v>
      </c>
      <c r="C239" s="7">
        <v>1.0</v>
      </c>
      <c r="D239" s="5" t="s">
        <v>1209</v>
      </c>
      <c r="E239" s="5" t="s">
        <v>1210</v>
      </c>
      <c r="F239" s="5" t="s">
        <v>1212</v>
      </c>
    </row>
    <row r="240">
      <c r="A240" s="5">
        <v>9.434246914E9</v>
      </c>
      <c r="B240" s="6">
        <v>45403.66202905093</v>
      </c>
      <c r="C240" s="7">
        <v>1.0</v>
      </c>
      <c r="D240" s="5" t="s">
        <v>1209</v>
      </c>
      <c r="E240" s="5" t="s">
        <v>1210</v>
      </c>
      <c r="F240" s="5" t="s">
        <v>1211</v>
      </c>
    </row>
    <row r="241">
      <c r="A241" s="5">
        <v>9.899721688E9</v>
      </c>
      <c r="B241" s="6">
        <v>45403.68622530093</v>
      </c>
      <c r="C241" s="7">
        <v>1.0</v>
      </c>
      <c r="D241" s="5" t="s">
        <v>1209</v>
      </c>
      <c r="E241" s="5" t="s">
        <v>1210</v>
      </c>
      <c r="F241" s="5" t="s">
        <v>1212</v>
      </c>
    </row>
    <row r="242">
      <c r="A242" s="5">
        <v>9.999376232E9</v>
      </c>
      <c r="B242" s="6">
        <v>45403.775093414355</v>
      </c>
      <c r="C242" s="7">
        <v>1.0</v>
      </c>
      <c r="D242" s="5" t="s">
        <v>1209</v>
      </c>
      <c r="E242" s="5" t="s">
        <v>1210</v>
      </c>
      <c r="F242" s="5" t="s">
        <v>1211</v>
      </c>
    </row>
    <row r="243">
      <c r="A243" s="5">
        <v>9.289617468E9</v>
      </c>
      <c r="B243" s="6">
        <v>45405.771272303245</v>
      </c>
      <c r="C243" s="7">
        <v>1.0</v>
      </c>
      <c r="D243" s="5" t="s">
        <v>1209</v>
      </c>
      <c r="E243" s="5" t="s">
        <v>1210</v>
      </c>
      <c r="F243" s="5" t="s">
        <v>1212</v>
      </c>
    </row>
    <row r="244">
      <c r="A244" s="5">
        <v>9.968266086E9</v>
      </c>
      <c r="B244" s="6">
        <v>45405.77218714121</v>
      </c>
      <c r="C244" s="7">
        <v>1.0</v>
      </c>
      <c r="D244" s="5" t="s">
        <v>1209</v>
      </c>
      <c r="E244" s="5" t="s">
        <v>1210</v>
      </c>
      <c r="F244" s="5" t="s">
        <v>1211</v>
      </c>
    </row>
    <row r="245">
      <c r="A245" s="5">
        <v>9.873469848E9</v>
      </c>
      <c r="B245" s="6">
        <v>45406.700646701385</v>
      </c>
      <c r="C245" s="7">
        <v>1.0</v>
      </c>
      <c r="D245" s="5" t="s">
        <v>1209</v>
      </c>
      <c r="E245" s="5" t="s">
        <v>1210</v>
      </c>
      <c r="F245" s="5" t="s">
        <v>1212</v>
      </c>
    </row>
    <row r="246">
      <c r="A246" s="5">
        <v>9.313251554E9</v>
      </c>
      <c r="B246" s="6">
        <v>45406.70290365741</v>
      </c>
      <c r="C246" s="7">
        <v>69.0</v>
      </c>
      <c r="D246" s="5" t="s">
        <v>1209</v>
      </c>
      <c r="E246" s="5" t="s">
        <v>1210</v>
      </c>
      <c r="F246" s="5" t="s">
        <v>1211</v>
      </c>
    </row>
    <row r="247">
      <c r="A247" s="5">
        <v>9.654168668E9</v>
      </c>
      <c r="B247" s="6">
        <v>45407.79986024306</v>
      </c>
      <c r="C247" s="7">
        <v>1.0</v>
      </c>
      <c r="D247" s="5" t="s">
        <v>1209</v>
      </c>
      <c r="E247" s="5" t="s">
        <v>1210</v>
      </c>
      <c r="F247" s="5" t="s">
        <v>1211</v>
      </c>
    </row>
    <row r="248">
      <c r="A248" s="5">
        <v>8.769597023E9</v>
      </c>
      <c r="B248" s="6">
        <v>45408.77924159722</v>
      </c>
      <c r="C248" s="7">
        <v>1.0</v>
      </c>
      <c r="D248" s="5" t="s">
        <v>1209</v>
      </c>
      <c r="E248" s="5" t="s">
        <v>1210</v>
      </c>
      <c r="F248" s="5" t="s">
        <v>1211</v>
      </c>
    </row>
    <row r="249">
      <c r="A249" s="5">
        <v>9.81062888E9</v>
      </c>
      <c r="B249" s="6">
        <v>45413.47473021991</v>
      </c>
      <c r="C249" s="7">
        <v>68.0</v>
      </c>
      <c r="D249" s="5" t="s">
        <v>1213</v>
      </c>
      <c r="E249" s="5" t="s">
        <v>1210</v>
      </c>
      <c r="F249" s="5" t="s">
        <v>1211</v>
      </c>
    </row>
    <row r="250">
      <c r="A250" s="5">
        <v>7.982577704E9</v>
      </c>
      <c r="B250" s="6">
        <v>45413.677566956016</v>
      </c>
      <c r="C250" s="7">
        <v>1.0</v>
      </c>
      <c r="D250" s="5" t="s">
        <v>1209</v>
      </c>
      <c r="E250" s="5" t="s">
        <v>1210</v>
      </c>
      <c r="F250" s="5" t="s">
        <v>1211</v>
      </c>
    </row>
    <row r="251">
      <c r="A251" s="5">
        <v>9.89109509E9</v>
      </c>
      <c r="B251" s="6">
        <v>45413.67952938657</v>
      </c>
      <c r="C251" s="7">
        <v>1.0</v>
      </c>
      <c r="D251" s="5" t="s">
        <v>1209</v>
      </c>
      <c r="E251" s="5" t="s">
        <v>1210</v>
      </c>
      <c r="F251" s="5" t="s">
        <v>1211</v>
      </c>
    </row>
    <row r="252">
      <c r="A252" s="5">
        <v>9.717700546E9</v>
      </c>
      <c r="B252" s="6">
        <v>45413.81637634259</v>
      </c>
      <c r="C252" s="7">
        <v>338.0</v>
      </c>
      <c r="D252" s="5" t="s">
        <v>1213</v>
      </c>
      <c r="E252" s="5" t="s">
        <v>1210</v>
      </c>
      <c r="F252" s="5" t="s">
        <v>1211</v>
      </c>
    </row>
    <row r="253">
      <c r="A253" s="5">
        <v>7.703938998E9</v>
      </c>
      <c r="B253" s="6">
        <v>45414.785222997685</v>
      </c>
      <c r="C253" s="7">
        <v>1.0</v>
      </c>
      <c r="D253" s="5" t="s">
        <v>1209</v>
      </c>
      <c r="E253" s="5" t="s">
        <v>1210</v>
      </c>
      <c r="F253" s="5" t="s">
        <v>1211</v>
      </c>
    </row>
    <row r="254">
      <c r="A254" s="5">
        <v>9.711063633E9</v>
      </c>
      <c r="B254" s="6">
        <v>45415.76162105324</v>
      </c>
      <c r="C254" s="7">
        <v>68.0</v>
      </c>
      <c r="D254" s="5" t="s">
        <v>1213</v>
      </c>
      <c r="E254" s="5" t="s">
        <v>1210</v>
      </c>
      <c r="F254" s="5" t="s">
        <v>1211</v>
      </c>
    </row>
    <row r="255">
      <c r="A255" s="5">
        <v>9.81809325E9</v>
      </c>
      <c r="B255" s="6">
        <v>45416.69030659722</v>
      </c>
      <c r="C255" s="7">
        <v>1.0</v>
      </c>
      <c r="D255" s="5" t="s">
        <v>1209</v>
      </c>
      <c r="E255" s="5" t="s">
        <v>1210</v>
      </c>
      <c r="F255" s="5" t="s">
        <v>1211</v>
      </c>
    </row>
    <row r="256">
      <c r="A256" s="5">
        <v>8.851312233E9</v>
      </c>
      <c r="B256" s="6">
        <v>45416.77069738426</v>
      </c>
      <c r="C256" s="7">
        <v>136.0</v>
      </c>
      <c r="D256" s="5" t="s">
        <v>1209</v>
      </c>
      <c r="E256" s="5" t="s">
        <v>1210</v>
      </c>
      <c r="F256" s="5" t="s">
        <v>1211</v>
      </c>
    </row>
    <row r="257">
      <c r="A257" s="5">
        <v>9.953475761E9</v>
      </c>
      <c r="B257" s="6">
        <v>45417.74699950231</v>
      </c>
      <c r="C257" s="7">
        <v>1.0</v>
      </c>
      <c r="D257" s="5" t="s">
        <v>1209</v>
      </c>
      <c r="E257" s="5" t="s">
        <v>1210</v>
      </c>
      <c r="F257" s="5" t="s">
        <v>1211</v>
      </c>
    </row>
    <row r="258">
      <c r="A258" s="5">
        <v>9.818416046E9</v>
      </c>
      <c r="B258" s="6">
        <v>45417.74811714121</v>
      </c>
      <c r="C258" s="7">
        <v>1.0</v>
      </c>
      <c r="D258" s="5" t="s">
        <v>1209</v>
      </c>
      <c r="E258" s="5" t="s">
        <v>1210</v>
      </c>
      <c r="F258" s="5" t="s">
        <v>1211</v>
      </c>
    </row>
    <row r="259">
      <c r="A259" s="5">
        <v>9.999347862E9</v>
      </c>
      <c r="B259" s="6">
        <v>45417.76762763889</v>
      </c>
      <c r="C259" s="7">
        <v>69.0</v>
      </c>
      <c r="D259" s="5" t="s">
        <v>1209</v>
      </c>
      <c r="E259" s="5" t="s">
        <v>1210</v>
      </c>
      <c r="F259" s="5" t="s">
        <v>1211</v>
      </c>
    </row>
    <row r="260">
      <c r="A260" s="5">
        <v>9.871921125E9</v>
      </c>
      <c r="B260" s="6">
        <v>45419.73223876157</v>
      </c>
      <c r="C260" s="7">
        <v>1.0</v>
      </c>
      <c r="D260" s="5" t="s">
        <v>1209</v>
      </c>
      <c r="E260" s="5" t="s">
        <v>1210</v>
      </c>
      <c r="F260" s="5" t="s">
        <v>1211</v>
      </c>
    </row>
    <row r="261">
      <c r="A261" s="5">
        <v>9.971149898E9</v>
      </c>
      <c r="B261" s="6">
        <v>45420.72631251157</v>
      </c>
      <c r="C261" s="7">
        <v>1.0</v>
      </c>
      <c r="D261" s="5" t="s">
        <v>1209</v>
      </c>
      <c r="E261" s="5" t="s">
        <v>1210</v>
      </c>
      <c r="F261" s="5" t="s">
        <v>1212</v>
      </c>
    </row>
    <row r="262">
      <c r="A262" s="5">
        <v>9.711668159E9</v>
      </c>
      <c r="B262" s="6">
        <v>45420.76732010416</v>
      </c>
      <c r="C262" s="7">
        <v>1.0</v>
      </c>
      <c r="D262" s="5" t="s">
        <v>1209</v>
      </c>
      <c r="E262" s="5" t="s">
        <v>1210</v>
      </c>
      <c r="F262" s="5" t="s">
        <v>1211</v>
      </c>
    </row>
    <row r="263">
      <c r="A263" s="5">
        <v>9.990054084E9</v>
      </c>
      <c r="B263" s="6">
        <v>45420.81668712963</v>
      </c>
      <c r="C263" s="7">
        <v>69.0</v>
      </c>
      <c r="D263" s="5" t="s">
        <v>1209</v>
      </c>
      <c r="E263" s="5" t="s">
        <v>1210</v>
      </c>
      <c r="F263" s="5" t="s">
        <v>1211</v>
      </c>
    </row>
    <row r="264">
      <c r="A264" s="5">
        <v>8.59528338E9</v>
      </c>
      <c r="B264" s="6">
        <v>45421.748873136574</v>
      </c>
      <c r="C264" s="7">
        <v>69.0</v>
      </c>
      <c r="D264" s="5" t="s">
        <v>1209</v>
      </c>
      <c r="E264" s="5" t="s">
        <v>1210</v>
      </c>
      <c r="F264" s="5" t="s">
        <v>1211</v>
      </c>
    </row>
    <row r="265">
      <c r="A265" s="5">
        <v>8.909741255E9</v>
      </c>
      <c r="B265" s="6">
        <v>45421.805520208334</v>
      </c>
      <c r="C265" s="7">
        <v>69.0</v>
      </c>
      <c r="D265" s="5" t="s">
        <v>1209</v>
      </c>
      <c r="E265" s="5" t="s">
        <v>1210</v>
      </c>
      <c r="F265" s="5" t="s">
        <v>1211</v>
      </c>
    </row>
    <row r="266">
      <c r="A266" s="5">
        <v>9.810287478E9</v>
      </c>
      <c r="B266" s="6">
        <v>45421.82413862269</v>
      </c>
      <c r="C266" s="7">
        <v>68.0</v>
      </c>
      <c r="D266" s="5" t="s">
        <v>1213</v>
      </c>
      <c r="E266" s="5" t="s">
        <v>1210</v>
      </c>
      <c r="F266" s="5" t="s">
        <v>1212</v>
      </c>
    </row>
    <row r="267">
      <c r="A267" s="5">
        <v>9.26851437E9</v>
      </c>
      <c r="B267" s="6">
        <v>45422.73433331019</v>
      </c>
      <c r="C267" s="7">
        <v>1.0</v>
      </c>
      <c r="D267" s="5" t="s">
        <v>1209</v>
      </c>
      <c r="E267" s="5" t="s">
        <v>1210</v>
      </c>
      <c r="F267" s="5" t="s">
        <v>1211</v>
      </c>
    </row>
    <row r="268">
      <c r="A268" s="5">
        <v>7.889096931E9</v>
      </c>
      <c r="B268" s="6">
        <v>45422.742145868055</v>
      </c>
      <c r="C268" s="7">
        <v>1.0</v>
      </c>
      <c r="D268" s="5" t="s">
        <v>1209</v>
      </c>
      <c r="E268" s="5" t="s">
        <v>1210</v>
      </c>
      <c r="F268" s="5" t="s">
        <v>1211</v>
      </c>
    </row>
    <row r="269">
      <c r="A269" s="5">
        <v>9.711710329E9</v>
      </c>
      <c r="B269" s="6">
        <v>45422.791382627314</v>
      </c>
      <c r="C269" s="7">
        <v>1.0</v>
      </c>
      <c r="D269" s="5" t="s">
        <v>1209</v>
      </c>
      <c r="E269" s="5" t="s">
        <v>1210</v>
      </c>
      <c r="F269" s="5" t="s">
        <v>1211</v>
      </c>
    </row>
    <row r="270">
      <c r="A270" s="5">
        <v>8.447540669E9</v>
      </c>
      <c r="B270" s="6">
        <v>45422.84388043982</v>
      </c>
      <c r="C270" s="7">
        <v>1.0</v>
      </c>
      <c r="D270" s="5" t="s">
        <v>1209</v>
      </c>
      <c r="E270" s="5" t="s">
        <v>1210</v>
      </c>
      <c r="F270" s="5" t="s">
        <v>1211</v>
      </c>
    </row>
    <row r="271">
      <c r="A271" s="5">
        <v>9.999323701E9</v>
      </c>
      <c r="B271" s="6">
        <v>45422.844547650464</v>
      </c>
      <c r="C271" s="7">
        <v>1.0</v>
      </c>
      <c r="D271" s="5" t="s">
        <v>1209</v>
      </c>
      <c r="E271" s="5" t="s">
        <v>1210</v>
      </c>
      <c r="F271" s="5" t="s">
        <v>1211</v>
      </c>
    </row>
    <row r="272">
      <c r="A272" s="5">
        <v>9.013504064E9</v>
      </c>
      <c r="B272" s="6">
        <v>45423.80395780093</v>
      </c>
      <c r="C272" s="7">
        <v>1.0</v>
      </c>
      <c r="D272" s="5" t="s">
        <v>1209</v>
      </c>
      <c r="E272" s="5" t="s">
        <v>1210</v>
      </c>
      <c r="F272" s="5" t="s">
        <v>1211</v>
      </c>
    </row>
    <row r="273">
      <c r="A273" s="5">
        <v>9.999641245E9</v>
      </c>
      <c r="B273" s="6">
        <v>45423.833760532405</v>
      </c>
      <c r="C273" s="7">
        <v>1.0</v>
      </c>
      <c r="D273" s="5" t="s">
        <v>1209</v>
      </c>
      <c r="E273" s="5" t="s">
        <v>1210</v>
      </c>
      <c r="F273" s="5" t="s">
        <v>1212</v>
      </c>
    </row>
    <row r="274">
      <c r="A274" s="5">
        <v>9.911220005E9</v>
      </c>
      <c r="B274" s="6">
        <v>45424.831701041665</v>
      </c>
      <c r="C274" s="7">
        <v>1.0</v>
      </c>
      <c r="D274" s="5" t="s">
        <v>1209</v>
      </c>
      <c r="E274" s="5" t="s">
        <v>1210</v>
      </c>
      <c r="F274" s="5" t="s">
        <v>1211</v>
      </c>
    </row>
    <row r="275">
      <c r="A275" s="5">
        <v>9.71702601E9</v>
      </c>
      <c r="B275" s="6">
        <v>45427.756289108795</v>
      </c>
      <c r="C275" s="7">
        <v>69.0</v>
      </c>
      <c r="D275" s="5" t="s">
        <v>1209</v>
      </c>
      <c r="E275" s="5" t="s">
        <v>1210</v>
      </c>
      <c r="F275" s="5" t="s">
        <v>1211</v>
      </c>
    </row>
    <row r="276">
      <c r="A276" s="5">
        <v>8.882131759E9</v>
      </c>
      <c r="B276" s="6">
        <v>45427.7918539699</v>
      </c>
      <c r="C276" s="7">
        <v>1.0</v>
      </c>
      <c r="D276" s="5" t="s">
        <v>1209</v>
      </c>
      <c r="E276" s="5" t="s">
        <v>1210</v>
      </c>
      <c r="F276" s="5" t="s">
        <v>1212</v>
      </c>
    </row>
    <row r="277">
      <c r="A277" s="5">
        <v>9.313890608E9</v>
      </c>
      <c r="B277" s="6">
        <v>45429.77685172454</v>
      </c>
      <c r="C277" s="7">
        <v>1.0</v>
      </c>
      <c r="D277" s="5" t="s">
        <v>1209</v>
      </c>
      <c r="E277" s="5" t="s">
        <v>1210</v>
      </c>
      <c r="F277" s="5" t="s">
        <v>1211</v>
      </c>
    </row>
    <row r="278">
      <c r="A278" s="5">
        <v>8.826639017E9</v>
      </c>
      <c r="B278" s="6">
        <v>45430.75164086805</v>
      </c>
      <c r="C278" s="7">
        <v>1.0</v>
      </c>
      <c r="D278" s="5" t="s">
        <v>1209</v>
      </c>
      <c r="E278" s="5" t="s">
        <v>1210</v>
      </c>
      <c r="F278" s="5" t="s">
        <v>1211</v>
      </c>
    </row>
    <row r="279">
      <c r="A279" s="5">
        <v>7.838532754E9</v>
      </c>
      <c r="B279" s="6">
        <v>45430.75246108796</v>
      </c>
      <c r="C279" s="7">
        <v>1.0</v>
      </c>
      <c r="D279" s="5" t="s">
        <v>1209</v>
      </c>
      <c r="E279" s="5" t="s">
        <v>1210</v>
      </c>
      <c r="F279" s="5" t="s">
        <v>1211</v>
      </c>
    </row>
    <row r="280">
      <c r="A280" s="5">
        <v>9.718226622E9</v>
      </c>
      <c r="B280" s="6">
        <v>45430.839967465276</v>
      </c>
      <c r="C280" s="7">
        <v>1.0</v>
      </c>
      <c r="D280" s="5" t="s">
        <v>1209</v>
      </c>
      <c r="E280" s="5" t="s">
        <v>1210</v>
      </c>
      <c r="F280" s="5" t="s">
        <v>1211</v>
      </c>
    </row>
    <row r="281">
      <c r="A281" s="5">
        <v>9.91080292E9</v>
      </c>
      <c r="B281" s="6">
        <v>45431.72146291667</v>
      </c>
      <c r="C281" s="7">
        <v>1.0</v>
      </c>
      <c r="D281" s="5" t="s">
        <v>1209</v>
      </c>
      <c r="E281" s="5" t="s">
        <v>1210</v>
      </c>
      <c r="F281" s="5" t="s">
        <v>1211</v>
      </c>
    </row>
    <row r="282">
      <c r="A282" s="5">
        <v>9.92099516E9</v>
      </c>
      <c r="B282" s="6">
        <v>45433.71626339121</v>
      </c>
      <c r="C282" s="7">
        <v>1.0</v>
      </c>
      <c r="D282" s="5" t="s">
        <v>1209</v>
      </c>
      <c r="E282" s="5" t="s">
        <v>1210</v>
      </c>
      <c r="F282" s="5" t="s">
        <v>1211</v>
      </c>
    </row>
    <row r="283">
      <c r="A283" s="5">
        <v>9.891000073E9</v>
      </c>
      <c r="B283" s="6">
        <v>45435.738471122684</v>
      </c>
      <c r="C283" s="7">
        <v>269.0</v>
      </c>
      <c r="D283" s="5" t="s">
        <v>1209</v>
      </c>
      <c r="E283" s="5" t="s">
        <v>1210</v>
      </c>
      <c r="F283" s="5" t="s">
        <v>1212</v>
      </c>
    </row>
    <row r="284">
      <c r="A284" s="5">
        <v>9.873282859E9</v>
      </c>
      <c r="B284" s="6">
        <v>45435.81883533565</v>
      </c>
      <c r="C284" s="7">
        <v>68.0</v>
      </c>
      <c r="D284" s="5" t="s">
        <v>1209</v>
      </c>
      <c r="E284" s="5" t="s">
        <v>1210</v>
      </c>
      <c r="F284" s="5" t="s">
        <v>1211</v>
      </c>
    </row>
    <row r="285">
      <c r="A285" s="5">
        <v>8.278678863E9</v>
      </c>
      <c r="B285" s="6">
        <v>45438.58842965278</v>
      </c>
      <c r="C285" s="7">
        <v>1.0</v>
      </c>
      <c r="D285" s="5" t="s">
        <v>1209</v>
      </c>
      <c r="E285" s="5" t="s">
        <v>1210</v>
      </c>
      <c r="F285" s="5" t="s">
        <v>1212</v>
      </c>
    </row>
    <row r="286">
      <c r="A286" s="5">
        <v>8.800646334E9</v>
      </c>
      <c r="B286" s="6">
        <v>45438.78786971065</v>
      </c>
      <c r="C286" s="7">
        <v>1.0</v>
      </c>
      <c r="D286" s="5" t="s">
        <v>1209</v>
      </c>
      <c r="E286" s="5" t="s">
        <v>1210</v>
      </c>
      <c r="F286" s="5" t="s">
        <v>1211</v>
      </c>
    </row>
    <row r="287">
      <c r="A287" s="5">
        <v>8.448226086E9</v>
      </c>
      <c r="B287" s="6">
        <v>45438.78861472222</v>
      </c>
      <c r="C287" s="7">
        <v>1.0</v>
      </c>
      <c r="D287" s="5" t="s">
        <v>1209</v>
      </c>
      <c r="E287" s="5" t="s">
        <v>1210</v>
      </c>
      <c r="F287" s="5" t="s">
        <v>1211</v>
      </c>
    </row>
    <row r="288">
      <c r="A288" s="5">
        <v>9.650020688E9</v>
      </c>
      <c r="B288" s="6">
        <v>45438.79575908565</v>
      </c>
      <c r="C288" s="7">
        <v>1.0</v>
      </c>
      <c r="D288" s="5" t="s">
        <v>1209</v>
      </c>
      <c r="E288" s="5" t="s">
        <v>1210</v>
      </c>
      <c r="F288" s="5" t="s">
        <v>1212</v>
      </c>
    </row>
    <row r="289">
      <c r="A289" s="5">
        <v>9.599954388E9</v>
      </c>
      <c r="B289" s="6">
        <v>45438.827655</v>
      </c>
      <c r="C289" s="7">
        <v>1.0</v>
      </c>
      <c r="D289" s="5" t="s">
        <v>1209</v>
      </c>
      <c r="E289" s="5" t="s">
        <v>1210</v>
      </c>
      <c r="F289" s="5" t="s">
        <v>1212</v>
      </c>
    </row>
    <row r="290">
      <c r="A290" s="5">
        <v>6.261748022E9</v>
      </c>
      <c r="B290" s="6">
        <v>45440.83435763889</v>
      </c>
      <c r="C290" s="7">
        <v>1.0</v>
      </c>
      <c r="D290" s="5" t="s">
        <v>1209</v>
      </c>
      <c r="E290" s="5" t="s">
        <v>1210</v>
      </c>
      <c r="F290" s="5" t="s">
        <v>1212</v>
      </c>
    </row>
    <row r="291">
      <c r="A291" s="5">
        <v>7.845086976E9</v>
      </c>
      <c r="B291" s="6">
        <v>45441.67377180555</v>
      </c>
      <c r="C291" s="7">
        <v>1.0</v>
      </c>
      <c r="D291" s="5" t="s">
        <v>1209</v>
      </c>
      <c r="E291" s="5" t="s">
        <v>1210</v>
      </c>
      <c r="F291" s="5" t="s">
        <v>1211</v>
      </c>
    </row>
    <row r="292">
      <c r="A292" s="5">
        <v>9.811675741E9</v>
      </c>
      <c r="B292" s="6">
        <v>45443.79277685186</v>
      </c>
      <c r="C292" s="7">
        <v>271.0</v>
      </c>
      <c r="D292" s="5" t="s">
        <v>1213</v>
      </c>
      <c r="E292" s="5" t="s">
        <v>1210</v>
      </c>
      <c r="F292" s="5" t="s">
        <v>1212</v>
      </c>
    </row>
    <row r="293">
      <c r="A293" s="5">
        <v>8.084229236E9</v>
      </c>
      <c r="B293" s="6">
        <v>45443.79535056713</v>
      </c>
      <c r="C293" s="7">
        <v>1.0</v>
      </c>
      <c r="D293" s="5" t="s">
        <v>1209</v>
      </c>
      <c r="E293" s="5" t="s">
        <v>1210</v>
      </c>
      <c r="F293" s="5" t="s">
        <v>1211</v>
      </c>
    </row>
    <row r="294">
      <c r="A294" s="5">
        <v>9.082673384E9</v>
      </c>
      <c r="B294" s="6">
        <v>45443.79609614583</v>
      </c>
      <c r="C294" s="7">
        <v>1.0</v>
      </c>
      <c r="D294" s="5" t="s">
        <v>1209</v>
      </c>
      <c r="E294" s="5" t="s">
        <v>1210</v>
      </c>
      <c r="F294" s="5" t="s">
        <v>1211</v>
      </c>
    </row>
    <row r="295">
      <c r="A295" s="5">
        <v>7.504978422E9</v>
      </c>
      <c r="B295" s="6">
        <v>45444.69226700232</v>
      </c>
      <c r="C295" s="7">
        <v>1.0</v>
      </c>
      <c r="D295" s="5" t="s">
        <v>1209</v>
      </c>
      <c r="E295" s="5" t="s">
        <v>1210</v>
      </c>
      <c r="F295" s="5" t="s">
        <v>1212</v>
      </c>
    </row>
    <row r="296">
      <c r="A296" s="5">
        <v>9.818838872E9</v>
      </c>
      <c r="B296" s="6">
        <v>45444.693339687496</v>
      </c>
      <c r="C296" s="7">
        <v>1.0</v>
      </c>
      <c r="D296" s="5" t="s">
        <v>1209</v>
      </c>
      <c r="E296" s="5" t="s">
        <v>1210</v>
      </c>
      <c r="F296" s="5" t="s">
        <v>1211</v>
      </c>
    </row>
    <row r="297">
      <c r="A297" s="5">
        <v>9.811016739E9</v>
      </c>
      <c r="B297" s="6">
        <v>45444.79395027777</v>
      </c>
      <c r="C297" s="7">
        <v>1.0</v>
      </c>
      <c r="D297" s="5" t="s">
        <v>1209</v>
      </c>
      <c r="E297" s="5" t="s">
        <v>1210</v>
      </c>
      <c r="F297" s="5" t="s">
        <v>1212</v>
      </c>
    </row>
    <row r="298">
      <c r="A298" s="5">
        <v>8.186882922E9</v>
      </c>
      <c r="B298" s="6">
        <v>45444.79475325231</v>
      </c>
      <c r="C298" s="7">
        <v>1.0</v>
      </c>
      <c r="D298" s="5" t="s">
        <v>1209</v>
      </c>
      <c r="E298" s="5" t="s">
        <v>1210</v>
      </c>
      <c r="F298" s="5" t="s">
        <v>1211</v>
      </c>
    </row>
    <row r="299">
      <c r="A299" s="5">
        <v>9.643776719E9</v>
      </c>
      <c r="B299" s="6">
        <v>45445.75327715278</v>
      </c>
      <c r="C299" s="7">
        <v>1.0</v>
      </c>
      <c r="D299" s="5" t="s">
        <v>1209</v>
      </c>
      <c r="E299" s="5" t="s">
        <v>1210</v>
      </c>
      <c r="F299" s="5" t="s">
        <v>1212</v>
      </c>
    </row>
    <row r="300">
      <c r="A300" s="5">
        <v>9.873771263E9</v>
      </c>
      <c r="B300" s="6">
        <v>45445.75780836806</v>
      </c>
      <c r="C300" s="7">
        <v>1.0</v>
      </c>
      <c r="D300" s="5" t="s">
        <v>1209</v>
      </c>
      <c r="E300" s="5" t="s">
        <v>1210</v>
      </c>
      <c r="F300" s="5" t="s">
        <v>1211</v>
      </c>
    </row>
    <row r="301">
      <c r="A301" s="5">
        <v>9.253006422E9</v>
      </c>
      <c r="B301" s="6">
        <v>45448.63729028935</v>
      </c>
      <c r="C301" s="7">
        <v>1.0</v>
      </c>
      <c r="D301" s="5" t="s">
        <v>1209</v>
      </c>
      <c r="E301" s="5" t="s">
        <v>1210</v>
      </c>
      <c r="F301" s="5" t="s">
        <v>1212</v>
      </c>
    </row>
    <row r="302">
      <c r="A302" s="5">
        <v>9.431125063E9</v>
      </c>
      <c r="B302" s="6">
        <v>45448.76537194445</v>
      </c>
      <c r="C302" s="7">
        <v>1.0</v>
      </c>
      <c r="D302" s="5" t="s">
        <v>1209</v>
      </c>
      <c r="E302" s="5" t="s">
        <v>1210</v>
      </c>
      <c r="F302" s="5" t="s">
        <v>1211</v>
      </c>
    </row>
    <row r="303">
      <c r="A303" s="5">
        <v>9.711634416E9</v>
      </c>
      <c r="B303" s="6">
        <v>45449.77746150463</v>
      </c>
      <c r="C303" s="7">
        <v>1.0</v>
      </c>
      <c r="D303" s="5" t="s">
        <v>1209</v>
      </c>
      <c r="E303" s="5" t="s">
        <v>1210</v>
      </c>
      <c r="F303" s="5" t="s">
        <v>1211</v>
      </c>
    </row>
    <row r="304">
      <c r="A304" s="5">
        <v>8.010211636E9</v>
      </c>
      <c r="B304" s="6">
        <v>45449.778427418976</v>
      </c>
      <c r="C304" s="7">
        <v>1.0</v>
      </c>
      <c r="D304" s="5" t="s">
        <v>1209</v>
      </c>
      <c r="E304" s="5" t="s">
        <v>1210</v>
      </c>
      <c r="F304" s="5" t="s">
        <v>1211</v>
      </c>
    </row>
    <row r="305">
      <c r="A305" s="5">
        <v>9.818995584E9</v>
      </c>
      <c r="B305" s="6">
        <v>45450.75144537037</v>
      </c>
      <c r="C305" s="7">
        <v>1.0</v>
      </c>
      <c r="D305" s="5" t="s">
        <v>1209</v>
      </c>
      <c r="E305" s="5" t="s">
        <v>1210</v>
      </c>
      <c r="F305" s="5" t="s">
        <v>1212</v>
      </c>
    </row>
    <row r="306">
      <c r="A306" s="5">
        <v>9.914703643E9</v>
      </c>
      <c r="B306" s="6">
        <v>45450.81111039352</v>
      </c>
      <c r="C306" s="7">
        <v>270.0</v>
      </c>
      <c r="D306" s="5" t="s">
        <v>1213</v>
      </c>
      <c r="E306" s="5" t="s">
        <v>1210</v>
      </c>
      <c r="F306" s="5" t="s">
        <v>1211</v>
      </c>
    </row>
    <row r="307">
      <c r="A307" s="5">
        <v>9.81040575E9</v>
      </c>
      <c r="B307" s="6">
        <v>45451.70669565973</v>
      </c>
      <c r="C307" s="7">
        <v>1.0</v>
      </c>
      <c r="D307" s="5" t="s">
        <v>1209</v>
      </c>
      <c r="E307" s="5" t="s">
        <v>1210</v>
      </c>
      <c r="F307" s="5" t="s">
        <v>1212</v>
      </c>
    </row>
    <row r="308">
      <c r="A308" s="5">
        <v>7.67822726E9</v>
      </c>
      <c r="B308" s="6">
        <v>45451.70749292824</v>
      </c>
      <c r="C308" s="7">
        <v>1.0</v>
      </c>
      <c r="D308" s="5" t="s">
        <v>1209</v>
      </c>
      <c r="E308" s="5" t="s">
        <v>1210</v>
      </c>
      <c r="F308" s="5" t="s">
        <v>1211</v>
      </c>
    </row>
    <row r="309">
      <c r="A309" s="5">
        <v>9.999365851E9</v>
      </c>
      <c r="B309" s="6">
        <v>45451.83526765046</v>
      </c>
      <c r="C309" s="7">
        <v>1.0</v>
      </c>
      <c r="D309" s="5" t="s">
        <v>1209</v>
      </c>
      <c r="E309" s="5" t="s">
        <v>1210</v>
      </c>
      <c r="F309" s="5" t="s">
        <v>1211</v>
      </c>
    </row>
    <row r="310">
      <c r="A310" s="5">
        <v>9.871153696E9</v>
      </c>
      <c r="B310" s="6">
        <v>45452.80080715277</v>
      </c>
      <c r="C310" s="7">
        <v>67.0</v>
      </c>
      <c r="D310" s="5" t="s">
        <v>1213</v>
      </c>
      <c r="E310" s="5" t="s">
        <v>1210</v>
      </c>
      <c r="F310" s="5" t="s">
        <v>1211</v>
      </c>
    </row>
    <row r="311">
      <c r="A311" s="5">
        <v>8.920453034E9</v>
      </c>
      <c r="B311" s="6">
        <v>45452.8019528588</v>
      </c>
      <c r="C311" s="7">
        <v>69.0</v>
      </c>
      <c r="D311" s="5" t="s">
        <v>1209</v>
      </c>
      <c r="E311" s="5" t="s">
        <v>1210</v>
      </c>
      <c r="F311" s="5" t="s">
        <v>1211</v>
      </c>
    </row>
    <row r="312">
      <c r="A312" s="5">
        <v>8.920724452E9</v>
      </c>
      <c r="B312" s="6">
        <v>45452.803803125</v>
      </c>
      <c r="C312" s="7">
        <v>1.0</v>
      </c>
      <c r="D312" s="5" t="s">
        <v>1209</v>
      </c>
      <c r="E312" s="5" t="s">
        <v>1210</v>
      </c>
      <c r="F312" s="5" t="s">
        <v>1212</v>
      </c>
    </row>
    <row r="313">
      <c r="A313" s="5">
        <v>9.871767175E9</v>
      </c>
      <c r="B313" s="6">
        <v>45454.78153881944</v>
      </c>
      <c r="C313" s="7">
        <v>338.0</v>
      </c>
      <c r="D313" s="5" t="s">
        <v>1213</v>
      </c>
      <c r="E313" s="5" t="s">
        <v>1210</v>
      </c>
      <c r="F313" s="5" t="s">
        <v>1212</v>
      </c>
    </row>
    <row r="314">
      <c r="A314" s="5">
        <v>7.777082177E9</v>
      </c>
      <c r="B314" s="6">
        <v>45455.738500983796</v>
      </c>
      <c r="C314" s="7">
        <v>1.0</v>
      </c>
      <c r="D314" s="5" t="s">
        <v>1209</v>
      </c>
      <c r="E314" s="5" t="s">
        <v>1210</v>
      </c>
      <c r="F314" s="5" t="s">
        <v>1211</v>
      </c>
    </row>
    <row r="315">
      <c r="A315" s="5">
        <v>9.015802726E9</v>
      </c>
      <c r="B315" s="6">
        <v>45456.75486973379</v>
      </c>
      <c r="C315" s="7">
        <v>270.0</v>
      </c>
      <c r="D315" s="5" t="s">
        <v>1213</v>
      </c>
      <c r="E315" s="5" t="s">
        <v>1210</v>
      </c>
      <c r="F315" s="5" t="s">
        <v>1211</v>
      </c>
    </row>
    <row r="316">
      <c r="A316" s="5">
        <v>8.178264753E9</v>
      </c>
      <c r="B316" s="6">
        <v>45457.80265280092</v>
      </c>
      <c r="C316" s="7">
        <v>1.0</v>
      </c>
      <c r="D316" s="5" t="s">
        <v>1209</v>
      </c>
      <c r="E316" s="5" t="s">
        <v>1210</v>
      </c>
      <c r="F316" s="5" t="s">
        <v>1211</v>
      </c>
    </row>
    <row r="317">
      <c r="A317" s="5">
        <v>7.840001934E9</v>
      </c>
      <c r="B317" s="6">
        <v>45457.813219351854</v>
      </c>
      <c r="C317" s="7">
        <v>1.0</v>
      </c>
      <c r="D317" s="5" t="s">
        <v>1209</v>
      </c>
      <c r="E317" s="5" t="s">
        <v>1210</v>
      </c>
      <c r="F317" s="5" t="s">
        <v>1211</v>
      </c>
    </row>
    <row r="318">
      <c r="A318" s="5">
        <v>8.010566521E9</v>
      </c>
      <c r="B318" s="6">
        <v>45457.82588841435</v>
      </c>
      <c r="C318" s="7">
        <v>1.0</v>
      </c>
      <c r="D318" s="5" t="s">
        <v>1209</v>
      </c>
      <c r="E318" s="5" t="s">
        <v>1210</v>
      </c>
      <c r="F318" s="5" t="s">
        <v>1211</v>
      </c>
    </row>
    <row r="319">
      <c r="A319" s="5">
        <v>9.999488996E9</v>
      </c>
      <c r="B319" s="6">
        <v>45458.7167825463</v>
      </c>
      <c r="C319" s="7">
        <v>271.0</v>
      </c>
      <c r="D319" s="5" t="s">
        <v>1209</v>
      </c>
      <c r="E319" s="5" t="s">
        <v>1210</v>
      </c>
      <c r="F319" s="5" t="s">
        <v>1211</v>
      </c>
    </row>
    <row r="320">
      <c r="A320" s="5">
        <v>7.982221351E9</v>
      </c>
      <c r="B320" s="6">
        <v>45458.718473518515</v>
      </c>
      <c r="C320" s="7">
        <v>1.0</v>
      </c>
      <c r="D320" s="5" t="s">
        <v>1209</v>
      </c>
      <c r="E320" s="5" t="s">
        <v>1210</v>
      </c>
      <c r="F320" s="5" t="s">
        <v>1211</v>
      </c>
    </row>
    <row r="321">
      <c r="A321" s="5">
        <v>9.818709009E9</v>
      </c>
      <c r="B321" s="6">
        <v>45459.73254541667</v>
      </c>
      <c r="C321" s="7">
        <v>1.0</v>
      </c>
      <c r="D321" s="5" t="s">
        <v>1209</v>
      </c>
      <c r="E321" s="5" t="s">
        <v>1210</v>
      </c>
      <c r="F321" s="5" t="s">
        <v>1211</v>
      </c>
    </row>
    <row r="322">
      <c r="A322" s="5">
        <v>8.527714373E9</v>
      </c>
      <c r="B322" s="6">
        <v>45459.80689692129</v>
      </c>
      <c r="C322" s="7">
        <v>1.0</v>
      </c>
      <c r="D322" s="5" t="s">
        <v>1209</v>
      </c>
      <c r="E322" s="5" t="s">
        <v>1210</v>
      </c>
      <c r="F322" s="5" t="s">
        <v>1211</v>
      </c>
    </row>
    <row r="323">
      <c r="A323" s="5">
        <v>9.868203875E9</v>
      </c>
      <c r="B323" s="6">
        <v>45461.7128941088</v>
      </c>
      <c r="C323" s="7">
        <v>135.0</v>
      </c>
      <c r="D323" s="5" t="s">
        <v>1213</v>
      </c>
      <c r="E323" s="5" t="s">
        <v>1210</v>
      </c>
      <c r="F323" s="5" t="s">
        <v>1211</v>
      </c>
    </row>
    <row r="324">
      <c r="A324" s="5">
        <v>9.818317374E9</v>
      </c>
      <c r="B324" s="6">
        <v>45462.7567508912</v>
      </c>
      <c r="C324" s="7">
        <v>137.0</v>
      </c>
      <c r="D324" s="5" t="s">
        <v>1209</v>
      </c>
      <c r="E324" s="5" t="s">
        <v>1210</v>
      </c>
      <c r="F324" s="5" t="s">
        <v>1211</v>
      </c>
    </row>
    <row r="325">
      <c r="A325" s="5">
        <v>8.860001189E9</v>
      </c>
      <c r="B325" s="6">
        <v>45464.77364429398</v>
      </c>
      <c r="C325" s="7">
        <v>1.0</v>
      </c>
      <c r="D325" s="5" t="s">
        <v>1209</v>
      </c>
      <c r="E325" s="5" t="s">
        <v>1210</v>
      </c>
      <c r="F325" s="5" t="s">
        <v>1211</v>
      </c>
    </row>
    <row r="326">
      <c r="A326" s="5">
        <v>8.447760018E9</v>
      </c>
      <c r="B326" s="6">
        <v>45464.82329097222</v>
      </c>
      <c r="C326" s="7">
        <v>1.0</v>
      </c>
      <c r="D326" s="5" t="s">
        <v>1209</v>
      </c>
      <c r="E326" s="5" t="s">
        <v>1210</v>
      </c>
      <c r="F326" s="5" t="s">
        <v>1212</v>
      </c>
    </row>
    <row r="327">
      <c r="A327" s="5">
        <v>8.527162516E9</v>
      </c>
      <c r="B327" s="6">
        <v>45465.81825694445</v>
      </c>
      <c r="C327" s="7">
        <v>134.0</v>
      </c>
      <c r="D327" s="5" t="s">
        <v>1213</v>
      </c>
      <c r="E327" s="5" t="s">
        <v>1210</v>
      </c>
      <c r="F327" s="5" t="s">
        <v>1211</v>
      </c>
    </row>
    <row r="328">
      <c r="A328" s="5">
        <v>9.582463698E9</v>
      </c>
      <c r="B328" s="6">
        <v>45465.82064517361</v>
      </c>
      <c r="C328" s="7">
        <v>1.0</v>
      </c>
      <c r="D328" s="5" t="s">
        <v>1209</v>
      </c>
      <c r="E328" s="5" t="s">
        <v>1210</v>
      </c>
      <c r="F328" s="5" t="s">
        <v>1211</v>
      </c>
    </row>
    <row r="329">
      <c r="A329" s="5">
        <v>9.95383246E9</v>
      </c>
      <c r="B329" s="6">
        <v>45465.841075625</v>
      </c>
      <c r="C329" s="7">
        <v>1.0</v>
      </c>
      <c r="D329" s="5" t="s">
        <v>1209</v>
      </c>
      <c r="E329" s="5" t="s">
        <v>1210</v>
      </c>
      <c r="F329" s="5" t="s">
        <v>1212</v>
      </c>
    </row>
    <row r="330">
      <c r="A330" s="5">
        <v>9.999625586E9</v>
      </c>
      <c r="B330" s="6">
        <v>45466.710079826385</v>
      </c>
      <c r="C330" s="7">
        <v>1.0</v>
      </c>
      <c r="D330" s="5" t="s">
        <v>1209</v>
      </c>
      <c r="E330" s="5" t="s">
        <v>1210</v>
      </c>
      <c r="F330" s="5" t="s">
        <v>1212</v>
      </c>
    </row>
    <row r="331">
      <c r="A331" s="5">
        <v>8.860681868E9</v>
      </c>
      <c r="B331" s="6">
        <v>45466.776345185186</v>
      </c>
      <c r="C331" s="7">
        <v>69.0</v>
      </c>
      <c r="D331" s="5" t="s">
        <v>1209</v>
      </c>
      <c r="E331" s="5" t="s">
        <v>1210</v>
      </c>
      <c r="F331" s="5" t="s">
        <v>1211</v>
      </c>
    </row>
    <row r="332">
      <c r="A332" s="5">
        <v>9.872446601E9</v>
      </c>
      <c r="B332" s="6">
        <v>45466.78641030093</v>
      </c>
      <c r="C332" s="7">
        <v>1.0</v>
      </c>
      <c r="D332" s="5" t="s">
        <v>1209</v>
      </c>
      <c r="E332" s="5" t="s">
        <v>1210</v>
      </c>
      <c r="F332" s="5" t="s">
        <v>1211</v>
      </c>
    </row>
    <row r="333">
      <c r="A333" s="5">
        <v>9.899322201E9</v>
      </c>
      <c r="B333" s="6">
        <v>45468.758507025464</v>
      </c>
      <c r="C333" s="7">
        <v>68.0</v>
      </c>
      <c r="D333" s="5" t="s">
        <v>1209</v>
      </c>
      <c r="E333" s="5" t="s">
        <v>1210</v>
      </c>
      <c r="F333" s="5" t="s">
        <v>1211</v>
      </c>
    </row>
    <row r="334">
      <c r="A334" s="5">
        <v>9.81016199E9</v>
      </c>
      <c r="B334" s="6">
        <v>45468.76101564815</v>
      </c>
      <c r="C334" s="7">
        <v>1.0</v>
      </c>
      <c r="D334" s="5" t="s">
        <v>1209</v>
      </c>
      <c r="E334" s="5" t="s">
        <v>1210</v>
      </c>
      <c r="F334" s="5" t="s">
        <v>1211</v>
      </c>
    </row>
    <row r="335">
      <c r="A335" s="5">
        <v>9.899990844E9</v>
      </c>
      <c r="B335" s="6">
        <v>45468.762765127314</v>
      </c>
      <c r="C335" s="7">
        <v>1.0</v>
      </c>
      <c r="D335" s="5" t="s">
        <v>1209</v>
      </c>
      <c r="E335" s="5" t="s">
        <v>1210</v>
      </c>
      <c r="F335" s="5" t="s">
        <v>1211</v>
      </c>
    </row>
    <row r="336">
      <c r="A336" s="5">
        <v>9.821720049E9</v>
      </c>
      <c r="B336" s="6">
        <v>45471.64744318287</v>
      </c>
      <c r="C336" s="7">
        <v>1.0</v>
      </c>
      <c r="D336" s="5" t="s">
        <v>1209</v>
      </c>
      <c r="E336" s="5" t="s">
        <v>1210</v>
      </c>
      <c r="F336" s="5" t="s">
        <v>1211</v>
      </c>
    </row>
    <row r="337">
      <c r="A337" s="5">
        <v>9.717426492E9</v>
      </c>
      <c r="B337" s="6">
        <v>45471.64866511574</v>
      </c>
      <c r="C337" s="7">
        <v>1.0</v>
      </c>
      <c r="D337" s="5" t="s">
        <v>1209</v>
      </c>
      <c r="E337" s="5" t="s">
        <v>1210</v>
      </c>
      <c r="F337" s="5" t="s">
        <v>1211</v>
      </c>
    </row>
    <row r="338">
      <c r="A338" s="5">
        <v>9.81812662E9</v>
      </c>
      <c r="B338" s="6">
        <v>45472.757724780095</v>
      </c>
      <c r="C338" s="7">
        <v>1.0</v>
      </c>
      <c r="D338" s="5" t="s">
        <v>1209</v>
      </c>
      <c r="E338" s="5" t="s">
        <v>1210</v>
      </c>
      <c r="F338" s="5" t="s">
        <v>1212</v>
      </c>
    </row>
    <row r="339">
      <c r="A339" s="5">
        <v>8.285631226E9</v>
      </c>
      <c r="B339" s="6">
        <v>45473.760334293984</v>
      </c>
      <c r="C339" s="7">
        <v>1.0</v>
      </c>
      <c r="D339" s="5" t="s">
        <v>1209</v>
      </c>
      <c r="E339" s="5" t="s">
        <v>1210</v>
      </c>
      <c r="F339" s="5" t="s">
        <v>1211</v>
      </c>
    </row>
    <row r="340">
      <c r="A340" s="5">
        <v>9.412744197E9</v>
      </c>
      <c r="B340" s="6">
        <v>45473.761313229166</v>
      </c>
      <c r="C340" s="7">
        <v>1.0</v>
      </c>
      <c r="D340" s="5" t="s">
        <v>1209</v>
      </c>
      <c r="E340" s="5" t="s">
        <v>1210</v>
      </c>
      <c r="F340" s="5" t="s">
        <v>1212</v>
      </c>
    </row>
    <row r="341">
      <c r="A341" s="5">
        <v>8.595817411E9</v>
      </c>
      <c r="B341" s="6">
        <v>45473.829108680555</v>
      </c>
      <c r="C341" s="7">
        <v>1.0</v>
      </c>
      <c r="D341" s="5" t="s">
        <v>1209</v>
      </c>
      <c r="E341" s="5" t="s">
        <v>1210</v>
      </c>
      <c r="F341" s="5" t="s">
        <v>1211</v>
      </c>
    </row>
    <row r="342">
      <c r="A342" s="5">
        <v>7.206579048E9</v>
      </c>
      <c r="B342" s="6">
        <v>45475.72661371528</v>
      </c>
      <c r="C342" s="7">
        <v>1.0</v>
      </c>
      <c r="D342" s="5" t="s">
        <v>1209</v>
      </c>
      <c r="E342" s="5" t="s">
        <v>1210</v>
      </c>
      <c r="F342" s="5" t="s">
        <v>1211</v>
      </c>
    </row>
    <row r="343">
      <c r="A343" s="5">
        <v>9.811041368E9</v>
      </c>
      <c r="B343" s="6">
        <v>45475.727385300925</v>
      </c>
      <c r="C343" s="7">
        <v>1.0</v>
      </c>
      <c r="D343" s="5" t="s">
        <v>1209</v>
      </c>
      <c r="E343" s="5" t="s">
        <v>1210</v>
      </c>
      <c r="F343" s="5" t="s">
        <v>1211</v>
      </c>
    </row>
    <row r="344">
      <c r="A344" s="5">
        <v>8.083532359E9</v>
      </c>
      <c r="B344" s="6">
        <v>45476.826969131944</v>
      </c>
      <c r="C344" s="7">
        <v>1.0</v>
      </c>
      <c r="D344" s="5" t="s">
        <v>1209</v>
      </c>
      <c r="E344" s="5" t="s">
        <v>1210</v>
      </c>
      <c r="F344" s="5" t="s">
        <v>1211</v>
      </c>
    </row>
    <row r="345">
      <c r="A345" s="5">
        <v>9.746942951E9</v>
      </c>
      <c r="B345" s="6">
        <v>45477.82230381944</v>
      </c>
      <c r="C345" s="7">
        <v>69.0</v>
      </c>
      <c r="D345" s="5" t="s">
        <v>1209</v>
      </c>
      <c r="E345" s="5" t="s">
        <v>1210</v>
      </c>
      <c r="F345" s="5" t="s">
        <v>1211</v>
      </c>
    </row>
    <row r="346">
      <c r="A346" s="5">
        <v>9.871758037E9</v>
      </c>
      <c r="B346" s="6">
        <v>45479.78431297454</v>
      </c>
      <c r="C346" s="7">
        <v>69.0</v>
      </c>
      <c r="D346" s="5" t="s">
        <v>1209</v>
      </c>
      <c r="E346" s="5" t="s">
        <v>1210</v>
      </c>
      <c r="F346" s="5" t="s">
        <v>1211</v>
      </c>
    </row>
    <row r="347">
      <c r="A347" s="5">
        <v>8.800581162E9</v>
      </c>
      <c r="B347" s="6">
        <v>45479.800938796296</v>
      </c>
      <c r="C347" s="7">
        <v>1.0</v>
      </c>
      <c r="D347" s="5" t="s">
        <v>1209</v>
      </c>
      <c r="E347" s="5" t="s">
        <v>1210</v>
      </c>
      <c r="F347" s="5" t="s">
        <v>1211</v>
      </c>
    </row>
    <row r="348">
      <c r="A348" s="5">
        <v>9.97156789E9</v>
      </c>
      <c r="B348" s="6">
        <v>45480.71405159722</v>
      </c>
      <c r="C348" s="7">
        <v>1.0</v>
      </c>
      <c r="D348" s="5" t="s">
        <v>1209</v>
      </c>
      <c r="E348" s="5" t="s">
        <v>1210</v>
      </c>
      <c r="F348" s="5" t="s">
        <v>1211</v>
      </c>
    </row>
    <row r="349">
      <c r="A349" s="5">
        <v>9.560540676E9</v>
      </c>
      <c r="B349" s="6">
        <v>45480.71491623843</v>
      </c>
      <c r="C349" s="7">
        <v>68.0</v>
      </c>
      <c r="D349" s="5" t="s">
        <v>1213</v>
      </c>
      <c r="E349" s="5" t="s">
        <v>1210</v>
      </c>
      <c r="F349" s="5" t="s">
        <v>1211</v>
      </c>
    </row>
    <row r="350">
      <c r="A350" s="5">
        <v>8.373954151E9</v>
      </c>
      <c r="B350" s="6">
        <v>45480.71584302084</v>
      </c>
      <c r="C350" s="7">
        <v>340.0</v>
      </c>
      <c r="D350" s="5" t="s">
        <v>1209</v>
      </c>
      <c r="E350" s="5" t="s">
        <v>1210</v>
      </c>
      <c r="F350" s="5" t="s">
        <v>1211</v>
      </c>
    </row>
    <row r="351">
      <c r="A351" s="5">
        <v>9.416537937E9</v>
      </c>
      <c r="B351" s="6">
        <v>45480.71746980324</v>
      </c>
      <c r="C351" s="7">
        <v>1.0</v>
      </c>
      <c r="D351" s="5" t="s">
        <v>1209</v>
      </c>
      <c r="E351" s="5" t="s">
        <v>1210</v>
      </c>
      <c r="F351" s="5" t="s">
        <v>1212</v>
      </c>
    </row>
    <row r="352">
      <c r="A352" s="5">
        <v>9.31105226E9</v>
      </c>
      <c r="B352" s="6">
        <v>45482.711884606484</v>
      </c>
      <c r="C352" s="7">
        <v>270.0</v>
      </c>
      <c r="D352" s="5" t="s">
        <v>1213</v>
      </c>
      <c r="E352" s="5" t="s">
        <v>1210</v>
      </c>
      <c r="F352" s="5" t="s">
        <v>1211</v>
      </c>
    </row>
    <row r="353">
      <c r="A353" s="5">
        <v>9.910950257E9</v>
      </c>
      <c r="B353" s="6">
        <v>45482.71322068287</v>
      </c>
      <c r="C353" s="7">
        <v>131.0</v>
      </c>
      <c r="D353" s="5" t="s">
        <v>1209</v>
      </c>
      <c r="E353" s="5" t="s">
        <v>1210</v>
      </c>
      <c r="F353" s="5" t="s">
        <v>1211</v>
      </c>
    </row>
    <row r="354">
      <c r="A354" s="5">
        <v>9.599784588E9</v>
      </c>
      <c r="B354" s="6">
        <v>45483.737564641204</v>
      </c>
      <c r="C354" s="7">
        <v>1.0</v>
      </c>
      <c r="D354" s="5" t="s">
        <v>1209</v>
      </c>
      <c r="E354" s="5" t="s">
        <v>1210</v>
      </c>
      <c r="F354" s="5" t="s">
        <v>1211</v>
      </c>
    </row>
    <row r="355">
      <c r="A355" s="5">
        <v>9.717922288E9</v>
      </c>
      <c r="B355" s="6">
        <v>45483.77577378472</v>
      </c>
      <c r="C355" s="7">
        <v>69.0</v>
      </c>
      <c r="D355" s="5" t="s">
        <v>1209</v>
      </c>
      <c r="E355" s="5" t="s">
        <v>1210</v>
      </c>
      <c r="F355" s="5" t="s">
        <v>1211</v>
      </c>
    </row>
    <row r="356">
      <c r="A356" s="5">
        <v>8.375069085E9</v>
      </c>
      <c r="B356" s="6">
        <v>45485.778403599536</v>
      </c>
      <c r="C356" s="7">
        <v>137.0</v>
      </c>
      <c r="D356" s="5" t="s">
        <v>1209</v>
      </c>
      <c r="E356" s="5" t="s">
        <v>1210</v>
      </c>
      <c r="F356" s="5" t="s">
        <v>1212</v>
      </c>
    </row>
    <row r="357">
      <c r="A357" s="5">
        <v>8.376859944E9</v>
      </c>
      <c r="B357" s="6">
        <v>45485.779816678245</v>
      </c>
      <c r="C357" s="7">
        <v>1.0</v>
      </c>
      <c r="D357" s="5" t="s">
        <v>1209</v>
      </c>
      <c r="E357" s="5" t="s">
        <v>1210</v>
      </c>
      <c r="F357" s="5" t="s">
        <v>1211</v>
      </c>
    </row>
    <row r="358">
      <c r="A358" s="5">
        <v>9.899558626E9</v>
      </c>
      <c r="B358" s="6">
        <v>45485.788271736106</v>
      </c>
      <c r="C358" s="7">
        <v>1.0</v>
      </c>
      <c r="D358" s="5" t="s">
        <v>1209</v>
      </c>
      <c r="E358" s="5" t="s">
        <v>1210</v>
      </c>
      <c r="F358" s="5" t="s">
        <v>1211</v>
      </c>
    </row>
    <row r="359">
      <c r="A359" s="5">
        <v>7.006027017E9</v>
      </c>
      <c r="B359" s="6">
        <v>45486.711851203705</v>
      </c>
      <c r="C359" s="7">
        <v>1.0</v>
      </c>
      <c r="D359" s="5" t="s">
        <v>1209</v>
      </c>
      <c r="E359" s="5" t="s">
        <v>1210</v>
      </c>
      <c r="F359" s="5" t="s">
        <v>1211</v>
      </c>
    </row>
    <row r="360">
      <c r="A360" s="5">
        <v>7.739146597E9</v>
      </c>
      <c r="B360" s="6">
        <v>45487.79287655093</v>
      </c>
      <c r="C360" s="7">
        <v>1.0</v>
      </c>
      <c r="D360" s="5" t="s">
        <v>1209</v>
      </c>
      <c r="E360" s="5" t="s">
        <v>1210</v>
      </c>
      <c r="F360" s="5" t="s">
        <v>1211</v>
      </c>
    </row>
    <row r="361">
      <c r="A361" s="5">
        <v>9.654632324E9</v>
      </c>
      <c r="B361" s="6">
        <v>45487.79463694444</v>
      </c>
      <c r="C361" s="7">
        <v>68.0</v>
      </c>
      <c r="D361" s="5" t="s">
        <v>1209</v>
      </c>
      <c r="E361" s="5" t="s">
        <v>1210</v>
      </c>
      <c r="F361" s="5" t="s">
        <v>1211</v>
      </c>
    </row>
    <row r="362">
      <c r="A362" s="5">
        <v>9.873245333E9</v>
      </c>
      <c r="B362" s="6">
        <v>45487.79617099537</v>
      </c>
      <c r="C362" s="7">
        <v>68.0</v>
      </c>
      <c r="D362" s="5" t="s">
        <v>1213</v>
      </c>
      <c r="E362" s="5" t="s">
        <v>1210</v>
      </c>
      <c r="F362" s="5" t="s">
        <v>1212</v>
      </c>
    </row>
    <row r="363">
      <c r="A363" s="5">
        <v>8.839886774E9</v>
      </c>
      <c r="B363" s="6">
        <v>45487.805729513886</v>
      </c>
      <c r="C363" s="7">
        <v>1.0</v>
      </c>
      <c r="D363" s="5" t="s">
        <v>1209</v>
      </c>
      <c r="E363" s="5" t="s">
        <v>1210</v>
      </c>
      <c r="F363" s="5" t="s">
        <v>1211</v>
      </c>
    </row>
    <row r="364">
      <c r="A364" s="5">
        <v>9.797406789E9</v>
      </c>
      <c r="B364" s="6">
        <v>45491.75300109954</v>
      </c>
      <c r="C364" s="7">
        <v>1.0</v>
      </c>
      <c r="D364" s="5" t="s">
        <v>1209</v>
      </c>
      <c r="E364" s="5" t="s">
        <v>1210</v>
      </c>
      <c r="F364" s="5" t="s">
        <v>1211</v>
      </c>
    </row>
    <row r="365">
      <c r="A365" s="5">
        <v>8.130477446E9</v>
      </c>
      <c r="B365" s="6">
        <v>45491.75551628473</v>
      </c>
      <c r="C365" s="7">
        <v>135.0</v>
      </c>
      <c r="D365" s="5" t="s">
        <v>1213</v>
      </c>
      <c r="E365" s="5" t="s">
        <v>1210</v>
      </c>
      <c r="F365" s="5" t="s">
        <v>1211</v>
      </c>
    </row>
    <row r="366">
      <c r="A366" s="5">
        <v>9.560184299E9</v>
      </c>
      <c r="B366" s="6">
        <v>45492.76044865741</v>
      </c>
      <c r="C366" s="7">
        <v>1.0</v>
      </c>
      <c r="D366" s="5" t="s">
        <v>1209</v>
      </c>
      <c r="E366" s="5" t="s">
        <v>1210</v>
      </c>
      <c r="F366" s="5" t="s">
        <v>1211</v>
      </c>
    </row>
    <row r="367">
      <c r="A367" s="5">
        <v>9.453263463E9</v>
      </c>
      <c r="B367" s="6">
        <v>45492.812761423615</v>
      </c>
      <c r="C367" s="7">
        <v>1.0</v>
      </c>
      <c r="D367" s="5" t="s">
        <v>1209</v>
      </c>
      <c r="E367" s="5" t="s">
        <v>1210</v>
      </c>
      <c r="F367" s="5" t="s">
        <v>1211</v>
      </c>
    </row>
    <row r="368">
      <c r="A368" s="5">
        <v>8.307241298E9</v>
      </c>
      <c r="B368" s="6">
        <v>45493.66129607639</v>
      </c>
      <c r="C368" s="7">
        <v>1.0</v>
      </c>
      <c r="D368" s="5" t="s">
        <v>1209</v>
      </c>
      <c r="E368" s="5" t="s">
        <v>1210</v>
      </c>
      <c r="F368" s="5" t="s">
        <v>1211</v>
      </c>
    </row>
    <row r="369">
      <c r="A369" s="5">
        <v>8.92009204E9</v>
      </c>
      <c r="B369" s="6">
        <v>45493.761648831016</v>
      </c>
      <c r="C369" s="7">
        <v>1.0</v>
      </c>
      <c r="D369" s="5" t="s">
        <v>1209</v>
      </c>
      <c r="E369" s="5" t="s">
        <v>1210</v>
      </c>
      <c r="F369" s="5" t="s">
        <v>1212</v>
      </c>
    </row>
    <row r="370">
      <c r="A370" s="5">
        <v>9.069461111E9</v>
      </c>
      <c r="B370" s="6">
        <v>45494.78614924768</v>
      </c>
      <c r="C370" s="7">
        <v>135.0</v>
      </c>
      <c r="D370" s="5" t="s">
        <v>1213</v>
      </c>
      <c r="E370" s="5" t="s">
        <v>1210</v>
      </c>
      <c r="F370" s="5" t="s">
        <v>1212</v>
      </c>
    </row>
    <row r="371">
      <c r="A371" s="5">
        <v>9.871939022E9</v>
      </c>
      <c r="B371" s="6">
        <v>45494.811044988426</v>
      </c>
      <c r="C371" s="7">
        <v>69.0</v>
      </c>
      <c r="D371" s="5" t="s">
        <v>1209</v>
      </c>
      <c r="E371" s="5" t="s">
        <v>1210</v>
      </c>
      <c r="F371" s="5" t="s">
        <v>1212</v>
      </c>
    </row>
    <row r="372">
      <c r="A372" s="5">
        <v>9.711538399E9</v>
      </c>
      <c r="B372" s="6">
        <v>45494.81430696759</v>
      </c>
      <c r="C372" s="7">
        <v>1.0</v>
      </c>
      <c r="D372" s="5" t="s">
        <v>1209</v>
      </c>
      <c r="E372" s="5" t="s">
        <v>1210</v>
      </c>
      <c r="F372" s="5" t="s">
        <v>1211</v>
      </c>
    </row>
    <row r="373">
      <c r="A373" s="5">
        <v>9.319387993E9</v>
      </c>
      <c r="B373" s="6">
        <v>45494.815014120366</v>
      </c>
      <c r="C373" s="7">
        <v>1.0</v>
      </c>
      <c r="D373" s="5" t="s">
        <v>1209</v>
      </c>
      <c r="E373" s="5" t="s">
        <v>1210</v>
      </c>
      <c r="F373" s="5" t="s">
        <v>1212</v>
      </c>
    </row>
    <row r="374">
      <c r="A374" s="5">
        <v>9.971250669E9</v>
      </c>
      <c r="B374" s="6">
        <v>45494.839155127316</v>
      </c>
      <c r="C374" s="7">
        <v>1.0</v>
      </c>
      <c r="D374" s="5" t="s">
        <v>1209</v>
      </c>
      <c r="E374" s="5" t="s">
        <v>1210</v>
      </c>
      <c r="F374" s="5" t="s">
        <v>1211</v>
      </c>
    </row>
    <row r="375">
      <c r="A375" s="5">
        <v>9.81037529E9</v>
      </c>
      <c r="B375" s="6">
        <v>45494.847991365736</v>
      </c>
      <c r="C375" s="7">
        <v>68.0</v>
      </c>
      <c r="D375" s="5" t="s">
        <v>1209</v>
      </c>
      <c r="E375" s="5" t="s">
        <v>1210</v>
      </c>
      <c r="F375" s="5" t="s">
        <v>1212</v>
      </c>
    </row>
    <row r="376">
      <c r="A376" s="5">
        <v>9.911958928E9</v>
      </c>
      <c r="B376" s="6">
        <v>45496.793381678246</v>
      </c>
      <c r="C376" s="7">
        <v>336.0</v>
      </c>
      <c r="D376" s="5" t="s">
        <v>1209</v>
      </c>
      <c r="E376" s="5" t="s">
        <v>1210</v>
      </c>
      <c r="F376" s="5" t="s">
        <v>1212</v>
      </c>
    </row>
    <row r="377">
      <c r="A377" s="5">
        <v>9.818944004E9</v>
      </c>
      <c r="B377" s="6">
        <v>45497.73260386574</v>
      </c>
      <c r="C377" s="7">
        <v>1.0</v>
      </c>
      <c r="D377" s="5" t="s">
        <v>1209</v>
      </c>
      <c r="E377" s="5" t="s">
        <v>1210</v>
      </c>
      <c r="F377" s="5" t="s">
        <v>1212</v>
      </c>
    </row>
    <row r="378">
      <c r="A378" s="5">
        <v>9.811900815E9</v>
      </c>
      <c r="B378" s="6">
        <v>45497.73525724537</v>
      </c>
      <c r="C378" s="7">
        <v>136.0</v>
      </c>
      <c r="D378" s="5" t="s">
        <v>1209</v>
      </c>
      <c r="E378" s="5" t="s">
        <v>1210</v>
      </c>
      <c r="F378" s="5" t="s">
        <v>1212</v>
      </c>
    </row>
    <row r="379">
      <c r="A379" s="5">
        <v>9.350104257E9</v>
      </c>
      <c r="B379" s="6">
        <v>45497.76566579861</v>
      </c>
      <c r="C379" s="7">
        <v>133.0</v>
      </c>
      <c r="D379" s="5" t="s">
        <v>1209</v>
      </c>
      <c r="E379" s="5" t="s">
        <v>1210</v>
      </c>
      <c r="F379" s="5" t="s">
        <v>1211</v>
      </c>
    </row>
    <row r="380">
      <c r="A380" s="5">
        <v>8.920351205E9</v>
      </c>
      <c r="B380" s="6">
        <v>45498.806284039354</v>
      </c>
      <c r="C380" s="7">
        <v>1.0</v>
      </c>
      <c r="D380" s="5" t="s">
        <v>1209</v>
      </c>
      <c r="E380" s="5" t="s">
        <v>1210</v>
      </c>
      <c r="F380" s="5" t="s">
        <v>1211</v>
      </c>
    </row>
    <row r="381">
      <c r="A381" s="5">
        <v>8.486193617E9</v>
      </c>
      <c r="B381" s="6">
        <v>45499.82675789352</v>
      </c>
      <c r="C381" s="7">
        <v>1.0</v>
      </c>
      <c r="D381" s="5" t="s">
        <v>1209</v>
      </c>
      <c r="E381" s="5" t="s">
        <v>1210</v>
      </c>
      <c r="F381" s="5" t="s">
        <v>1212</v>
      </c>
    </row>
    <row r="382">
      <c r="A382" s="5">
        <v>9.821182914E9</v>
      </c>
      <c r="B382" s="6">
        <v>45500.74581059028</v>
      </c>
      <c r="C382" s="7">
        <v>1.0</v>
      </c>
      <c r="D382" s="5" t="s">
        <v>1209</v>
      </c>
      <c r="E382" s="5" t="s">
        <v>1210</v>
      </c>
      <c r="F382" s="5" t="s">
        <v>1211</v>
      </c>
    </row>
    <row r="383">
      <c r="A383" s="5">
        <v>9.911160469E9</v>
      </c>
      <c r="B383" s="6">
        <v>45501.72520893518</v>
      </c>
      <c r="C383" s="7">
        <v>1.0</v>
      </c>
      <c r="D383" s="5" t="s">
        <v>1209</v>
      </c>
      <c r="E383" s="5" t="s">
        <v>1210</v>
      </c>
      <c r="F383" s="5" t="s">
        <v>1211</v>
      </c>
    </row>
    <row r="384">
      <c r="A384" s="5">
        <v>9.515668308E9</v>
      </c>
      <c r="B384" s="6">
        <v>45501.72623859954</v>
      </c>
      <c r="C384" s="7">
        <v>1.0</v>
      </c>
      <c r="D384" s="5" t="s">
        <v>1209</v>
      </c>
      <c r="E384" s="5" t="s">
        <v>1210</v>
      </c>
      <c r="F384" s="5" t="s">
        <v>1211</v>
      </c>
    </row>
    <row r="385">
      <c r="A385" s="5">
        <v>8.470070705E9</v>
      </c>
      <c r="B385" s="6">
        <v>45501.72790888889</v>
      </c>
      <c r="C385" s="7">
        <v>137.0</v>
      </c>
      <c r="D385" s="5" t="s">
        <v>1209</v>
      </c>
      <c r="E385" s="5" t="s">
        <v>1210</v>
      </c>
      <c r="F385" s="5" t="s">
        <v>1211</v>
      </c>
    </row>
    <row r="386">
      <c r="A386" s="5">
        <v>9.654814132E9</v>
      </c>
      <c r="B386" s="6">
        <v>45501.728525659724</v>
      </c>
      <c r="C386" s="7">
        <v>1.0</v>
      </c>
      <c r="D386" s="5" t="s">
        <v>1209</v>
      </c>
      <c r="E386" s="5" t="s">
        <v>1210</v>
      </c>
      <c r="F386" s="5" t="s">
        <v>1211</v>
      </c>
    </row>
    <row r="387">
      <c r="A387" s="5">
        <v>9.811949803E9</v>
      </c>
      <c r="B387" s="6">
        <v>45501.762069143515</v>
      </c>
      <c r="C387" s="7">
        <v>1.0</v>
      </c>
      <c r="D387" s="5" t="s">
        <v>1209</v>
      </c>
      <c r="E387" s="5" t="s">
        <v>1210</v>
      </c>
      <c r="F387" s="5" t="s">
        <v>1211</v>
      </c>
    </row>
    <row r="388">
      <c r="A388" s="5">
        <v>9.560298034E9</v>
      </c>
      <c r="B388" s="6">
        <v>45501.768774212964</v>
      </c>
      <c r="C388" s="7">
        <v>1.0</v>
      </c>
      <c r="D388" s="5" t="s">
        <v>1209</v>
      </c>
      <c r="E388" s="5" t="s">
        <v>1210</v>
      </c>
      <c r="F388" s="5" t="s">
        <v>1211</v>
      </c>
    </row>
    <row r="389">
      <c r="A389" s="5">
        <v>9.899284144E9</v>
      </c>
      <c r="B389" s="6">
        <v>45501.78469122685</v>
      </c>
      <c r="C389" s="7">
        <v>1.0</v>
      </c>
      <c r="D389" s="5" t="s">
        <v>1209</v>
      </c>
      <c r="E389" s="5" t="s">
        <v>1210</v>
      </c>
      <c r="F389" s="5" t="s">
        <v>1211</v>
      </c>
    </row>
    <row r="390">
      <c r="A390" s="5">
        <v>8.860014378E9</v>
      </c>
      <c r="B390" s="6">
        <v>45501.821774745375</v>
      </c>
      <c r="C390" s="7">
        <v>1.0</v>
      </c>
      <c r="D390" s="5" t="s">
        <v>1209</v>
      </c>
      <c r="E390" s="5" t="s">
        <v>1210</v>
      </c>
      <c r="F390" s="5" t="s">
        <v>1211</v>
      </c>
    </row>
    <row r="391">
      <c r="A391" s="5">
        <v>9.990213737E9</v>
      </c>
      <c r="B391" s="6">
        <v>45501.827068240746</v>
      </c>
      <c r="C391" s="7">
        <v>1.0</v>
      </c>
      <c r="D391" s="5" t="s">
        <v>1209</v>
      </c>
      <c r="E391" s="5" t="s">
        <v>1210</v>
      </c>
      <c r="F391" s="5" t="s">
        <v>1211</v>
      </c>
    </row>
    <row r="392">
      <c r="A392" s="5">
        <v>9.506540778E9</v>
      </c>
      <c r="B392" s="6">
        <v>45503.62278329861</v>
      </c>
      <c r="C392" s="7">
        <v>1.0</v>
      </c>
      <c r="D392" s="5" t="s">
        <v>1209</v>
      </c>
      <c r="E392" s="5" t="s">
        <v>1210</v>
      </c>
      <c r="F392" s="5" t="s">
        <v>1211</v>
      </c>
    </row>
    <row r="393">
      <c r="A393" s="5">
        <v>8.084432596E9</v>
      </c>
      <c r="B393" s="6">
        <v>45503.67520730324</v>
      </c>
      <c r="C393" s="7">
        <v>1.0</v>
      </c>
      <c r="D393" s="5" t="s">
        <v>1209</v>
      </c>
      <c r="E393" s="5" t="s">
        <v>1210</v>
      </c>
      <c r="F393" s="5" t="s">
        <v>1211</v>
      </c>
    </row>
    <row r="394">
      <c r="A394" s="5">
        <v>9.953832021E9</v>
      </c>
      <c r="B394" s="6">
        <v>45503.67603696759</v>
      </c>
      <c r="C394" s="7">
        <v>1.0</v>
      </c>
      <c r="D394" s="5" t="s">
        <v>1209</v>
      </c>
      <c r="E394" s="5" t="s">
        <v>1210</v>
      </c>
      <c r="F394" s="5" t="s">
        <v>1211</v>
      </c>
    </row>
    <row r="395">
      <c r="A395" s="5">
        <v>8.504863131E9</v>
      </c>
      <c r="B395" s="6">
        <v>45503.82710403935</v>
      </c>
      <c r="C395" s="7">
        <v>67.0</v>
      </c>
      <c r="D395" s="5" t="s">
        <v>1209</v>
      </c>
      <c r="E395" s="5" t="s">
        <v>1210</v>
      </c>
      <c r="F395" s="5" t="s">
        <v>1211</v>
      </c>
    </row>
    <row r="396">
      <c r="A396" s="5">
        <v>9.811252166E9</v>
      </c>
      <c r="B396" s="6">
        <v>45503.82796809028</v>
      </c>
      <c r="C396" s="7">
        <v>1.0</v>
      </c>
      <c r="D396" s="5" t="s">
        <v>1209</v>
      </c>
      <c r="E396" s="5" t="s">
        <v>1210</v>
      </c>
      <c r="F396" s="5" t="s">
        <v>1211</v>
      </c>
    </row>
    <row r="397">
      <c r="A397" s="5">
        <v>8.758014309E9</v>
      </c>
      <c r="B397" s="6">
        <v>45504.690742175924</v>
      </c>
      <c r="C397" s="7">
        <v>1.0</v>
      </c>
      <c r="D397" s="5" t="s">
        <v>1209</v>
      </c>
      <c r="E397" s="5" t="s">
        <v>1210</v>
      </c>
      <c r="F397" s="5" t="s">
        <v>1211</v>
      </c>
    </row>
    <row r="398">
      <c r="A398" s="5">
        <v>8.800206494E9</v>
      </c>
      <c r="B398" s="6">
        <v>45504.69150619213</v>
      </c>
      <c r="C398" s="7">
        <v>1.0</v>
      </c>
      <c r="D398" s="5" t="s">
        <v>1209</v>
      </c>
      <c r="E398" s="5" t="s">
        <v>1210</v>
      </c>
      <c r="F398" s="5" t="s">
        <v>1211</v>
      </c>
    </row>
    <row r="399">
      <c r="A399" s="5">
        <v>9.911958929E9</v>
      </c>
      <c r="B399" s="6">
        <v>45505.809521030096</v>
      </c>
      <c r="C399" s="7">
        <v>1.0</v>
      </c>
      <c r="D399" s="5" t="s">
        <v>1209</v>
      </c>
      <c r="E399" s="5" t="s">
        <v>1210</v>
      </c>
      <c r="F399" s="5" t="s">
        <v>1212</v>
      </c>
    </row>
    <row r="400">
      <c r="A400" s="5">
        <v>8.130420203E9</v>
      </c>
      <c r="B400" s="6">
        <v>45505.81168954862</v>
      </c>
      <c r="C400" s="7">
        <v>1.0</v>
      </c>
      <c r="D400" s="5" t="s">
        <v>1209</v>
      </c>
      <c r="E400" s="5" t="s">
        <v>1210</v>
      </c>
      <c r="F400" s="5" t="s">
        <v>1211</v>
      </c>
    </row>
    <row r="401">
      <c r="A401" s="5">
        <v>9.873670646E9</v>
      </c>
      <c r="B401" s="6">
        <v>45505.81246232639</v>
      </c>
      <c r="C401" s="7">
        <v>1.0</v>
      </c>
      <c r="D401" s="5" t="s">
        <v>1209</v>
      </c>
      <c r="E401" s="5" t="s">
        <v>1210</v>
      </c>
      <c r="F401" s="5" t="s">
        <v>1211</v>
      </c>
    </row>
    <row r="402">
      <c r="A402" s="5">
        <v>9.711166793E9</v>
      </c>
      <c r="B402" s="6">
        <v>45506.74486935185</v>
      </c>
      <c r="C402" s="7">
        <v>1.0</v>
      </c>
      <c r="D402" s="5" t="s">
        <v>1209</v>
      </c>
      <c r="E402" s="5" t="s">
        <v>1210</v>
      </c>
      <c r="F402" s="5" t="s">
        <v>1211</v>
      </c>
    </row>
    <row r="403">
      <c r="A403" s="5">
        <v>9.990464596E9</v>
      </c>
      <c r="B403" s="6">
        <v>45506.82184790509</v>
      </c>
      <c r="C403" s="7">
        <v>69.0</v>
      </c>
      <c r="D403" s="5" t="s">
        <v>1209</v>
      </c>
      <c r="E403" s="5" t="s">
        <v>1210</v>
      </c>
      <c r="F403" s="5" t="s">
        <v>1211</v>
      </c>
    </row>
    <row r="404">
      <c r="A404" s="5">
        <v>9.560984299E9</v>
      </c>
      <c r="B404" s="6">
        <v>45507.73053084491</v>
      </c>
      <c r="C404" s="7">
        <v>1.0</v>
      </c>
      <c r="D404" s="5" t="s">
        <v>1209</v>
      </c>
      <c r="E404" s="5" t="s">
        <v>1210</v>
      </c>
      <c r="F404" s="5" t="s">
        <v>1212</v>
      </c>
    </row>
    <row r="405">
      <c r="A405" s="5">
        <v>9.818238387E9</v>
      </c>
      <c r="B405" s="6">
        <v>45507.734603136574</v>
      </c>
      <c r="C405" s="7">
        <v>68.0</v>
      </c>
      <c r="D405" s="5" t="s">
        <v>1209</v>
      </c>
      <c r="E405" s="5" t="s">
        <v>1210</v>
      </c>
      <c r="F405" s="5" t="s">
        <v>1211</v>
      </c>
    </row>
    <row r="406">
      <c r="A406" s="5">
        <v>9.999347471E9</v>
      </c>
      <c r="B406" s="6">
        <v>45507.799887974536</v>
      </c>
      <c r="C406" s="7">
        <v>1.0</v>
      </c>
      <c r="D406" s="5" t="s">
        <v>1209</v>
      </c>
      <c r="E406" s="5" t="s">
        <v>1210</v>
      </c>
      <c r="F406" s="5" t="s">
        <v>1211</v>
      </c>
    </row>
    <row r="407">
      <c r="A407" s="5">
        <v>9.311425509E9</v>
      </c>
      <c r="B407" s="6">
        <v>45507.80068408565</v>
      </c>
      <c r="C407" s="7">
        <v>1.0</v>
      </c>
      <c r="D407" s="5" t="s">
        <v>1209</v>
      </c>
      <c r="E407" s="5" t="s">
        <v>1210</v>
      </c>
      <c r="F407" s="5" t="s">
        <v>1211</v>
      </c>
    </row>
    <row r="408">
      <c r="A408" s="5">
        <v>9.910812E9</v>
      </c>
      <c r="B408" s="6">
        <v>45508.77882832176</v>
      </c>
      <c r="C408" s="7">
        <v>68.0</v>
      </c>
      <c r="D408" s="5" t="s">
        <v>1209</v>
      </c>
      <c r="E408" s="5" t="s">
        <v>1210</v>
      </c>
      <c r="F408" s="5" t="s">
        <v>1212</v>
      </c>
    </row>
    <row r="409">
      <c r="A409" s="5">
        <v>8.742910331E9</v>
      </c>
      <c r="B409" s="6">
        <v>45508.779602407405</v>
      </c>
      <c r="C409" s="7">
        <v>1.0</v>
      </c>
      <c r="D409" s="5" t="s">
        <v>1209</v>
      </c>
      <c r="E409" s="5" t="s">
        <v>1210</v>
      </c>
      <c r="F409" s="5" t="s">
        <v>1211</v>
      </c>
    </row>
    <row r="410">
      <c r="A410" s="5">
        <v>9.999943184E9</v>
      </c>
      <c r="B410" s="6">
        <v>45508.78204251158</v>
      </c>
      <c r="C410" s="7">
        <v>1.0</v>
      </c>
      <c r="D410" s="5" t="s">
        <v>1209</v>
      </c>
      <c r="E410" s="5" t="s">
        <v>1210</v>
      </c>
      <c r="F410" s="5" t="s">
        <v>1211</v>
      </c>
    </row>
    <row r="411">
      <c r="A411" s="5">
        <v>6.398952967E9</v>
      </c>
      <c r="B411" s="6">
        <v>45510.76316365741</v>
      </c>
      <c r="C411" s="7">
        <v>1.0</v>
      </c>
      <c r="D411" s="5" t="s">
        <v>1209</v>
      </c>
      <c r="E411" s="5" t="s">
        <v>1210</v>
      </c>
      <c r="F411" s="5" t="s">
        <v>1211</v>
      </c>
    </row>
    <row r="412">
      <c r="A412" s="5">
        <v>8.130996054E9</v>
      </c>
      <c r="B412" s="6">
        <v>45512.77412815973</v>
      </c>
      <c r="C412" s="7">
        <v>1.0</v>
      </c>
      <c r="D412" s="5" t="s">
        <v>1209</v>
      </c>
      <c r="E412" s="5" t="s">
        <v>1210</v>
      </c>
      <c r="F412" s="5" t="s">
        <v>1211</v>
      </c>
    </row>
    <row r="413">
      <c r="A413" s="5">
        <v>9.310948529E9</v>
      </c>
      <c r="B413" s="6">
        <v>45512.776190115736</v>
      </c>
      <c r="C413" s="7">
        <v>1.0</v>
      </c>
      <c r="D413" s="5" t="s">
        <v>1209</v>
      </c>
      <c r="E413" s="5" t="s">
        <v>1210</v>
      </c>
      <c r="F413" s="5" t="s">
        <v>1211</v>
      </c>
    </row>
    <row r="414">
      <c r="A414" s="5">
        <v>9.43160504E9</v>
      </c>
      <c r="B414" s="6">
        <v>45512.83546530093</v>
      </c>
      <c r="C414" s="7">
        <v>1.0</v>
      </c>
      <c r="D414" s="5" t="s">
        <v>1209</v>
      </c>
      <c r="E414" s="5" t="s">
        <v>1210</v>
      </c>
      <c r="F414" s="5" t="s">
        <v>1211</v>
      </c>
    </row>
    <row r="415">
      <c r="A415" s="5">
        <v>9.868258081E9</v>
      </c>
      <c r="B415" s="6">
        <v>45513.75294715278</v>
      </c>
      <c r="C415" s="7">
        <v>1.0</v>
      </c>
      <c r="D415" s="5" t="s">
        <v>1209</v>
      </c>
      <c r="E415" s="5" t="s">
        <v>1210</v>
      </c>
      <c r="F415" s="5" t="s">
        <v>1211</v>
      </c>
    </row>
    <row r="416">
      <c r="A416" s="5">
        <v>7.838722791E9</v>
      </c>
      <c r="B416" s="6">
        <v>45513.754210405095</v>
      </c>
      <c r="C416" s="7">
        <v>1.0</v>
      </c>
      <c r="D416" s="5" t="s">
        <v>1209</v>
      </c>
      <c r="E416" s="5" t="s">
        <v>1210</v>
      </c>
      <c r="F416" s="5" t="s">
        <v>1211</v>
      </c>
    </row>
    <row r="417">
      <c r="A417" s="5">
        <v>9.873085145E9</v>
      </c>
      <c r="B417" s="6">
        <v>45513.75514686343</v>
      </c>
      <c r="C417" s="7">
        <v>1.0</v>
      </c>
      <c r="D417" s="5" t="s">
        <v>1209</v>
      </c>
      <c r="E417" s="5" t="s">
        <v>1210</v>
      </c>
      <c r="F417" s="5" t="s">
        <v>1211</v>
      </c>
    </row>
    <row r="418">
      <c r="A418" s="5">
        <v>8.527616025E9</v>
      </c>
      <c r="B418" s="6">
        <v>45514.78785206018</v>
      </c>
      <c r="C418" s="7">
        <v>68.0</v>
      </c>
      <c r="D418" s="5" t="s">
        <v>1213</v>
      </c>
      <c r="E418" s="5" t="s">
        <v>1210</v>
      </c>
      <c r="F418" s="5" t="s">
        <v>1211</v>
      </c>
    </row>
    <row r="419">
      <c r="A419" s="5">
        <v>8.287611915E9</v>
      </c>
      <c r="B419" s="6">
        <v>45514.78855885417</v>
      </c>
      <c r="C419" s="7">
        <v>1.0</v>
      </c>
      <c r="D419" s="5" t="s">
        <v>1209</v>
      </c>
      <c r="E419" s="5" t="s">
        <v>1210</v>
      </c>
      <c r="F419" s="5" t="s">
        <v>1212</v>
      </c>
    </row>
    <row r="420">
      <c r="A420" s="5">
        <v>9.587100401E9</v>
      </c>
      <c r="B420" s="6">
        <v>45514.79529637731</v>
      </c>
      <c r="C420" s="7">
        <v>1.0</v>
      </c>
      <c r="D420" s="5" t="s">
        <v>1209</v>
      </c>
      <c r="E420" s="5" t="s">
        <v>1210</v>
      </c>
      <c r="F420" s="5" t="s">
        <v>1211</v>
      </c>
    </row>
    <row r="421">
      <c r="A421" s="5">
        <v>9.811339422E9</v>
      </c>
      <c r="B421" s="6">
        <v>45514.796116770834</v>
      </c>
      <c r="C421" s="7">
        <v>1.0</v>
      </c>
      <c r="D421" s="5" t="s">
        <v>1209</v>
      </c>
      <c r="E421" s="5" t="s">
        <v>1210</v>
      </c>
      <c r="F421" s="5" t="s">
        <v>1211</v>
      </c>
    </row>
    <row r="422">
      <c r="A422" s="5">
        <v>9.953148227E9</v>
      </c>
      <c r="B422" s="6">
        <v>45517.80198138889</v>
      </c>
      <c r="C422" s="7">
        <v>1.0</v>
      </c>
      <c r="D422" s="5" t="s">
        <v>1209</v>
      </c>
      <c r="E422" s="5" t="s">
        <v>1210</v>
      </c>
      <c r="F422" s="5" t="s">
        <v>1211</v>
      </c>
    </row>
    <row r="423">
      <c r="A423" s="5">
        <v>7.01185442E9</v>
      </c>
      <c r="B423" s="6">
        <v>45517.80370413195</v>
      </c>
      <c r="C423" s="7">
        <v>1.0</v>
      </c>
      <c r="D423" s="5" t="s">
        <v>1209</v>
      </c>
      <c r="E423" s="5" t="s">
        <v>1210</v>
      </c>
      <c r="F423" s="5" t="s">
        <v>1212</v>
      </c>
    </row>
    <row r="424">
      <c r="A424" s="5">
        <v>9.811086725E9</v>
      </c>
      <c r="B424" s="6">
        <v>45517.805015694445</v>
      </c>
      <c r="C424" s="7">
        <v>69.0</v>
      </c>
      <c r="D424" s="5" t="s">
        <v>1209</v>
      </c>
      <c r="E424" s="5" t="s">
        <v>1210</v>
      </c>
      <c r="F424" s="5" t="s">
        <v>1211</v>
      </c>
    </row>
    <row r="425">
      <c r="A425" s="5">
        <v>7.838020076E9</v>
      </c>
      <c r="B425" s="6">
        <v>45517.82475230324</v>
      </c>
      <c r="C425" s="7">
        <v>1.0</v>
      </c>
      <c r="D425" s="5" t="s">
        <v>1209</v>
      </c>
      <c r="E425" s="5" t="s">
        <v>1210</v>
      </c>
      <c r="F425" s="5" t="s">
        <v>1211</v>
      </c>
    </row>
    <row r="426">
      <c r="A426" s="5">
        <v>8.082078372E9</v>
      </c>
      <c r="B426" s="6">
        <v>45518.77747119213</v>
      </c>
      <c r="C426" s="7">
        <v>1.0</v>
      </c>
      <c r="D426" s="5" t="s">
        <v>1209</v>
      </c>
      <c r="E426" s="5" t="s">
        <v>1210</v>
      </c>
      <c r="F426" s="5" t="s">
        <v>1211</v>
      </c>
    </row>
    <row r="427">
      <c r="A427" s="5">
        <v>9.999853555E9</v>
      </c>
      <c r="B427" s="6">
        <v>45518.77807990741</v>
      </c>
      <c r="C427" s="7">
        <v>1.0</v>
      </c>
      <c r="D427" s="5" t="s">
        <v>1209</v>
      </c>
      <c r="E427" s="5" t="s">
        <v>1210</v>
      </c>
      <c r="F427" s="5" t="s">
        <v>1212</v>
      </c>
    </row>
    <row r="428">
      <c r="A428" s="5">
        <v>9.910389061E9</v>
      </c>
      <c r="B428" s="6">
        <v>45518.780122638884</v>
      </c>
      <c r="C428" s="7">
        <v>1.0</v>
      </c>
      <c r="D428" s="5" t="s">
        <v>1209</v>
      </c>
      <c r="E428" s="5" t="s">
        <v>1210</v>
      </c>
      <c r="F428" s="5" t="s">
        <v>1212</v>
      </c>
    </row>
    <row r="429">
      <c r="A429" s="5">
        <v>9.310530559E9</v>
      </c>
      <c r="B429" s="6">
        <v>45520.84741543981</v>
      </c>
      <c r="C429" s="7">
        <v>135.0</v>
      </c>
      <c r="D429" s="5" t="s">
        <v>1213</v>
      </c>
      <c r="E429" s="5" t="s">
        <v>1210</v>
      </c>
      <c r="F429" s="5" t="s">
        <v>1211</v>
      </c>
    </row>
    <row r="430">
      <c r="A430" s="5">
        <v>7.006979404E9</v>
      </c>
      <c r="B430" s="6">
        <v>45521.79042803241</v>
      </c>
      <c r="C430" s="7">
        <v>1.0</v>
      </c>
      <c r="D430" s="5" t="s">
        <v>1209</v>
      </c>
      <c r="E430" s="5" t="s">
        <v>1210</v>
      </c>
      <c r="F430" s="5" t="s">
        <v>1211</v>
      </c>
    </row>
    <row r="431">
      <c r="A431" s="5">
        <v>9.811575161E9</v>
      </c>
      <c r="B431" s="6">
        <v>45521.7918593287</v>
      </c>
      <c r="C431" s="7">
        <v>1.0</v>
      </c>
      <c r="D431" s="5" t="s">
        <v>1209</v>
      </c>
      <c r="E431" s="5" t="s">
        <v>1210</v>
      </c>
      <c r="F431" s="5" t="s">
        <v>1211</v>
      </c>
    </row>
    <row r="432">
      <c r="A432" s="5">
        <v>9.810345791E9</v>
      </c>
      <c r="B432" s="6">
        <v>45521.79247403935</v>
      </c>
      <c r="C432" s="7">
        <v>1.0</v>
      </c>
      <c r="D432" s="5" t="s">
        <v>1209</v>
      </c>
      <c r="E432" s="5" t="s">
        <v>1210</v>
      </c>
      <c r="F432" s="5" t="s">
        <v>1211</v>
      </c>
    </row>
    <row r="433">
      <c r="A433" s="5">
        <v>5.605440676E9</v>
      </c>
      <c r="B433" s="6">
        <v>45522.72202960648</v>
      </c>
      <c r="C433" s="7">
        <v>1.0</v>
      </c>
      <c r="D433" s="5" t="s">
        <v>1209</v>
      </c>
      <c r="E433" s="5" t="s">
        <v>1210</v>
      </c>
      <c r="F433" s="5" t="s">
        <v>1211</v>
      </c>
    </row>
    <row r="434">
      <c r="A434" s="5">
        <v>8.800650505E9</v>
      </c>
      <c r="B434" s="6">
        <v>45522.7237600463</v>
      </c>
      <c r="C434" s="7">
        <v>1.0</v>
      </c>
      <c r="D434" s="5" t="s">
        <v>1209</v>
      </c>
      <c r="E434" s="5" t="s">
        <v>1210</v>
      </c>
      <c r="F434" s="5" t="s">
        <v>1211</v>
      </c>
    </row>
    <row r="435">
      <c r="A435" s="5">
        <v>9.811292152E9</v>
      </c>
      <c r="B435" s="6">
        <v>45522.72486770833</v>
      </c>
      <c r="C435" s="7">
        <v>1.0</v>
      </c>
      <c r="D435" s="5" t="s">
        <v>1209</v>
      </c>
      <c r="E435" s="5" t="s">
        <v>1210</v>
      </c>
      <c r="F435" s="5" t="s">
        <v>1212</v>
      </c>
    </row>
    <row r="436">
      <c r="A436" s="5">
        <v>8.287868503E9</v>
      </c>
      <c r="B436" s="6">
        <v>45522.726109571755</v>
      </c>
      <c r="C436" s="7">
        <v>1.0</v>
      </c>
      <c r="D436" s="5" t="s">
        <v>1209</v>
      </c>
      <c r="E436" s="5" t="s">
        <v>1210</v>
      </c>
      <c r="F436" s="5" t="s">
        <v>1212</v>
      </c>
    </row>
    <row r="437">
      <c r="A437" s="5">
        <v>9.891338462E9</v>
      </c>
      <c r="B437" s="6">
        <v>45522.726709826384</v>
      </c>
      <c r="C437" s="7">
        <v>1.0</v>
      </c>
      <c r="D437" s="5" t="s">
        <v>1209</v>
      </c>
      <c r="E437" s="5" t="s">
        <v>1210</v>
      </c>
      <c r="F437" s="5" t="s">
        <v>1211</v>
      </c>
    </row>
    <row r="438">
      <c r="A438" s="5">
        <v>9.891300076E9</v>
      </c>
      <c r="B438" s="6">
        <v>45525.752761932876</v>
      </c>
      <c r="C438" s="7">
        <v>1.0</v>
      </c>
      <c r="D438" s="5" t="s">
        <v>1209</v>
      </c>
      <c r="E438" s="5" t="s">
        <v>1210</v>
      </c>
      <c r="F438" s="5" t="s">
        <v>1211</v>
      </c>
    </row>
    <row r="439">
      <c r="A439" s="5">
        <v>9.899497509E9</v>
      </c>
      <c r="B439" s="6">
        <v>45525.75466114584</v>
      </c>
      <c r="C439" s="7">
        <v>136.0</v>
      </c>
      <c r="D439" s="5" t="s">
        <v>1209</v>
      </c>
      <c r="E439" s="5" t="s">
        <v>1210</v>
      </c>
      <c r="F439" s="5" t="s">
        <v>1211</v>
      </c>
    </row>
    <row r="440">
      <c r="A440" s="5">
        <v>8.447816333E9</v>
      </c>
      <c r="B440" s="6">
        <v>45526.81111087963</v>
      </c>
      <c r="C440" s="7">
        <v>1.0</v>
      </c>
      <c r="D440" s="5" t="s">
        <v>1209</v>
      </c>
      <c r="E440" s="5" t="s">
        <v>1210</v>
      </c>
      <c r="F440" s="5" t="s">
        <v>1212</v>
      </c>
    </row>
    <row r="441">
      <c r="A441" s="5">
        <v>8.826436055E9</v>
      </c>
      <c r="B441" s="6">
        <v>45526.81169777778</v>
      </c>
      <c r="C441" s="7">
        <v>1.0</v>
      </c>
      <c r="D441" s="5" t="s">
        <v>1209</v>
      </c>
      <c r="E441" s="5" t="s">
        <v>1210</v>
      </c>
      <c r="F441" s="5" t="s">
        <v>1211</v>
      </c>
    </row>
    <row r="442">
      <c r="A442" s="5">
        <v>9.990586907E9</v>
      </c>
      <c r="B442" s="6">
        <v>45526.81273096065</v>
      </c>
      <c r="C442" s="7">
        <v>1.0</v>
      </c>
      <c r="D442" s="5" t="s">
        <v>1209</v>
      </c>
      <c r="E442" s="5" t="s">
        <v>1210</v>
      </c>
      <c r="F442" s="5" t="s">
        <v>1212</v>
      </c>
    </row>
    <row r="443">
      <c r="A443" s="5">
        <v>8.527917332E9</v>
      </c>
      <c r="B443" s="6">
        <v>45527.72781015046</v>
      </c>
      <c r="C443" s="7">
        <v>1.0</v>
      </c>
      <c r="D443" s="5" t="s">
        <v>1209</v>
      </c>
      <c r="E443" s="5" t="s">
        <v>1210</v>
      </c>
      <c r="F443" s="5" t="s">
        <v>1211</v>
      </c>
    </row>
    <row r="444">
      <c r="A444" s="5">
        <v>2.018758869E9</v>
      </c>
      <c r="B444" s="6">
        <v>45527.824056122685</v>
      </c>
      <c r="C444" s="7">
        <v>69.0</v>
      </c>
      <c r="D444" s="5" t="s">
        <v>1209</v>
      </c>
      <c r="E444" s="5" t="s">
        <v>1210</v>
      </c>
      <c r="F444" s="5" t="s">
        <v>1212</v>
      </c>
    </row>
    <row r="445">
      <c r="A445" s="5">
        <v>7.834954915E9</v>
      </c>
      <c r="B445" s="6">
        <v>45527.827097870366</v>
      </c>
      <c r="C445" s="7">
        <v>1.0</v>
      </c>
      <c r="D445" s="5" t="s">
        <v>1209</v>
      </c>
      <c r="E445" s="5" t="s">
        <v>1210</v>
      </c>
      <c r="F445" s="5" t="s">
        <v>1211</v>
      </c>
    </row>
    <row r="446">
      <c r="A446" s="5">
        <v>9.582142278E9</v>
      </c>
      <c r="B446" s="6">
        <v>45527.83319521991</v>
      </c>
      <c r="C446" s="7">
        <v>1.0</v>
      </c>
      <c r="D446" s="5" t="s">
        <v>1209</v>
      </c>
      <c r="E446" s="5" t="s">
        <v>1210</v>
      </c>
      <c r="F446" s="5" t="s">
        <v>1211</v>
      </c>
    </row>
    <row r="447">
      <c r="A447" s="5">
        <v>9.810795881E9</v>
      </c>
      <c r="B447" s="6">
        <v>45528.785104270835</v>
      </c>
      <c r="C447" s="7">
        <v>68.0</v>
      </c>
      <c r="D447" s="5" t="s">
        <v>1209</v>
      </c>
      <c r="E447" s="5" t="s">
        <v>1210</v>
      </c>
      <c r="F447" s="5" t="s">
        <v>1211</v>
      </c>
    </row>
    <row r="448">
      <c r="A448" s="5">
        <v>9.953161016E9</v>
      </c>
      <c r="B448" s="6">
        <v>45528.78610878473</v>
      </c>
      <c r="C448" s="7">
        <v>1.0</v>
      </c>
      <c r="D448" s="5" t="s">
        <v>1209</v>
      </c>
      <c r="E448" s="5" t="s">
        <v>1210</v>
      </c>
      <c r="F448" s="5" t="s">
        <v>1212</v>
      </c>
    </row>
    <row r="449">
      <c r="A449" s="5">
        <v>9.792691959E9</v>
      </c>
      <c r="B449" s="6">
        <v>45528.82192015046</v>
      </c>
      <c r="C449" s="7">
        <v>1.0</v>
      </c>
      <c r="D449" s="5" t="s">
        <v>1209</v>
      </c>
      <c r="E449" s="5" t="s">
        <v>1210</v>
      </c>
      <c r="F449" s="5" t="s">
        <v>1211</v>
      </c>
    </row>
    <row r="450">
      <c r="A450" s="5">
        <v>8.700269637E9</v>
      </c>
      <c r="B450" s="6">
        <v>45529.776427453704</v>
      </c>
      <c r="C450" s="7">
        <v>1.0</v>
      </c>
      <c r="D450" s="5" t="s">
        <v>1209</v>
      </c>
      <c r="E450" s="5" t="s">
        <v>1210</v>
      </c>
      <c r="F450" s="5" t="s">
        <v>1212</v>
      </c>
    </row>
    <row r="451">
      <c r="A451" s="5">
        <v>9.818132387E9</v>
      </c>
      <c r="B451" s="6">
        <v>45529.78965549769</v>
      </c>
      <c r="C451" s="7">
        <v>1.0</v>
      </c>
      <c r="D451" s="5" t="s">
        <v>1209</v>
      </c>
      <c r="E451" s="5" t="s">
        <v>1210</v>
      </c>
      <c r="F451" s="5" t="s">
        <v>1211</v>
      </c>
    </row>
    <row r="452">
      <c r="A452" s="5">
        <v>7.86974689E9</v>
      </c>
      <c r="B452" s="6">
        <v>45529.79729773148</v>
      </c>
      <c r="C452" s="7">
        <v>1.0</v>
      </c>
      <c r="D452" s="5" t="s">
        <v>1209</v>
      </c>
      <c r="E452" s="5" t="s">
        <v>1210</v>
      </c>
      <c r="F452" s="5" t="s">
        <v>1211</v>
      </c>
    </row>
    <row r="453">
      <c r="A453" s="5">
        <v>7.428116648E9</v>
      </c>
      <c r="B453" s="6">
        <v>45529.798868136575</v>
      </c>
      <c r="C453" s="7">
        <v>1.0</v>
      </c>
      <c r="D453" s="5" t="s">
        <v>1209</v>
      </c>
      <c r="E453" s="5" t="s">
        <v>1210</v>
      </c>
      <c r="F453" s="5" t="s">
        <v>1211</v>
      </c>
    </row>
    <row r="454">
      <c r="A454" s="5">
        <v>7.903137711E9</v>
      </c>
      <c r="B454" s="6">
        <v>45529.81114871528</v>
      </c>
      <c r="C454" s="7">
        <v>1.0</v>
      </c>
      <c r="D454" s="5" t="s">
        <v>1209</v>
      </c>
      <c r="E454" s="5" t="s">
        <v>1210</v>
      </c>
      <c r="F454" s="5" t="s">
        <v>1211</v>
      </c>
    </row>
    <row r="455">
      <c r="A455" s="5">
        <v>9.817943109E9</v>
      </c>
      <c r="B455" s="6">
        <v>45529.812010821755</v>
      </c>
      <c r="C455" s="7">
        <v>69.0</v>
      </c>
      <c r="D455" s="5" t="s">
        <v>1209</v>
      </c>
      <c r="E455" s="5" t="s">
        <v>1210</v>
      </c>
      <c r="F455" s="5" t="s">
        <v>1212</v>
      </c>
    </row>
    <row r="456">
      <c r="A456" s="5">
        <v>9.8103561E9</v>
      </c>
      <c r="B456" s="6">
        <v>45531.7718630787</v>
      </c>
      <c r="C456" s="7">
        <v>1.0</v>
      </c>
      <c r="D456" s="5" t="s">
        <v>1209</v>
      </c>
      <c r="E456" s="5" t="s">
        <v>1210</v>
      </c>
      <c r="F456" s="5" t="s">
        <v>1212</v>
      </c>
    </row>
    <row r="457">
      <c r="A457" s="5">
        <v>9.811252128E9</v>
      </c>
      <c r="B457" s="6">
        <v>45531.77932717593</v>
      </c>
      <c r="C457" s="7">
        <v>69.0</v>
      </c>
      <c r="D457" s="5" t="s">
        <v>1209</v>
      </c>
      <c r="E457" s="5" t="s">
        <v>1210</v>
      </c>
      <c r="F457" s="5" t="s">
        <v>1211</v>
      </c>
    </row>
    <row r="458">
      <c r="A458" s="5">
        <v>9.540244322E9</v>
      </c>
      <c r="B458" s="6">
        <v>45531.830272465275</v>
      </c>
      <c r="C458" s="7">
        <v>1.0</v>
      </c>
      <c r="D458" s="5" t="s">
        <v>1209</v>
      </c>
      <c r="E458" s="5" t="s">
        <v>1210</v>
      </c>
      <c r="F458" s="5" t="s">
        <v>1211</v>
      </c>
    </row>
    <row r="459">
      <c r="A459" s="5">
        <v>6.473251266E9</v>
      </c>
      <c r="B459" s="6">
        <v>45532.759636250004</v>
      </c>
      <c r="C459" s="7">
        <v>1.0</v>
      </c>
      <c r="D459" s="5" t="s">
        <v>1209</v>
      </c>
      <c r="E459" s="5" t="s">
        <v>1210</v>
      </c>
      <c r="F459" s="5" t="s">
        <v>1212</v>
      </c>
    </row>
    <row r="460">
      <c r="A460" s="5">
        <v>9.312672555E9</v>
      </c>
      <c r="B460" s="6">
        <v>45532.768425902774</v>
      </c>
      <c r="C460" s="7">
        <v>1.0</v>
      </c>
      <c r="D460" s="5" t="s">
        <v>1209</v>
      </c>
      <c r="E460" s="5" t="s">
        <v>1210</v>
      </c>
      <c r="F460" s="5" t="s">
        <v>1212</v>
      </c>
    </row>
    <row r="461">
      <c r="A461" s="5">
        <v>9.971700776E9</v>
      </c>
      <c r="B461" s="6">
        <v>45533.767700439814</v>
      </c>
      <c r="C461" s="7">
        <v>68.0</v>
      </c>
      <c r="D461" s="5" t="s">
        <v>1209</v>
      </c>
      <c r="E461" s="5" t="s">
        <v>1210</v>
      </c>
      <c r="F461" s="5" t="s">
        <v>1211</v>
      </c>
    </row>
    <row r="462">
      <c r="A462" s="5">
        <v>7.217745458E9</v>
      </c>
      <c r="B462" s="6">
        <v>45534.78992736111</v>
      </c>
      <c r="C462" s="7">
        <v>1.0</v>
      </c>
      <c r="D462" s="5" t="s">
        <v>1209</v>
      </c>
      <c r="E462" s="5" t="s">
        <v>1210</v>
      </c>
      <c r="F462" s="5" t="s">
        <v>1211</v>
      </c>
    </row>
    <row r="463">
      <c r="A463" s="5">
        <v>9.87190605E9</v>
      </c>
      <c r="B463" s="6">
        <v>45534.79348630787</v>
      </c>
      <c r="C463" s="7">
        <v>1.0</v>
      </c>
      <c r="D463" s="5" t="s">
        <v>1209</v>
      </c>
      <c r="E463" s="5" t="s">
        <v>1210</v>
      </c>
      <c r="F463" s="5" t="s">
        <v>1212</v>
      </c>
    </row>
    <row r="464">
      <c r="A464" s="5">
        <v>9.354332992E9</v>
      </c>
      <c r="B464" s="6">
        <v>45534.79558822917</v>
      </c>
      <c r="C464" s="7">
        <v>1.0</v>
      </c>
      <c r="D464" s="5" t="s">
        <v>1209</v>
      </c>
      <c r="E464" s="5" t="s">
        <v>1210</v>
      </c>
      <c r="F464" s="5" t="s">
        <v>1211</v>
      </c>
    </row>
    <row r="465">
      <c r="A465" s="5">
        <v>9.310074389E9</v>
      </c>
      <c r="B465" s="6">
        <v>45535.78656896991</v>
      </c>
      <c r="C465" s="7">
        <v>1.0</v>
      </c>
      <c r="D465" s="5" t="s">
        <v>1209</v>
      </c>
      <c r="E465" s="5" t="s">
        <v>1210</v>
      </c>
      <c r="F465" s="5" t="s">
        <v>1212</v>
      </c>
    </row>
    <row r="466">
      <c r="A466" s="5">
        <v>9.911072166E9</v>
      </c>
      <c r="B466" s="6">
        <v>45535.78737060185</v>
      </c>
      <c r="C466" s="7">
        <v>1.0</v>
      </c>
      <c r="D466" s="5" t="s">
        <v>1209</v>
      </c>
      <c r="E466" s="5" t="s">
        <v>1210</v>
      </c>
      <c r="F466" s="5" t="s">
        <v>1212</v>
      </c>
    </row>
    <row r="467">
      <c r="A467" s="5">
        <v>9.868149982E9</v>
      </c>
      <c r="B467" s="6">
        <v>45535.79088615741</v>
      </c>
      <c r="C467" s="7">
        <v>135.0</v>
      </c>
      <c r="D467" s="5" t="s">
        <v>1209</v>
      </c>
      <c r="E467" s="5" t="s">
        <v>1210</v>
      </c>
      <c r="F467" s="5" t="s">
        <v>1211</v>
      </c>
    </row>
    <row r="468">
      <c r="A468" s="5">
        <v>8.172962386E9</v>
      </c>
      <c r="B468" s="6">
        <v>45536.705706354165</v>
      </c>
      <c r="C468" s="7">
        <v>1.0</v>
      </c>
      <c r="D468" s="5" t="s">
        <v>1209</v>
      </c>
      <c r="E468" s="5" t="s">
        <v>1210</v>
      </c>
      <c r="F468" s="5" t="s">
        <v>1211</v>
      </c>
    </row>
    <row r="469">
      <c r="A469" s="5">
        <v>9.015152292E9</v>
      </c>
      <c r="B469" s="6">
        <v>45536.706980057876</v>
      </c>
      <c r="C469" s="7">
        <v>1.0</v>
      </c>
      <c r="D469" s="5" t="s">
        <v>1209</v>
      </c>
      <c r="E469" s="5" t="s">
        <v>1210</v>
      </c>
      <c r="F469" s="5" t="s">
        <v>1212</v>
      </c>
    </row>
    <row r="470">
      <c r="A470" s="5">
        <v>9.811120718E9</v>
      </c>
      <c r="B470" s="6">
        <v>45536.71018730324</v>
      </c>
      <c r="C470" s="7">
        <v>1.0</v>
      </c>
      <c r="D470" s="5" t="s">
        <v>1209</v>
      </c>
      <c r="E470" s="5" t="s">
        <v>1210</v>
      </c>
      <c r="F470" s="5" t="s">
        <v>1211</v>
      </c>
    </row>
    <row r="471">
      <c r="A471" s="5">
        <v>7.02720659E9</v>
      </c>
      <c r="B471" s="6">
        <v>45536.8095915625</v>
      </c>
      <c r="C471" s="7">
        <v>1.0</v>
      </c>
      <c r="D471" s="5" t="s">
        <v>1209</v>
      </c>
      <c r="E471" s="5" t="s">
        <v>1210</v>
      </c>
      <c r="F471" s="5" t="s">
        <v>1212</v>
      </c>
    </row>
    <row r="472">
      <c r="A472" s="5">
        <v>8.377847975E9</v>
      </c>
      <c r="B472" s="6">
        <v>45536.81052811343</v>
      </c>
      <c r="C472" s="7">
        <v>1.0</v>
      </c>
      <c r="D472" s="5" t="s">
        <v>1209</v>
      </c>
      <c r="E472" s="5" t="s">
        <v>1210</v>
      </c>
      <c r="F472" s="5" t="s">
        <v>1211</v>
      </c>
    </row>
    <row r="473">
      <c r="A473" s="5">
        <v>9.555872873E9</v>
      </c>
      <c r="B473" s="6">
        <v>45536.81154653935</v>
      </c>
      <c r="C473" s="7">
        <v>1.0</v>
      </c>
      <c r="D473" s="5" t="s">
        <v>1209</v>
      </c>
      <c r="E473" s="5" t="s">
        <v>1210</v>
      </c>
      <c r="F473" s="5" t="s">
        <v>1211</v>
      </c>
    </row>
    <row r="474">
      <c r="A474" s="5">
        <v>9.71743474E9</v>
      </c>
      <c r="B474" s="6">
        <v>45536.812464375005</v>
      </c>
      <c r="C474" s="7">
        <v>68.0</v>
      </c>
      <c r="D474" s="5" t="s">
        <v>1213</v>
      </c>
      <c r="E474" s="5" t="s">
        <v>1210</v>
      </c>
      <c r="F474" s="5" t="s">
        <v>1211</v>
      </c>
    </row>
    <row r="475">
      <c r="A475" s="5">
        <v>8.860067564E9</v>
      </c>
      <c r="B475" s="6">
        <v>45538.8045322338</v>
      </c>
      <c r="C475" s="7">
        <v>1.0</v>
      </c>
      <c r="D475" s="5" t="s">
        <v>1209</v>
      </c>
      <c r="E475" s="5" t="s">
        <v>1210</v>
      </c>
      <c r="F475" s="5" t="s">
        <v>1211</v>
      </c>
    </row>
    <row r="476">
      <c r="A476" s="5">
        <v>9.810747419E9</v>
      </c>
      <c r="B476" s="6">
        <v>45538.805905057874</v>
      </c>
      <c r="C476" s="7">
        <v>1.0</v>
      </c>
      <c r="D476" s="5" t="s">
        <v>1209</v>
      </c>
      <c r="E476" s="5" t="s">
        <v>1210</v>
      </c>
      <c r="F476" s="5" t="s">
        <v>1212</v>
      </c>
    </row>
    <row r="477">
      <c r="A477" s="5">
        <v>8.368373104E9</v>
      </c>
      <c r="B477" s="6">
        <v>45538.80671302084</v>
      </c>
      <c r="C477" s="7">
        <v>1.0</v>
      </c>
      <c r="D477" s="5" t="s">
        <v>1209</v>
      </c>
      <c r="E477" s="5" t="s">
        <v>1210</v>
      </c>
      <c r="F477" s="5" t="s">
        <v>1211</v>
      </c>
    </row>
    <row r="478">
      <c r="A478" s="5">
        <v>9.871052175E9</v>
      </c>
      <c r="B478" s="6">
        <v>45538.80738009259</v>
      </c>
      <c r="C478" s="7">
        <v>1.0</v>
      </c>
      <c r="D478" s="5" t="s">
        <v>1209</v>
      </c>
      <c r="E478" s="5" t="s">
        <v>1210</v>
      </c>
      <c r="F478" s="5" t="s">
        <v>1212</v>
      </c>
    </row>
    <row r="479">
      <c r="A479" s="5">
        <v>7.011743682E9</v>
      </c>
      <c r="B479" s="6">
        <v>45539.77151157407</v>
      </c>
      <c r="C479" s="7">
        <v>1.0</v>
      </c>
      <c r="D479" s="5" t="s">
        <v>1209</v>
      </c>
      <c r="E479" s="5" t="s">
        <v>1210</v>
      </c>
      <c r="F479" s="5" t="s">
        <v>1211</v>
      </c>
    </row>
    <row r="480">
      <c r="A480" s="5">
        <v>9.0681122E9</v>
      </c>
      <c r="B480" s="6">
        <v>45540.745135590274</v>
      </c>
      <c r="C480" s="7">
        <v>1.0</v>
      </c>
      <c r="D480" s="5" t="s">
        <v>1209</v>
      </c>
      <c r="E480" s="5" t="s">
        <v>1210</v>
      </c>
      <c r="F480" s="5" t="s">
        <v>1211</v>
      </c>
    </row>
    <row r="481">
      <c r="A481" s="5">
        <v>9.340254051E9</v>
      </c>
      <c r="B481" s="6">
        <v>45541.80197084491</v>
      </c>
      <c r="C481" s="7">
        <v>1.0</v>
      </c>
      <c r="D481" s="5" t="s">
        <v>1209</v>
      </c>
      <c r="E481" s="5" t="s">
        <v>1210</v>
      </c>
      <c r="F481" s="5" t="s">
        <v>1211</v>
      </c>
    </row>
    <row r="482">
      <c r="A482" s="5">
        <v>9.999976925E9</v>
      </c>
      <c r="B482" s="6">
        <v>45542.76879377315</v>
      </c>
      <c r="C482" s="7">
        <v>135.0</v>
      </c>
      <c r="D482" s="5" t="s">
        <v>1209</v>
      </c>
      <c r="E482" s="5" t="s">
        <v>1210</v>
      </c>
      <c r="F482" s="5" t="s">
        <v>1211</v>
      </c>
    </row>
    <row r="483">
      <c r="A483" s="5">
        <v>9.829237868E9</v>
      </c>
      <c r="B483" s="6">
        <v>45542.769583726855</v>
      </c>
      <c r="C483" s="7">
        <v>1.0</v>
      </c>
      <c r="D483" s="5" t="s">
        <v>1209</v>
      </c>
      <c r="E483" s="5" t="s">
        <v>1210</v>
      </c>
      <c r="F483" s="5" t="s">
        <v>1211</v>
      </c>
    </row>
    <row r="484">
      <c r="A484" s="5">
        <v>9.013201919E9</v>
      </c>
      <c r="B484" s="6">
        <v>45543.81554645833</v>
      </c>
      <c r="C484" s="7">
        <v>1.0</v>
      </c>
      <c r="D484" s="5" t="s">
        <v>1209</v>
      </c>
      <c r="E484" s="5" t="s">
        <v>1210</v>
      </c>
      <c r="F484" s="5" t="s">
        <v>1212</v>
      </c>
    </row>
    <row r="485">
      <c r="A485" s="5">
        <v>9.891203082E9</v>
      </c>
      <c r="B485" s="6">
        <v>45543.81698415509</v>
      </c>
      <c r="C485" s="7">
        <v>135.0</v>
      </c>
      <c r="D485" s="5" t="s">
        <v>1209</v>
      </c>
      <c r="E485" s="5" t="s">
        <v>1210</v>
      </c>
      <c r="F485" s="5" t="s">
        <v>1212</v>
      </c>
    </row>
    <row r="486">
      <c r="A486" s="5">
        <v>9.999796925E9</v>
      </c>
      <c r="B486" s="6">
        <v>45543.817889768514</v>
      </c>
      <c r="C486" s="7">
        <v>202.0</v>
      </c>
      <c r="D486" s="5" t="s">
        <v>1214</v>
      </c>
      <c r="E486" s="5" t="s">
        <v>1210</v>
      </c>
      <c r="F486" s="5" t="s">
        <v>1211</v>
      </c>
    </row>
    <row r="487">
      <c r="A487" s="5">
        <v>9.873284859E9</v>
      </c>
      <c r="B487" s="6">
        <v>45543.81885788194</v>
      </c>
      <c r="C487" s="7">
        <v>1.0</v>
      </c>
      <c r="D487" s="5" t="s">
        <v>1209</v>
      </c>
      <c r="E487" s="5" t="s">
        <v>1210</v>
      </c>
      <c r="F487" s="5" t="s">
        <v>1211</v>
      </c>
    </row>
    <row r="488">
      <c r="A488" s="5">
        <v>1.931299765E9</v>
      </c>
      <c r="B488" s="6">
        <v>45543.81979393518</v>
      </c>
      <c r="C488" s="7">
        <v>1.0</v>
      </c>
      <c r="D488" s="5" t="s">
        <v>1209</v>
      </c>
      <c r="E488" s="5" t="s">
        <v>1210</v>
      </c>
      <c r="F488" s="5" t="s">
        <v>1212</v>
      </c>
    </row>
    <row r="489">
      <c r="A489" s="5">
        <v>9.87144661E9</v>
      </c>
      <c r="B489" s="6">
        <v>45545.80562704861</v>
      </c>
      <c r="C489" s="7">
        <v>68.0</v>
      </c>
      <c r="D489" s="5" t="s">
        <v>1209</v>
      </c>
      <c r="E489" s="5" t="s">
        <v>1210</v>
      </c>
      <c r="F489" s="5" t="s">
        <v>1211</v>
      </c>
    </row>
    <row r="490">
      <c r="A490" s="5">
        <v>9.582159548E9</v>
      </c>
      <c r="B490" s="6">
        <v>45545.8065765162</v>
      </c>
      <c r="C490" s="7">
        <v>67.0</v>
      </c>
      <c r="D490" s="5" t="s">
        <v>1213</v>
      </c>
      <c r="E490" s="5" t="s">
        <v>1210</v>
      </c>
      <c r="F490" s="5" t="s">
        <v>1211</v>
      </c>
    </row>
    <row r="491">
      <c r="A491" s="5">
        <v>9.015110185E9</v>
      </c>
      <c r="B491" s="6">
        <v>45545.82329799769</v>
      </c>
      <c r="C491" s="7">
        <v>1.0</v>
      </c>
      <c r="D491" s="5" t="s">
        <v>1209</v>
      </c>
      <c r="E491" s="5" t="s">
        <v>1210</v>
      </c>
      <c r="F491" s="5" t="s">
        <v>1211</v>
      </c>
    </row>
    <row r="492">
      <c r="A492" s="5">
        <v>8.447847772E9</v>
      </c>
      <c r="B492" s="6">
        <v>45546.835220995374</v>
      </c>
      <c r="C492" s="7">
        <v>1.0</v>
      </c>
      <c r="D492" s="5" t="s">
        <v>1209</v>
      </c>
      <c r="E492" s="5" t="s">
        <v>1210</v>
      </c>
      <c r="F492" s="5" t="s">
        <v>1211</v>
      </c>
    </row>
    <row r="493">
      <c r="A493" s="5">
        <v>8.448829871E9</v>
      </c>
      <c r="B493" s="6">
        <v>45546.83637072917</v>
      </c>
      <c r="C493" s="7">
        <v>1.0</v>
      </c>
      <c r="D493" s="5" t="s">
        <v>1209</v>
      </c>
      <c r="E493" s="5" t="s">
        <v>1210</v>
      </c>
      <c r="F493" s="5" t="s">
        <v>1211</v>
      </c>
    </row>
    <row r="494">
      <c r="A494" s="5">
        <v>9.871405086E9</v>
      </c>
      <c r="B494" s="6">
        <v>45546.83840466435</v>
      </c>
      <c r="C494" s="7">
        <v>1.0</v>
      </c>
      <c r="D494" s="5" t="s">
        <v>1209</v>
      </c>
      <c r="E494" s="5" t="s">
        <v>1210</v>
      </c>
      <c r="F494" s="5" t="s">
        <v>1212</v>
      </c>
    </row>
    <row r="495">
      <c r="A495" s="5">
        <v>9.05680675E9</v>
      </c>
      <c r="B495" s="6">
        <v>45547.784561493056</v>
      </c>
      <c r="C495" s="7">
        <v>1.0</v>
      </c>
      <c r="D495" s="5" t="s">
        <v>1209</v>
      </c>
      <c r="E495" s="5" t="s">
        <v>1210</v>
      </c>
      <c r="F495" s="5" t="s">
        <v>1211</v>
      </c>
    </row>
    <row r="496">
      <c r="A496" s="5">
        <v>8.368911898E9</v>
      </c>
      <c r="B496" s="6">
        <v>45548.77927755787</v>
      </c>
      <c r="C496" s="7">
        <v>1.0</v>
      </c>
      <c r="D496" s="5" t="s">
        <v>1209</v>
      </c>
      <c r="E496" s="5" t="s">
        <v>1210</v>
      </c>
      <c r="F496" s="5" t="s">
        <v>1212</v>
      </c>
    </row>
    <row r="497">
      <c r="A497" s="5">
        <v>9.811543555E9</v>
      </c>
      <c r="B497" s="6">
        <v>45548.780036550925</v>
      </c>
      <c r="C497" s="7">
        <v>1.0</v>
      </c>
      <c r="D497" s="5" t="s">
        <v>1209</v>
      </c>
      <c r="E497" s="5" t="s">
        <v>1210</v>
      </c>
      <c r="F497" s="5" t="s">
        <v>1211</v>
      </c>
    </row>
    <row r="498">
      <c r="A498" s="5">
        <v>9.643980196E9</v>
      </c>
      <c r="B498" s="6">
        <v>45548.78088989583</v>
      </c>
      <c r="C498" s="7">
        <v>1.0</v>
      </c>
      <c r="D498" s="5" t="s">
        <v>1209</v>
      </c>
      <c r="E498" s="5" t="s">
        <v>1210</v>
      </c>
      <c r="F498" s="5" t="s">
        <v>1212</v>
      </c>
    </row>
    <row r="499">
      <c r="A499" s="5">
        <v>9.818104442E9</v>
      </c>
      <c r="B499" s="6">
        <v>45549.78887561343</v>
      </c>
      <c r="C499" s="7">
        <v>1.0</v>
      </c>
      <c r="D499" s="5" t="s">
        <v>1209</v>
      </c>
      <c r="E499" s="5" t="s">
        <v>1210</v>
      </c>
      <c r="F499" s="5" t="s">
        <v>1211</v>
      </c>
    </row>
    <row r="500">
      <c r="A500" s="5">
        <v>9.550515549E9</v>
      </c>
      <c r="B500" s="6">
        <v>45549.81613864584</v>
      </c>
      <c r="C500" s="7">
        <v>1.0</v>
      </c>
      <c r="D500" s="5" t="s">
        <v>1209</v>
      </c>
      <c r="E500" s="5" t="s">
        <v>1210</v>
      </c>
      <c r="F500" s="5" t="s">
        <v>1211</v>
      </c>
    </row>
    <row r="501">
      <c r="A501" s="5">
        <v>8.375019908E9</v>
      </c>
      <c r="B501" s="6">
        <v>45550.81002730324</v>
      </c>
      <c r="C501" s="7">
        <v>68.0</v>
      </c>
      <c r="D501" s="5" t="s">
        <v>1213</v>
      </c>
      <c r="E501" s="5" t="s">
        <v>1210</v>
      </c>
      <c r="F501" s="5" t="s">
        <v>1212</v>
      </c>
    </row>
    <row r="502">
      <c r="A502" s="5">
        <v>9.810438688E9</v>
      </c>
      <c r="B502" s="6">
        <v>45550.8124965625</v>
      </c>
      <c r="C502" s="7">
        <v>1.0</v>
      </c>
      <c r="D502" s="5" t="s">
        <v>1209</v>
      </c>
      <c r="E502" s="5" t="s">
        <v>1210</v>
      </c>
      <c r="F502" s="5" t="s">
        <v>1212</v>
      </c>
    </row>
    <row r="503">
      <c r="A503" s="5">
        <v>9.711367631E9</v>
      </c>
      <c r="B503" s="6">
        <v>45550.81331891204</v>
      </c>
      <c r="C503" s="7">
        <v>68.0</v>
      </c>
      <c r="D503" s="5" t="s">
        <v>1209</v>
      </c>
      <c r="E503" s="5" t="s">
        <v>1210</v>
      </c>
      <c r="F503" s="5" t="s">
        <v>1211</v>
      </c>
    </row>
    <row r="504">
      <c r="A504" s="5">
        <v>9.711073257E9</v>
      </c>
      <c r="B504" s="6">
        <v>45550.81473694445</v>
      </c>
      <c r="C504" s="7">
        <v>1.0</v>
      </c>
      <c r="D504" s="5" t="s">
        <v>1209</v>
      </c>
      <c r="E504" s="5" t="s">
        <v>1210</v>
      </c>
      <c r="F504" s="5" t="s">
        <v>1211</v>
      </c>
    </row>
    <row r="505">
      <c r="A505" s="5">
        <v>9.872767275E9</v>
      </c>
      <c r="B505" s="6">
        <v>45552.77030628472</v>
      </c>
      <c r="C505" s="7">
        <v>1.0</v>
      </c>
      <c r="D505" s="5" t="s">
        <v>1209</v>
      </c>
      <c r="E505" s="5" t="s">
        <v>1210</v>
      </c>
      <c r="F505" s="5" t="s">
        <v>1212</v>
      </c>
    </row>
    <row r="506">
      <c r="A506" s="5">
        <v>9.81160027E9</v>
      </c>
      <c r="B506" s="6">
        <v>45552.771538113426</v>
      </c>
      <c r="C506" s="7">
        <v>68.0</v>
      </c>
      <c r="D506" s="5" t="s">
        <v>1209</v>
      </c>
      <c r="E506" s="5" t="s">
        <v>1210</v>
      </c>
      <c r="F506" s="5" t="s">
        <v>1211</v>
      </c>
    </row>
    <row r="507">
      <c r="A507" s="5">
        <v>9.867684009E9</v>
      </c>
      <c r="B507" s="6">
        <v>45552.77227543981</v>
      </c>
      <c r="C507" s="7">
        <v>1.0</v>
      </c>
      <c r="D507" s="5" t="s">
        <v>1209</v>
      </c>
      <c r="E507" s="5" t="s">
        <v>1210</v>
      </c>
      <c r="F507" s="5" t="s">
        <v>1211</v>
      </c>
    </row>
    <row r="508">
      <c r="A508" s="5">
        <v>9.811679671E9</v>
      </c>
      <c r="B508" s="6">
        <v>45553.78731918981</v>
      </c>
      <c r="C508" s="7">
        <v>1.0</v>
      </c>
      <c r="D508" s="5" t="s">
        <v>1209</v>
      </c>
      <c r="E508" s="5" t="s">
        <v>1210</v>
      </c>
      <c r="F508" s="5" t="s">
        <v>1211</v>
      </c>
    </row>
    <row r="509">
      <c r="A509" s="5">
        <v>9.560960946E9</v>
      </c>
      <c r="B509" s="6">
        <v>45554.77173814815</v>
      </c>
      <c r="C509" s="7">
        <v>1.0</v>
      </c>
      <c r="D509" s="5" t="s">
        <v>1209</v>
      </c>
      <c r="E509" s="5" t="s">
        <v>1210</v>
      </c>
      <c r="F509" s="5" t="s">
        <v>1211</v>
      </c>
    </row>
    <row r="510">
      <c r="A510" s="5">
        <v>8.750640078E9</v>
      </c>
      <c r="B510" s="6">
        <v>45556.79854671296</v>
      </c>
      <c r="C510" s="7">
        <v>1.0</v>
      </c>
      <c r="D510" s="5" t="s">
        <v>1209</v>
      </c>
      <c r="E510" s="5" t="s">
        <v>1210</v>
      </c>
      <c r="F510" s="5" t="s">
        <v>1211</v>
      </c>
    </row>
    <row r="511">
      <c r="A511" s="5">
        <v>9.971035373E9</v>
      </c>
      <c r="B511" s="6">
        <v>45559.79226646991</v>
      </c>
      <c r="C511" s="7">
        <v>1.0</v>
      </c>
      <c r="D511" s="5" t="s">
        <v>1209</v>
      </c>
      <c r="E511" s="5" t="s">
        <v>1210</v>
      </c>
      <c r="F511" s="5" t="s">
        <v>1211</v>
      </c>
    </row>
    <row r="512">
      <c r="A512" s="5">
        <v>9.311065176E9</v>
      </c>
      <c r="B512" s="6">
        <v>45559.7931859838</v>
      </c>
      <c r="C512" s="7">
        <v>202.0</v>
      </c>
      <c r="D512" s="5" t="s">
        <v>1209</v>
      </c>
      <c r="E512" s="5" t="s">
        <v>1210</v>
      </c>
      <c r="F512" s="5" t="s">
        <v>1211</v>
      </c>
    </row>
    <row r="513">
      <c r="A513" s="5">
        <v>8.44745154E9</v>
      </c>
      <c r="B513" s="6">
        <v>45559.79671052084</v>
      </c>
      <c r="C513" s="7">
        <v>68.0</v>
      </c>
      <c r="D513" s="5" t="s">
        <v>1213</v>
      </c>
      <c r="E513" s="5" t="s">
        <v>1210</v>
      </c>
      <c r="F513" s="5" t="s">
        <v>1211</v>
      </c>
    </row>
    <row r="514">
      <c r="A514" s="5">
        <v>7.83884982E9</v>
      </c>
      <c r="B514" s="6">
        <v>45559.7975725</v>
      </c>
      <c r="C514" s="7">
        <v>1.0</v>
      </c>
      <c r="D514" s="5" t="s">
        <v>1209</v>
      </c>
      <c r="E514" s="5" t="s">
        <v>1210</v>
      </c>
      <c r="F514" s="5" t="s">
        <v>1212</v>
      </c>
    </row>
    <row r="515">
      <c r="A515" s="5">
        <v>9.266546477E9</v>
      </c>
      <c r="B515" s="6">
        <v>45559.79846797454</v>
      </c>
      <c r="C515" s="7">
        <v>1.0</v>
      </c>
      <c r="D515" s="5" t="s">
        <v>1209</v>
      </c>
      <c r="E515" s="5" t="s">
        <v>1210</v>
      </c>
      <c r="F515" s="5" t="s">
        <v>1212</v>
      </c>
    </row>
    <row r="516">
      <c r="A516" s="5">
        <v>9.456284878E9</v>
      </c>
      <c r="B516" s="6">
        <v>45559.799110555556</v>
      </c>
      <c r="C516" s="7">
        <v>68.0</v>
      </c>
      <c r="D516" s="5" t="s">
        <v>1209</v>
      </c>
      <c r="E516" s="5" t="s">
        <v>1210</v>
      </c>
      <c r="F516" s="5" t="s">
        <v>1211</v>
      </c>
    </row>
    <row r="517">
      <c r="A517" s="5">
        <v>8.839885774E9</v>
      </c>
      <c r="B517" s="6">
        <v>45559.833073761576</v>
      </c>
      <c r="C517" s="7">
        <v>1.0</v>
      </c>
      <c r="D517" s="5" t="s">
        <v>1209</v>
      </c>
      <c r="E517" s="5" t="s">
        <v>1210</v>
      </c>
      <c r="F517" s="5" t="s">
        <v>1211</v>
      </c>
    </row>
    <row r="518">
      <c r="A518" s="5">
        <v>9.313961881E9</v>
      </c>
      <c r="B518" s="6">
        <v>45560.7179740625</v>
      </c>
      <c r="C518" s="7">
        <v>1.0</v>
      </c>
      <c r="D518" s="5" t="s">
        <v>1209</v>
      </c>
      <c r="E518" s="5" t="s">
        <v>1210</v>
      </c>
      <c r="F518" s="5" t="s">
        <v>1211</v>
      </c>
    </row>
    <row r="519">
      <c r="A519" s="5">
        <v>9.999406451E9</v>
      </c>
      <c r="B519" s="6">
        <v>45560.7754556713</v>
      </c>
      <c r="C519" s="7">
        <v>1.0</v>
      </c>
      <c r="D519" s="5" t="s">
        <v>1209</v>
      </c>
      <c r="E519" s="5" t="s">
        <v>1210</v>
      </c>
      <c r="F519" s="5" t="s">
        <v>1211</v>
      </c>
    </row>
    <row r="520">
      <c r="A520" s="5">
        <v>9.810414043E9</v>
      </c>
      <c r="B520" s="6">
        <v>45560.78873606482</v>
      </c>
      <c r="C520" s="7">
        <v>1.0</v>
      </c>
      <c r="D520" s="5" t="s">
        <v>1209</v>
      </c>
      <c r="E520" s="5" t="s">
        <v>1210</v>
      </c>
      <c r="F520" s="5" t="s">
        <v>1212</v>
      </c>
    </row>
    <row r="521">
      <c r="A521" s="5">
        <v>9.810629311E9</v>
      </c>
      <c r="B521" s="6">
        <v>45561.791885115745</v>
      </c>
      <c r="C521" s="7">
        <v>134.0</v>
      </c>
      <c r="D521" s="5" t="s">
        <v>1213</v>
      </c>
      <c r="E521" s="5" t="s">
        <v>1210</v>
      </c>
      <c r="F521" s="5" t="s">
        <v>1212</v>
      </c>
    </row>
    <row r="522">
      <c r="A522" s="5">
        <v>9.899978327E9</v>
      </c>
      <c r="B522" s="6">
        <v>45561.797518148145</v>
      </c>
      <c r="C522" s="7">
        <v>1.0</v>
      </c>
      <c r="D522" s="5" t="s">
        <v>1209</v>
      </c>
      <c r="E522" s="5" t="s">
        <v>1210</v>
      </c>
      <c r="F522" s="5" t="s">
        <v>1212</v>
      </c>
    </row>
    <row r="523">
      <c r="A523" s="5">
        <v>9.419116616E9</v>
      </c>
      <c r="B523" s="6">
        <v>45562.76564405093</v>
      </c>
      <c r="C523" s="7">
        <v>1.0</v>
      </c>
      <c r="D523" s="5" t="s">
        <v>1209</v>
      </c>
      <c r="E523" s="5" t="s">
        <v>1210</v>
      </c>
      <c r="F523" s="5" t="s">
        <v>1212</v>
      </c>
    </row>
    <row r="524">
      <c r="A524" s="5">
        <v>9.811526877E9</v>
      </c>
      <c r="B524" s="6">
        <v>45562.767791562495</v>
      </c>
      <c r="C524" s="7">
        <v>1.0</v>
      </c>
      <c r="D524" s="5" t="s">
        <v>1209</v>
      </c>
      <c r="E524" s="5" t="s">
        <v>1210</v>
      </c>
      <c r="F524" s="5" t="s">
        <v>1212</v>
      </c>
    </row>
    <row r="525">
      <c r="A525" s="5">
        <v>9.312886562E9</v>
      </c>
      <c r="B525" s="6">
        <v>45562.76928409722</v>
      </c>
      <c r="C525" s="7">
        <v>1.0</v>
      </c>
      <c r="D525" s="5" t="s">
        <v>1209</v>
      </c>
      <c r="E525" s="5" t="s">
        <v>1210</v>
      </c>
      <c r="F525" s="5" t="s">
        <v>1211</v>
      </c>
    </row>
    <row r="526">
      <c r="A526" s="5">
        <v>9.811451013E9</v>
      </c>
      <c r="B526" s="6">
        <v>45563.83054836806</v>
      </c>
      <c r="C526" s="7">
        <v>269.0</v>
      </c>
      <c r="D526" s="5" t="s">
        <v>1213</v>
      </c>
      <c r="E526" s="5" t="s">
        <v>1210</v>
      </c>
      <c r="F526" s="5" t="s">
        <v>1212</v>
      </c>
    </row>
    <row r="527">
      <c r="A527" s="5">
        <v>9.555184701E9</v>
      </c>
      <c r="B527" s="6">
        <v>45564.671296342596</v>
      </c>
      <c r="C527" s="7">
        <v>68.0</v>
      </c>
      <c r="D527" s="5" t="s">
        <v>1209</v>
      </c>
      <c r="E527" s="5" t="s">
        <v>1210</v>
      </c>
      <c r="F527" s="5" t="s">
        <v>1211</v>
      </c>
    </row>
    <row r="528">
      <c r="A528" s="5">
        <v>7.303158154E9</v>
      </c>
      <c r="B528" s="6">
        <v>45564.7741581713</v>
      </c>
      <c r="C528" s="7">
        <v>1.0</v>
      </c>
      <c r="D528" s="5" t="s">
        <v>1209</v>
      </c>
      <c r="E528" s="5" t="s">
        <v>1210</v>
      </c>
      <c r="F528" s="5" t="s">
        <v>1212</v>
      </c>
    </row>
    <row r="529">
      <c r="A529" s="5">
        <v>9.582724231E9</v>
      </c>
      <c r="B529" s="6">
        <v>45564.77518152777</v>
      </c>
      <c r="C529" s="7">
        <v>1.0</v>
      </c>
      <c r="D529" s="5" t="s">
        <v>1209</v>
      </c>
      <c r="E529" s="5" t="s">
        <v>1210</v>
      </c>
      <c r="F529" s="5" t="s">
        <v>1212</v>
      </c>
    </row>
    <row r="530">
      <c r="A530" s="5">
        <v>8.588956935E9</v>
      </c>
      <c r="B530" s="6">
        <v>45564.775972337964</v>
      </c>
      <c r="C530" s="7">
        <v>1.0</v>
      </c>
      <c r="D530" s="5" t="s">
        <v>1209</v>
      </c>
      <c r="E530" s="5" t="s">
        <v>1210</v>
      </c>
      <c r="F530" s="5" t="s">
        <v>1211</v>
      </c>
    </row>
    <row r="531">
      <c r="A531" s="5">
        <v>9.971744837E9</v>
      </c>
      <c r="B531" s="6">
        <v>45564.77718806713</v>
      </c>
      <c r="C531" s="7">
        <v>1.0</v>
      </c>
      <c r="D531" s="5" t="s">
        <v>1209</v>
      </c>
      <c r="E531" s="5" t="s">
        <v>1210</v>
      </c>
      <c r="F531" s="5" t="s">
        <v>1211</v>
      </c>
    </row>
    <row r="532">
      <c r="A532" s="5">
        <v>9.811575861E9</v>
      </c>
      <c r="B532" s="6">
        <v>45564.78823824074</v>
      </c>
      <c r="C532" s="7">
        <v>68.0</v>
      </c>
      <c r="D532" s="5" t="s">
        <v>1209</v>
      </c>
      <c r="E532" s="5" t="s">
        <v>1210</v>
      </c>
      <c r="F532" s="5" t="s">
        <v>1212</v>
      </c>
    </row>
    <row r="533">
      <c r="A533" s="5">
        <v>9.810795882E9</v>
      </c>
      <c r="B533" s="6">
        <v>45568.76837361111</v>
      </c>
      <c r="C533" s="7">
        <v>1.0</v>
      </c>
      <c r="D533" s="5" t="s">
        <v>1209</v>
      </c>
      <c r="E533" s="5" t="s">
        <v>1210</v>
      </c>
      <c r="F533" s="5" t="s">
        <v>1212</v>
      </c>
    </row>
    <row r="534">
      <c r="A534" s="5">
        <v>8.278802684E9</v>
      </c>
      <c r="B534" s="6">
        <v>45568.769099363424</v>
      </c>
      <c r="C534" s="7">
        <v>1.0</v>
      </c>
      <c r="D534" s="5" t="s">
        <v>1209</v>
      </c>
      <c r="E534" s="5" t="s">
        <v>1210</v>
      </c>
      <c r="F534" s="5" t="s">
        <v>1211</v>
      </c>
    </row>
    <row r="535">
      <c r="A535" s="5">
        <v>9.818104462E9</v>
      </c>
      <c r="B535" s="6">
        <v>45568.769968368055</v>
      </c>
      <c r="C535" s="7">
        <v>1.0</v>
      </c>
      <c r="D535" s="5" t="s">
        <v>1209</v>
      </c>
      <c r="E535" s="5" t="s">
        <v>1210</v>
      </c>
      <c r="F535" s="5" t="s">
        <v>1212</v>
      </c>
    </row>
    <row r="536">
      <c r="A536" s="5">
        <v>9.799497509E9</v>
      </c>
      <c r="B536" s="6">
        <v>45569.76913072917</v>
      </c>
      <c r="C536" s="7">
        <v>1.0</v>
      </c>
      <c r="D536" s="5" t="s">
        <v>1209</v>
      </c>
      <c r="E536" s="5" t="s">
        <v>1210</v>
      </c>
      <c r="F536" s="5" t="s">
        <v>1212</v>
      </c>
    </row>
    <row r="537">
      <c r="A537" s="5">
        <v>8.807648771E9</v>
      </c>
      <c r="B537" s="6">
        <v>45569.796205624996</v>
      </c>
      <c r="C537" s="7">
        <v>1.0</v>
      </c>
      <c r="D537" s="5" t="s">
        <v>1209</v>
      </c>
      <c r="E537" s="5" t="s">
        <v>1210</v>
      </c>
      <c r="F537" s="5" t="s">
        <v>1211</v>
      </c>
    </row>
    <row r="538">
      <c r="A538" s="5">
        <v>8.368002854E9</v>
      </c>
      <c r="B538" s="6">
        <v>45570.796039085646</v>
      </c>
      <c r="C538" s="7">
        <v>1.0</v>
      </c>
      <c r="D538" s="5" t="s">
        <v>1209</v>
      </c>
      <c r="E538" s="5" t="s">
        <v>1210</v>
      </c>
      <c r="F538" s="5" t="s">
        <v>1211</v>
      </c>
    </row>
    <row r="539">
      <c r="A539" s="5">
        <v>7.982560879E9</v>
      </c>
      <c r="B539" s="6">
        <v>45570.79758046297</v>
      </c>
      <c r="C539" s="7">
        <v>1.0</v>
      </c>
      <c r="D539" s="5" t="s">
        <v>1209</v>
      </c>
      <c r="E539" s="5" t="s">
        <v>1210</v>
      </c>
      <c r="F539" s="5" t="s">
        <v>1211</v>
      </c>
    </row>
    <row r="540">
      <c r="A540" s="5">
        <v>9.811011258E9</v>
      </c>
      <c r="B540" s="6">
        <v>45570.79866326389</v>
      </c>
      <c r="C540" s="7">
        <v>1.0</v>
      </c>
      <c r="D540" s="5" t="s">
        <v>1209</v>
      </c>
      <c r="E540" s="5" t="s">
        <v>1210</v>
      </c>
      <c r="F540" s="5" t="s">
        <v>1212</v>
      </c>
    </row>
    <row r="541">
      <c r="A541" s="5">
        <v>9.717201147E9</v>
      </c>
      <c r="B541" s="6">
        <v>45570.80009866898</v>
      </c>
      <c r="C541" s="7">
        <v>1.0</v>
      </c>
      <c r="D541" s="5" t="s">
        <v>1209</v>
      </c>
      <c r="E541" s="5" t="s">
        <v>1210</v>
      </c>
      <c r="F541" s="5" t="s">
        <v>1212</v>
      </c>
    </row>
    <row r="542">
      <c r="A542" s="5">
        <v>9.953950419E9</v>
      </c>
      <c r="B542" s="6">
        <v>45570.8014546412</v>
      </c>
      <c r="C542" s="7">
        <v>135.0</v>
      </c>
      <c r="D542" s="5" t="s">
        <v>1213</v>
      </c>
      <c r="E542" s="5" t="s">
        <v>1210</v>
      </c>
      <c r="F542" s="5" t="s">
        <v>1211</v>
      </c>
    </row>
    <row r="543">
      <c r="A543" s="5">
        <v>9.711027972E9</v>
      </c>
      <c r="B543" s="6">
        <v>45570.80232203704</v>
      </c>
      <c r="C543" s="7">
        <v>1.0</v>
      </c>
      <c r="D543" s="5" t="s">
        <v>1209</v>
      </c>
      <c r="E543" s="5" t="s">
        <v>1210</v>
      </c>
      <c r="F543" s="5" t="s">
        <v>1211</v>
      </c>
    </row>
    <row r="544">
      <c r="A544" s="5">
        <v>7.022026702E9</v>
      </c>
      <c r="B544" s="6">
        <v>45571.76199075232</v>
      </c>
      <c r="C544" s="7">
        <v>1.0</v>
      </c>
      <c r="D544" s="5" t="s">
        <v>1209</v>
      </c>
      <c r="E544" s="5" t="s">
        <v>1210</v>
      </c>
      <c r="F544" s="5" t="s">
        <v>1211</v>
      </c>
    </row>
    <row r="545">
      <c r="A545" s="5">
        <v>9.65191327E9</v>
      </c>
      <c r="B545" s="6">
        <v>45571.766096956024</v>
      </c>
      <c r="C545" s="7">
        <v>1.0</v>
      </c>
      <c r="D545" s="5" t="s">
        <v>1209</v>
      </c>
      <c r="E545" s="5" t="s">
        <v>1210</v>
      </c>
      <c r="F545" s="5" t="s">
        <v>1211</v>
      </c>
    </row>
    <row r="546">
      <c r="A546" s="5">
        <v>9.873224748E9</v>
      </c>
      <c r="B546" s="6">
        <v>45571.768440266205</v>
      </c>
      <c r="C546" s="7">
        <v>1.0</v>
      </c>
      <c r="D546" s="5" t="s">
        <v>1209</v>
      </c>
      <c r="E546" s="5" t="s">
        <v>1210</v>
      </c>
      <c r="F546" s="5" t="s">
        <v>1211</v>
      </c>
    </row>
    <row r="547">
      <c r="A547" s="5">
        <v>9.1367814E9</v>
      </c>
      <c r="B547" s="6">
        <v>45571.77042003472</v>
      </c>
      <c r="C547" s="7">
        <v>1.0</v>
      </c>
      <c r="D547" s="5" t="s">
        <v>1209</v>
      </c>
      <c r="E547" s="5" t="s">
        <v>1210</v>
      </c>
      <c r="F547" s="5" t="s">
        <v>1211</v>
      </c>
    </row>
    <row r="548">
      <c r="A548" s="5">
        <v>9.643403539E9</v>
      </c>
      <c r="B548" s="6">
        <v>45573.776626481485</v>
      </c>
      <c r="C548" s="7">
        <v>1.0</v>
      </c>
      <c r="D548" s="5" t="s">
        <v>1209</v>
      </c>
      <c r="E548" s="5" t="s">
        <v>1210</v>
      </c>
      <c r="F548" s="5" t="s">
        <v>1211</v>
      </c>
    </row>
    <row r="549">
      <c r="A549" s="5">
        <v>9.205750464E9</v>
      </c>
      <c r="B549" s="6">
        <v>45573.77755324074</v>
      </c>
      <c r="C549" s="7">
        <v>1.0</v>
      </c>
      <c r="D549" s="5" t="s">
        <v>1209</v>
      </c>
      <c r="E549" s="5" t="s">
        <v>1210</v>
      </c>
      <c r="F549" s="5" t="s">
        <v>1211</v>
      </c>
    </row>
    <row r="550">
      <c r="A550" s="5">
        <v>9.211144183E9</v>
      </c>
      <c r="B550" s="6">
        <v>45574.78613652778</v>
      </c>
      <c r="C550" s="7">
        <v>1.0</v>
      </c>
      <c r="D550" s="5" t="s">
        <v>1209</v>
      </c>
      <c r="E550" s="5" t="s">
        <v>1210</v>
      </c>
      <c r="F550" s="5" t="s">
        <v>1211</v>
      </c>
    </row>
    <row r="551">
      <c r="A551" s="5">
        <v>9.541084376E9</v>
      </c>
      <c r="B551" s="6">
        <v>45574.78927034722</v>
      </c>
      <c r="C551" s="7">
        <v>1.0</v>
      </c>
      <c r="D551" s="5" t="s">
        <v>1209</v>
      </c>
      <c r="E551" s="5" t="s">
        <v>1210</v>
      </c>
      <c r="F551" s="5" t="s">
        <v>1212</v>
      </c>
    </row>
    <row r="552">
      <c r="A552" s="5">
        <v>9.312515414E9</v>
      </c>
      <c r="B552" s="6">
        <v>45575.78309518519</v>
      </c>
      <c r="C552" s="7">
        <v>1.0</v>
      </c>
      <c r="D552" s="5" t="s">
        <v>1209</v>
      </c>
      <c r="E552" s="5" t="s">
        <v>1210</v>
      </c>
      <c r="F552" s="5" t="s">
        <v>1211</v>
      </c>
    </row>
    <row r="553">
      <c r="A553" s="5">
        <v>9.999242584E9</v>
      </c>
      <c r="B553" s="6">
        <v>45575.78403876157</v>
      </c>
      <c r="C553" s="7">
        <v>1.0</v>
      </c>
      <c r="D553" s="5" t="s">
        <v>1209</v>
      </c>
      <c r="E553" s="5" t="s">
        <v>1210</v>
      </c>
      <c r="F553" s="5" t="s">
        <v>1211</v>
      </c>
    </row>
    <row r="554">
      <c r="A554" s="5">
        <v>8.383004492E9</v>
      </c>
      <c r="B554" s="6">
        <v>45575.7860244676</v>
      </c>
      <c r="C554" s="7">
        <v>1.0</v>
      </c>
      <c r="D554" s="5" t="s">
        <v>1209</v>
      </c>
      <c r="E554" s="5" t="s">
        <v>1210</v>
      </c>
      <c r="F554" s="5" t="s">
        <v>1212</v>
      </c>
    </row>
    <row r="555">
      <c r="A555" s="5">
        <v>7.071463534E9</v>
      </c>
      <c r="B555" s="6">
        <v>45576.75737107639</v>
      </c>
      <c r="C555" s="7">
        <v>1.0</v>
      </c>
      <c r="D555" s="5" t="s">
        <v>1209</v>
      </c>
      <c r="E555" s="5" t="s">
        <v>1210</v>
      </c>
      <c r="F555" s="5" t="s">
        <v>1211</v>
      </c>
    </row>
    <row r="556">
      <c r="A556" s="5">
        <v>7.982443155E9</v>
      </c>
      <c r="B556" s="6">
        <v>45576.758352488425</v>
      </c>
      <c r="C556" s="7">
        <v>1.0</v>
      </c>
      <c r="D556" s="5" t="s">
        <v>1209</v>
      </c>
      <c r="E556" s="5" t="s">
        <v>1210</v>
      </c>
      <c r="F556" s="5" t="s">
        <v>1211</v>
      </c>
    </row>
    <row r="557">
      <c r="A557" s="5">
        <v>9.899973808E9</v>
      </c>
      <c r="B557" s="6">
        <v>45576.759181898145</v>
      </c>
      <c r="C557" s="7">
        <v>1.0</v>
      </c>
      <c r="D557" s="5" t="s">
        <v>1209</v>
      </c>
      <c r="E557" s="5" t="s">
        <v>1210</v>
      </c>
      <c r="F557" s="5" t="s">
        <v>1211</v>
      </c>
    </row>
    <row r="558">
      <c r="A558" s="5">
        <v>9.31268844E9</v>
      </c>
      <c r="B558" s="6">
        <v>45576.761404502315</v>
      </c>
      <c r="C558" s="7">
        <v>1.0</v>
      </c>
      <c r="D558" s="5" t="s">
        <v>1209</v>
      </c>
      <c r="E558" s="5" t="s">
        <v>1210</v>
      </c>
      <c r="F558" s="5" t="s">
        <v>1212</v>
      </c>
    </row>
    <row r="559">
      <c r="A559" s="5">
        <v>9.971250049E9</v>
      </c>
      <c r="B559" s="6">
        <v>45576.8287552199</v>
      </c>
      <c r="C559" s="7">
        <v>68.0</v>
      </c>
      <c r="D559" s="5" t="s">
        <v>1209</v>
      </c>
      <c r="E559" s="5" t="s">
        <v>1210</v>
      </c>
      <c r="F559" s="5" t="s">
        <v>1211</v>
      </c>
    </row>
    <row r="560">
      <c r="A560" s="5">
        <v>9.99966365E9</v>
      </c>
      <c r="B560" s="6">
        <v>45576.82986653935</v>
      </c>
      <c r="C560" s="7">
        <v>1.0</v>
      </c>
      <c r="D560" s="5" t="s">
        <v>1209</v>
      </c>
      <c r="E560" s="5" t="s">
        <v>1210</v>
      </c>
      <c r="F560" s="5" t="s">
        <v>1212</v>
      </c>
    </row>
    <row r="561">
      <c r="A561" s="5">
        <v>8.287915548E9</v>
      </c>
      <c r="B561" s="6">
        <v>45577.68545123843</v>
      </c>
      <c r="C561" s="7">
        <v>1.0</v>
      </c>
      <c r="D561" s="5" t="s">
        <v>1209</v>
      </c>
      <c r="E561" s="5" t="s">
        <v>1210</v>
      </c>
      <c r="F561" s="5" t="s">
        <v>1211</v>
      </c>
    </row>
    <row r="562">
      <c r="A562" s="5">
        <v>9.89999281E9</v>
      </c>
      <c r="B562" s="6">
        <v>45577.68641178241</v>
      </c>
      <c r="C562" s="7">
        <v>1.0</v>
      </c>
      <c r="D562" s="5" t="s">
        <v>1209</v>
      </c>
      <c r="E562" s="5" t="s">
        <v>1210</v>
      </c>
      <c r="F562" s="5" t="s">
        <v>1212</v>
      </c>
    </row>
    <row r="563">
      <c r="A563" s="5">
        <v>9.350934841E9</v>
      </c>
      <c r="B563" s="6">
        <v>45578.77203450231</v>
      </c>
      <c r="C563" s="7">
        <v>1.0</v>
      </c>
      <c r="D563" s="5" t="s">
        <v>1209</v>
      </c>
      <c r="E563" s="5" t="s">
        <v>1210</v>
      </c>
      <c r="F563" s="5" t="s">
        <v>1211</v>
      </c>
    </row>
    <row r="564">
      <c r="A564" s="5">
        <v>9.911070398E9</v>
      </c>
      <c r="B564" s="6">
        <v>45578.77321731481</v>
      </c>
      <c r="C564" s="7">
        <v>1.0</v>
      </c>
      <c r="D564" s="5" t="s">
        <v>1209</v>
      </c>
      <c r="E564" s="5" t="s">
        <v>1210</v>
      </c>
      <c r="F564" s="5" t="s">
        <v>1211</v>
      </c>
    </row>
    <row r="565">
      <c r="A565" s="5">
        <v>8.368494008E9</v>
      </c>
      <c r="B565" s="6">
        <v>45578.77487033565</v>
      </c>
      <c r="C565" s="7">
        <v>135.0</v>
      </c>
      <c r="D565" s="5" t="s">
        <v>1209</v>
      </c>
      <c r="E565" s="5" t="s">
        <v>1210</v>
      </c>
      <c r="F565" s="5" t="s">
        <v>1211</v>
      </c>
    </row>
    <row r="566">
      <c r="A566" s="5">
        <v>9.650513789E9</v>
      </c>
      <c r="B566" s="6">
        <v>45578.81618203704</v>
      </c>
      <c r="C566" s="7">
        <v>1.0</v>
      </c>
      <c r="D566" s="5" t="s">
        <v>1209</v>
      </c>
      <c r="E566" s="5" t="s">
        <v>1210</v>
      </c>
      <c r="F566" s="5" t="s">
        <v>1212</v>
      </c>
    </row>
    <row r="567">
      <c r="A567" s="5">
        <v>9.868164348E9</v>
      </c>
      <c r="B567" s="6">
        <v>45578.8288278588</v>
      </c>
      <c r="C567" s="7">
        <v>1.0</v>
      </c>
      <c r="D567" s="5" t="s">
        <v>1209</v>
      </c>
      <c r="E567" s="5" t="s">
        <v>1210</v>
      </c>
      <c r="F567" s="5" t="s">
        <v>1212</v>
      </c>
    </row>
    <row r="568">
      <c r="A568" s="5">
        <v>9.814811848E9</v>
      </c>
      <c r="B568" s="6">
        <v>45580.83672871528</v>
      </c>
      <c r="C568" s="7">
        <v>1.0</v>
      </c>
      <c r="D568" s="5" t="s">
        <v>1209</v>
      </c>
      <c r="E568" s="5" t="s">
        <v>1210</v>
      </c>
      <c r="F568" s="5" t="s">
        <v>1212</v>
      </c>
    </row>
    <row r="569">
      <c r="A569" s="5">
        <v>9.818333029E9</v>
      </c>
      <c r="B569" s="6">
        <v>45580.83762342593</v>
      </c>
      <c r="C569" s="7">
        <v>1.0</v>
      </c>
      <c r="D569" s="5" t="s">
        <v>1209</v>
      </c>
      <c r="E569" s="5" t="s">
        <v>1210</v>
      </c>
      <c r="F569" s="5" t="s">
        <v>1212</v>
      </c>
    </row>
    <row r="570">
      <c r="A570" s="5">
        <v>9.873127884E9</v>
      </c>
      <c r="B570" s="6">
        <v>45580.83869979167</v>
      </c>
      <c r="C570" s="7">
        <v>1.0</v>
      </c>
      <c r="D570" s="5" t="s">
        <v>1209</v>
      </c>
      <c r="E570" s="5" t="s">
        <v>1210</v>
      </c>
      <c r="F570" s="5" t="s">
        <v>1211</v>
      </c>
    </row>
    <row r="571">
      <c r="A571" s="5">
        <v>9.891283408E9</v>
      </c>
      <c r="B571" s="6">
        <v>45580.83935435185</v>
      </c>
      <c r="C571" s="7">
        <v>1.0</v>
      </c>
      <c r="D571" s="5" t="s">
        <v>1209</v>
      </c>
      <c r="E571" s="5" t="s">
        <v>1210</v>
      </c>
      <c r="F571" s="5" t="s">
        <v>1211</v>
      </c>
    </row>
    <row r="572">
      <c r="A572" s="5">
        <v>8.860980806E9</v>
      </c>
      <c r="B572" s="6">
        <v>45581.528653726855</v>
      </c>
      <c r="C572" s="7">
        <v>68.0</v>
      </c>
      <c r="D572" s="5" t="s">
        <v>1213</v>
      </c>
      <c r="E572" s="5" t="s">
        <v>1210</v>
      </c>
      <c r="F572" s="5" t="s">
        <v>1211</v>
      </c>
    </row>
    <row r="573">
      <c r="A573" s="5">
        <v>9.810262026E9</v>
      </c>
      <c r="B573" s="6">
        <v>45581.76389278936</v>
      </c>
      <c r="C573" s="7">
        <v>1.0</v>
      </c>
      <c r="D573" s="5" t="s">
        <v>1209</v>
      </c>
      <c r="E573" s="5" t="s">
        <v>1210</v>
      </c>
      <c r="F573" s="5" t="s">
        <v>1211</v>
      </c>
    </row>
    <row r="574">
      <c r="A574" s="5">
        <v>9.911338801E9</v>
      </c>
      <c r="B574" s="6">
        <v>45581.76739841435</v>
      </c>
      <c r="C574" s="7">
        <v>1.0</v>
      </c>
      <c r="D574" s="5" t="s">
        <v>1209</v>
      </c>
      <c r="E574" s="5" t="s">
        <v>1210</v>
      </c>
      <c r="F574" s="5" t="s">
        <v>1212</v>
      </c>
    </row>
    <row r="575">
      <c r="A575" s="5">
        <v>8.287813542E9</v>
      </c>
      <c r="B575" s="6">
        <v>45582.742801053246</v>
      </c>
      <c r="C575" s="7">
        <v>1.0</v>
      </c>
      <c r="D575" s="5" t="s">
        <v>1209</v>
      </c>
      <c r="E575" s="5" t="s">
        <v>1210</v>
      </c>
      <c r="F575" s="5" t="s">
        <v>1211</v>
      </c>
    </row>
    <row r="576">
      <c r="A576" s="5">
        <v>6.289926452E9</v>
      </c>
      <c r="B576" s="6">
        <v>45582.74982193287</v>
      </c>
      <c r="C576" s="7">
        <v>1.0</v>
      </c>
      <c r="D576" s="5" t="s">
        <v>1209</v>
      </c>
      <c r="E576" s="5" t="s">
        <v>1210</v>
      </c>
      <c r="F576" s="5" t="s">
        <v>1211</v>
      </c>
    </row>
    <row r="577">
      <c r="A577" s="5">
        <v>9.999855519E9</v>
      </c>
      <c r="B577" s="6">
        <v>45582.75061296296</v>
      </c>
      <c r="C577" s="7">
        <v>1.0</v>
      </c>
      <c r="D577" s="5" t="s">
        <v>1209</v>
      </c>
      <c r="E577" s="5" t="s">
        <v>1210</v>
      </c>
      <c r="F577" s="5" t="s">
        <v>1212</v>
      </c>
    </row>
    <row r="578">
      <c r="A578" s="5">
        <v>8.85169017E9</v>
      </c>
      <c r="B578" s="6">
        <v>45582.812538796294</v>
      </c>
      <c r="C578" s="7">
        <v>1.0</v>
      </c>
      <c r="D578" s="5" t="s">
        <v>1209</v>
      </c>
      <c r="E578" s="5" t="s">
        <v>1210</v>
      </c>
      <c r="F578" s="5" t="s">
        <v>1211</v>
      </c>
    </row>
    <row r="579">
      <c r="A579" s="5">
        <v>9.871810855E9</v>
      </c>
      <c r="B579" s="6">
        <v>45583.75126311343</v>
      </c>
      <c r="C579" s="7">
        <v>1.0</v>
      </c>
      <c r="D579" s="5" t="s">
        <v>1209</v>
      </c>
      <c r="E579" s="5" t="s">
        <v>1210</v>
      </c>
      <c r="F579" s="5" t="s">
        <v>1211</v>
      </c>
    </row>
    <row r="580">
      <c r="A580" s="5">
        <v>9.810798532E9</v>
      </c>
      <c r="B580" s="6">
        <v>45583.75348368056</v>
      </c>
      <c r="C580" s="7">
        <v>1.0</v>
      </c>
      <c r="D580" s="5" t="s">
        <v>1209</v>
      </c>
      <c r="E580" s="5" t="s">
        <v>1210</v>
      </c>
      <c r="F580" s="5" t="s">
        <v>1212</v>
      </c>
    </row>
    <row r="581">
      <c r="A581" s="5">
        <v>9.911181366E9</v>
      </c>
      <c r="B581" s="6">
        <v>45583.75431002315</v>
      </c>
      <c r="C581" s="7">
        <v>1.0</v>
      </c>
      <c r="D581" s="5" t="s">
        <v>1209</v>
      </c>
      <c r="E581" s="5" t="s">
        <v>1210</v>
      </c>
      <c r="F581" s="5" t="s">
        <v>1212</v>
      </c>
    </row>
    <row r="582">
      <c r="A582" s="5">
        <v>7.982855589E9</v>
      </c>
      <c r="B582" s="6">
        <v>45583.75905788194</v>
      </c>
      <c r="C582" s="7">
        <v>1.0</v>
      </c>
      <c r="D582" s="5" t="s">
        <v>1209</v>
      </c>
      <c r="E582" s="5" t="s">
        <v>1210</v>
      </c>
      <c r="F582" s="5" t="s">
        <v>1211</v>
      </c>
    </row>
    <row r="583">
      <c r="A583" s="5">
        <v>9.818247342E9</v>
      </c>
      <c r="B583" s="6">
        <v>45583.75978979167</v>
      </c>
      <c r="C583" s="7">
        <v>1.0</v>
      </c>
      <c r="D583" s="5" t="s">
        <v>1209</v>
      </c>
      <c r="E583" s="5" t="s">
        <v>1210</v>
      </c>
      <c r="F583" s="5" t="s">
        <v>1211</v>
      </c>
    </row>
    <row r="584">
      <c r="A584" s="5">
        <v>9.999901385E9</v>
      </c>
      <c r="B584" s="6">
        <v>45583.808361250005</v>
      </c>
      <c r="C584" s="7">
        <v>1.0</v>
      </c>
      <c r="D584" s="5" t="s">
        <v>1209</v>
      </c>
      <c r="E584" s="5" t="s">
        <v>1210</v>
      </c>
      <c r="F584" s="5" t="s">
        <v>1211</v>
      </c>
    </row>
    <row r="585">
      <c r="A585" s="5">
        <v>8.077147351E9</v>
      </c>
      <c r="B585" s="6">
        <v>45584.69961310185</v>
      </c>
      <c r="C585" s="7">
        <v>1.0</v>
      </c>
      <c r="D585" s="5" t="s">
        <v>1209</v>
      </c>
      <c r="E585" s="5" t="s">
        <v>1210</v>
      </c>
      <c r="F585" s="5" t="s">
        <v>1211</v>
      </c>
    </row>
    <row r="586">
      <c r="A586" s="5">
        <v>9.350978264E9</v>
      </c>
      <c r="B586" s="6">
        <v>45584.70342839121</v>
      </c>
      <c r="C586" s="7">
        <v>1.0</v>
      </c>
      <c r="D586" s="5" t="s">
        <v>1209</v>
      </c>
      <c r="E586" s="5" t="s">
        <v>1210</v>
      </c>
      <c r="F586" s="5" t="s">
        <v>1211</v>
      </c>
    </row>
    <row r="587">
      <c r="A587" s="5">
        <v>9.667905486E9</v>
      </c>
      <c r="B587" s="6">
        <v>45584.705190555556</v>
      </c>
      <c r="C587" s="7">
        <v>1.0</v>
      </c>
      <c r="D587" s="5" t="s">
        <v>1209</v>
      </c>
      <c r="E587" s="5" t="s">
        <v>1210</v>
      </c>
      <c r="F587" s="5" t="s">
        <v>1211</v>
      </c>
    </row>
    <row r="588">
      <c r="A588" s="5">
        <v>8.285907668E9</v>
      </c>
      <c r="B588" s="6">
        <v>45584.70607489583</v>
      </c>
      <c r="C588" s="7">
        <v>1.0</v>
      </c>
      <c r="D588" s="5" t="s">
        <v>1209</v>
      </c>
      <c r="E588" s="5" t="s">
        <v>1210</v>
      </c>
      <c r="F588" s="5" t="s">
        <v>1211</v>
      </c>
    </row>
    <row r="589">
      <c r="A589" s="5">
        <v>7.00289264E9</v>
      </c>
      <c r="B589" s="6">
        <v>45586.72382068287</v>
      </c>
      <c r="C589" s="7">
        <v>1.0</v>
      </c>
      <c r="D589" s="5" t="s">
        <v>1209</v>
      </c>
      <c r="E589" s="5" t="s">
        <v>1210</v>
      </c>
      <c r="F589" s="5" t="s">
        <v>1211</v>
      </c>
    </row>
    <row r="590">
      <c r="A590" s="5">
        <v>9.810413274E9</v>
      </c>
      <c r="B590" s="6">
        <v>45587.69703142361</v>
      </c>
      <c r="C590" s="7">
        <v>1.0</v>
      </c>
      <c r="D590" s="5" t="s">
        <v>1213</v>
      </c>
      <c r="E590" s="5" t="s">
        <v>1210</v>
      </c>
      <c r="F590" s="5" t="s">
        <v>1211</v>
      </c>
    </row>
    <row r="591">
      <c r="A591" s="5">
        <v>9.991108888E9</v>
      </c>
      <c r="B591" s="6">
        <v>45587.80174707176</v>
      </c>
      <c r="C591" s="7">
        <v>1.0</v>
      </c>
      <c r="D591" s="5" t="s">
        <v>1209</v>
      </c>
      <c r="E591" s="5" t="s">
        <v>1210</v>
      </c>
      <c r="F591" s="5" t="s">
        <v>1212</v>
      </c>
    </row>
    <row r="592">
      <c r="A592" s="5">
        <v>8.882799877E9</v>
      </c>
      <c r="B592" s="6">
        <v>45588.72216746528</v>
      </c>
      <c r="C592" s="7">
        <v>1.0</v>
      </c>
      <c r="D592" s="5" t="s">
        <v>1213</v>
      </c>
      <c r="E592" s="5" t="s">
        <v>1210</v>
      </c>
      <c r="F592" s="5" t="s">
        <v>1211</v>
      </c>
    </row>
    <row r="593">
      <c r="A593" s="5">
        <v>8.448413913E9</v>
      </c>
      <c r="B593" s="6">
        <v>45588.723063819445</v>
      </c>
      <c r="C593" s="7">
        <v>1.0</v>
      </c>
      <c r="D593" s="5" t="s">
        <v>1209</v>
      </c>
      <c r="E593" s="5" t="s">
        <v>1210</v>
      </c>
      <c r="F593" s="5" t="s">
        <v>1212</v>
      </c>
    </row>
    <row r="594">
      <c r="A594" s="5">
        <v>9.871687051E9</v>
      </c>
      <c r="B594" s="6">
        <v>45589.76309179398</v>
      </c>
      <c r="C594" s="7">
        <v>1.0</v>
      </c>
      <c r="D594" s="5" t="s">
        <v>1209</v>
      </c>
      <c r="E594" s="5" t="s">
        <v>1210</v>
      </c>
      <c r="F594" s="5" t="s">
        <v>1211</v>
      </c>
    </row>
    <row r="595">
      <c r="A595" s="5">
        <v>9.891959187E9</v>
      </c>
      <c r="B595" s="6">
        <v>45589.765690092594</v>
      </c>
      <c r="C595" s="7">
        <v>1.0</v>
      </c>
      <c r="D595" s="5" t="s">
        <v>1209</v>
      </c>
      <c r="E595" s="5" t="s">
        <v>1210</v>
      </c>
      <c r="F595" s="5" t="s">
        <v>1212</v>
      </c>
    </row>
    <row r="596">
      <c r="A596" s="5">
        <v>9.810705924E9</v>
      </c>
      <c r="B596" s="6">
        <v>45589.766388715274</v>
      </c>
      <c r="C596" s="7">
        <v>1.0</v>
      </c>
      <c r="D596" s="5" t="s">
        <v>1209</v>
      </c>
      <c r="E596" s="5" t="s">
        <v>1210</v>
      </c>
      <c r="F596" s="5" t="s">
        <v>1211</v>
      </c>
    </row>
    <row r="597">
      <c r="A597" s="5">
        <v>9.871150346E9</v>
      </c>
      <c r="B597" s="6">
        <v>45589.82451815972</v>
      </c>
      <c r="C597" s="7">
        <v>1.0</v>
      </c>
      <c r="D597" s="5" t="s">
        <v>1213</v>
      </c>
      <c r="E597" s="5" t="s">
        <v>1210</v>
      </c>
      <c r="F597" s="5" t="s">
        <v>1212</v>
      </c>
    </row>
    <row r="598">
      <c r="A598" s="5">
        <v>6.30609941E9</v>
      </c>
      <c r="B598" s="6">
        <v>45590.75324651621</v>
      </c>
      <c r="C598" s="7">
        <v>68.0</v>
      </c>
      <c r="D598" s="5" t="s">
        <v>1213</v>
      </c>
      <c r="E598" s="5" t="s">
        <v>1210</v>
      </c>
      <c r="F598" s="5" t="s">
        <v>1211</v>
      </c>
    </row>
    <row r="599">
      <c r="A599" s="5">
        <v>9.910950251E9</v>
      </c>
      <c r="B599" s="6">
        <v>45590.754122638886</v>
      </c>
      <c r="C599" s="7">
        <v>1.0</v>
      </c>
      <c r="D599" s="5" t="s">
        <v>1213</v>
      </c>
      <c r="E599" s="5" t="s">
        <v>1210</v>
      </c>
      <c r="F599" s="5" t="s">
        <v>1211</v>
      </c>
    </row>
    <row r="600">
      <c r="A600" s="5">
        <v>9.999788778E9</v>
      </c>
      <c r="B600" s="6">
        <v>45590.7573987963</v>
      </c>
      <c r="C600" s="7">
        <v>1.0</v>
      </c>
      <c r="D600" s="5" t="s">
        <v>1209</v>
      </c>
      <c r="E600" s="5" t="s">
        <v>1210</v>
      </c>
      <c r="F600" s="5" t="s">
        <v>1211</v>
      </c>
    </row>
    <row r="601">
      <c r="A601" s="5">
        <v>9.971543232E9</v>
      </c>
      <c r="B601" s="6">
        <v>45590.76165840278</v>
      </c>
      <c r="C601" s="7">
        <v>1.0</v>
      </c>
      <c r="D601" s="5" t="s">
        <v>1209</v>
      </c>
      <c r="E601" s="5" t="s">
        <v>1210</v>
      </c>
      <c r="F601" s="5" t="s">
        <v>1211</v>
      </c>
    </row>
    <row r="602">
      <c r="A602" s="5">
        <v>9.91139729E9</v>
      </c>
      <c r="B602" s="6">
        <v>45590.76262226852</v>
      </c>
      <c r="C602" s="7">
        <v>1.0</v>
      </c>
      <c r="D602" s="5" t="s">
        <v>1209</v>
      </c>
      <c r="E602" s="5" t="s">
        <v>1210</v>
      </c>
      <c r="F602" s="5" t="s">
        <v>1211</v>
      </c>
    </row>
    <row r="603">
      <c r="A603" s="5">
        <v>9.872758037E9</v>
      </c>
      <c r="B603" s="6">
        <v>45591.81643866898</v>
      </c>
      <c r="C603" s="7">
        <v>1.0</v>
      </c>
      <c r="D603" s="5" t="s">
        <v>1213</v>
      </c>
      <c r="E603" s="5" t="s">
        <v>1210</v>
      </c>
      <c r="F603" s="5" t="s">
        <v>1211</v>
      </c>
    </row>
    <row r="604">
      <c r="A604" s="5">
        <v>9.555683585E9</v>
      </c>
      <c r="B604" s="6">
        <v>45591.817246990744</v>
      </c>
      <c r="C604" s="7">
        <v>1.0</v>
      </c>
      <c r="D604" s="5" t="s">
        <v>1213</v>
      </c>
      <c r="E604" s="5" t="s">
        <v>1210</v>
      </c>
      <c r="F604" s="5" t="s">
        <v>1211</v>
      </c>
    </row>
    <row r="605">
      <c r="A605" s="5">
        <v>9.996156841E9</v>
      </c>
      <c r="B605" s="6">
        <v>45591.81827449074</v>
      </c>
      <c r="C605" s="7">
        <v>1.0</v>
      </c>
      <c r="D605" s="5" t="s">
        <v>1209</v>
      </c>
      <c r="E605" s="5" t="s">
        <v>1210</v>
      </c>
      <c r="F605" s="5" t="s">
        <v>1212</v>
      </c>
    </row>
    <row r="606">
      <c r="A606" s="5">
        <v>9.999008756E9</v>
      </c>
      <c r="B606" s="6">
        <v>45592.727540277774</v>
      </c>
      <c r="C606" s="7">
        <v>135.0</v>
      </c>
      <c r="D606" s="5" t="s">
        <v>1209</v>
      </c>
      <c r="E606" s="5" t="s">
        <v>1210</v>
      </c>
      <c r="F606" s="5" t="s">
        <v>1212</v>
      </c>
    </row>
    <row r="607">
      <c r="A607" s="5">
        <v>9.810239602E9</v>
      </c>
      <c r="B607" s="6">
        <v>45592.73144270833</v>
      </c>
      <c r="C607" s="7">
        <v>1.0</v>
      </c>
      <c r="D607" s="5" t="s">
        <v>1213</v>
      </c>
      <c r="E607" s="5" t="s">
        <v>1210</v>
      </c>
      <c r="F607" s="5" t="s">
        <v>1211</v>
      </c>
    </row>
    <row r="608">
      <c r="A608" s="5">
        <v>9.667903853E9</v>
      </c>
      <c r="B608" s="6">
        <v>45592.73301393518</v>
      </c>
      <c r="C608" s="7">
        <v>1.0</v>
      </c>
      <c r="D608" s="5" t="s">
        <v>1209</v>
      </c>
      <c r="E608" s="5" t="s">
        <v>1210</v>
      </c>
      <c r="F608" s="5" t="s">
        <v>1211</v>
      </c>
    </row>
    <row r="609">
      <c r="A609" s="5">
        <v>9.899383939E9</v>
      </c>
      <c r="B609" s="6">
        <v>45592.73408145833</v>
      </c>
      <c r="C609" s="7">
        <v>68.0</v>
      </c>
      <c r="D609" s="5" t="s">
        <v>1213</v>
      </c>
      <c r="E609" s="5" t="s">
        <v>1210</v>
      </c>
      <c r="F609" s="5" t="s">
        <v>1212</v>
      </c>
    </row>
    <row r="610">
      <c r="A610" s="5">
        <v>9.958520241E9</v>
      </c>
      <c r="B610" s="6">
        <v>45592.735440868055</v>
      </c>
      <c r="C610" s="7">
        <v>1.0</v>
      </c>
      <c r="D610" s="5" t="s">
        <v>1209</v>
      </c>
      <c r="E610" s="5" t="s">
        <v>1210</v>
      </c>
      <c r="F610" s="5" t="s">
        <v>1211</v>
      </c>
    </row>
    <row r="611">
      <c r="A611" s="5">
        <v>9.540632121E9</v>
      </c>
      <c r="B611" s="6">
        <v>45592.77684993055</v>
      </c>
      <c r="C611" s="7">
        <v>1.0</v>
      </c>
      <c r="D611" s="5" t="s">
        <v>1213</v>
      </c>
      <c r="E611" s="5" t="s">
        <v>1210</v>
      </c>
      <c r="F611" s="5" t="s">
        <v>1211</v>
      </c>
    </row>
    <row r="612">
      <c r="A612" s="5">
        <v>9.717661915E9</v>
      </c>
      <c r="B612" s="6">
        <v>45592.788856342595</v>
      </c>
      <c r="C612" s="7">
        <v>1.0</v>
      </c>
      <c r="D612" s="5" t="s">
        <v>1213</v>
      </c>
      <c r="E612" s="5" t="s">
        <v>1210</v>
      </c>
      <c r="F612" s="5" t="s">
        <v>1212</v>
      </c>
    </row>
    <row r="613">
      <c r="A613" s="5">
        <v>4.08834834E8</v>
      </c>
      <c r="B613" s="6">
        <v>45592.79024203704</v>
      </c>
      <c r="C613" s="7">
        <v>1.0</v>
      </c>
      <c r="D613" s="5" t="s">
        <v>1209</v>
      </c>
      <c r="E613" s="5" t="s">
        <v>1210</v>
      </c>
      <c r="F613" s="5" t="s">
        <v>1211</v>
      </c>
    </row>
    <row r="614">
      <c r="A614" s="5">
        <v>9.871141433E9</v>
      </c>
      <c r="B614" s="6">
        <v>45592.790977453704</v>
      </c>
      <c r="C614" s="7">
        <v>67.0</v>
      </c>
      <c r="D614" s="5" t="s">
        <v>1213</v>
      </c>
      <c r="E614" s="5" t="s">
        <v>1210</v>
      </c>
      <c r="F614" s="5" t="s">
        <v>1211</v>
      </c>
    </row>
    <row r="615">
      <c r="A615" s="5">
        <v>9.871320285E9</v>
      </c>
      <c r="B615" s="6">
        <v>45593.71199039352</v>
      </c>
      <c r="C615" s="7">
        <v>1.0</v>
      </c>
      <c r="D615" s="5" t="s">
        <v>1209</v>
      </c>
      <c r="E615" s="5" t="s">
        <v>1210</v>
      </c>
      <c r="F615" s="5" t="s">
        <v>1211</v>
      </c>
    </row>
    <row r="616">
      <c r="A616" s="5">
        <v>8.866013116E9</v>
      </c>
      <c r="B616" s="6">
        <v>45593.713200983795</v>
      </c>
      <c r="C616" s="7">
        <v>1.0</v>
      </c>
      <c r="D616" s="5" t="s">
        <v>1209</v>
      </c>
      <c r="E616" s="5" t="s">
        <v>1210</v>
      </c>
      <c r="F616" s="5" t="s">
        <v>1211</v>
      </c>
    </row>
    <row r="617">
      <c r="A617" s="5">
        <v>9.953937777E9</v>
      </c>
      <c r="B617" s="6">
        <v>45593.71605806713</v>
      </c>
      <c r="C617" s="7">
        <v>201.0</v>
      </c>
      <c r="D617" s="5" t="s">
        <v>1213</v>
      </c>
      <c r="E617" s="5" t="s">
        <v>1210</v>
      </c>
      <c r="F617" s="5" t="s">
        <v>1212</v>
      </c>
    </row>
    <row r="618">
      <c r="A618" s="5">
        <v>9.868649591E9</v>
      </c>
      <c r="B618" s="6">
        <v>45593.763635254625</v>
      </c>
      <c r="C618" s="7">
        <v>1.0</v>
      </c>
      <c r="D618" s="5" t="s">
        <v>1209</v>
      </c>
      <c r="E618" s="5" t="s">
        <v>1210</v>
      </c>
      <c r="F618" s="5" t="s">
        <v>1211</v>
      </c>
    </row>
    <row r="619">
      <c r="A619" s="5">
        <v>9.871871546E9</v>
      </c>
      <c r="B619" s="6">
        <v>45593.76439228009</v>
      </c>
      <c r="C619" s="7">
        <v>1.0</v>
      </c>
      <c r="D619" s="5" t="s">
        <v>1209</v>
      </c>
      <c r="E619" s="5" t="s">
        <v>1210</v>
      </c>
      <c r="F619" s="5" t="s">
        <v>1211</v>
      </c>
    </row>
    <row r="620">
      <c r="A620" s="5">
        <v>8.686901313E9</v>
      </c>
      <c r="B620" s="6">
        <v>45593.766374803236</v>
      </c>
      <c r="C620" s="7">
        <v>1.0</v>
      </c>
      <c r="D620" s="5" t="s">
        <v>1209</v>
      </c>
      <c r="E620" s="5" t="s">
        <v>1210</v>
      </c>
      <c r="F620" s="5" t="s">
        <v>1212</v>
      </c>
    </row>
    <row r="621">
      <c r="A621" s="5">
        <v>9.810822945E9</v>
      </c>
      <c r="B621" s="6">
        <v>45595.779111550924</v>
      </c>
      <c r="C621" s="7">
        <v>1.0</v>
      </c>
      <c r="D621" s="5" t="s">
        <v>1209</v>
      </c>
      <c r="E621" s="5" t="s">
        <v>1210</v>
      </c>
      <c r="F621" s="5" t="s">
        <v>1212</v>
      </c>
    </row>
    <row r="622">
      <c r="A622" s="5">
        <v>9.999744896E9</v>
      </c>
      <c r="B622" s="6">
        <v>45595.78212895834</v>
      </c>
      <c r="C622" s="7">
        <v>1.0</v>
      </c>
      <c r="D622" s="5" t="s">
        <v>1213</v>
      </c>
      <c r="E622" s="5" t="s">
        <v>1210</v>
      </c>
      <c r="F622" s="5" t="s">
        <v>1211</v>
      </c>
    </row>
    <row r="623">
      <c r="A623" s="5">
        <v>8.70033597E9</v>
      </c>
      <c r="B623" s="6">
        <v>45595.78430855324</v>
      </c>
      <c r="C623" s="7">
        <v>68.0</v>
      </c>
      <c r="D623" s="5" t="s">
        <v>1213</v>
      </c>
      <c r="E623" s="5" t="s">
        <v>1210</v>
      </c>
      <c r="F623" s="5" t="s">
        <v>1212</v>
      </c>
    </row>
    <row r="624">
      <c r="A624" s="5">
        <v>9.773504855E9</v>
      </c>
      <c r="B624" s="6">
        <v>45601.72098679398</v>
      </c>
      <c r="C624" s="7">
        <v>1.0</v>
      </c>
      <c r="D624" s="5" t="s">
        <v>1209</v>
      </c>
      <c r="E624" s="5" t="s">
        <v>1210</v>
      </c>
      <c r="F624" s="5" t="s">
        <v>1211</v>
      </c>
    </row>
    <row r="625">
      <c r="A625" s="5">
        <v>2.057737745E9</v>
      </c>
      <c r="B625" s="6">
        <v>45601.72343138889</v>
      </c>
      <c r="C625" s="7">
        <v>1.0</v>
      </c>
      <c r="D625" s="5" t="s">
        <v>1209</v>
      </c>
      <c r="E625" s="5" t="s">
        <v>1210</v>
      </c>
      <c r="F625" s="5" t="s">
        <v>1211</v>
      </c>
    </row>
    <row r="626">
      <c r="A626" s="5">
        <v>9.899988552E9</v>
      </c>
      <c r="B626" s="6">
        <v>45601.79829666667</v>
      </c>
      <c r="C626" s="7">
        <v>1.0</v>
      </c>
      <c r="D626" s="5" t="s">
        <v>1209</v>
      </c>
      <c r="E626" s="5" t="s">
        <v>1210</v>
      </c>
      <c r="F626" s="5" t="s">
        <v>1211</v>
      </c>
    </row>
    <row r="627">
      <c r="A627" s="5">
        <v>8.108557725E9</v>
      </c>
      <c r="B627" s="6">
        <v>45602.71746636574</v>
      </c>
      <c r="C627" s="7">
        <v>1.0</v>
      </c>
      <c r="D627" s="5" t="s">
        <v>1209</v>
      </c>
      <c r="E627" s="5" t="s">
        <v>1210</v>
      </c>
      <c r="F627" s="5" t="s">
        <v>1212</v>
      </c>
    </row>
    <row r="628">
      <c r="A628" s="5">
        <v>9.953677855E9</v>
      </c>
      <c r="B628" s="6">
        <v>45602.76386248843</v>
      </c>
      <c r="C628" s="7">
        <v>1.0</v>
      </c>
      <c r="D628" s="5" t="s">
        <v>1209</v>
      </c>
      <c r="E628" s="5" t="s">
        <v>1210</v>
      </c>
    </row>
    <row r="629">
      <c r="A629" s="5">
        <v>9.999347116E9</v>
      </c>
      <c r="B629" s="6">
        <v>45602.765137650465</v>
      </c>
      <c r="C629" s="7">
        <v>1.0</v>
      </c>
      <c r="D629" s="5" t="s">
        <v>1213</v>
      </c>
      <c r="E629" s="5" t="s">
        <v>1210</v>
      </c>
      <c r="F629" s="5" t="s">
        <v>1211</v>
      </c>
    </row>
    <row r="630">
      <c r="A630" s="5">
        <v>9.873596247E9</v>
      </c>
      <c r="B630" s="6">
        <v>45603.77581802083</v>
      </c>
      <c r="C630" s="7">
        <v>1.0</v>
      </c>
      <c r="D630" s="5" t="s">
        <v>1209</v>
      </c>
      <c r="E630" s="5" t="s">
        <v>1210</v>
      </c>
      <c r="F630" s="5" t="s">
        <v>1211</v>
      </c>
    </row>
    <row r="631">
      <c r="A631" s="5">
        <v>9.599882233E9</v>
      </c>
      <c r="B631" s="6">
        <v>45604.79823262732</v>
      </c>
      <c r="C631" s="7">
        <v>68.0</v>
      </c>
      <c r="D631" s="5" t="s">
        <v>1213</v>
      </c>
      <c r="E631" s="5" t="s">
        <v>1210</v>
      </c>
      <c r="F631" s="5" t="s">
        <v>1212</v>
      </c>
    </row>
    <row r="632">
      <c r="A632" s="5">
        <v>9.810250602E9</v>
      </c>
      <c r="B632" s="6">
        <v>45604.79966813658</v>
      </c>
      <c r="C632" s="7">
        <v>1.0</v>
      </c>
      <c r="D632" s="5" t="s">
        <v>1209</v>
      </c>
      <c r="E632" s="5" t="s">
        <v>1210</v>
      </c>
      <c r="F632" s="5" t="s">
        <v>1211</v>
      </c>
    </row>
    <row r="633">
      <c r="A633" s="5">
        <v>9.868857378E9</v>
      </c>
      <c r="B633" s="6">
        <v>45605.77382954861</v>
      </c>
      <c r="C633" s="7">
        <v>1.0</v>
      </c>
      <c r="D633" s="5" t="s">
        <v>1213</v>
      </c>
      <c r="E633" s="5" t="s">
        <v>1210</v>
      </c>
      <c r="F633" s="5" t="s">
        <v>1211</v>
      </c>
    </row>
    <row r="634">
      <c r="A634" s="5">
        <v>9.810092819E9</v>
      </c>
      <c r="B634" s="6">
        <v>45605.775162453705</v>
      </c>
      <c r="C634" s="7">
        <v>1.0</v>
      </c>
      <c r="D634" s="5" t="s">
        <v>1213</v>
      </c>
      <c r="E634" s="5" t="s">
        <v>1210</v>
      </c>
      <c r="F634" s="5" t="s">
        <v>1212</v>
      </c>
    </row>
    <row r="635">
      <c r="A635" s="5">
        <v>9.643715157E9</v>
      </c>
      <c r="B635" s="6">
        <v>45606.78224208333</v>
      </c>
      <c r="C635" s="7">
        <v>1.0</v>
      </c>
      <c r="D635" s="5" t="s">
        <v>1213</v>
      </c>
      <c r="E635" s="5" t="s">
        <v>1210</v>
      </c>
      <c r="F635" s="5" t="s">
        <v>1211</v>
      </c>
    </row>
    <row r="636">
      <c r="A636" s="5">
        <v>9.999928834E9</v>
      </c>
      <c r="B636" s="6">
        <v>45606.78414228009</v>
      </c>
      <c r="C636" s="7">
        <v>1.0</v>
      </c>
      <c r="D636" s="5" t="s">
        <v>1209</v>
      </c>
      <c r="E636" s="5" t="s">
        <v>1210</v>
      </c>
      <c r="F636" s="5" t="s">
        <v>1211</v>
      </c>
    </row>
    <row r="637">
      <c r="A637" s="5">
        <v>8.95024306E9</v>
      </c>
      <c r="B637" s="6">
        <v>45606.78502236111</v>
      </c>
      <c r="C637" s="7">
        <v>1.0</v>
      </c>
      <c r="D637" s="5" t="s">
        <v>1209</v>
      </c>
      <c r="E637" s="5" t="s">
        <v>1210</v>
      </c>
      <c r="F637" s="5" t="s">
        <v>1212</v>
      </c>
    </row>
    <row r="638">
      <c r="A638" s="5">
        <v>9.958853781E9</v>
      </c>
      <c r="B638" s="6">
        <v>45608.75334969907</v>
      </c>
      <c r="C638" s="7">
        <v>1.0</v>
      </c>
      <c r="D638" s="5" t="s">
        <v>1209</v>
      </c>
      <c r="E638" s="5" t="s">
        <v>1210</v>
      </c>
      <c r="F638" s="5" t="s">
        <v>1211</v>
      </c>
    </row>
    <row r="639">
      <c r="A639" s="5">
        <v>7.982275693E9</v>
      </c>
      <c r="B639" s="6">
        <v>45608.77477001157</v>
      </c>
      <c r="C639" s="7">
        <v>1.0</v>
      </c>
      <c r="D639" s="5" t="s">
        <v>1213</v>
      </c>
      <c r="E639" s="5" t="s">
        <v>1210</v>
      </c>
      <c r="F639" s="5" t="s">
        <v>1211</v>
      </c>
    </row>
    <row r="640">
      <c r="A640" s="5">
        <v>8.882646525E9</v>
      </c>
      <c r="B640" s="6">
        <v>45608.77547719907</v>
      </c>
      <c r="C640" s="7">
        <v>1.0</v>
      </c>
      <c r="D640" s="5" t="s">
        <v>1209</v>
      </c>
      <c r="E640" s="5" t="s">
        <v>1210</v>
      </c>
      <c r="F640" s="5" t="s">
        <v>1211</v>
      </c>
    </row>
    <row r="641">
      <c r="A641" s="5">
        <v>9.868506683E9</v>
      </c>
      <c r="B641" s="6">
        <v>45608.77625167824</v>
      </c>
      <c r="C641" s="7">
        <v>1.0</v>
      </c>
      <c r="D641" s="5" t="s">
        <v>1209</v>
      </c>
      <c r="E641" s="5" t="s">
        <v>1210</v>
      </c>
      <c r="F641" s="5" t="s">
        <v>1212</v>
      </c>
    </row>
    <row r="642">
      <c r="A642" s="5">
        <v>9.857862957E9</v>
      </c>
      <c r="B642" s="6">
        <v>45609.7589412963</v>
      </c>
      <c r="C642" s="7">
        <v>68.0</v>
      </c>
      <c r="D642" s="5" t="s">
        <v>1213</v>
      </c>
      <c r="E642" s="5" t="s">
        <v>1210</v>
      </c>
      <c r="F642" s="5" t="s">
        <v>1211</v>
      </c>
    </row>
    <row r="643">
      <c r="A643" s="5">
        <v>9.891181272E9</v>
      </c>
      <c r="B643" s="6">
        <v>45609.7623336574</v>
      </c>
      <c r="C643" s="7">
        <v>68.0</v>
      </c>
      <c r="D643" s="5" t="s">
        <v>1213</v>
      </c>
      <c r="E643" s="5" t="s">
        <v>1210</v>
      </c>
      <c r="F643" s="5" t="s">
        <v>1211</v>
      </c>
    </row>
    <row r="644">
      <c r="A644" s="5">
        <v>8.13097101E9</v>
      </c>
      <c r="B644" s="6">
        <v>45609.76315371528</v>
      </c>
      <c r="C644" s="7">
        <v>1.0</v>
      </c>
      <c r="D644" s="5" t="s">
        <v>1209</v>
      </c>
      <c r="E644" s="5" t="s">
        <v>1210</v>
      </c>
      <c r="F644" s="5" t="s">
        <v>1212</v>
      </c>
    </row>
    <row r="645">
      <c r="A645" s="5">
        <v>9.728543318E9</v>
      </c>
      <c r="B645" s="6">
        <v>45609.76419855324</v>
      </c>
      <c r="C645" s="7">
        <v>1.0</v>
      </c>
      <c r="D645" s="5" t="s">
        <v>1213</v>
      </c>
      <c r="E645" s="5" t="s">
        <v>1210</v>
      </c>
      <c r="F645" s="5" t="s">
        <v>1211</v>
      </c>
    </row>
    <row r="646">
      <c r="A646" s="5">
        <v>9.899559925E9</v>
      </c>
      <c r="B646" s="6">
        <v>45610.788953923606</v>
      </c>
      <c r="C646" s="7">
        <v>1.0</v>
      </c>
      <c r="D646" s="5" t="s">
        <v>1209</v>
      </c>
      <c r="E646" s="5" t="s">
        <v>1210</v>
      </c>
      <c r="F646" s="5" t="s">
        <v>1211</v>
      </c>
    </row>
    <row r="647">
      <c r="A647" s="5">
        <v>9.818711033E9</v>
      </c>
      <c r="B647" s="6">
        <v>45612.77596842592</v>
      </c>
      <c r="C647" s="7">
        <v>68.0</v>
      </c>
      <c r="D647" s="5" t="s">
        <v>1213</v>
      </c>
      <c r="E647" s="5" t="s">
        <v>1210</v>
      </c>
      <c r="F647" s="5" t="s">
        <v>1211</v>
      </c>
    </row>
    <row r="648">
      <c r="A648" s="5">
        <v>9.65405999E9</v>
      </c>
      <c r="B648" s="6">
        <v>45612.776789930555</v>
      </c>
      <c r="C648" s="7">
        <v>67.0</v>
      </c>
      <c r="D648" s="5" t="s">
        <v>1213</v>
      </c>
      <c r="E648" s="5" t="s">
        <v>1210</v>
      </c>
      <c r="F648" s="5" t="s">
        <v>1211</v>
      </c>
    </row>
    <row r="649">
      <c r="A649" s="5">
        <v>6.381747507E9</v>
      </c>
      <c r="B649" s="6">
        <v>45615.746260416665</v>
      </c>
      <c r="C649" s="7">
        <v>1.0</v>
      </c>
      <c r="D649" s="5" t="s">
        <v>1209</v>
      </c>
      <c r="E649" s="5" t="s">
        <v>1210</v>
      </c>
      <c r="F649" s="5" t="s">
        <v>1211</v>
      </c>
    </row>
    <row r="650">
      <c r="A650" s="5">
        <v>9.818752857E9</v>
      </c>
      <c r="B650" s="6">
        <v>45615.74726912037</v>
      </c>
      <c r="C650" s="7">
        <v>68.0</v>
      </c>
      <c r="D650" s="5" t="s">
        <v>1213</v>
      </c>
      <c r="E650" s="5" t="s">
        <v>1210</v>
      </c>
      <c r="F650" s="5" t="s">
        <v>1211</v>
      </c>
    </row>
    <row r="651">
      <c r="A651" s="5">
        <v>9.140083501E9</v>
      </c>
      <c r="B651" s="6">
        <v>45615.75304159722</v>
      </c>
      <c r="C651" s="7">
        <v>1.0</v>
      </c>
      <c r="D651" s="5" t="s">
        <v>1209</v>
      </c>
      <c r="E651" s="5" t="s">
        <v>1210</v>
      </c>
      <c r="F651" s="5" t="s">
        <v>1211</v>
      </c>
    </row>
    <row r="652">
      <c r="A652" s="5">
        <v>9.212222888E9</v>
      </c>
      <c r="B652" s="6">
        <v>45615.754071145835</v>
      </c>
      <c r="C652" s="7">
        <v>1.0</v>
      </c>
      <c r="D652" s="5" t="s">
        <v>1213</v>
      </c>
      <c r="E652" s="5" t="s">
        <v>1210</v>
      </c>
      <c r="F652" s="5" t="s">
        <v>1212</v>
      </c>
    </row>
    <row r="653">
      <c r="A653" s="5">
        <v>8.275382687E9</v>
      </c>
      <c r="B653" s="6">
        <v>45615.755442974536</v>
      </c>
      <c r="C653" s="7">
        <v>1.0</v>
      </c>
      <c r="D653" s="5" t="s">
        <v>1209</v>
      </c>
      <c r="E653" s="5" t="s">
        <v>1210</v>
      </c>
      <c r="F653" s="5" t="s">
        <v>1211</v>
      </c>
    </row>
    <row r="654">
      <c r="A654" s="5">
        <v>8.178240939E9</v>
      </c>
      <c r="B654" s="6">
        <v>45615.7562494213</v>
      </c>
      <c r="C654" s="7">
        <v>1.0</v>
      </c>
      <c r="D654" s="5" t="s">
        <v>1209</v>
      </c>
      <c r="E654" s="5" t="s">
        <v>1210</v>
      </c>
      <c r="F654" s="5" t="s">
        <v>1212</v>
      </c>
    </row>
    <row r="655">
      <c r="A655" s="5">
        <v>9.711778646E9</v>
      </c>
      <c r="B655" s="6">
        <v>45615.812000798614</v>
      </c>
      <c r="C655" s="7">
        <v>1.0</v>
      </c>
      <c r="D655" s="5" t="s">
        <v>1209</v>
      </c>
      <c r="E655" s="5" t="s">
        <v>1210</v>
      </c>
      <c r="F655" s="5" t="s">
        <v>1212</v>
      </c>
    </row>
    <row r="656">
      <c r="A656" s="5">
        <v>9.650852037E9</v>
      </c>
      <c r="B656" s="6">
        <v>45616.63110297454</v>
      </c>
      <c r="C656" s="7">
        <v>1.0</v>
      </c>
      <c r="D656" s="5" t="s">
        <v>1213</v>
      </c>
      <c r="E656" s="5" t="s">
        <v>1210</v>
      </c>
      <c r="F656" s="5" t="s">
        <v>1211</v>
      </c>
    </row>
    <row r="657">
      <c r="A657" s="5">
        <v>9.99932322E9</v>
      </c>
      <c r="B657" s="6">
        <v>45616.75329758102</v>
      </c>
      <c r="C657" s="7">
        <v>1.0</v>
      </c>
      <c r="D657" s="5" t="s">
        <v>1213</v>
      </c>
      <c r="E657" s="5" t="s">
        <v>1210</v>
      </c>
      <c r="F657" s="5" t="s">
        <v>1211</v>
      </c>
    </row>
    <row r="658">
      <c r="A658" s="5">
        <v>9.867585898E9</v>
      </c>
      <c r="B658" s="6">
        <v>45617.73587130787</v>
      </c>
      <c r="C658" s="7">
        <v>1.0</v>
      </c>
      <c r="D658" s="5" t="s">
        <v>1209</v>
      </c>
      <c r="E658" s="5" t="s">
        <v>1210</v>
      </c>
      <c r="F658" s="5" t="s">
        <v>1211</v>
      </c>
    </row>
    <row r="659">
      <c r="A659" s="5">
        <v>7.042775899E9</v>
      </c>
      <c r="B659" s="6">
        <v>45617.73663668981</v>
      </c>
      <c r="C659" s="7">
        <v>1.0</v>
      </c>
      <c r="D659" s="5" t="s">
        <v>1213</v>
      </c>
      <c r="E659" s="5" t="s">
        <v>1210</v>
      </c>
      <c r="F659" s="5" t="s">
        <v>1211</v>
      </c>
    </row>
    <row r="660">
      <c r="A660" s="5">
        <v>7.503982731E9</v>
      </c>
      <c r="B660" s="6">
        <v>45617.73732032407</v>
      </c>
      <c r="C660" s="7">
        <v>1.0</v>
      </c>
      <c r="D660" s="5" t="s">
        <v>1209</v>
      </c>
      <c r="E660" s="5" t="s">
        <v>1210</v>
      </c>
      <c r="F660" s="5" t="s">
        <v>1211</v>
      </c>
    </row>
    <row r="661">
      <c r="A661" s="5">
        <v>8.13098475E9</v>
      </c>
      <c r="B661" s="6">
        <v>45617.82443666666</v>
      </c>
      <c r="C661" s="7">
        <v>1.0</v>
      </c>
      <c r="D661" s="5" t="s">
        <v>1209</v>
      </c>
      <c r="E661" s="5" t="s">
        <v>1210</v>
      </c>
      <c r="F661" s="5" t="s">
        <v>1211</v>
      </c>
    </row>
    <row r="662">
      <c r="A662" s="5">
        <v>7.982125833E9</v>
      </c>
      <c r="B662" s="6">
        <v>45618.79995822917</v>
      </c>
      <c r="C662" s="7">
        <v>68.0</v>
      </c>
      <c r="D662" s="5" t="s">
        <v>1213</v>
      </c>
      <c r="E662" s="5" t="s">
        <v>1210</v>
      </c>
      <c r="F662" s="5" t="s">
        <v>1211</v>
      </c>
    </row>
    <row r="663">
      <c r="A663" s="5">
        <v>8.860647524E9</v>
      </c>
      <c r="B663" s="6">
        <v>45619.78660486111</v>
      </c>
      <c r="C663" s="7">
        <v>1.0</v>
      </c>
      <c r="D663" s="5" t="s">
        <v>1209</v>
      </c>
      <c r="E663" s="5" t="s">
        <v>1210</v>
      </c>
      <c r="F663" s="5" t="s">
        <v>1211</v>
      </c>
    </row>
    <row r="664">
      <c r="A664" s="5">
        <v>8.010768209E9</v>
      </c>
      <c r="B664" s="6">
        <v>45620.71246902778</v>
      </c>
      <c r="C664" s="7">
        <v>1.0</v>
      </c>
      <c r="D664" s="5" t="s">
        <v>1209</v>
      </c>
      <c r="E664" s="5" t="s">
        <v>1210</v>
      </c>
      <c r="F664" s="5" t="s">
        <v>1212</v>
      </c>
    </row>
    <row r="665">
      <c r="A665" s="5">
        <v>9.212399066E9</v>
      </c>
      <c r="B665" s="6">
        <v>45622.682912766206</v>
      </c>
      <c r="C665" s="7">
        <v>68.0</v>
      </c>
      <c r="D665" s="5" t="s">
        <v>1213</v>
      </c>
      <c r="E665" s="5" t="s">
        <v>1210</v>
      </c>
      <c r="F665" s="5" t="s">
        <v>1211</v>
      </c>
    </row>
    <row r="666">
      <c r="A666" s="5">
        <v>9.650798068E9</v>
      </c>
      <c r="B666" s="6">
        <v>45622.80782508102</v>
      </c>
      <c r="C666" s="7">
        <v>68.0</v>
      </c>
      <c r="D666" s="5" t="s">
        <v>1213</v>
      </c>
      <c r="E666" s="5" t="s">
        <v>1210</v>
      </c>
      <c r="F666" s="5" t="s">
        <v>1211</v>
      </c>
    </row>
    <row r="667">
      <c r="A667" s="5">
        <v>9.312263494E9</v>
      </c>
      <c r="B667" s="6">
        <v>45624.50330111111</v>
      </c>
      <c r="C667" s="7">
        <v>135.0</v>
      </c>
      <c r="D667" s="5" t="s">
        <v>1213</v>
      </c>
      <c r="E667" s="5" t="s">
        <v>1210</v>
      </c>
      <c r="F667" s="5" t="s">
        <v>1211</v>
      </c>
    </row>
    <row r="668">
      <c r="A668" s="5">
        <v>9.419190227E9</v>
      </c>
      <c r="B668" s="6">
        <v>45624.50764202546</v>
      </c>
      <c r="C668" s="7">
        <v>1.0</v>
      </c>
      <c r="D668" s="5" t="s">
        <v>1213</v>
      </c>
      <c r="E668" s="5" t="s">
        <v>1210</v>
      </c>
      <c r="F668" s="5" t="s">
        <v>1212</v>
      </c>
    </row>
    <row r="669">
      <c r="A669" s="5">
        <v>9.013329595E9</v>
      </c>
      <c r="B669" s="6">
        <v>45624.508586979166</v>
      </c>
      <c r="C669" s="7">
        <v>135.0</v>
      </c>
      <c r="D669" s="5" t="s">
        <v>1213</v>
      </c>
      <c r="E669" s="5" t="s">
        <v>1210</v>
      </c>
      <c r="F669" s="5" t="s">
        <v>1211</v>
      </c>
    </row>
    <row r="670">
      <c r="A670" s="5">
        <v>8.29923193E9</v>
      </c>
      <c r="B670" s="6">
        <v>45624.50948832176</v>
      </c>
      <c r="C670" s="7">
        <v>68.0</v>
      </c>
      <c r="D670" s="5" t="s">
        <v>1213</v>
      </c>
      <c r="E670" s="5" t="s">
        <v>1210</v>
      </c>
      <c r="F670" s="5" t="s">
        <v>1211</v>
      </c>
    </row>
    <row r="671">
      <c r="A671" s="5">
        <v>8.368117424E9</v>
      </c>
      <c r="B671" s="6">
        <v>45624.5121025463</v>
      </c>
      <c r="C671" s="7">
        <v>1.0</v>
      </c>
      <c r="D671" s="5" t="s">
        <v>1213</v>
      </c>
      <c r="E671" s="5" t="s">
        <v>1210</v>
      </c>
      <c r="F671" s="5" t="s">
        <v>1211</v>
      </c>
    </row>
    <row r="672">
      <c r="A672" s="5">
        <v>9.162963605E9</v>
      </c>
      <c r="B672" s="6">
        <v>45624.75875525463</v>
      </c>
      <c r="C672" s="7">
        <v>1.0</v>
      </c>
      <c r="D672" s="5" t="s">
        <v>1213</v>
      </c>
      <c r="E672" s="5" t="s">
        <v>1210</v>
      </c>
      <c r="F672" s="5" t="s">
        <v>1211</v>
      </c>
    </row>
    <row r="673">
      <c r="A673" s="5">
        <v>9.368877011E9</v>
      </c>
      <c r="B673" s="6">
        <v>45624.760347777774</v>
      </c>
      <c r="C673" s="7">
        <v>68.0</v>
      </c>
      <c r="D673" s="5" t="s">
        <v>1213</v>
      </c>
      <c r="E673" s="5" t="s">
        <v>1210</v>
      </c>
      <c r="F673" s="5" t="s">
        <v>1212</v>
      </c>
    </row>
    <row r="674">
      <c r="A674" s="5">
        <v>8.187961053E9</v>
      </c>
      <c r="B674" s="6">
        <v>45625.71355115741</v>
      </c>
      <c r="C674" s="7">
        <v>1.0</v>
      </c>
      <c r="D674" s="5" t="s">
        <v>1213</v>
      </c>
      <c r="E674" s="5" t="s">
        <v>1210</v>
      </c>
      <c r="F674" s="5" t="s">
        <v>1211</v>
      </c>
    </row>
    <row r="675">
      <c r="A675" s="5">
        <v>7.006511249E9</v>
      </c>
      <c r="B675" s="6">
        <v>45625.733675613425</v>
      </c>
      <c r="C675" s="7">
        <v>1.0</v>
      </c>
      <c r="D675" s="5" t="s">
        <v>1213</v>
      </c>
      <c r="E675" s="5" t="s">
        <v>1210</v>
      </c>
      <c r="F675" s="5" t="s">
        <v>1211</v>
      </c>
    </row>
    <row r="676">
      <c r="A676" s="5">
        <v>9.62532792E9</v>
      </c>
      <c r="B676" s="6">
        <v>45625.73626880787</v>
      </c>
      <c r="C676" s="7">
        <v>1.0</v>
      </c>
      <c r="D676" s="5" t="s">
        <v>1209</v>
      </c>
      <c r="E676" s="5" t="s">
        <v>1210</v>
      </c>
      <c r="F676" s="5" t="s">
        <v>1211</v>
      </c>
    </row>
    <row r="677">
      <c r="A677" s="5">
        <v>7.838042351E9</v>
      </c>
      <c r="B677" s="6">
        <v>45625.737677997684</v>
      </c>
      <c r="C677" s="7">
        <v>1.0</v>
      </c>
      <c r="D677" s="5" t="s">
        <v>1213</v>
      </c>
      <c r="E677" s="5" t="s">
        <v>1210</v>
      </c>
      <c r="F677" s="5" t="s">
        <v>1211</v>
      </c>
    </row>
    <row r="678">
      <c r="A678" s="5">
        <v>8.269328532E9</v>
      </c>
      <c r="B678" s="6">
        <v>45625.73879005787</v>
      </c>
      <c r="C678" s="7">
        <v>1.0</v>
      </c>
      <c r="D678" s="5" t="s">
        <v>1209</v>
      </c>
      <c r="E678" s="5" t="s">
        <v>1210</v>
      </c>
      <c r="F678" s="5" t="s">
        <v>1211</v>
      </c>
    </row>
    <row r="679">
      <c r="A679" s="5">
        <v>9.810113462E9</v>
      </c>
      <c r="B679" s="6">
        <v>45627.6503437963</v>
      </c>
      <c r="C679" s="7">
        <v>1.0</v>
      </c>
      <c r="D679" s="5" t="s">
        <v>1213</v>
      </c>
      <c r="E679" s="5" t="s">
        <v>1210</v>
      </c>
      <c r="F679" s="5" t="s">
        <v>1211</v>
      </c>
    </row>
    <row r="680">
      <c r="A680" s="5">
        <v>9.919674399E9</v>
      </c>
      <c r="B680" s="6">
        <v>45627.65416334491</v>
      </c>
      <c r="C680" s="7">
        <v>1.0</v>
      </c>
      <c r="D680" s="5" t="s">
        <v>1213</v>
      </c>
      <c r="E680" s="5" t="s">
        <v>1210</v>
      </c>
      <c r="F680" s="5" t="s">
        <v>1211</v>
      </c>
    </row>
    <row r="681">
      <c r="A681" s="5">
        <v>9.871973908E9</v>
      </c>
      <c r="B681" s="6">
        <v>45627.73621423611</v>
      </c>
      <c r="C681" s="7">
        <v>1.0</v>
      </c>
      <c r="D681" s="5" t="s">
        <v>1213</v>
      </c>
      <c r="E681" s="5" t="s">
        <v>1210</v>
      </c>
      <c r="F681" s="5" t="s">
        <v>1212</v>
      </c>
    </row>
    <row r="682">
      <c r="A682" s="5">
        <v>9.899200043E9</v>
      </c>
      <c r="B682" s="6">
        <v>45627.73776428241</v>
      </c>
      <c r="C682" s="7">
        <v>1.0</v>
      </c>
      <c r="D682" s="5" t="s">
        <v>1209</v>
      </c>
      <c r="E682" s="5" t="s">
        <v>1210</v>
      </c>
      <c r="F682" s="5" t="s">
        <v>1211</v>
      </c>
    </row>
    <row r="683">
      <c r="A683" s="5">
        <v>9.99978954E9</v>
      </c>
      <c r="B683" s="6">
        <v>45627.738752997684</v>
      </c>
      <c r="C683" s="7">
        <v>1.0</v>
      </c>
      <c r="D683" s="5" t="s">
        <v>1213</v>
      </c>
      <c r="E683" s="5" t="s">
        <v>1210</v>
      </c>
      <c r="F683" s="5" t="s">
        <v>1211</v>
      </c>
    </row>
    <row r="684">
      <c r="A684" s="5">
        <v>9.971001415E9</v>
      </c>
      <c r="B684" s="6">
        <v>45627.80551015046</v>
      </c>
      <c r="C684" s="7">
        <v>1.0</v>
      </c>
      <c r="D684" s="5" t="s">
        <v>1213</v>
      </c>
      <c r="E684" s="5" t="s">
        <v>1210</v>
      </c>
      <c r="F684" s="5" t="s">
        <v>1212</v>
      </c>
    </row>
    <row r="685">
      <c r="A685" s="5">
        <v>9.910100011E9</v>
      </c>
      <c r="B685" s="6">
        <v>45627.80622434028</v>
      </c>
      <c r="C685" s="7">
        <v>1.0</v>
      </c>
      <c r="D685" s="5" t="s">
        <v>1213</v>
      </c>
      <c r="E685" s="5" t="s">
        <v>1210</v>
      </c>
      <c r="F685" s="5" t="s">
        <v>1212</v>
      </c>
    </row>
    <row r="686">
      <c r="A686" s="5">
        <v>7.060482036E9</v>
      </c>
      <c r="B686" s="6">
        <v>45627.80699549768</v>
      </c>
      <c r="C686" s="7">
        <v>1.0</v>
      </c>
      <c r="D686" s="5" t="s">
        <v>1209</v>
      </c>
      <c r="E686" s="5" t="s">
        <v>1210</v>
      </c>
      <c r="F686" s="5" t="s">
        <v>1212</v>
      </c>
    </row>
    <row r="687">
      <c r="A687" s="5">
        <v>8.860339734E9</v>
      </c>
      <c r="B687" s="6">
        <v>45627.807815671295</v>
      </c>
      <c r="C687" s="7">
        <v>1.0</v>
      </c>
      <c r="D687" s="5" t="s">
        <v>1213</v>
      </c>
      <c r="E687" s="5" t="s">
        <v>1210</v>
      </c>
      <c r="F687" s="5" t="s">
        <v>1211</v>
      </c>
    </row>
    <row r="688">
      <c r="A688" s="5">
        <v>6.397181896E9</v>
      </c>
      <c r="B688" s="6">
        <v>45627.80839663194</v>
      </c>
      <c r="C688" s="7">
        <v>1.0</v>
      </c>
      <c r="D688" s="5" t="s">
        <v>1213</v>
      </c>
      <c r="E688" s="5" t="s">
        <v>1210</v>
      </c>
      <c r="F688" s="5" t="s">
        <v>1211</v>
      </c>
    </row>
    <row r="689">
      <c r="A689" s="5">
        <v>8.882231502E9</v>
      </c>
      <c r="B689" s="6">
        <v>45629.70177196759</v>
      </c>
      <c r="C689" s="7">
        <v>1.0</v>
      </c>
      <c r="D689" s="5" t="s">
        <v>1213</v>
      </c>
      <c r="E689" s="5" t="s">
        <v>1210</v>
      </c>
      <c r="F689" s="5" t="s">
        <v>1211</v>
      </c>
    </row>
    <row r="690">
      <c r="A690" s="5">
        <v>9.89920709E9</v>
      </c>
      <c r="B690" s="6">
        <v>45629.70392050926</v>
      </c>
      <c r="C690" s="7">
        <v>1.0</v>
      </c>
      <c r="D690" s="5" t="s">
        <v>1209</v>
      </c>
      <c r="E690" s="5" t="s">
        <v>1210</v>
      </c>
      <c r="F690" s="5" t="s">
        <v>1211</v>
      </c>
    </row>
    <row r="691">
      <c r="A691" s="5">
        <v>8.750564968E9</v>
      </c>
      <c r="B691" s="6">
        <v>45629.73313832176</v>
      </c>
      <c r="C691" s="7">
        <v>1.0</v>
      </c>
      <c r="D691" s="5" t="s">
        <v>1213</v>
      </c>
      <c r="E691" s="5" t="s">
        <v>1210</v>
      </c>
      <c r="F691" s="5" t="s">
        <v>1211</v>
      </c>
    </row>
    <row r="692">
      <c r="A692" s="5">
        <v>8.750949393E9</v>
      </c>
      <c r="B692" s="6">
        <v>45629.73389344907</v>
      </c>
      <c r="C692" s="7">
        <v>1.0</v>
      </c>
      <c r="D692" s="5" t="s">
        <v>1213</v>
      </c>
      <c r="E692" s="5" t="s">
        <v>1210</v>
      </c>
      <c r="F692" s="5" t="s">
        <v>1211</v>
      </c>
    </row>
    <row r="693">
      <c r="A693" s="5">
        <v>9.810040357E9</v>
      </c>
      <c r="B693" s="6">
        <v>45629.78408158565</v>
      </c>
      <c r="C693" s="7">
        <v>1.0</v>
      </c>
      <c r="D693" s="5" t="s">
        <v>1213</v>
      </c>
      <c r="E693" s="5" t="s">
        <v>1210</v>
      </c>
      <c r="F693" s="5" t="s">
        <v>1211</v>
      </c>
    </row>
    <row r="694">
      <c r="A694" s="5">
        <v>7.997588888E9</v>
      </c>
      <c r="B694" s="6">
        <v>45630.70739253472</v>
      </c>
      <c r="C694" s="7">
        <v>1.0</v>
      </c>
      <c r="D694" s="5" t="s">
        <v>1209</v>
      </c>
      <c r="E694" s="5" t="s">
        <v>1210</v>
      </c>
      <c r="F694" s="5" t="s">
        <v>1212</v>
      </c>
    </row>
    <row r="695">
      <c r="A695" s="5">
        <v>8.800440222E9</v>
      </c>
      <c r="B695" s="6">
        <v>45630.70830304398</v>
      </c>
      <c r="C695" s="7">
        <v>1.0</v>
      </c>
      <c r="D695" s="5" t="s">
        <v>1209</v>
      </c>
      <c r="E695" s="5" t="s">
        <v>1210</v>
      </c>
      <c r="F695" s="5" t="s">
        <v>1211</v>
      </c>
    </row>
    <row r="696">
      <c r="A696" s="5">
        <v>9.87037422E9</v>
      </c>
      <c r="B696" s="6">
        <v>45631.73629663195</v>
      </c>
      <c r="C696" s="7">
        <v>1.0</v>
      </c>
      <c r="D696" s="5" t="s">
        <v>1209</v>
      </c>
      <c r="E696" s="5" t="s">
        <v>1210</v>
      </c>
      <c r="F696" s="5" t="s">
        <v>1211</v>
      </c>
    </row>
    <row r="697">
      <c r="A697" s="5">
        <v>9.810764341E9</v>
      </c>
      <c r="B697" s="6">
        <v>45631.74883306713</v>
      </c>
      <c r="C697" s="7">
        <v>1.0</v>
      </c>
      <c r="D697" s="5" t="s">
        <v>1209</v>
      </c>
      <c r="E697" s="5" t="s">
        <v>1210</v>
      </c>
      <c r="F697" s="5" t="s">
        <v>1211</v>
      </c>
    </row>
    <row r="698">
      <c r="A698" s="5">
        <v>9.315387153E9</v>
      </c>
      <c r="B698" s="6">
        <v>45631.79520435185</v>
      </c>
      <c r="C698" s="7">
        <v>1.0</v>
      </c>
      <c r="D698" s="5" t="s">
        <v>1209</v>
      </c>
      <c r="E698" s="5" t="s">
        <v>1210</v>
      </c>
      <c r="F698" s="5" t="s">
        <v>1211</v>
      </c>
    </row>
    <row r="699">
      <c r="A699" s="5">
        <v>9.694947447E9</v>
      </c>
      <c r="B699" s="6">
        <v>45631.820940509264</v>
      </c>
      <c r="C699" s="7">
        <v>1.0</v>
      </c>
      <c r="D699" s="5" t="s">
        <v>1209</v>
      </c>
      <c r="E699" s="5" t="s">
        <v>1210</v>
      </c>
      <c r="F699" s="5" t="s">
        <v>1212</v>
      </c>
    </row>
    <row r="700">
      <c r="A700" s="5">
        <v>9.810658206E9</v>
      </c>
      <c r="B700" s="6">
        <v>45632.623061770835</v>
      </c>
      <c r="C700" s="7">
        <v>202.0</v>
      </c>
      <c r="D700" s="5" t="s">
        <v>1213</v>
      </c>
      <c r="E700" s="5" t="s">
        <v>1210</v>
      </c>
      <c r="F700" s="5" t="s">
        <v>1211</v>
      </c>
    </row>
    <row r="701">
      <c r="A701" s="5">
        <v>8.860339733E9</v>
      </c>
      <c r="B701" s="6">
        <v>45632.624062523144</v>
      </c>
      <c r="C701" s="7">
        <v>1.0</v>
      </c>
      <c r="D701" s="5" t="s">
        <v>1213</v>
      </c>
      <c r="E701" s="5" t="s">
        <v>1210</v>
      </c>
      <c r="F701" s="5" t="s">
        <v>1212</v>
      </c>
    </row>
    <row r="702">
      <c r="A702" s="5">
        <v>8.384049838E9</v>
      </c>
      <c r="B702" s="6">
        <v>45632.62480871528</v>
      </c>
      <c r="C702" s="7">
        <v>135.0</v>
      </c>
      <c r="D702" s="5" t="s">
        <v>1213</v>
      </c>
      <c r="E702" s="5" t="s">
        <v>1210</v>
      </c>
      <c r="F702" s="5" t="s">
        <v>1211</v>
      </c>
    </row>
    <row r="703">
      <c r="A703" s="5">
        <v>9.811557564E9</v>
      </c>
      <c r="B703" s="6">
        <v>45632.656803136575</v>
      </c>
      <c r="C703" s="7">
        <v>68.0</v>
      </c>
      <c r="D703" s="5" t="s">
        <v>1213</v>
      </c>
      <c r="E703" s="5" t="s">
        <v>1210</v>
      </c>
      <c r="F703" s="5" t="s">
        <v>1211</v>
      </c>
    </row>
    <row r="704">
      <c r="A704" s="5">
        <v>9.311193547E9</v>
      </c>
      <c r="B704" s="6">
        <v>45632.69868592593</v>
      </c>
      <c r="C704" s="7">
        <v>135.0</v>
      </c>
      <c r="D704" s="5" t="s">
        <v>1213</v>
      </c>
      <c r="E704" s="5" t="s">
        <v>1210</v>
      </c>
      <c r="F704" s="5" t="s">
        <v>1211</v>
      </c>
    </row>
    <row r="705">
      <c r="A705" s="5">
        <v>9.910544267E9</v>
      </c>
      <c r="B705" s="6">
        <v>45633.65908744213</v>
      </c>
      <c r="C705" s="7">
        <v>68.0</v>
      </c>
      <c r="D705" s="5" t="s">
        <v>1213</v>
      </c>
      <c r="E705" s="5" t="s">
        <v>1210</v>
      </c>
      <c r="F705" s="5" t="s">
        <v>1211</v>
      </c>
    </row>
    <row r="706">
      <c r="A706" s="5">
        <v>9.810100576E9</v>
      </c>
      <c r="B706" s="6">
        <v>45633.66007039352</v>
      </c>
      <c r="C706" s="7">
        <v>1.0</v>
      </c>
      <c r="D706" s="5" t="s">
        <v>1213</v>
      </c>
      <c r="E706" s="5" t="s">
        <v>1210</v>
      </c>
      <c r="F706" s="5" t="s">
        <v>1211</v>
      </c>
    </row>
    <row r="707">
      <c r="A707" s="5">
        <v>7.087868187E9</v>
      </c>
      <c r="B707" s="6">
        <v>45633.6613178588</v>
      </c>
      <c r="C707" s="7">
        <v>1.0</v>
      </c>
      <c r="D707" s="5" t="s">
        <v>1213</v>
      </c>
      <c r="E707" s="5" t="s">
        <v>1210</v>
      </c>
      <c r="F707" s="5" t="s">
        <v>1211</v>
      </c>
    </row>
    <row r="708">
      <c r="A708" s="5">
        <v>9.910797272E9</v>
      </c>
      <c r="B708" s="6">
        <v>45633.79823252315</v>
      </c>
      <c r="C708" s="7">
        <v>199.0</v>
      </c>
      <c r="D708" s="5" t="s">
        <v>1213</v>
      </c>
      <c r="E708" s="5" t="s">
        <v>1210</v>
      </c>
      <c r="F708" s="5" t="s">
        <v>1211</v>
      </c>
    </row>
    <row r="709">
      <c r="A709" s="5">
        <v>9.999966187E9</v>
      </c>
      <c r="B709" s="6">
        <v>45634.71240471065</v>
      </c>
      <c r="C709" s="7">
        <v>1.0</v>
      </c>
      <c r="D709" s="5" t="s">
        <v>1209</v>
      </c>
      <c r="E709" s="5" t="s">
        <v>1210</v>
      </c>
      <c r="F709" s="5" t="s">
        <v>1211</v>
      </c>
    </row>
    <row r="710">
      <c r="A710" s="5">
        <v>9.582929727E9</v>
      </c>
      <c r="B710" s="6">
        <v>45634.7169271412</v>
      </c>
      <c r="C710" s="7">
        <v>1.0</v>
      </c>
      <c r="D710" s="5" t="s">
        <v>1213</v>
      </c>
      <c r="E710" s="5" t="s">
        <v>1210</v>
      </c>
      <c r="F710" s="5" t="s">
        <v>1211</v>
      </c>
    </row>
    <row r="711">
      <c r="A711" s="5">
        <v>9.312401235E9</v>
      </c>
      <c r="B711" s="6">
        <v>45634.717731412034</v>
      </c>
      <c r="C711" s="7">
        <v>1.0</v>
      </c>
      <c r="D711" s="5" t="s">
        <v>1213</v>
      </c>
      <c r="E711" s="5" t="s">
        <v>1210</v>
      </c>
      <c r="F711" s="5" t="s">
        <v>1212</v>
      </c>
    </row>
    <row r="712">
      <c r="A712" s="5">
        <v>9.310338843E9</v>
      </c>
      <c r="B712" s="6">
        <v>45636.77753717593</v>
      </c>
      <c r="C712" s="7">
        <v>1.0</v>
      </c>
      <c r="D712" s="5" t="s">
        <v>1209</v>
      </c>
      <c r="E712" s="5" t="s">
        <v>1210</v>
      </c>
      <c r="F712" s="5" t="s">
        <v>1212</v>
      </c>
    </row>
    <row r="713">
      <c r="A713" s="5">
        <v>9.355031025E9</v>
      </c>
      <c r="B713" s="6">
        <v>45637.756906145834</v>
      </c>
      <c r="C713" s="7">
        <v>68.0</v>
      </c>
      <c r="D713" s="5" t="s">
        <v>1213</v>
      </c>
      <c r="E713" s="5" t="s">
        <v>1210</v>
      </c>
      <c r="F713" s="5" t="s">
        <v>1211</v>
      </c>
    </row>
    <row r="714">
      <c r="A714" s="5">
        <v>7.726868778E9</v>
      </c>
      <c r="B714" s="6">
        <v>45639.753267858796</v>
      </c>
      <c r="C714" s="7">
        <v>1.0</v>
      </c>
      <c r="D714" s="5" t="s">
        <v>1213</v>
      </c>
      <c r="E714" s="5" t="s">
        <v>1210</v>
      </c>
    </row>
    <row r="715">
      <c r="A715" s="5">
        <v>9.460907696E9</v>
      </c>
      <c r="B715" s="6">
        <v>45640.76468599537</v>
      </c>
      <c r="C715" s="7">
        <v>68.0</v>
      </c>
      <c r="D715" s="5" t="s">
        <v>1209</v>
      </c>
      <c r="E715" s="5" t="s">
        <v>1210</v>
      </c>
      <c r="F715" s="5" t="s">
        <v>1211</v>
      </c>
    </row>
    <row r="716">
      <c r="A716" s="5">
        <v>9.953533153E9</v>
      </c>
      <c r="B716" s="6">
        <v>45640.76556380787</v>
      </c>
      <c r="C716" s="7">
        <v>1.0</v>
      </c>
      <c r="D716" s="5" t="s">
        <v>1209</v>
      </c>
      <c r="E716" s="5" t="s">
        <v>1210</v>
      </c>
      <c r="F716" s="5" t="s">
        <v>1211</v>
      </c>
    </row>
    <row r="717">
      <c r="A717" s="5">
        <v>9.926096416E9</v>
      </c>
      <c r="B717" s="6">
        <v>45640.76636494213</v>
      </c>
      <c r="C717" s="7">
        <v>1.0</v>
      </c>
      <c r="D717" s="5" t="s">
        <v>1209</v>
      </c>
      <c r="E717" s="5" t="s">
        <v>1210</v>
      </c>
      <c r="F717" s="5" t="s">
        <v>1212</v>
      </c>
    </row>
    <row r="718">
      <c r="A718" s="5">
        <v>9.582843222E9</v>
      </c>
      <c r="B718" s="6">
        <v>45640.76708929398</v>
      </c>
      <c r="C718" s="7">
        <v>1.0</v>
      </c>
      <c r="D718" s="5" t="s">
        <v>1213</v>
      </c>
      <c r="E718" s="5" t="s">
        <v>1210</v>
      </c>
      <c r="F718" s="5" t="s">
        <v>1211</v>
      </c>
    </row>
    <row r="719">
      <c r="A719" s="5">
        <v>8.860435565E9</v>
      </c>
      <c r="B719" s="6">
        <v>45641.619847615744</v>
      </c>
      <c r="C719" s="7">
        <v>135.0</v>
      </c>
      <c r="D719" s="5" t="s">
        <v>1213</v>
      </c>
      <c r="E719" s="5" t="s">
        <v>1210</v>
      </c>
      <c r="F719" s="5" t="s">
        <v>1211</v>
      </c>
    </row>
    <row r="720">
      <c r="A720" s="5">
        <v>9.896804072E9</v>
      </c>
      <c r="B720" s="6">
        <v>45641.636747349534</v>
      </c>
      <c r="C720" s="7">
        <v>1.0</v>
      </c>
      <c r="D720" s="5" t="s">
        <v>1209</v>
      </c>
      <c r="E720" s="5" t="s">
        <v>1210</v>
      </c>
      <c r="F720" s="5" t="s">
        <v>1211</v>
      </c>
    </row>
    <row r="721">
      <c r="A721" s="5">
        <v>9.811101399E9</v>
      </c>
      <c r="B721" s="6">
        <v>45641.78136872685</v>
      </c>
      <c r="C721" s="7">
        <v>1.0</v>
      </c>
      <c r="D721" s="5" t="s">
        <v>1209</v>
      </c>
      <c r="E721" s="5" t="s">
        <v>1210</v>
      </c>
      <c r="F721" s="5" t="s">
        <v>1212</v>
      </c>
    </row>
    <row r="722">
      <c r="A722" s="5">
        <v>9.87392801E9</v>
      </c>
      <c r="B722" s="6">
        <v>45641.78220350694</v>
      </c>
      <c r="C722" s="7">
        <v>1.0</v>
      </c>
      <c r="D722" s="5" t="s">
        <v>1209</v>
      </c>
      <c r="E722" s="5" t="s">
        <v>1210</v>
      </c>
      <c r="F722" s="5" t="s">
        <v>1212</v>
      </c>
    </row>
    <row r="723">
      <c r="A723" s="5">
        <v>8.816867365E9</v>
      </c>
      <c r="B723" s="6">
        <v>45643.71263841435</v>
      </c>
      <c r="C723" s="7">
        <v>1.0</v>
      </c>
      <c r="D723" s="5" t="s">
        <v>1209</v>
      </c>
      <c r="E723" s="5" t="s">
        <v>1210</v>
      </c>
      <c r="F723" s="5" t="s">
        <v>1211</v>
      </c>
    </row>
    <row r="724">
      <c r="A724" s="5">
        <v>8.700819298E9</v>
      </c>
      <c r="B724" s="6">
        <v>45643.76711864583</v>
      </c>
      <c r="C724" s="7">
        <v>1.0</v>
      </c>
      <c r="D724" s="5" t="s">
        <v>1209</v>
      </c>
      <c r="E724" s="5" t="s">
        <v>1210</v>
      </c>
      <c r="F724" s="5" t="s">
        <v>1211</v>
      </c>
    </row>
    <row r="725">
      <c r="A725" s="5">
        <v>9.99979166E9</v>
      </c>
      <c r="B725" s="6">
        <v>45643.77290079861</v>
      </c>
      <c r="C725" s="7">
        <v>1.0</v>
      </c>
      <c r="D725" s="5" t="s">
        <v>1209</v>
      </c>
      <c r="E725" s="5" t="s">
        <v>1210</v>
      </c>
      <c r="F725" s="5" t="s">
        <v>1212</v>
      </c>
    </row>
    <row r="726">
      <c r="A726" s="5">
        <v>7.015427856E9</v>
      </c>
      <c r="B726" s="6">
        <v>45644.66797569444</v>
      </c>
      <c r="C726" s="7">
        <v>1.0</v>
      </c>
      <c r="D726" s="5" t="s">
        <v>1213</v>
      </c>
      <c r="E726" s="5" t="s">
        <v>1210</v>
      </c>
      <c r="F726" s="5" t="s">
        <v>1211</v>
      </c>
    </row>
    <row r="727">
      <c r="A727" s="5">
        <v>9.870383056E9</v>
      </c>
      <c r="B727" s="6">
        <v>45644.71545096065</v>
      </c>
      <c r="C727" s="7">
        <v>68.0</v>
      </c>
      <c r="D727" s="5" t="s">
        <v>1213</v>
      </c>
      <c r="E727" s="5" t="s">
        <v>1210</v>
      </c>
      <c r="F727" s="5" t="s">
        <v>1211</v>
      </c>
    </row>
    <row r="728">
      <c r="A728" s="5">
        <v>9.81197911E9</v>
      </c>
      <c r="B728" s="6">
        <v>45644.71645489583</v>
      </c>
      <c r="C728" s="7">
        <v>1.0</v>
      </c>
      <c r="D728" s="5" t="s">
        <v>1209</v>
      </c>
      <c r="E728" s="5" t="s">
        <v>1210</v>
      </c>
      <c r="F728" s="5" t="s">
        <v>1212</v>
      </c>
    </row>
    <row r="729">
      <c r="A729" s="5">
        <v>9.311163494E9</v>
      </c>
      <c r="B729" s="6">
        <v>45644.717183726854</v>
      </c>
      <c r="C729" s="7">
        <v>68.0</v>
      </c>
      <c r="D729" s="5" t="s">
        <v>1214</v>
      </c>
      <c r="E729" s="5" t="s">
        <v>1210</v>
      </c>
      <c r="F729" s="5" t="s">
        <v>1211</v>
      </c>
    </row>
    <row r="730">
      <c r="A730" s="5">
        <v>7.674984154E9</v>
      </c>
      <c r="B730" s="6">
        <v>45646.52677600694</v>
      </c>
      <c r="C730" s="7">
        <v>1.0</v>
      </c>
      <c r="D730" s="5" t="s">
        <v>1213</v>
      </c>
      <c r="E730" s="5" t="s">
        <v>1210</v>
      </c>
      <c r="F730" s="5" t="s">
        <v>1211</v>
      </c>
    </row>
    <row r="731">
      <c r="A731" s="5">
        <v>9.871037317E9</v>
      </c>
      <c r="B731" s="6">
        <v>45646.705049212964</v>
      </c>
      <c r="C731" s="7">
        <v>1.0</v>
      </c>
      <c r="D731" s="5" t="s">
        <v>1213</v>
      </c>
      <c r="E731" s="5" t="s">
        <v>1210</v>
      </c>
      <c r="F731" s="5" t="s">
        <v>1211</v>
      </c>
    </row>
    <row r="732">
      <c r="A732" s="5">
        <v>7.535022621E9</v>
      </c>
      <c r="B732" s="6">
        <v>45647.61626225694</v>
      </c>
      <c r="C732" s="7">
        <v>1.0</v>
      </c>
      <c r="D732" s="5" t="s">
        <v>1209</v>
      </c>
      <c r="E732" s="5" t="s">
        <v>1210</v>
      </c>
      <c r="F732" s="5" t="s">
        <v>1211</v>
      </c>
    </row>
    <row r="733">
      <c r="A733" s="5">
        <v>9.650464021E9</v>
      </c>
      <c r="B733" s="6">
        <v>45647.70422990741</v>
      </c>
      <c r="C733" s="7">
        <v>1.0</v>
      </c>
      <c r="D733" s="5" t="s">
        <v>1209</v>
      </c>
      <c r="E733" s="5" t="s">
        <v>1210</v>
      </c>
      <c r="F733" s="5" t="s">
        <v>1211</v>
      </c>
    </row>
    <row r="734">
      <c r="A734" s="5">
        <v>9.161114007E9</v>
      </c>
      <c r="B734" s="6">
        <v>45647.77430290509</v>
      </c>
      <c r="C734" s="7">
        <v>68.0</v>
      </c>
      <c r="D734" s="5" t="s">
        <v>1213</v>
      </c>
      <c r="E734" s="5" t="s">
        <v>1210</v>
      </c>
      <c r="F734" s="5" t="s">
        <v>1212</v>
      </c>
    </row>
    <row r="735">
      <c r="A735" s="5">
        <v>9.811113272E9</v>
      </c>
      <c r="B735" s="6">
        <v>45647.817222048616</v>
      </c>
      <c r="C735" s="7">
        <v>1.0</v>
      </c>
      <c r="D735" s="5" t="s">
        <v>1209</v>
      </c>
      <c r="E735" s="5" t="s">
        <v>1210</v>
      </c>
      <c r="F735" s="5" t="s">
        <v>1212</v>
      </c>
    </row>
    <row r="736">
      <c r="A736" s="5">
        <v>9.999110696E9</v>
      </c>
      <c r="B736" s="6">
        <v>45648.75410003473</v>
      </c>
      <c r="C736" s="7">
        <v>1.0</v>
      </c>
      <c r="D736" s="5" t="s">
        <v>1213</v>
      </c>
      <c r="E736" s="5" t="s">
        <v>1210</v>
      </c>
      <c r="F736" s="5" t="s">
        <v>1212</v>
      </c>
    </row>
    <row r="737">
      <c r="A737" s="5">
        <v>9.394161005E9</v>
      </c>
      <c r="B737" s="6">
        <v>45648.75495207176</v>
      </c>
      <c r="C737" s="7">
        <v>1.0</v>
      </c>
      <c r="D737" s="5" t="s">
        <v>1213</v>
      </c>
      <c r="E737" s="5" t="s">
        <v>1210</v>
      </c>
      <c r="F737" s="5" t="s">
        <v>1212</v>
      </c>
    </row>
    <row r="738">
      <c r="A738" s="5">
        <v>8.368117429E9</v>
      </c>
      <c r="B738" s="6">
        <v>45648.75806503472</v>
      </c>
      <c r="C738" s="7">
        <v>1.0</v>
      </c>
      <c r="D738" s="5" t="s">
        <v>1213</v>
      </c>
      <c r="E738" s="5" t="s">
        <v>1210</v>
      </c>
      <c r="F738" s="5" t="s">
        <v>1211</v>
      </c>
    </row>
    <row r="739">
      <c r="A739" s="5">
        <v>7.83829005E9</v>
      </c>
      <c r="B739" s="6">
        <v>45650.66611770833</v>
      </c>
      <c r="C739" s="7">
        <v>68.0</v>
      </c>
      <c r="D739" s="5" t="s">
        <v>1213</v>
      </c>
      <c r="E739" s="5" t="s">
        <v>1210</v>
      </c>
      <c r="F739" s="5" t="s">
        <v>1211</v>
      </c>
    </row>
    <row r="740">
      <c r="A740" s="5">
        <v>8.368953488E9</v>
      </c>
      <c r="B740" s="6">
        <v>45650.66683405093</v>
      </c>
      <c r="C740" s="7">
        <v>267.0</v>
      </c>
      <c r="D740" s="5" t="s">
        <v>1213</v>
      </c>
      <c r="E740" s="5" t="s">
        <v>1210</v>
      </c>
      <c r="F740" s="5" t="s">
        <v>1211</v>
      </c>
    </row>
    <row r="741">
      <c r="A741" s="5">
        <v>8.384071504E9</v>
      </c>
      <c r="B741" s="6">
        <v>45650.71867650463</v>
      </c>
      <c r="C741" s="7">
        <v>1.0</v>
      </c>
      <c r="D741" s="5" t="s">
        <v>1209</v>
      </c>
      <c r="E741" s="5" t="s">
        <v>1210</v>
      </c>
      <c r="F741" s="5" t="s">
        <v>1211</v>
      </c>
    </row>
    <row r="742">
      <c r="A742" s="5">
        <v>9.953690284E9</v>
      </c>
      <c r="B742" s="6">
        <v>45650.799622754625</v>
      </c>
      <c r="C742" s="7">
        <v>1.0</v>
      </c>
      <c r="D742" s="5" t="s">
        <v>1209</v>
      </c>
      <c r="E742" s="5" t="s">
        <v>1210</v>
      </c>
      <c r="F742" s="5" t="s">
        <v>1211</v>
      </c>
    </row>
    <row r="743">
      <c r="A743" s="5">
        <v>9.811983134E9</v>
      </c>
      <c r="B743" s="6">
        <v>45651.564903437495</v>
      </c>
      <c r="C743" s="7">
        <v>1.0</v>
      </c>
      <c r="D743" s="5" t="s">
        <v>1213</v>
      </c>
      <c r="E743" s="5" t="s">
        <v>1210</v>
      </c>
      <c r="F743" s="5" t="s">
        <v>1211</v>
      </c>
    </row>
    <row r="744">
      <c r="A744" s="5">
        <v>8.920910811E9</v>
      </c>
      <c r="B744" s="6">
        <v>45651.69212921296</v>
      </c>
      <c r="C744" s="7">
        <v>135.0</v>
      </c>
      <c r="D744" s="5" t="s">
        <v>1213</v>
      </c>
      <c r="E744" s="5" t="s">
        <v>1210</v>
      </c>
      <c r="F744" s="5" t="s">
        <v>1211</v>
      </c>
    </row>
    <row r="745">
      <c r="A745" s="5">
        <v>8.045123222E9</v>
      </c>
      <c r="B745" s="6">
        <v>45651.747715833335</v>
      </c>
      <c r="C745" s="7">
        <v>1.0</v>
      </c>
      <c r="D745" s="5" t="s">
        <v>1213</v>
      </c>
      <c r="E745" s="5" t="s">
        <v>1210</v>
      </c>
      <c r="F745" s="5" t="s">
        <v>1212</v>
      </c>
    </row>
    <row r="746">
      <c r="A746" s="5">
        <v>8.920332096E9</v>
      </c>
      <c r="B746" s="6">
        <v>45652.618167569446</v>
      </c>
      <c r="C746" s="7">
        <v>1.0</v>
      </c>
      <c r="D746" s="5" t="s">
        <v>1209</v>
      </c>
      <c r="E746" s="5" t="s">
        <v>1210</v>
      </c>
      <c r="F746" s="5" t="s">
        <v>1211</v>
      </c>
    </row>
    <row r="747">
      <c r="A747" s="5">
        <v>9.910930162E9</v>
      </c>
      <c r="B747" s="6">
        <v>45652.61895106481</v>
      </c>
      <c r="C747" s="7">
        <v>135.0</v>
      </c>
      <c r="D747" s="5" t="s">
        <v>1213</v>
      </c>
      <c r="E747" s="5" t="s">
        <v>1210</v>
      </c>
      <c r="F747" s="5" t="s">
        <v>1211</v>
      </c>
    </row>
    <row r="748">
      <c r="A748" s="5">
        <v>8.700386691E9</v>
      </c>
      <c r="B748" s="6">
        <v>45652.78077883102</v>
      </c>
      <c r="C748" s="7">
        <v>1.0</v>
      </c>
      <c r="D748" s="5" t="s">
        <v>1213</v>
      </c>
      <c r="E748" s="5" t="s">
        <v>1210</v>
      </c>
      <c r="F748" s="5" t="s">
        <v>1211</v>
      </c>
    </row>
    <row r="749">
      <c r="A749" s="5">
        <v>4.191410664E9</v>
      </c>
      <c r="B749" s="6">
        <v>45654.74837482639</v>
      </c>
      <c r="C749" s="7">
        <v>1.0</v>
      </c>
      <c r="D749" s="5" t="s">
        <v>1213</v>
      </c>
      <c r="E749" s="5" t="s">
        <v>1210</v>
      </c>
      <c r="F749" s="5" t="s">
        <v>1212</v>
      </c>
    </row>
    <row r="750">
      <c r="A750" s="5">
        <v>9.8991E9</v>
      </c>
      <c r="B750" s="6">
        <v>45654.750065949076</v>
      </c>
      <c r="C750" s="7">
        <v>1.0</v>
      </c>
      <c r="D750" s="5" t="s">
        <v>1209</v>
      </c>
      <c r="E750" s="5" t="s">
        <v>1210</v>
      </c>
      <c r="F750" s="5" t="s">
        <v>1211</v>
      </c>
    </row>
    <row r="751">
      <c r="A751" s="5">
        <v>8.076545582E9</v>
      </c>
      <c r="B751" s="6">
        <v>45655.793634050926</v>
      </c>
      <c r="C751" s="7">
        <v>1.0</v>
      </c>
      <c r="D751" s="5" t="s">
        <v>1209</v>
      </c>
      <c r="E751" s="5" t="s">
        <v>1210</v>
      </c>
      <c r="F751" s="5" t="s">
        <v>1211</v>
      </c>
    </row>
    <row r="752">
      <c r="A752" s="5">
        <v>7.06588257E9</v>
      </c>
      <c r="B752" s="6">
        <v>45655.80246258102</v>
      </c>
      <c r="C752" s="7">
        <v>1.0</v>
      </c>
      <c r="D752" s="5" t="s">
        <v>1213</v>
      </c>
      <c r="E752" s="5" t="s">
        <v>1210</v>
      </c>
      <c r="F752" s="5" t="s">
        <v>1211</v>
      </c>
    </row>
    <row r="753">
      <c r="A753" s="5">
        <v>7.827405346E9</v>
      </c>
      <c r="B753" s="6">
        <v>45657.764280717594</v>
      </c>
      <c r="C753" s="7">
        <v>1.0</v>
      </c>
      <c r="D753" s="5" t="s">
        <v>1213</v>
      </c>
      <c r="E753" s="5" t="s">
        <v>1210</v>
      </c>
      <c r="F753" s="5" t="s">
        <v>1211</v>
      </c>
    </row>
    <row r="754">
      <c r="A754" s="5">
        <v>9.958535411E9</v>
      </c>
      <c r="B754" s="6">
        <v>45657.76616814815</v>
      </c>
      <c r="C754" s="7">
        <v>1.0</v>
      </c>
      <c r="D754" s="5" t="s">
        <v>1213</v>
      </c>
      <c r="E754" s="5" t="s">
        <v>1210</v>
      </c>
      <c r="F754" s="5" t="s">
        <v>1212</v>
      </c>
    </row>
    <row r="755">
      <c r="A755" s="5">
        <v>9.029845655E9</v>
      </c>
      <c r="B755" s="6">
        <v>45660.82456692129</v>
      </c>
      <c r="C755" s="7">
        <v>1.0</v>
      </c>
      <c r="D755" s="5" t="s">
        <v>1209</v>
      </c>
      <c r="E755" s="5" t="s">
        <v>1210</v>
      </c>
      <c r="F755" s="5" t="s">
        <v>1211</v>
      </c>
    </row>
    <row r="756">
      <c r="A756" s="5">
        <v>9.31155707E9</v>
      </c>
      <c r="B756" s="6">
        <v>45660.82518260417</v>
      </c>
      <c r="C756" s="7">
        <v>202.0</v>
      </c>
      <c r="D756" s="5" t="s">
        <v>1213</v>
      </c>
      <c r="E756" s="5" t="s">
        <v>1210</v>
      </c>
      <c r="F756" s="5" t="s">
        <v>1212</v>
      </c>
    </row>
    <row r="757">
      <c r="A757" s="5">
        <v>8.283935445E9</v>
      </c>
      <c r="B757" s="6">
        <v>45661.64543871528</v>
      </c>
      <c r="C757" s="7">
        <v>1.0</v>
      </c>
      <c r="D757" s="5" t="s">
        <v>1213</v>
      </c>
      <c r="E757" s="5" t="s">
        <v>1210</v>
      </c>
      <c r="F757" s="5" t="s">
        <v>1212</v>
      </c>
    </row>
    <row r="758">
      <c r="A758" s="5">
        <v>8.076242906E9</v>
      </c>
      <c r="B758" s="6">
        <v>45662.73568203703</v>
      </c>
      <c r="C758" s="7">
        <v>68.0</v>
      </c>
      <c r="D758" s="5" t="s">
        <v>1213</v>
      </c>
      <c r="E758" s="5" t="s">
        <v>1210</v>
      </c>
      <c r="F758" s="5" t="s">
        <v>1211</v>
      </c>
    </row>
    <row r="759">
      <c r="A759" s="5">
        <v>9.013687215E9</v>
      </c>
      <c r="B759" s="6">
        <v>45662.79822162037</v>
      </c>
      <c r="C759" s="7">
        <v>1.0</v>
      </c>
      <c r="D759" s="5" t="s">
        <v>1209</v>
      </c>
      <c r="E759" s="5" t="s">
        <v>1210</v>
      </c>
      <c r="F759" s="5" t="s">
        <v>1211</v>
      </c>
    </row>
    <row r="760">
      <c r="A760" s="5">
        <v>9.810799668E9</v>
      </c>
      <c r="B760" s="6">
        <v>45664.73974803241</v>
      </c>
      <c r="C760" s="7">
        <v>135.0</v>
      </c>
      <c r="D760" s="5" t="s">
        <v>1213</v>
      </c>
      <c r="E760" s="5" t="s">
        <v>1210</v>
      </c>
      <c r="F760" s="5" t="s">
        <v>1212</v>
      </c>
    </row>
    <row r="761">
      <c r="A761" s="5">
        <v>8.700335998E9</v>
      </c>
      <c r="B761" s="6">
        <v>45664.80610785879</v>
      </c>
      <c r="C761" s="7">
        <v>1.0</v>
      </c>
      <c r="D761" s="5" t="s">
        <v>1213</v>
      </c>
      <c r="E761" s="5" t="s">
        <v>1210</v>
      </c>
      <c r="F761" s="5" t="s">
        <v>1211</v>
      </c>
    </row>
    <row r="762">
      <c r="A762" s="5">
        <v>8.851927982E9</v>
      </c>
      <c r="B762" s="6">
        <v>45665.75375043981</v>
      </c>
      <c r="C762" s="7">
        <v>1.0</v>
      </c>
      <c r="D762" s="5" t="s">
        <v>1209</v>
      </c>
      <c r="E762" s="5" t="s">
        <v>1210</v>
      </c>
      <c r="F762" s="5" t="s">
        <v>1211</v>
      </c>
    </row>
    <row r="763">
      <c r="A763" s="5">
        <v>9.667760028E9</v>
      </c>
      <c r="B763" s="6">
        <v>45666.71875907407</v>
      </c>
      <c r="C763" s="7">
        <v>68.0</v>
      </c>
      <c r="D763" s="5" t="s">
        <v>1213</v>
      </c>
      <c r="E763" s="5" t="s">
        <v>1210</v>
      </c>
      <c r="F763" s="5" t="s">
        <v>1211</v>
      </c>
    </row>
    <row r="764">
      <c r="A764" s="5">
        <v>9.069172299E9</v>
      </c>
      <c r="B764" s="6">
        <v>45666.73387</v>
      </c>
      <c r="C764" s="7">
        <v>1.0</v>
      </c>
      <c r="D764" s="5" t="s">
        <v>1209</v>
      </c>
      <c r="E764" s="5" t="s">
        <v>1210</v>
      </c>
      <c r="F764" s="5" t="s">
        <v>1211</v>
      </c>
    </row>
    <row r="765">
      <c r="A765" s="5">
        <v>9.999094345E9</v>
      </c>
      <c r="B765" s="6">
        <v>45666.82679576389</v>
      </c>
      <c r="C765" s="7">
        <v>1.0</v>
      </c>
      <c r="D765" s="5" t="s">
        <v>1213</v>
      </c>
      <c r="E765" s="5" t="s">
        <v>1210</v>
      </c>
      <c r="F765" s="5" t="s">
        <v>1211</v>
      </c>
    </row>
    <row r="766">
      <c r="A766" s="5">
        <v>9.205822759E9</v>
      </c>
      <c r="B766" s="6">
        <v>45669.75376494213</v>
      </c>
      <c r="C766" s="7">
        <v>1.0</v>
      </c>
      <c r="D766" s="5" t="s">
        <v>1209</v>
      </c>
      <c r="E766" s="5" t="s">
        <v>1210</v>
      </c>
      <c r="F766" s="5" t="s">
        <v>1211</v>
      </c>
    </row>
    <row r="767">
      <c r="A767" s="5">
        <v>9.899236225E9</v>
      </c>
      <c r="B767" s="6">
        <v>45669.75501253472</v>
      </c>
      <c r="C767" s="7">
        <v>1.0</v>
      </c>
      <c r="D767" s="5" t="s">
        <v>1213</v>
      </c>
      <c r="E767" s="5" t="s">
        <v>1210</v>
      </c>
      <c r="F767" s="5" t="s">
        <v>1211</v>
      </c>
    </row>
    <row r="768">
      <c r="A768" s="5">
        <v>9.899209967E9</v>
      </c>
      <c r="B768" s="6">
        <v>45669.75736554398</v>
      </c>
      <c r="C768" s="7">
        <v>1.0</v>
      </c>
      <c r="D768" s="5" t="s">
        <v>1213</v>
      </c>
      <c r="E768" s="5" t="s">
        <v>1210</v>
      </c>
      <c r="F768" s="5" t="s">
        <v>1211</v>
      </c>
    </row>
    <row r="769">
      <c r="A769" s="5">
        <v>9.501926855E9</v>
      </c>
      <c r="B769" s="6">
        <v>45669.80561555555</v>
      </c>
      <c r="C769" s="7">
        <v>1.0</v>
      </c>
      <c r="D769" s="5" t="s">
        <v>1213</v>
      </c>
      <c r="E769" s="5" t="s">
        <v>1210</v>
      </c>
      <c r="F769" s="5" t="s">
        <v>1211</v>
      </c>
    </row>
    <row r="770">
      <c r="A770" s="5">
        <v>8.178415371E9</v>
      </c>
      <c r="B770" s="6">
        <v>45675.797796203704</v>
      </c>
      <c r="C770" s="7">
        <v>1.0</v>
      </c>
      <c r="D770" s="5" t="s">
        <v>1213</v>
      </c>
      <c r="E770" s="5" t="s">
        <v>1210</v>
      </c>
      <c r="F770" s="5" t="s">
        <v>1211</v>
      </c>
    </row>
    <row r="771">
      <c r="A771" s="5">
        <v>9.213557105E9</v>
      </c>
      <c r="B771" s="6">
        <v>45678.8005449537</v>
      </c>
      <c r="C771" s="7">
        <v>1.0</v>
      </c>
      <c r="D771" s="5" t="s">
        <v>1213</v>
      </c>
      <c r="E771" s="5" t="s">
        <v>1210</v>
      </c>
      <c r="F771" s="5" t="s">
        <v>1211</v>
      </c>
    </row>
    <row r="772">
      <c r="A772" s="5">
        <v>9.818325522E9</v>
      </c>
      <c r="B772" s="6">
        <v>45678.80141359953</v>
      </c>
      <c r="C772" s="7">
        <v>68.0</v>
      </c>
      <c r="D772" s="5" t="s">
        <v>1209</v>
      </c>
      <c r="E772" s="5" t="s">
        <v>1210</v>
      </c>
      <c r="F772" s="5" t="s">
        <v>1211</v>
      </c>
    </row>
    <row r="773">
      <c r="A773" s="5">
        <v>9.810119786E9</v>
      </c>
      <c r="B773" s="6">
        <v>45678.80236634259</v>
      </c>
      <c r="C773" s="7">
        <v>1.0</v>
      </c>
      <c r="D773" s="5" t="s">
        <v>1213</v>
      </c>
      <c r="E773" s="5" t="s">
        <v>1210</v>
      </c>
      <c r="F773" s="5" t="s">
        <v>1211</v>
      </c>
    </row>
    <row r="774">
      <c r="A774" s="5">
        <v>9.650581304E9</v>
      </c>
      <c r="B774" s="6">
        <v>45680.7085102662</v>
      </c>
      <c r="C774" s="7">
        <v>1.0</v>
      </c>
      <c r="D774" s="5" t="s">
        <v>1213</v>
      </c>
      <c r="E774" s="5" t="s">
        <v>1210</v>
      </c>
      <c r="F774" s="5" t="s">
        <v>1211</v>
      </c>
    </row>
    <row r="775">
      <c r="A775" s="5">
        <v>9.899438638E9</v>
      </c>
      <c r="B775" s="6">
        <v>45680.71009350695</v>
      </c>
      <c r="C775" s="7">
        <v>1.0</v>
      </c>
      <c r="D775" s="5" t="s">
        <v>1213</v>
      </c>
      <c r="E775" s="5" t="s">
        <v>1210</v>
      </c>
      <c r="F775" s="5" t="s">
        <v>1212</v>
      </c>
    </row>
    <row r="776">
      <c r="A776" s="5">
        <v>1.938356639E9</v>
      </c>
      <c r="B776" s="6">
        <v>45681.70134694444</v>
      </c>
      <c r="C776" s="7">
        <v>1.0</v>
      </c>
      <c r="D776" s="5" t="s">
        <v>1209</v>
      </c>
      <c r="E776" s="5" t="s">
        <v>1210</v>
      </c>
      <c r="F776" s="5" t="s">
        <v>1211</v>
      </c>
    </row>
    <row r="777">
      <c r="A777" s="5">
        <v>8.899540581E9</v>
      </c>
      <c r="B777" s="6">
        <v>45681.702290960646</v>
      </c>
      <c r="C777" s="7">
        <v>1.0</v>
      </c>
      <c r="D777" s="5" t="s">
        <v>1213</v>
      </c>
      <c r="E777" s="5" t="s">
        <v>1210</v>
      </c>
      <c r="F777" s="5" t="s">
        <v>1211</v>
      </c>
    </row>
    <row r="778">
      <c r="A778" s="5">
        <v>9.811195679E9</v>
      </c>
      <c r="B778" s="6">
        <v>45681.70303778935</v>
      </c>
      <c r="C778" s="7">
        <v>1.0</v>
      </c>
      <c r="D778" s="5" t="s">
        <v>1213</v>
      </c>
      <c r="E778" s="5" t="s">
        <v>1210</v>
      </c>
      <c r="F778" s="5" t="s">
        <v>1212</v>
      </c>
    </row>
    <row r="779">
      <c r="A779" s="5">
        <v>6.94661111E8</v>
      </c>
      <c r="B779" s="6">
        <v>45685.73825246528</v>
      </c>
      <c r="C779" s="7">
        <v>1.0</v>
      </c>
      <c r="D779" s="5" t="s">
        <v>1213</v>
      </c>
      <c r="E779" s="5" t="s">
        <v>1210</v>
      </c>
      <c r="F779" s="5" t="s">
        <v>1211</v>
      </c>
    </row>
    <row r="780">
      <c r="A780" s="5">
        <v>6.387534566E9</v>
      </c>
      <c r="B780" s="6">
        <v>45685.73950582176</v>
      </c>
      <c r="C780" s="7">
        <v>1.0</v>
      </c>
      <c r="D780" s="5" t="s">
        <v>1213</v>
      </c>
      <c r="E780" s="5" t="s">
        <v>1210</v>
      </c>
      <c r="F780" s="5" t="s">
        <v>1211</v>
      </c>
    </row>
    <row r="781">
      <c r="A781" s="5">
        <v>9.958420574E9</v>
      </c>
      <c r="B781" s="6">
        <v>45685.798404953704</v>
      </c>
      <c r="C781" s="7">
        <v>68.0</v>
      </c>
      <c r="D781" s="5" t="s">
        <v>1213</v>
      </c>
      <c r="E781" s="5" t="s">
        <v>1210</v>
      </c>
      <c r="F781" s="5" t="s">
        <v>1212</v>
      </c>
    </row>
    <row r="782">
      <c r="A782" s="5">
        <v>9.625470327E9</v>
      </c>
      <c r="B782" s="6">
        <v>45685.800653252314</v>
      </c>
      <c r="C782" s="7">
        <v>1.0</v>
      </c>
      <c r="D782" s="5" t="s">
        <v>1209</v>
      </c>
      <c r="E782" s="5" t="s">
        <v>1210</v>
      </c>
      <c r="F782" s="5" t="s">
        <v>1212</v>
      </c>
    </row>
    <row r="783">
      <c r="A783" s="5">
        <v>9.540074634E9</v>
      </c>
      <c r="B783" s="6">
        <v>45686.78488695602</v>
      </c>
      <c r="C783" s="7">
        <v>1.0</v>
      </c>
      <c r="D783" s="5" t="s">
        <v>1213</v>
      </c>
      <c r="E783" s="5" t="s">
        <v>1210</v>
      </c>
      <c r="F783" s="5" t="s">
        <v>1211</v>
      </c>
    </row>
    <row r="784">
      <c r="A784" s="5">
        <v>9.811904046E9</v>
      </c>
      <c r="B784" s="6">
        <v>45687.77929310185</v>
      </c>
      <c r="C784" s="7">
        <v>202.0</v>
      </c>
      <c r="D784" s="5" t="s">
        <v>1213</v>
      </c>
      <c r="E784" s="5" t="s">
        <v>1210</v>
      </c>
      <c r="F784" s="5" t="s">
        <v>1211</v>
      </c>
    </row>
    <row r="785">
      <c r="A785" s="5">
        <v>9.971828177E9</v>
      </c>
      <c r="B785" s="6">
        <v>45687.78105471065</v>
      </c>
      <c r="C785" s="7">
        <v>68.0</v>
      </c>
      <c r="D785" s="5" t="s">
        <v>1209</v>
      </c>
      <c r="E785" s="5" t="s">
        <v>1210</v>
      </c>
      <c r="F785" s="5" t="s">
        <v>1212</v>
      </c>
    </row>
    <row r="786">
      <c r="A786" s="5">
        <v>8.992995405E9</v>
      </c>
      <c r="B786" s="6">
        <v>45687.78221689815</v>
      </c>
      <c r="C786" s="7">
        <v>1.0</v>
      </c>
      <c r="D786" s="5" t="s">
        <v>1209</v>
      </c>
      <c r="E786" s="5" t="s">
        <v>1210</v>
      </c>
      <c r="F786" s="5" t="s">
        <v>1211</v>
      </c>
    </row>
    <row r="787">
      <c r="A787" s="5">
        <v>9.977451684E9</v>
      </c>
      <c r="B787" s="6">
        <v>45687.783135405094</v>
      </c>
      <c r="C787" s="7">
        <v>1.0</v>
      </c>
      <c r="D787" s="5" t="s">
        <v>1209</v>
      </c>
      <c r="E787" s="5" t="s">
        <v>1210</v>
      </c>
      <c r="F787" s="5" t="s">
        <v>1212</v>
      </c>
    </row>
    <row r="788">
      <c r="A788" s="5">
        <v>8.800440272E9</v>
      </c>
      <c r="B788" s="6">
        <v>45688.6919265162</v>
      </c>
      <c r="C788" s="7">
        <v>1.0</v>
      </c>
      <c r="D788" s="5" t="s">
        <v>1209</v>
      </c>
      <c r="E788" s="5" t="s">
        <v>1210</v>
      </c>
      <c r="F788" s="5" t="s">
        <v>1212</v>
      </c>
    </row>
    <row r="789">
      <c r="A789" s="5">
        <v>8.51001003E9</v>
      </c>
      <c r="B789" s="6">
        <v>45688.69324021991</v>
      </c>
      <c r="C789" s="7">
        <v>1.0</v>
      </c>
      <c r="D789" s="5" t="s">
        <v>1213</v>
      </c>
      <c r="E789" s="5" t="s">
        <v>1210</v>
      </c>
      <c r="F789" s="5" t="s">
        <v>1211</v>
      </c>
    </row>
    <row r="790">
      <c r="A790" s="5">
        <v>9.811506976E9</v>
      </c>
      <c r="B790" s="6">
        <v>45688.693993113426</v>
      </c>
      <c r="C790" s="7">
        <v>1.0</v>
      </c>
      <c r="D790" s="5" t="s">
        <v>1213</v>
      </c>
      <c r="E790" s="5" t="s">
        <v>1210</v>
      </c>
      <c r="F790" s="5" t="s">
        <v>1212</v>
      </c>
    </row>
    <row r="791">
      <c r="A791" s="5">
        <v>7.210655101E9</v>
      </c>
      <c r="B791" s="6">
        <v>45688.721956423615</v>
      </c>
      <c r="C791" s="7">
        <v>1.0</v>
      </c>
      <c r="D791" s="5" t="s">
        <v>1213</v>
      </c>
      <c r="E791" s="5" t="s">
        <v>1210</v>
      </c>
      <c r="F791" s="5" t="s">
        <v>1211</v>
      </c>
    </row>
    <row r="792">
      <c r="A792" s="5">
        <v>9.606025531E9</v>
      </c>
      <c r="B792" s="6">
        <v>45689.76838699074</v>
      </c>
      <c r="C792" s="7">
        <v>1.0</v>
      </c>
      <c r="D792" s="5" t="s">
        <v>1213</v>
      </c>
      <c r="E792" s="5" t="s">
        <v>1210</v>
      </c>
      <c r="F792" s="5" t="s">
        <v>1211</v>
      </c>
    </row>
    <row r="793">
      <c r="A793" s="5">
        <v>9.65416037E9</v>
      </c>
      <c r="B793" s="6">
        <v>45689.770672569444</v>
      </c>
      <c r="C793" s="7">
        <v>68.0</v>
      </c>
      <c r="D793" s="5" t="s">
        <v>1213</v>
      </c>
      <c r="E793" s="5" t="s">
        <v>1210</v>
      </c>
      <c r="F793" s="5" t="s">
        <v>1211</v>
      </c>
    </row>
    <row r="794">
      <c r="A794" s="5">
        <v>8.851788997E9</v>
      </c>
      <c r="B794" s="6">
        <v>45689.77143923611</v>
      </c>
      <c r="C794" s="7">
        <v>1.0</v>
      </c>
      <c r="D794" s="5" t="s">
        <v>1209</v>
      </c>
      <c r="E794" s="5" t="s">
        <v>1210</v>
      </c>
      <c r="F794" s="5" t="s">
        <v>1211</v>
      </c>
    </row>
    <row r="795">
      <c r="A795" s="5">
        <v>1.411153323E9</v>
      </c>
      <c r="B795" s="6">
        <v>45692.7900215625</v>
      </c>
      <c r="C795" s="7">
        <v>1.0</v>
      </c>
      <c r="D795" s="5" t="s">
        <v>1213</v>
      </c>
      <c r="E795" s="5" t="s">
        <v>1210</v>
      </c>
      <c r="F795" s="5" t="s">
        <v>1212</v>
      </c>
    </row>
    <row r="796">
      <c r="A796" s="5">
        <v>9.99915008E9</v>
      </c>
      <c r="B796" s="6">
        <v>45700.75359422454</v>
      </c>
      <c r="C796" s="7">
        <v>1.0</v>
      </c>
      <c r="D796" s="5" t="s">
        <v>1209</v>
      </c>
      <c r="E796" s="5" t="s">
        <v>1210</v>
      </c>
      <c r="F796" s="5" t="s">
        <v>1212</v>
      </c>
    </row>
    <row r="797">
      <c r="A797" s="5">
        <v>9.810836303E9</v>
      </c>
      <c r="B797" s="6">
        <v>45700.75555914352</v>
      </c>
      <c r="C797" s="7">
        <v>1.0</v>
      </c>
      <c r="D797" s="5" t="s">
        <v>1209</v>
      </c>
      <c r="E797" s="5" t="s">
        <v>1210</v>
      </c>
      <c r="F797" s="5" t="s">
        <v>1211</v>
      </c>
    </row>
    <row r="798">
      <c r="A798" s="5">
        <v>9.810020669E9</v>
      </c>
      <c r="B798" s="6">
        <v>45701.721609479166</v>
      </c>
      <c r="C798" s="7">
        <v>1.0</v>
      </c>
      <c r="D798" s="5" t="s">
        <v>1213</v>
      </c>
      <c r="E798" s="5" t="s">
        <v>1210</v>
      </c>
      <c r="F798" s="5" t="s">
        <v>1212</v>
      </c>
    </row>
    <row r="799">
      <c r="A799" s="5">
        <v>9.818285017E9</v>
      </c>
      <c r="B799" s="6">
        <v>45703.768095312495</v>
      </c>
      <c r="C799" s="7">
        <v>1.0</v>
      </c>
      <c r="D799" s="5" t="s">
        <v>1213</v>
      </c>
      <c r="E799" s="5" t="s">
        <v>1210</v>
      </c>
      <c r="F799" s="5" t="s">
        <v>1211</v>
      </c>
    </row>
    <row r="800">
      <c r="A800" s="5">
        <v>9.582731986E9</v>
      </c>
      <c r="B800" s="6">
        <v>45708.75739708333</v>
      </c>
      <c r="C800" s="7">
        <v>1.0</v>
      </c>
      <c r="D800" s="5" t="s">
        <v>1213</v>
      </c>
      <c r="E800" s="5" t="s">
        <v>1210</v>
      </c>
      <c r="F800" s="5" t="s">
        <v>1211</v>
      </c>
    </row>
    <row r="801">
      <c r="A801" s="5">
        <v>7.303324435E9</v>
      </c>
      <c r="B801" s="6">
        <v>45708.758068194446</v>
      </c>
      <c r="C801" s="7">
        <v>1.0</v>
      </c>
      <c r="D801" s="5" t="s">
        <v>1209</v>
      </c>
      <c r="E801" s="5" t="s">
        <v>1210</v>
      </c>
      <c r="F801" s="5" t="s">
        <v>1211</v>
      </c>
    </row>
    <row r="802">
      <c r="A802" s="5">
        <v>9.999987268E9</v>
      </c>
      <c r="B802" s="6">
        <v>45708.75882390046</v>
      </c>
      <c r="C802" s="7">
        <v>1.0</v>
      </c>
      <c r="D802" s="5" t="s">
        <v>1213</v>
      </c>
      <c r="E802" s="5" t="s">
        <v>1210</v>
      </c>
      <c r="F802" s="5" t="s">
        <v>1212</v>
      </c>
    </row>
    <row r="803">
      <c r="A803" s="5">
        <v>9.868879407E9</v>
      </c>
      <c r="B803" s="6">
        <v>45709.80305165509</v>
      </c>
      <c r="C803" s="7">
        <v>1.0</v>
      </c>
      <c r="D803" s="5" t="s">
        <v>1213</v>
      </c>
      <c r="E803" s="5" t="s">
        <v>1210</v>
      </c>
      <c r="F803" s="5" t="s">
        <v>1211</v>
      </c>
    </row>
    <row r="804">
      <c r="A804" s="5">
        <v>9.873449727E9</v>
      </c>
      <c r="B804" s="6">
        <v>45709.80469268518</v>
      </c>
      <c r="C804" s="7">
        <v>1.0</v>
      </c>
      <c r="D804" s="5" t="s">
        <v>1213</v>
      </c>
      <c r="E804" s="5" t="s">
        <v>1210</v>
      </c>
      <c r="F804" s="5" t="s">
        <v>1211</v>
      </c>
    </row>
    <row r="805">
      <c r="A805" s="5">
        <v>8.700996353E9</v>
      </c>
      <c r="B805" s="6">
        <v>45709.80548831019</v>
      </c>
      <c r="C805" s="7">
        <v>1.0</v>
      </c>
      <c r="D805" s="5" t="s">
        <v>1209</v>
      </c>
      <c r="E805" s="5" t="s">
        <v>1210</v>
      </c>
      <c r="F805" s="5" t="s">
        <v>1211</v>
      </c>
    </row>
    <row r="806">
      <c r="A806" s="5">
        <v>9.999209489E9</v>
      </c>
      <c r="B806" s="6">
        <v>45709.8066390625</v>
      </c>
      <c r="C806" s="7">
        <v>1.0</v>
      </c>
      <c r="D806" s="5" t="s">
        <v>1209</v>
      </c>
      <c r="E806" s="5" t="s">
        <v>1210</v>
      </c>
      <c r="F806" s="5" t="s">
        <v>1212</v>
      </c>
    </row>
    <row r="807">
      <c r="A807" s="5">
        <v>9.999399577E9</v>
      </c>
      <c r="B807" s="6">
        <v>45709.80868940972</v>
      </c>
      <c r="C807" s="7">
        <v>68.0</v>
      </c>
      <c r="D807" s="5" t="s">
        <v>1213</v>
      </c>
      <c r="E807" s="5" t="s">
        <v>1210</v>
      </c>
      <c r="F807" s="5" t="s">
        <v>1211</v>
      </c>
    </row>
    <row r="808">
      <c r="A808" s="5">
        <v>9.818777145E9</v>
      </c>
      <c r="B808" s="6">
        <v>45710.7887057176</v>
      </c>
      <c r="C808" s="7">
        <v>1.0</v>
      </c>
      <c r="D808" s="5" t="s">
        <v>1213</v>
      </c>
      <c r="E808" s="5" t="s">
        <v>1210</v>
      </c>
      <c r="F808" s="5" t="s">
        <v>1212</v>
      </c>
    </row>
    <row r="809">
      <c r="A809" s="5">
        <v>9.250340928E9</v>
      </c>
      <c r="B809" s="6">
        <v>45710.79174084491</v>
      </c>
      <c r="C809" s="7">
        <v>1.0</v>
      </c>
      <c r="D809" s="5" t="s">
        <v>1209</v>
      </c>
      <c r="E809" s="5" t="s">
        <v>1210</v>
      </c>
      <c r="F809" s="5" t="s">
        <v>1211</v>
      </c>
    </row>
    <row r="810">
      <c r="A810" s="5">
        <v>7.5037E9</v>
      </c>
      <c r="B810" s="6">
        <v>45715.706617662036</v>
      </c>
      <c r="C810" s="7">
        <v>1.0</v>
      </c>
      <c r="D810" s="5" t="s">
        <v>1213</v>
      </c>
      <c r="E810" s="5" t="s">
        <v>1210</v>
      </c>
      <c r="F810" s="5" t="s">
        <v>1212</v>
      </c>
    </row>
    <row r="811">
      <c r="A811" s="5">
        <v>8.999504724E9</v>
      </c>
      <c r="B811" s="6">
        <v>45715.70725603009</v>
      </c>
      <c r="C811" s="7">
        <v>1.0</v>
      </c>
      <c r="D811" s="5" t="s">
        <v>1213</v>
      </c>
      <c r="E811" s="5" t="s">
        <v>1210</v>
      </c>
      <c r="F811" s="5" t="s">
        <v>1211</v>
      </c>
    </row>
    <row r="812">
      <c r="A812" s="5">
        <v>9.213077935E9</v>
      </c>
      <c r="B812" s="6">
        <v>45715.79563826389</v>
      </c>
      <c r="C812" s="7">
        <v>1.0</v>
      </c>
      <c r="D812" s="5" t="s">
        <v>1213</v>
      </c>
      <c r="E812" s="5" t="s">
        <v>1210</v>
      </c>
      <c r="F812" s="5" t="s">
        <v>1211</v>
      </c>
    </row>
    <row r="813">
      <c r="A813" s="5">
        <v>9.81002191E9</v>
      </c>
      <c r="B813" s="6">
        <v>45717.69894930556</v>
      </c>
      <c r="C813" s="7">
        <v>1.0</v>
      </c>
      <c r="D813" s="5" t="s">
        <v>1209</v>
      </c>
      <c r="E813" s="5" t="s">
        <v>1210</v>
      </c>
      <c r="F813" s="5" t="s">
        <v>1211</v>
      </c>
    </row>
    <row r="814">
      <c r="A814" s="5">
        <v>9.819496621E9</v>
      </c>
      <c r="B814" s="6">
        <v>45717.70064199074</v>
      </c>
      <c r="C814" s="7">
        <v>1.0</v>
      </c>
      <c r="D814" s="5" t="s">
        <v>1209</v>
      </c>
      <c r="E814" s="5" t="s">
        <v>1210</v>
      </c>
      <c r="F814" s="5" t="s">
        <v>1211</v>
      </c>
    </row>
    <row r="815">
      <c r="A815" s="5">
        <v>9.101950248E9</v>
      </c>
      <c r="B815" s="6">
        <v>45718.6868641551</v>
      </c>
      <c r="C815" s="7">
        <v>1.0</v>
      </c>
      <c r="D815" s="5" t="s">
        <v>1213</v>
      </c>
      <c r="E815" s="5" t="s">
        <v>1210</v>
      </c>
      <c r="F815" s="5" t="s">
        <v>1211</v>
      </c>
    </row>
    <row r="816">
      <c r="A816" s="5">
        <v>8.432506282E9</v>
      </c>
      <c r="B816" s="6">
        <v>45718.688556493056</v>
      </c>
      <c r="C816" s="7">
        <v>1.0</v>
      </c>
      <c r="D816" s="5" t="s">
        <v>1213</v>
      </c>
      <c r="E816" s="5" t="s">
        <v>1210</v>
      </c>
      <c r="F816" s="5" t="s">
        <v>1211</v>
      </c>
    </row>
    <row r="817">
      <c r="A817" s="5">
        <v>9.818304741E9</v>
      </c>
      <c r="B817" s="6">
        <v>45720.779445671295</v>
      </c>
      <c r="C817" s="7">
        <v>1.0</v>
      </c>
      <c r="D817" s="5" t="s">
        <v>1209</v>
      </c>
      <c r="E817" s="5" t="s">
        <v>1210</v>
      </c>
      <c r="F817" s="5" t="s">
        <v>1212</v>
      </c>
    </row>
    <row r="818">
      <c r="A818" s="5">
        <v>9.828594616E9</v>
      </c>
      <c r="B818" s="6">
        <v>45722.76675725695</v>
      </c>
      <c r="C818" s="7">
        <v>1.0</v>
      </c>
      <c r="D818" s="5" t="s">
        <v>1209</v>
      </c>
      <c r="E818" s="5" t="s">
        <v>1210</v>
      </c>
      <c r="F818" s="5" t="s">
        <v>1211</v>
      </c>
    </row>
    <row r="819">
      <c r="A819" s="5">
        <v>9.811380088E9</v>
      </c>
      <c r="B819" s="6">
        <v>45723.67389438658</v>
      </c>
      <c r="C819" s="7">
        <v>1.0</v>
      </c>
      <c r="D819" s="5" t="s">
        <v>1209</v>
      </c>
      <c r="E819" s="5" t="s">
        <v>1210</v>
      </c>
      <c r="F819" s="5" t="s">
        <v>1211</v>
      </c>
    </row>
    <row r="820">
      <c r="A820" s="5">
        <v>8.447610764E9</v>
      </c>
      <c r="B820" s="6">
        <v>45723.79871378472</v>
      </c>
      <c r="C820" s="7">
        <v>1.0</v>
      </c>
      <c r="D820" s="5" t="s">
        <v>1213</v>
      </c>
      <c r="E820" s="5" t="s">
        <v>1210</v>
      </c>
      <c r="F820" s="5" t="s">
        <v>1211</v>
      </c>
    </row>
    <row r="821">
      <c r="A821" s="5">
        <v>9.810085139E9</v>
      </c>
      <c r="B821" s="6">
        <v>45724.71040975694</v>
      </c>
      <c r="C821" s="7">
        <v>1.0</v>
      </c>
      <c r="D821" s="5" t="s">
        <v>1213</v>
      </c>
      <c r="E821" s="5" t="s">
        <v>1210</v>
      </c>
      <c r="F821" s="5" t="s">
        <v>1211</v>
      </c>
    </row>
    <row r="822">
      <c r="A822" s="5">
        <v>9.310337017E9</v>
      </c>
      <c r="B822" s="6">
        <v>45727.76238324074</v>
      </c>
      <c r="C822" s="7">
        <v>1.0</v>
      </c>
      <c r="D822" s="5" t="s">
        <v>1213</v>
      </c>
      <c r="E822" s="5" t="s">
        <v>1210</v>
      </c>
      <c r="F822" s="5" t="s">
        <v>1211</v>
      </c>
    </row>
    <row r="823">
      <c r="A823" s="5">
        <v>9.818720209E9</v>
      </c>
      <c r="B823" s="6">
        <v>45727.80605672454</v>
      </c>
      <c r="C823" s="7">
        <v>1.0</v>
      </c>
      <c r="D823" s="5" t="s">
        <v>1209</v>
      </c>
      <c r="E823" s="5" t="s">
        <v>1210</v>
      </c>
      <c r="F823" s="5" t="s">
        <v>1212</v>
      </c>
    </row>
    <row r="824">
      <c r="A824" s="5">
        <v>8.368114066E9</v>
      </c>
      <c r="B824" s="6">
        <v>45728.78085097222</v>
      </c>
      <c r="C824" s="7">
        <v>1.0</v>
      </c>
      <c r="D824" s="5" t="s">
        <v>1209</v>
      </c>
      <c r="E824" s="5" t="s">
        <v>1210</v>
      </c>
      <c r="F824" s="5" t="s">
        <v>1212</v>
      </c>
    </row>
    <row r="825">
      <c r="A825" s="5">
        <v>9.999887268E9</v>
      </c>
      <c r="B825" s="6">
        <v>45734.669950428244</v>
      </c>
      <c r="C825" s="7">
        <v>1.0</v>
      </c>
      <c r="D825" s="5" t="s">
        <v>1209</v>
      </c>
      <c r="E825" s="5" t="s">
        <v>1210</v>
      </c>
      <c r="F825" s="5" t="s">
        <v>1212</v>
      </c>
    </row>
    <row r="826">
      <c r="A826" s="5">
        <v>9.654951709E9</v>
      </c>
      <c r="B826" s="6">
        <v>45734.67102349537</v>
      </c>
      <c r="C826" s="7">
        <v>1.0</v>
      </c>
      <c r="D826" s="5" t="s">
        <v>1209</v>
      </c>
      <c r="E826" s="5" t="s">
        <v>1210</v>
      </c>
      <c r="F826" s="5" t="s">
        <v>1211</v>
      </c>
    </row>
    <row r="827">
      <c r="A827" s="5">
        <v>9.4784954E9</v>
      </c>
      <c r="B827" s="6">
        <v>45735.77972170139</v>
      </c>
      <c r="C827" s="7">
        <v>202.0</v>
      </c>
      <c r="D827" s="5" t="s">
        <v>1213</v>
      </c>
      <c r="E827" s="5" t="s">
        <v>1210</v>
      </c>
      <c r="F827" s="5" t="s">
        <v>1211</v>
      </c>
    </row>
    <row r="828">
      <c r="A828" s="5">
        <v>9.910488907E9</v>
      </c>
      <c r="B828" s="6">
        <v>45735.78045988426</v>
      </c>
      <c r="C828" s="7">
        <v>1.0</v>
      </c>
      <c r="D828" s="5" t="s">
        <v>1213</v>
      </c>
      <c r="E828" s="5" t="s">
        <v>1210</v>
      </c>
      <c r="F828" s="5" t="s">
        <v>1211</v>
      </c>
    </row>
    <row r="829">
      <c r="A829" s="5">
        <v>9.953318887E9</v>
      </c>
      <c r="B829" s="6">
        <v>45736.77540993056</v>
      </c>
      <c r="C829" s="7">
        <v>1.0</v>
      </c>
      <c r="D829" s="5" t="s">
        <v>1209</v>
      </c>
      <c r="E829" s="5" t="s">
        <v>1210</v>
      </c>
      <c r="F829" s="5" t="s">
        <v>1211</v>
      </c>
    </row>
    <row r="830">
      <c r="A830" s="5">
        <v>9.953063597E9</v>
      </c>
      <c r="B830" s="6">
        <v>45737.767204710646</v>
      </c>
      <c r="C830" s="7">
        <v>68.0</v>
      </c>
      <c r="D830" s="5" t="s">
        <v>1213</v>
      </c>
      <c r="E830" s="5" t="s">
        <v>1210</v>
      </c>
      <c r="F830" s="5" t="s">
        <v>1211</v>
      </c>
    </row>
    <row r="831">
      <c r="A831" s="5">
        <v>7.982756328E9</v>
      </c>
      <c r="B831" s="6">
        <v>45737.767915613425</v>
      </c>
      <c r="C831" s="7">
        <v>1.0</v>
      </c>
      <c r="D831" s="5" t="s">
        <v>1209</v>
      </c>
      <c r="E831" s="5" t="s">
        <v>1210</v>
      </c>
      <c r="F831" s="5" t="s">
        <v>1211</v>
      </c>
    </row>
    <row r="832">
      <c r="A832" s="5">
        <v>8.448100127E9</v>
      </c>
      <c r="B832" s="6">
        <v>45737.77039334491</v>
      </c>
      <c r="C832" s="7">
        <v>1.0</v>
      </c>
      <c r="D832" s="5" t="s">
        <v>1213</v>
      </c>
      <c r="E832" s="5" t="s">
        <v>1210</v>
      </c>
      <c r="F832" s="5" t="s">
        <v>1211</v>
      </c>
    </row>
    <row r="833">
      <c r="A833" s="5">
        <v>7.082809197E9</v>
      </c>
      <c r="B833" s="6">
        <v>45738.79102243055</v>
      </c>
      <c r="C833" s="7">
        <v>1.0</v>
      </c>
      <c r="D833" s="5" t="s">
        <v>1209</v>
      </c>
      <c r="E833" s="5" t="s">
        <v>1210</v>
      </c>
      <c r="F833" s="5" t="s">
        <v>1211</v>
      </c>
    </row>
    <row r="834">
      <c r="A834" s="5">
        <v>9.555343053E9</v>
      </c>
      <c r="B834" s="6">
        <v>45738.79446402778</v>
      </c>
      <c r="C834" s="7">
        <v>1.0</v>
      </c>
      <c r="D834" s="5" t="s">
        <v>1209</v>
      </c>
      <c r="E834" s="5" t="s">
        <v>1210</v>
      </c>
      <c r="F834" s="5" t="s">
        <v>1211</v>
      </c>
    </row>
    <row r="835">
      <c r="A835" s="5">
        <v>9.871231215E9</v>
      </c>
      <c r="B835" s="6">
        <v>45738.79650636574</v>
      </c>
      <c r="C835" s="7">
        <v>135.0</v>
      </c>
      <c r="D835" s="5" t="s">
        <v>1213</v>
      </c>
      <c r="E835" s="5" t="s">
        <v>1210</v>
      </c>
      <c r="F835" s="5" t="s">
        <v>1212</v>
      </c>
    </row>
    <row r="836">
      <c r="A836" s="5">
        <v>9.990256379E9</v>
      </c>
      <c r="B836" s="6">
        <v>45741.820247048614</v>
      </c>
      <c r="C836" s="7">
        <v>68.0</v>
      </c>
      <c r="D836" s="5" t="s">
        <v>1209</v>
      </c>
      <c r="E836" s="5" t="s">
        <v>1210</v>
      </c>
      <c r="F836" s="5" t="s">
        <v>1211</v>
      </c>
    </row>
    <row r="837">
      <c r="A837" s="5">
        <v>9.999373896E9</v>
      </c>
      <c r="B837" s="6">
        <v>45742.78840232639</v>
      </c>
      <c r="C837" s="7">
        <v>1.0</v>
      </c>
      <c r="D837" s="5" t="s">
        <v>1213</v>
      </c>
      <c r="E837" s="5" t="s">
        <v>1210</v>
      </c>
      <c r="F837" s="5" t="s">
        <v>1211</v>
      </c>
    </row>
    <row r="838">
      <c r="A838" s="5">
        <v>9.205726956E9</v>
      </c>
      <c r="B838" s="6">
        <v>45743.68951202546</v>
      </c>
      <c r="C838" s="7">
        <v>1.0</v>
      </c>
      <c r="D838" s="5" t="s">
        <v>1213</v>
      </c>
      <c r="E838" s="5" t="s">
        <v>1210</v>
      </c>
      <c r="F838" s="5" t="s">
        <v>1212</v>
      </c>
    </row>
    <row r="839">
      <c r="A839" s="5">
        <v>9.826419725E9</v>
      </c>
      <c r="B839" s="6">
        <v>45748.784423425925</v>
      </c>
      <c r="C839" s="7">
        <v>1.0</v>
      </c>
      <c r="D839" s="5" t="s">
        <v>1213</v>
      </c>
      <c r="E839" s="5" t="s">
        <v>1210</v>
      </c>
      <c r="F839" s="5" t="s">
        <v>1211</v>
      </c>
    </row>
    <row r="840">
      <c r="A840" s="5">
        <v>8.447166487E9</v>
      </c>
      <c r="B840" s="6">
        <v>45750.780495150466</v>
      </c>
      <c r="C840" s="7">
        <v>1.0</v>
      </c>
      <c r="D840" s="5" t="s">
        <v>1213</v>
      </c>
      <c r="E840" s="5" t="s">
        <v>1210</v>
      </c>
      <c r="F840" s="5" t="s">
        <v>1211</v>
      </c>
    </row>
    <row r="841">
      <c r="A841" s="5">
        <v>9.811311747E9</v>
      </c>
      <c r="B841" s="6">
        <v>45750.78186633102</v>
      </c>
      <c r="C841" s="7">
        <v>1.0</v>
      </c>
      <c r="D841" s="5" t="s">
        <v>1213</v>
      </c>
      <c r="E841" s="5" t="s">
        <v>1210</v>
      </c>
      <c r="F841" s="5" t="s">
        <v>1212</v>
      </c>
    </row>
    <row r="842">
      <c r="A842" s="5">
        <v>9.899459402E9</v>
      </c>
      <c r="B842" s="6">
        <v>45751.71365854167</v>
      </c>
      <c r="C842" s="7">
        <v>1.0</v>
      </c>
      <c r="D842" s="5" t="s">
        <v>1213</v>
      </c>
      <c r="E842" s="5" t="s">
        <v>1210</v>
      </c>
      <c r="F842" s="5" t="s">
        <v>1211</v>
      </c>
    </row>
    <row r="843">
      <c r="A843" s="5">
        <v>9.81116777E9</v>
      </c>
      <c r="B843" s="6">
        <v>45751.71611972222</v>
      </c>
      <c r="C843" s="7">
        <v>1.0</v>
      </c>
      <c r="D843" s="5" t="s">
        <v>1209</v>
      </c>
      <c r="E843" s="5" t="s">
        <v>1210</v>
      </c>
      <c r="F843" s="5" t="s">
        <v>1212</v>
      </c>
    </row>
    <row r="844">
      <c r="A844" s="5">
        <v>9.289317137E9</v>
      </c>
      <c r="B844" s="6">
        <v>45812.748504918985</v>
      </c>
      <c r="C844" s="7">
        <v>68.0</v>
      </c>
      <c r="D844" s="5" t="s">
        <v>1213</v>
      </c>
      <c r="E844" s="5" t="s">
        <v>1210</v>
      </c>
      <c r="F844" s="5" t="s">
        <v>1211</v>
      </c>
    </row>
    <row r="845">
      <c r="A845" s="5">
        <v>9.323726535E9</v>
      </c>
      <c r="B845" s="6">
        <v>45812.75599178241</v>
      </c>
      <c r="C845" s="7">
        <v>1.0</v>
      </c>
      <c r="D845" s="5" t="s">
        <v>1214</v>
      </c>
      <c r="E845" s="5" t="s">
        <v>1210</v>
      </c>
      <c r="F845" s="5" t="s">
        <v>1215</v>
      </c>
    </row>
    <row r="846">
      <c r="A846" s="5">
        <v>9.811233455E9</v>
      </c>
      <c r="B846" s="6">
        <v>45812.79958731482</v>
      </c>
      <c r="C846" s="7">
        <v>1.0</v>
      </c>
      <c r="D846" s="5" t="s">
        <v>1213</v>
      </c>
      <c r="E846" s="5" t="s">
        <v>1210</v>
      </c>
      <c r="F846" s="5" t="s">
        <v>1211</v>
      </c>
    </row>
    <row r="847">
      <c r="A847" s="5">
        <v>9.650060991E9</v>
      </c>
      <c r="B847" s="6">
        <v>45813.50837458333</v>
      </c>
      <c r="C847" s="7">
        <v>1.0</v>
      </c>
      <c r="D847" s="5" t="s">
        <v>1214</v>
      </c>
      <c r="E847" s="5" t="s">
        <v>1210</v>
      </c>
      <c r="F847" s="5" t="s">
        <v>1211</v>
      </c>
    </row>
    <row r="848">
      <c r="A848" s="5">
        <v>9.818345009E9</v>
      </c>
      <c r="B848" s="6">
        <v>45814.60830289352</v>
      </c>
      <c r="C848" s="7">
        <v>1.0</v>
      </c>
      <c r="D848" s="5" t="s">
        <v>1214</v>
      </c>
      <c r="E848" s="5" t="s">
        <v>1210</v>
      </c>
      <c r="F848" s="5" t="s">
        <v>1212</v>
      </c>
    </row>
    <row r="849">
      <c r="A849" s="5">
        <v>9.860483319E9</v>
      </c>
      <c r="B849" s="6">
        <v>45816.71458196759</v>
      </c>
      <c r="C849" s="7">
        <v>1.0</v>
      </c>
      <c r="D849" s="5" t="s">
        <v>1214</v>
      </c>
      <c r="E849" s="5" t="s">
        <v>1210</v>
      </c>
      <c r="F849" s="5" t="s">
        <v>1212</v>
      </c>
    </row>
    <row r="850">
      <c r="A850" s="5">
        <v>9.079826701E9</v>
      </c>
      <c r="B850" s="6">
        <v>45816.716000706016</v>
      </c>
      <c r="C850" s="7">
        <v>1.0</v>
      </c>
      <c r="D850" s="5" t="s">
        <v>1213</v>
      </c>
      <c r="E850" s="5" t="s">
        <v>1210</v>
      </c>
      <c r="F850" s="5" t="s">
        <v>1212</v>
      </c>
    </row>
    <row r="851">
      <c r="A851" s="5">
        <v>9.667337279E9</v>
      </c>
      <c r="B851" s="6">
        <v>45816.72453871528</v>
      </c>
      <c r="C851" s="7">
        <v>1.0</v>
      </c>
      <c r="D851" s="5" t="s">
        <v>1213</v>
      </c>
      <c r="E851" s="5" t="s">
        <v>1210</v>
      </c>
      <c r="F851" s="5" t="s">
        <v>1211</v>
      </c>
    </row>
    <row r="852">
      <c r="A852" s="5">
        <v>7.827677772E9</v>
      </c>
      <c r="B852" s="6">
        <v>45818.73518078704</v>
      </c>
      <c r="C852" s="7">
        <v>1.0</v>
      </c>
      <c r="D852" s="5" t="s">
        <v>1214</v>
      </c>
      <c r="E852" s="5" t="s">
        <v>1210</v>
      </c>
      <c r="F852" s="5" t="s">
        <v>1211</v>
      </c>
    </row>
    <row r="853">
      <c r="A853" s="5">
        <v>9.95311425E9</v>
      </c>
      <c r="B853" s="6">
        <v>45820.71434715278</v>
      </c>
      <c r="C853" s="7">
        <v>1.0</v>
      </c>
      <c r="D853" s="5" t="s">
        <v>1214</v>
      </c>
      <c r="E853" s="5" t="s">
        <v>1210</v>
      </c>
      <c r="F853" s="5" t="s">
        <v>1212</v>
      </c>
    </row>
    <row r="854">
      <c r="A854" s="5">
        <v>9.81182022E9</v>
      </c>
      <c r="B854" s="6">
        <v>45821.481412974535</v>
      </c>
      <c r="C854" s="7">
        <v>1.0</v>
      </c>
      <c r="D854" s="5" t="s">
        <v>1214</v>
      </c>
      <c r="E854" s="5" t="s">
        <v>1210</v>
      </c>
      <c r="F854" s="5" t="s">
        <v>1211</v>
      </c>
    </row>
    <row r="855">
      <c r="A855" s="5">
        <v>9.810548661E9</v>
      </c>
      <c r="B855" s="6">
        <v>45821.769646782406</v>
      </c>
      <c r="C855" s="7">
        <v>1.0</v>
      </c>
      <c r="D855" s="5" t="s">
        <v>1214</v>
      </c>
      <c r="E855" s="5" t="s">
        <v>1210</v>
      </c>
      <c r="F855" s="5" t="s">
        <v>1211</v>
      </c>
    </row>
    <row r="856">
      <c r="A856" s="5">
        <v>8.860015116E9</v>
      </c>
      <c r="B856" s="6">
        <v>45821.78472789352</v>
      </c>
      <c r="C856" s="7">
        <v>68.0</v>
      </c>
      <c r="D856" s="5" t="s">
        <v>1213</v>
      </c>
      <c r="E856" s="5" t="s">
        <v>1210</v>
      </c>
      <c r="F856" s="5" t="s">
        <v>1212</v>
      </c>
    </row>
    <row r="857">
      <c r="A857" s="5">
        <v>9.996528515E9</v>
      </c>
      <c r="B857" s="6">
        <v>45823.502086203705</v>
      </c>
      <c r="C857" s="7">
        <v>1.0</v>
      </c>
      <c r="D857" s="5" t="s">
        <v>1214</v>
      </c>
      <c r="E857" s="5" t="s">
        <v>1210</v>
      </c>
      <c r="F857" s="5" t="s">
        <v>1212</v>
      </c>
    </row>
    <row r="858">
      <c r="A858" s="5">
        <v>8.432506262E9</v>
      </c>
      <c r="B858" s="6">
        <v>45823.50380659722</v>
      </c>
      <c r="C858" s="7">
        <v>1.0</v>
      </c>
      <c r="D858" s="5" t="s">
        <v>1214</v>
      </c>
      <c r="E858" s="5" t="s">
        <v>1210</v>
      </c>
      <c r="F858" s="5" t="s">
        <v>1211</v>
      </c>
    </row>
    <row r="859">
      <c r="A859" s="5">
        <v>9.625570997E9</v>
      </c>
      <c r="B859" s="6">
        <v>45823.670633368056</v>
      </c>
      <c r="C859" s="7">
        <v>1.0</v>
      </c>
      <c r="D859" s="5" t="s">
        <v>1213</v>
      </c>
      <c r="E859" s="5" t="s">
        <v>1210</v>
      </c>
      <c r="F859" s="5" t="s">
        <v>1212</v>
      </c>
    </row>
    <row r="860">
      <c r="A860" s="5">
        <v>9.708351987E9</v>
      </c>
      <c r="B860" s="6">
        <v>45823.70686737269</v>
      </c>
      <c r="C860" s="7">
        <v>1.0</v>
      </c>
      <c r="D860" s="5" t="s">
        <v>1213</v>
      </c>
      <c r="E860" s="5" t="s">
        <v>1210</v>
      </c>
      <c r="F860" s="5" t="s">
        <v>1211</v>
      </c>
    </row>
    <row r="861">
      <c r="A861" s="5">
        <v>9.211910401E9</v>
      </c>
      <c r="B861" s="6">
        <v>45825.65235665509</v>
      </c>
      <c r="C861" s="7">
        <v>68.0</v>
      </c>
      <c r="D861" s="5" t="s">
        <v>1213</v>
      </c>
      <c r="E861" s="5" t="s">
        <v>1210</v>
      </c>
      <c r="F861" s="5" t="s">
        <v>1212</v>
      </c>
    </row>
    <row r="862">
      <c r="A862" s="5">
        <v>9.811224638E9</v>
      </c>
      <c r="B862" s="6">
        <v>45825.65373712963</v>
      </c>
      <c r="C862" s="7">
        <v>68.0</v>
      </c>
      <c r="D862" s="5" t="s">
        <v>1213</v>
      </c>
      <c r="E862" s="5" t="s">
        <v>1210</v>
      </c>
      <c r="F862" s="5" t="s">
        <v>1212</v>
      </c>
    </row>
    <row r="863">
      <c r="A863" s="5">
        <v>9.311409596E9</v>
      </c>
      <c r="B863" s="6">
        <v>45825.65511258102</v>
      </c>
      <c r="C863" s="7">
        <v>1.0</v>
      </c>
      <c r="D863" s="5" t="s">
        <v>1213</v>
      </c>
      <c r="E863" s="5" t="s">
        <v>1210</v>
      </c>
      <c r="F863" s="5" t="s">
        <v>1212</v>
      </c>
    </row>
    <row r="864">
      <c r="A864" s="5">
        <v>8.882916844E9</v>
      </c>
      <c r="B864" s="6">
        <v>45825.65782811343</v>
      </c>
      <c r="C864" s="7">
        <v>1.0</v>
      </c>
      <c r="D864" s="5" t="s">
        <v>1214</v>
      </c>
      <c r="E864" s="5" t="s">
        <v>1210</v>
      </c>
      <c r="F864" s="5" t="s">
        <v>1211</v>
      </c>
    </row>
    <row r="865">
      <c r="A865" s="5">
        <v>9.891567166E9</v>
      </c>
      <c r="B865" s="6">
        <v>45826.63493443287</v>
      </c>
      <c r="C865" s="7">
        <v>1.0</v>
      </c>
      <c r="D865" s="5" t="s">
        <v>1214</v>
      </c>
      <c r="E865" s="5" t="s">
        <v>1210</v>
      </c>
    </row>
    <row r="866">
      <c r="A866" s="5">
        <v>9.811084741E9</v>
      </c>
      <c r="B866" s="6">
        <v>45826.74589319444</v>
      </c>
      <c r="C866" s="7">
        <v>1.0</v>
      </c>
      <c r="D866" s="5" t="s">
        <v>1213</v>
      </c>
      <c r="E866" s="5" t="s">
        <v>1210</v>
      </c>
      <c r="F866" s="5" t="s">
        <v>1211</v>
      </c>
    </row>
    <row r="867">
      <c r="A867" s="5">
        <v>9.811072827E9</v>
      </c>
      <c r="B867" s="6">
        <v>45827.738293773145</v>
      </c>
      <c r="C867" s="7">
        <v>1.0</v>
      </c>
      <c r="D867" s="5" t="s">
        <v>1213</v>
      </c>
      <c r="E867" s="5" t="s">
        <v>1210</v>
      </c>
      <c r="F867" s="5" t="s">
        <v>1211</v>
      </c>
    </row>
    <row r="868">
      <c r="A868" s="5">
        <v>9.811505962E9</v>
      </c>
      <c r="B868" s="6">
        <v>45827.73970719907</v>
      </c>
      <c r="C868" s="7">
        <v>1.0</v>
      </c>
      <c r="D868" s="5" t="s">
        <v>1213</v>
      </c>
      <c r="E868" s="5" t="s">
        <v>1210</v>
      </c>
      <c r="F868" s="5" t="s">
        <v>1211</v>
      </c>
    </row>
    <row r="869">
      <c r="A869" s="5">
        <v>9.4192007E9</v>
      </c>
      <c r="B869" s="6">
        <v>45827.74571349537</v>
      </c>
      <c r="C869" s="7">
        <v>1.0</v>
      </c>
      <c r="D869" s="5" t="s">
        <v>1214</v>
      </c>
      <c r="E869" s="5" t="s">
        <v>1210</v>
      </c>
      <c r="F869" s="5" t="s">
        <v>1212</v>
      </c>
    </row>
    <row r="870">
      <c r="A870" s="5">
        <v>7.417489778E9</v>
      </c>
      <c r="B870" s="6">
        <v>45828.680846874995</v>
      </c>
      <c r="C870" s="7">
        <v>1.0</v>
      </c>
      <c r="D870" s="5" t="s">
        <v>1213</v>
      </c>
      <c r="E870" s="5" t="s">
        <v>1210</v>
      </c>
      <c r="F870" s="5" t="s">
        <v>1211</v>
      </c>
    </row>
    <row r="871">
      <c r="A871" s="5">
        <v>9.650778004E9</v>
      </c>
      <c r="B871" s="6">
        <v>45829.567476446755</v>
      </c>
      <c r="C871" s="7">
        <v>1.0</v>
      </c>
      <c r="D871" s="5" t="s">
        <v>1213</v>
      </c>
      <c r="E871" s="5" t="s">
        <v>1210</v>
      </c>
      <c r="F871" s="5" t="s">
        <v>1211</v>
      </c>
    </row>
    <row r="872">
      <c r="A872" s="5">
        <v>9.999942122E9</v>
      </c>
      <c r="B872" s="6">
        <v>45829.67913771991</v>
      </c>
      <c r="C872" s="7">
        <v>1.0</v>
      </c>
      <c r="D872" s="5" t="s">
        <v>1214</v>
      </c>
      <c r="E872" s="5" t="s">
        <v>1210</v>
      </c>
      <c r="F872" s="5" t="s">
        <v>1211</v>
      </c>
    </row>
    <row r="873">
      <c r="A873" s="5">
        <v>7.846882641E9</v>
      </c>
      <c r="B873" s="6">
        <v>45830.719717314816</v>
      </c>
      <c r="C873" s="7">
        <v>1.0</v>
      </c>
      <c r="D873" s="5" t="s">
        <v>1213</v>
      </c>
      <c r="E873" s="5" t="s">
        <v>1210</v>
      </c>
      <c r="F873" s="5" t="s">
        <v>1211</v>
      </c>
    </row>
    <row r="874">
      <c r="A874" s="5">
        <v>7.806897981E9</v>
      </c>
      <c r="B874" s="6">
        <v>45830.721060717595</v>
      </c>
      <c r="C874" s="7">
        <v>1.0</v>
      </c>
      <c r="D874" s="5" t="s">
        <v>1214</v>
      </c>
      <c r="E874" s="5" t="s">
        <v>1210</v>
      </c>
      <c r="F874" s="5" t="s">
        <v>1211</v>
      </c>
    </row>
    <row r="875">
      <c r="A875" s="5">
        <v>8.8603534E9</v>
      </c>
      <c r="B875" s="6">
        <v>45833.7028408912</v>
      </c>
      <c r="C875" s="7">
        <v>1.0</v>
      </c>
      <c r="D875" s="5" t="s">
        <v>1213</v>
      </c>
      <c r="E875" s="5" t="s">
        <v>1210</v>
      </c>
      <c r="F875" s="5" t="s">
        <v>1211</v>
      </c>
    </row>
    <row r="876">
      <c r="A876" s="5">
        <v>9.818260067E9</v>
      </c>
      <c r="B876" s="6">
        <v>45837.74402506945</v>
      </c>
      <c r="C876" s="7">
        <v>1.0</v>
      </c>
      <c r="D876" s="5" t="s">
        <v>1214</v>
      </c>
      <c r="E876" s="5" t="s">
        <v>1210</v>
      </c>
      <c r="F876" s="5" t="s">
        <v>1212</v>
      </c>
    </row>
    <row r="877">
      <c r="A877" s="5">
        <v>8.744042452E9</v>
      </c>
      <c r="B877" s="6">
        <v>45839.59901627315</v>
      </c>
      <c r="C877" s="7">
        <v>1.0</v>
      </c>
      <c r="D877" s="5" t="s">
        <v>1213</v>
      </c>
      <c r="E877" s="5" t="s">
        <v>1210</v>
      </c>
      <c r="F877" s="5" t="s">
        <v>1211</v>
      </c>
    </row>
    <row r="878">
      <c r="A878" s="5">
        <v>1.425356605E9</v>
      </c>
      <c r="B878" s="6">
        <v>45839.742346377316</v>
      </c>
      <c r="C878" s="7">
        <v>1.0</v>
      </c>
      <c r="D878" s="5" t="s">
        <v>1213</v>
      </c>
      <c r="E878" s="5" t="s">
        <v>1210</v>
      </c>
      <c r="F878" s="5" t="s">
        <v>1212</v>
      </c>
    </row>
    <row r="879">
      <c r="A879" s="5">
        <v>9.013927456E9</v>
      </c>
      <c r="B879" s="6">
        <v>45841.781969062504</v>
      </c>
      <c r="C879" s="7">
        <v>464.0</v>
      </c>
      <c r="D879" s="5" t="s">
        <v>1213</v>
      </c>
      <c r="E879" s="5" t="s">
        <v>1210</v>
      </c>
      <c r="F879" s="5" t="s">
        <v>1211</v>
      </c>
    </row>
    <row r="880">
      <c r="A880" s="5">
        <v>8.802798023E9</v>
      </c>
      <c r="B880" s="6">
        <v>45842.77763024306</v>
      </c>
      <c r="C880" s="7">
        <v>1.0</v>
      </c>
      <c r="D880" s="5" t="s">
        <v>1213</v>
      </c>
      <c r="E880" s="5" t="s">
        <v>1210</v>
      </c>
      <c r="F880" s="5" t="s">
        <v>1211</v>
      </c>
    </row>
    <row r="881">
      <c r="A881" s="5">
        <v>9.654195544E9</v>
      </c>
      <c r="B881" s="6">
        <v>45846.788228414356</v>
      </c>
      <c r="C881" s="7">
        <v>1.0</v>
      </c>
      <c r="D881" s="5" t="s">
        <v>1213</v>
      </c>
      <c r="E881" s="5" t="s">
        <v>1210</v>
      </c>
      <c r="F881" s="5" t="s">
        <v>1211</v>
      </c>
    </row>
    <row r="882">
      <c r="A882" s="5">
        <v>9.21273974E9</v>
      </c>
      <c r="B882" s="6">
        <v>45847.574730625</v>
      </c>
      <c r="C882" s="7">
        <v>1.0</v>
      </c>
      <c r="D882" s="5" t="s">
        <v>1213</v>
      </c>
      <c r="E882" s="5" t="s">
        <v>1210</v>
      </c>
      <c r="F882" s="5" t="s">
        <v>1211</v>
      </c>
    </row>
    <row r="883">
      <c r="A883" s="5">
        <v>8.076175003E9</v>
      </c>
      <c r="B883" s="6">
        <v>45847.727505069444</v>
      </c>
      <c r="C883" s="7">
        <v>68.0</v>
      </c>
      <c r="D883" s="5" t="s">
        <v>1213</v>
      </c>
      <c r="E883" s="5" t="s">
        <v>1210</v>
      </c>
      <c r="F883" s="5" t="s">
        <v>1211</v>
      </c>
    </row>
    <row r="884">
      <c r="A884" s="5">
        <v>9.899993041E9</v>
      </c>
      <c r="B884" s="6">
        <v>45850.73150550926</v>
      </c>
      <c r="C884" s="7">
        <v>1.0</v>
      </c>
      <c r="D884" s="5" t="s">
        <v>1214</v>
      </c>
      <c r="E884" s="5" t="s">
        <v>1210</v>
      </c>
      <c r="F884" s="5" t="s">
        <v>1212</v>
      </c>
    </row>
    <row r="885">
      <c r="A885" s="5">
        <v>9.920524024E9</v>
      </c>
      <c r="B885" s="6">
        <v>45851.66149184028</v>
      </c>
      <c r="C885" s="7">
        <v>1.0</v>
      </c>
      <c r="D885" s="5" t="s">
        <v>1213</v>
      </c>
      <c r="E885" s="5" t="s">
        <v>1210</v>
      </c>
      <c r="F885" s="5" t="s">
        <v>1211</v>
      </c>
    </row>
    <row r="886">
      <c r="A886" s="5">
        <v>9.717998888E9</v>
      </c>
      <c r="B886" s="6">
        <v>45851.70245141204</v>
      </c>
      <c r="C886" s="7">
        <v>1.0</v>
      </c>
      <c r="D886" s="5" t="s">
        <v>1214</v>
      </c>
      <c r="E886" s="5" t="s">
        <v>1210</v>
      </c>
      <c r="F886" s="5" t="s">
        <v>1212</v>
      </c>
    </row>
    <row r="887">
      <c r="A887" s="5">
        <v>9.013967456E9</v>
      </c>
      <c r="B887" s="6">
        <v>45856.73461755787</v>
      </c>
      <c r="C887" s="7">
        <v>1.0</v>
      </c>
      <c r="D887" s="5" t="s">
        <v>1213</v>
      </c>
      <c r="E887" s="5" t="s">
        <v>1210</v>
      </c>
      <c r="F887" s="5" t="s">
        <v>1215</v>
      </c>
    </row>
    <row r="888">
      <c r="A888" s="5">
        <v>9.899655488E9</v>
      </c>
      <c r="B888" s="6">
        <v>45858.77324200231</v>
      </c>
      <c r="C888" s="7">
        <v>1.0</v>
      </c>
      <c r="D888" s="5" t="s">
        <v>1213</v>
      </c>
      <c r="E888" s="5" t="s">
        <v>1210</v>
      </c>
      <c r="F888" s="5" t="s">
        <v>1211</v>
      </c>
    </row>
    <row r="889">
      <c r="A889" s="5">
        <v>9.555930963E9</v>
      </c>
      <c r="B889" s="6">
        <v>45860.56303535879</v>
      </c>
      <c r="C889" s="7">
        <v>1.0</v>
      </c>
      <c r="D889" s="5" t="s">
        <v>1213</v>
      </c>
      <c r="E889" s="5" t="s">
        <v>1210</v>
      </c>
      <c r="F889" s="5" t="s">
        <v>1215</v>
      </c>
    </row>
    <row r="890">
      <c r="A890" s="5">
        <v>9.81807272E9</v>
      </c>
      <c r="B890" s="6">
        <v>45860.565457442135</v>
      </c>
      <c r="C890" s="7">
        <v>68.0</v>
      </c>
      <c r="D890" s="5" t="s">
        <v>1213</v>
      </c>
      <c r="E890" s="5" t="s">
        <v>1210</v>
      </c>
      <c r="F890" s="5" t="s">
        <v>1211</v>
      </c>
    </row>
    <row r="891">
      <c r="A891" s="5">
        <v>9.818611586E9</v>
      </c>
      <c r="B891" s="6">
        <v>45860.5749277662</v>
      </c>
      <c r="C891" s="7">
        <v>68.0</v>
      </c>
      <c r="D891" s="5" t="s">
        <v>1213</v>
      </c>
      <c r="E891" s="5" t="s">
        <v>1210</v>
      </c>
      <c r="F891" s="5" t="s">
        <v>1211</v>
      </c>
    </row>
    <row r="892">
      <c r="A892" s="5">
        <v>8.68606686E9</v>
      </c>
      <c r="B892" s="6">
        <v>45861.52676532407</v>
      </c>
      <c r="C892" s="7">
        <v>1.0</v>
      </c>
      <c r="D892" s="5" t="s">
        <v>1213</v>
      </c>
      <c r="E892" s="5" t="s">
        <v>1210</v>
      </c>
      <c r="F892" s="5" t="s">
        <v>1212</v>
      </c>
    </row>
    <row r="893">
      <c r="A893" s="5">
        <v>9.811466448E9</v>
      </c>
      <c r="B893" s="6">
        <v>45862.55195180555</v>
      </c>
      <c r="C893" s="7">
        <v>1.0</v>
      </c>
      <c r="D893" s="5" t="s">
        <v>1214</v>
      </c>
      <c r="E893" s="5" t="s">
        <v>1210</v>
      </c>
      <c r="F893" s="5" t="s">
        <v>1212</v>
      </c>
    </row>
    <row r="894">
      <c r="A894" s="5">
        <v>9.650947399E9</v>
      </c>
      <c r="B894" s="6">
        <v>45863.70020677084</v>
      </c>
      <c r="C894" s="7">
        <v>1.0</v>
      </c>
      <c r="D894" s="5" t="s">
        <v>1213</v>
      </c>
      <c r="E894" s="5" t="s">
        <v>1210</v>
      </c>
      <c r="F894" s="5" t="s">
        <v>1211</v>
      </c>
    </row>
    <row r="895">
      <c r="A895" s="5">
        <v>9.62533502E9</v>
      </c>
      <c r="B895" s="6">
        <v>45864.72408598379</v>
      </c>
      <c r="C895" s="7">
        <v>1.0</v>
      </c>
      <c r="D895" s="5" t="s">
        <v>1213</v>
      </c>
      <c r="E895" s="5" t="s">
        <v>1210</v>
      </c>
      <c r="F895" s="5" t="s">
        <v>1211</v>
      </c>
    </row>
    <row r="896">
      <c r="A896" s="5">
        <v>8.860855515E9</v>
      </c>
      <c r="B896" s="6">
        <v>45868.519460474534</v>
      </c>
      <c r="C896" s="7">
        <v>1.0</v>
      </c>
      <c r="D896" s="5" t="s">
        <v>1213</v>
      </c>
      <c r="E896" s="5" t="s">
        <v>1210</v>
      </c>
      <c r="F896" s="5" t="s">
        <v>1212</v>
      </c>
    </row>
    <row r="897">
      <c r="A897" s="5">
        <v>9.8996911E9</v>
      </c>
      <c r="B897" s="6">
        <v>45868.645426296294</v>
      </c>
      <c r="C897" s="7">
        <v>68.0</v>
      </c>
      <c r="D897" s="5" t="s">
        <v>1213</v>
      </c>
      <c r="E897" s="5" t="s">
        <v>1210</v>
      </c>
      <c r="F897" s="5" t="s">
        <v>1212</v>
      </c>
    </row>
    <row r="898">
      <c r="A898" s="5">
        <v>9.818881865E9</v>
      </c>
      <c r="B898" s="6">
        <v>45870.656302731484</v>
      </c>
      <c r="C898" s="7">
        <v>1.0</v>
      </c>
      <c r="D898" s="5" t="s">
        <v>1214</v>
      </c>
      <c r="E898" s="5" t="s">
        <v>1210</v>
      </c>
      <c r="F898" s="5" t="s">
        <v>1211</v>
      </c>
    </row>
    <row r="899">
      <c r="A899" s="5">
        <v>9.350001947E9</v>
      </c>
      <c r="B899" s="6">
        <v>45871.66996517361</v>
      </c>
      <c r="C899" s="7">
        <v>1.0</v>
      </c>
      <c r="D899" s="5" t="s">
        <v>1214</v>
      </c>
      <c r="E899" s="5" t="s">
        <v>1210</v>
      </c>
      <c r="F899" s="5" t="s">
        <v>1211</v>
      </c>
    </row>
    <row r="900">
      <c r="A900" s="5">
        <v>9.650461574E9</v>
      </c>
      <c r="B900" s="6">
        <v>45871.67283924768</v>
      </c>
      <c r="C900" s="7">
        <v>1.0</v>
      </c>
      <c r="D900" s="5" t="s">
        <v>1213</v>
      </c>
      <c r="E900" s="5" t="s">
        <v>1210</v>
      </c>
      <c r="F900" s="5" t="s">
        <v>1212</v>
      </c>
    </row>
    <row r="901">
      <c r="A901" s="5">
        <v>9.999918304E9</v>
      </c>
      <c r="B901" s="6">
        <v>45874.70626445602</v>
      </c>
      <c r="C901" s="7">
        <v>1.0</v>
      </c>
      <c r="D901" s="5" t="s">
        <v>1214</v>
      </c>
      <c r="E901" s="5" t="s">
        <v>1210</v>
      </c>
      <c r="F901" s="5" t="s">
        <v>1212</v>
      </c>
    </row>
    <row r="902">
      <c r="A902" s="5">
        <v>9.21242235E9</v>
      </c>
      <c r="B902" s="6">
        <v>45874.708178182875</v>
      </c>
      <c r="C902" s="7">
        <v>1.0</v>
      </c>
      <c r="D902" s="5" t="s">
        <v>1213</v>
      </c>
      <c r="E902" s="5" t="s">
        <v>1210</v>
      </c>
      <c r="F902" s="5" t="s">
        <v>1212</v>
      </c>
    </row>
    <row r="903">
      <c r="A903" s="5">
        <v>8.105988005E9</v>
      </c>
      <c r="B903" s="6">
        <v>45874.70967885417</v>
      </c>
      <c r="C903" s="7">
        <v>135.0</v>
      </c>
      <c r="D903" s="5" t="s">
        <v>1213</v>
      </c>
      <c r="E903" s="5" t="s">
        <v>1210</v>
      </c>
      <c r="F903" s="5" t="s">
        <v>1211</v>
      </c>
    </row>
    <row r="904">
      <c r="A904" s="5">
        <v>9.818011805E9</v>
      </c>
      <c r="B904" s="6">
        <v>45874.71850321759</v>
      </c>
      <c r="C904" s="7">
        <v>1.0</v>
      </c>
      <c r="D904" s="5" t="s">
        <v>1214</v>
      </c>
      <c r="E904" s="5" t="s">
        <v>1210</v>
      </c>
      <c r="F904" s="5" t="s">
        <v>1215</v>
      </c>
    </row>
    <row r="905">
      <c r="A905" s="5">
        <v>9.899199723E9</v>
      </c>
      <c r="B905" s="6">
        <v>45876.58301149306</v>
      </c>
      <c r="C905" s="7">
        <v>1.0</v>
      </c>
      <c r="D905" s="5" t="s">
        <v>1213</v>
      </c>
      <c r="E905" s="5" t="s">
        <v>1210</v>
      </c>
      <c r="F905" s="5" t="s">
        <v>1211</v>
      </c>
    </row>
    <row r="906">
      <c r="A906" s="5">
        <v>9.796222585E9</v>
      </c>
      <c r="B906" s="6">
        <v>45876.61642340278</v>
      </c>
      <c r="C906" s="7">
        <v>1.0</v>
      </c>
      <c r="D906" s="5" t="s">
        <v>1213</v>
      </c>
      <c r="E906" s="5" t="s">
        <v>1210</v>
      </c>
      <c r="F906" s="5" t="s">
        <v>1212</v>
      </c>
    </row>
    <row r="907">
      <c r="A907" s="5">
        <v>7.065703296E9</v>
      </c>
      <c r="B907" s="6">
        <v>45876.742764560186</v>
      </c>
      <c r="C907" s="7">
        <v>1.0</v>
      </c>
      <c r="D907" s="5" t="s">
        <v>1213</v>
      </c>
      <c r="E907" s="5" t="s">
        <v>1210</v>
      </c>
      <c r="F907" s="5" t="s">
        <v>1211</v>
      </c>
    </row>
    <row r="908">
      <c r="A908" s="5">
        <v>9.650119669E9</v>
      </c>
      <c r="B908" s="6">
        <v>45883.78479805555</v>
      </c>
      <c r="C908" s="7">
        <v>1.0</v>
      </c>
      <c r="D908" s="5" t="s">
        <v>1214</v>
      </c>
      <c r="E908" s="5" t="s">
        <v>1210</v>
      </c>
      <c r="F908" s="5" t="s">
        <v>1212</v>
      </c>
    </row>
    <row r="909">
      <c r="A909" s="5">
        <v>9.711816444E9</v>
      </c>
      <c r="B909" s="6">
        <v>45883.79246642361</v>
      </c>
      <c r="C909" s="7">
        <v>1.0</v>
      </c>
      <c r="D909" s="5" t="s">
        <v>1213</v>
      </c>
      <c r="E909" s="5" t="s">
        <v>1210</v>
      </c>
      <c r="F909" s="5" t="s">
        <v>1215</v>
      </c>
    </row>
    <row r="910">
      <c r="A910" s="5">
        <v>9.818293968E9</v>
      </c>
      <c r="B910" s="6">
        <v>45889.56728013889</v>
      </c>
      <c r="C910" s="7">
        <v>1.0</v>
      </c>
      <c r="D910" s="5" t="s">
        <v>1213</v>
      </c>
      <c r="E910" s="5" t="s">
        <v>1210</v>
      </c>
      <c r="F910" s="5" t="s">
        <v>1215</v>
      </c>
    </row>
    <row r="911">
      <c r="A911" s="5">
        <v>9.555722786E9</v>
      </c>
      <c r="B911" s="6">
        <v>45889.56845993055</v>
      </c>
      <c r="C911" s="7">
        <v>1.0</v>
      </c>
      <c r="D911" s="5" t="s">
        <v>1214</v>
      </c>
      <c r="E911" s="5" t="s">
        <v>1210</v>
      </c>
    </row>
    <row r="912">
      <c r="A912" s="5">
        <v>9.891201813E9</v>
      </c>
      <c r="B912" s="6">
        <v>45889.801176574074</v>
      </c>
      <c r="C912" s="7">
        <v>1.0</v>
      </c>
      <c r="D912" s="5" t="s">
        <v>1213</v>
      </c>
      <c r="E912" s="5" t="s">
        <v>1210</v>
      </c>
      <c r="F912" s="5" t="s">
        <v>1211</v>
      </c>
    </row>
    <row r="913">
      <c r="A913" s="5">
        <v>7.01106595E9</v>
      </c>
      <c r="B913" s="6">
        <v>45889.80243597222</v>
      </c>
      <c r="C913" s="7">
        <v>1.0</v>
      </c>
      <c r="D913" s="5" t="s">
        <v>1214</v>
      </c>
      <c r="E913" s="5" t="s">
        <v>1210</v>
      </c>
      <c r="F913" s="5" t="s">
        <v>1215</v>
      </c>
    </row>
    <row r="914">
      <c r="A914" s="5">
        <v>9.811071707E9</v>
      </c>
      <c r="B914" s="6">
        <v>45889.8056134838</v>
      </c>
      <c r="C914" s="7">
        <v>1.0</v>
      </c>
      <c r="D914" s="5" t="s">
        <v>1214</v>
      </c>
      <c r="E914" s="5" t="s">
        <v>1210</v>
      </c>
      <c r="F914" s="5" t="s">
        <v>1211</v>
      </c>
    </row>
    <row r="915">
      <c r="A915" s="5">
        <v>9.999165123E9</v>
      </c>
      <c r="B915" s="6">
        <v>45890.64684112268</v>
      </c>
      <c r="C915" s="7">
        <v>1.0</v>
      </c>
      <c r="D915" s="5" t="s">
        <v>1214</v>
      </c>
      <c r="E915" s="5" t="s">
        <v>1210</v>
      </c>
      <c r="F915" s="5" t="s">
        <v>1211</v>
      </c>
    </row>
    <row r="916">
      <c r="A916" s="5">
        <v>8.448661005E9</v>
      </c>
      <c r="B916" s="6">
        <v>45890.64818456018</v>
      </c>
      <c r="C916" s="7">
        <v>1.0</v>
      </c>
      <c r="D916" s="5" t="s">
        <v>1214</v>
      </c>
      <c r="E916" s="5" t="s">
        <v>1210</v>
      </c>
      <c r="F916" s="5" t="s">
        <v>1215</v>
      </c>
    </row>
    <row r="917">
      <c r="A917" s="5">
        <v>8.826277795E9</v>
      </c>
      <c r="B917" s="6">
        <v>45890.677572546294</v>
      </c>
      <c r="C917" s="7">
        <v>1.0</v>
      </c>
      <c r="D917" s="5" t="s">
        <v>1213</v>
      </c>
      <c r="E917" s="5" t="s">
        <v>1210</v>
      </c>
      <c r="F917" s="5" t="s">
        <v>1211</v>
      </c>
    </row>
    <row r="918">
      <c r="A918" s="5">
        <v>9.871417753E9</v>
      </c>
      <c r="B918" s="6">
        <v>45890.746200740745</v>
      </c>
      <c r="C918" s="7">
        <v>1.0</v>
      </c>
      <c r="D918" s="5" t="s">
        <v>1214</v>
      </c>
      <c r="E918" s="5" t="s">
        <v>1210</v>
      </c>
      <c r="F918" s="5" t="s">
        <v>1212</v>
      </c>
    </row>
    <row r="919">
      <c r="A919" s="5">
        <v>8.07665406E9</v>
      </c>
      <c r="B919" s="6">
        <v>45891.57847445602</v>
      </c>
      <c r="C919" s="7">
        <v>1.0</v>
      </c>
      <c r="D919" s="5" t="s">
        <v>1214</v>
      </c>
      <c r="E919" s="5" t="s">
        <v>1210</v>
      </c>
      <c r="F919" s="5" t="s">
        <v>1211</v>
      </c>
    </row>
    <row r="920">
      <c r="A920" s="5">
        <v>9.619078136E9</v>
      </c>
      <c r="B920" s="6">
        <v>45893.745282627315</v>
      </c>
      <c r="C920" s="7">
        <v>1.0</v>
      </c>
      <c r="D920" s="5" t="s">
        <v>1214</v>
      </c>
      <c r="E920" s="5" t="s">
        <v>1210</v>
      </c>
      <c r="F920" s="5" t="s">
        <v>1211</v>
      </c>
    </row>
    <row r="921">
      <c r="A921" s="5">
        <v>9.870340842E9</v>
      </c>
      <c r="B921" s="6">
        <v>45893.75545465278</v>
      </c>
      <c r="C921" s="7">
        <v>68.0</v>
      </c>
      <c r="D921" s="5" t="s">
        <v>1213</v>
      </c>
      <c r="E921" s="5" t="s">
        <v>1210</v>
      </c>
      <c r="F921" s="5" t="s">
        <v>1211</v>
      </c>
    </row>
    <row r="922">
      <c r="A922" s="5">
        <v>8.447309345E9</v>
      </c>
      <c r="B922" s="6">
        <v>45893.756706817134</v>
      </c>
      <c r="C922" s="7">
        <v>68.0</v>
      </c>
      <c r="D922" s="5" t="s">
        <v>1213</v>
      </c>
      <c r="E922" s="5" t="s">
        <v>1210</v>
      </c>
      <c r="F922" s="5" t="s">
        <v>1212</v>
      </c>
    </row>
    <row r="923">
      <c r="A923" s="5">
        <v>8.595559063E9</v>
      </c>
      <c r="B923" s="6">
        <v>45893.75854616898</v>
      </c>
      <c r="C923" s="7">
        <v>68.0</v>
      </c>
      <c r="D923" s="5" t="s">
        <v>1214</v>
      </c>
      <c r="E923" s="5" t="s">
        <v>1210</v>
      </c>
      <c r="F923" s="5" t="s">
        <v>1211</v>
      </c>
    </row>
    <row r="924">
      <c r="A924" s="5">
        <v>8.076243029E9</v>
      </c>
      <c r="B924" s="6">
        <v>45893.77442508102</v>
      </c>
      <c r="C924" s="7">
        <v>68.0</v>
      </c>
      <c r="D924" s="5" t="s">
        <v>1214</v>
      </c>
      <c r="E924" s="5" t="s">
        <v>1210</v>
      </c>
      <c r="F924" s="5" t="s">
        <v>1211</v>
      </c>
    </row>
    <row r="925">
      <c r="A925" s="5">
        <v>8.010108099E9</v>
      </c>
      <c r="B925" s="6">
        <v>45895.708503807866</v>
      </c>
      <c r="C925" s="7">
        <v>1.0</v>
      </c>
      <c r="D925" s="5" t="s">
        <v>1214</v>
      </c>
      <c r="E925" s="5" t="s">
        <v>1210</v>
      </c>
      <c r="F925" s="5" t="s">
        <v>1215</v>
      </c>
    </row>
    <row r="926">
      <c r="A926" s="5">
        <v>7.01198407E9</v>
      </c>
      <c r="B926" s="6">
        <v>45895.709881504634</v>
      </c>
      <c r="C926" s="7">
        <v>1.0</v>
      </c>
      <c r="D926" s="5" t="s">
        <v>1213</v>
      </c>
      <c r="E926" s="5" t="s">
        <v>1210</v>
      </c>
      <c r="F926" s="5" t="s">
        <v>1211</v>
      </c>
    </row>
    <row r="927">
      <c r="A927" s="5">
        <v>8.800503827E9</v>
      </c>
      <c r="B927" s="6">
        <v>45897.79466506944</v>
      </c>
      <c r="C927" s="7">
        <v>1.0</v>
      </c>
      <c r="D927" s="5" t="s">
        <v>1214</v>
      </c>
      <c r="E927" s="5" t="s">
        <v>1210</v>
      </c>
      <c r="F927" s="5" t="s">
        <v>1211</v>
      </c>
    </row>
    <row r="928">
      <c r="A928" s="5">
        <v>8.178330055E9</v>
      </c>
      <c r="B928" s="6">
        <v>45898.53877373843</v>
      </c>
      <c r="C928" s="7">
        <v>1.0</v>
      </c>
      <c r="D928" s="5" t="s">
        <v>1214</v>
      </c>
      <c r="E928" s="5" t="s">
        <v>1210</v>
      </c>
      <c r="F928" s="5" t="s">
        <v>1211</v>
      </c>
    </row>
    <row r="929">
      <c r="A929" s="5">
        <v>8.800471293E9</v>
      </c>
      <c r="B929" s="6">
        <v>45898.68524943287</v>
      </c>
      <c r="C929" s="7">
        <v>1.0</v>
      </c>
      <c r="D929" s="5" t="s">
        <v>1214</v>
      </c>
      <c r="E929" s="5" t="s">
        <v>1210</v>
      </c>
      <c r="F929" s="5" t="s">
        <v>1215</v>
      </c>
    </row>
    <row r="930">
      <c r="A930" s="5">
        <v>9.313701872E9</v>
      </c>
      <c r="B930" s="6">
        <v>45898.68666386574</v>
      </c>
      <c r="C930" s="7">
        <v>1.0</v>
      </c>
      <c r="D930" s="5" t="s">
        <v>1214</v>
      </c>
      <c r="E930" s="5" t="s">
        <v>1210</v>
      </c>
      <c r="F930" s="5" t="s">
        <v>1211</v>
      </c>
    </row>
    <row r="931">
      <c r="A931" s="5">
        <v>9.810140599E9</v>
      </c>
      <c r="B931" s="6">
        <v>45898.75951322917</v>
      </c>
      <c r="C931" s="7">
        <v>1.0</v>
      </c>
      <c r="D931" s="5" t="s">
        <v>1214</v>
      </c>
      <c r="E931" s="5" t="s">
        <v>1210</v>
      </c>
      <c r="F931" s="5" t="s">
        <v>1212</v>
      </c>
    </row>
    <row r="932">
      <c r="A932" s="5">
        <v>8.076626167E9</v>
      </c>
      <c r="B932" s="6">
        <v>45900.724734351854</v>
      </c>
      <c r="C932" s="7">
        <v>1.0</v>
      </c>
      <c r="D932" s="5" t="s">
        <v>1213</v>
      </c>
      <c r="E932" s="5" t="s">
        <v>1210</v>
      </c>
      <c r="F932" s="5" t="s">
        <v>1211</v>
      </c>
    </row>
    <row r="933">
      <c r="A933" s="5">
        <v>9.821329234E9</v>
      </c>
      <c r="B933" s="6">
        <v>45900.726182708335</v>
      </c>
      <c r="C933" s="7">
        <v>1.0</v>
      </c>
      <c r="D933" s="5" t="s">
        <v>1213</v>
      </c>
      <c r="E933" s="5" t="s">
        <v>1210</v>
      </c>
      <c r="F933" s="5" t="s">
        <v>1211</v>
      </c>
    </row>
    <row r="934">
      <c r="A934" s="5">
        <v>8.826736892E9</v>
      </c>
      <c r="B934" s="6">
        <v>45900.80374994213</v>
      </c>
      <c r="C934" s="7">
        <v>1.0</v>
      </c>
      <c r="D934" s="5" t="s">
        <v>1214</v>
      </c>
      <c r="E934" s="5" t="s">
        <v>1210</v>
      </c>
      <c r="F934" s="5" t="s">
        <v>1211</v>
      </c>
    </row>
    <row r="935">
      <c r="A935" s="5">
        <v>7.01182446E9</v>
      </c>
      <c r="B935" s="6">
        <v>45902.497644965275</v>
      </c>
      <c r="C935" s="7">
        <v>1.0</v>
      </c>
      <c r="D935" s="5" t="s">
        <v>1213</v>
      </c>
      <c r="E935" s="5" t="s">
        <v>1210</v>
      </c>
      <c r="F935" s="5" t="s">
        <v>1211</v>
      </c>
    </row>
    <row r="936">
      <c r="A936" s="5">
        <v>7.827954385E9</v>
      </c>
      <c r="B936" s="6">
        <v>45902.50004616898</v>
      </c>
      <c r="C936" s="7">
        <v>1.0</v>
      </c>
      <c r="D936" s="5" t="s">
        <v>1213</v>
      </c>
      <c r="E936" s="5" t="s">
        <v>1210</v>
      </c>
      <c r="F936" s="5" t="s">
        <v>1211</v>
      </c>
    </row>
    <row r="937">
      <c r="A937" s="5">
        <v>7.001907532E9</v>
      </c>
      <c r="B937" s="6">
        <v>45902.69668554398</v>
      </c>
      <c r="C937" s="7">
        <v>1.0</v>
      </c>
      <c r="D937" s="5" t="s">
        <v>1214</v>
      </c>
      <c r="E937" s="5" t="s">
        <v>1210</v>
      </c>
      <c r="F937" s="5" t="s">
        <v>1215</v>
      </c>
    </row>
    <row r="938">
      <c r="A938" s="5">
        <v>9.811725515E9</v>
      </c>
      <c r="B938" s="6">
        <v>45904.5647784375</v>
      </c>
      <c r="C938" s="7">
        <v>68.0</v>
      </c>
      <c r="D938" s="5" t="s">
        <v>1213</v>
      </c>
      <c r="E938" s="5" t="s">
        <v>1210</v>
      </c>
      <c r="F938" s="5" t="s">
        <v>1212</v>
      </c>
    </row>
    <row r="939">
      <c r="A939" s="5">
        <v>9.873313132E9</v>
      </c>
      <c r="B939" s="6">
        <v>45904.565949375</v>
      </c>
      <c r="C939" s="7">
        <v>1.0</v>
      </c>
      <c r="D939" s="5" t="s">
        <v>1214</v>
      </c>
      <c r="E939" s="5" t="s">
        <v>1210</v>
      </c>
      <c r="F939" s="5" t="s">
        <v>1212</v>
      </c>
    </row>
    <row r="940">
      <c r="A940" s="5">
        <v>9.71838553E9</v>
      </c>
      <c r="B940" s="6">
        <v>45905.70180284722</v>
      </c>
      <c r="C940" s="7">
        <v>1.0</v>
      </c>
      <c r="D940" s="5" t="s">
        <v>1214</v>
      </c>
      <c r="E940" s="5" t="s">
        <v>1210</v>
      </c>
      <c r="F940" s="5" t="s">
        <v>1215</v>
      </c>
    </row>
    <row r="941">
      <c r="A941" s="5">
        <v>9.266985894E9</v>
      </c>
      <c r="B941" s="6">
        <v>45905.78349740741</v>
      </c>
      <c r="C941" s="7">
        <v>1.0</v>
      </c>
      <c r="D941" s="5" t="s">
        <v>1214</v>
      </c>
      <c r="E941" s="5" t="s">
        <v>1210</v>
      </c>
      <c r="F941" s="5" t="s">
        <v>1211</v>
      </c>
    </row>
    <row r="942">
      <c r="A942" s="5">
        <v>9.999481786E9</v>
      </c>
      <c r="B942" s="6">
        <v>45906.61859709491</v>
      </c>
      <c r="C942" s="7">
        <v>135.0</v>
      </c>
      <c r="D942" s="5" t="s">
        <v>1213</v>
      </c>
      <c r="E942" s="5" t="s">
        <v>1210</v>
      </c>
      <c r="F942" s="5" t="s">
        <v>1211</v>
      </c>
    </row>
    <row r="943">
      <c r="A943" s="5">
        <v>9.312248882E9</v>
      </c>
      <c r="B943" s="6">
        <v>45906.73105598379</v>
      </c>
      <c r="C943" s="7">
        <v>1.0</v>
      </c>
      <c r="D943" s="5" t="s">
        <v>1214</v>
      </c>
      <c r="E943" s="5" t="s">
        <v>1210</v>
      </c>
      <c r="F943" s="5" t="s">
        <v>1212</v>
      </c>
    </row>
    <row r="944">
      <c r="A944" s="5">
        <v>9.818997528E9</v>
      </c>
      <c r="B944" s="6">
        <v>45909.57943136574</v>
      </c>
      <c r="C944" s="7">
        <v>1.0</v>
      </c>
      <c r="D944" s="5" t="s">
        <v>1213</v>
      </c>
      <c r="E944" s="5" t="s">
        <v>1210</v>
      </c>
      <c r="F944" s="5" t="s">
        <v>1211</v>
      </c>
    </row>
    <row r="945">
      <c r="A945" s="5">
        <v>9.568339368E9</v>
      </c>
      <c r="B945" s="6">
        <v>45909.58164497685</v>
      </c>
      <c r="C945" s="7">
        <v>1.0</v>
      </c>
      <c r="D945" s="5" t="s">
        <v>1214</v>
      </c>
      <c r="E945" s="5" t="s">
        <v>1210</v>
      </c>
      <c r="F945" s="5" t="s">
        <v>1211</v>
      </c>
    </row>
    <row r="946">
      <c r="A946" s="5">
        <v>9.599444787E9</v>
      </c>
      <c r="B946" s="6">
        <v>45909.5888759838</v>
      </c>
      <c r="C946" s="7">
        <v>68.0</v>
      </c>
      <c r="D946" s="5" t="s">
        <v>1213</v>
      </c>
      <c r="E946" s="5" t="s">
        <v>1210</v>
      </c>
      <c r="F946" s="5" t="s">
        <v>1212</v>
      </c>
    </row>
    <row r="947">
      <c r="A947" s="5">
        <v>2.557752112E9</v>
      </c>
      <c r="B947" s="6">
        <v>45909.59016575231</v>
      </c>
      <c r="C947" s="7">
        <v>1.0</v>
      </c>
      <c r="D947" s="5" t="s">
        <v>1214</v>
      </c>
      <c r="E947" s="5" t="s">
        <v>1210</v>
      </c>
      <c r="F947" s="5" t="s">
        <v>1211</v>
      </c>
    </row>
    <row r="948">
      <c r="A948" s="5">
        <v>9.2110257E9</v>
      </c>
      <c r="B948" s="6">
        <v>45909.77986900463</v>
      </c>
      <c r="C948" s="7">
        <v>1.0</v>
      </c>
      <c r="D948" s="5" t="s">
        <v>1214</v>
      </c>
      <c r="E948" s="5" t="s">
        <v>1210</v>
      </c>
      <c r="F948" s="5" t="s">
        <v>1211</v>
      </c>
    </row>
    <row r="949">
      <c r="A949" s="5">
        <v>9.30989671E9</v>
      </c>
      <c r="B949" s="6">
        <v>45910.7113549537</v>
      </c>
      <c r="C949" s="7">
        <v>1.0</v>
      </c>
      <c r="D949" s="5" t="s">
        <v>1213</v>
      </c>
      <c r="E949" s="5" t="s">
        <v>1210</v>
      </c>
      <c r="F949" s="5" t="s">
        <v>1212</v>
      </c>
    </row>
    <row r="950">
      <c r="A950" s="5">
        <v>9.958443938E9</v>
      </c>
      <c r="B950" s="6">
        <v>45910.71297912037</v>
      </c>
      <c r="C950" s="7">
        <v>1.0</v>
      </c>
      <c r="D950" s="5" t="s">
        <v>1214</v>
      </c>
      <c r="E950" s="5" t="s">
        <v>1210</v>
      </c>
      <c r="F950" s="5" t="s">
        <v>1211</v>
      </c>
    </row>
    <row r="951">
      <c r="A951" s="5">
        <v>9.871122833E9</v>
      </c>
      <c r="B951" s="6">
        <v>45910.715628125</v>
      </c>
      <c r="C951" s="7">
        <v>1.0</v>
      </c>
      <c r="D951" s="5" t="s">
        <v>1214</v>
      </c>
      <c r="E951" s="5" t="s">
        <v>1210</v>
      </c>
      <c r="F951" s="5" t="s">
        <v>1215</v>
      </c>
    </row>
    <row r="952">
      <c r="A952" s="5">
        <v>9.8730251E9</v>
      </c>
      <c r="B952" s="6">
        <v>45911.798174641204</v>
      </c>
      <c r="C952" s="7">
        <v>1.0</v>
      </c>
      <c r="D952" s="5" t="s">
        <v>1213</v>
      </c>
      <c r="E952" s="5" t="s">
        <v>1210</v>
      </c>
      <c r="F952" s="5" t="s">
        <v>1215</v>
      </c>
    </row>
    <row r="953">
      <c r="A953" s="5">
        <v>1.506254417E9</v>
      </c>
      <c r="B953" s="6">
        <v>45911.7993102662</v>
      </c>
      <c r="C953" s="7">
        <v>1.0</v>
      </c>
      <c r="D953" s="5" t="s">
        <v>1214</v>
      </c>
      <c r="E953" s="5" t="s">
        <v>1210</v>
      </c>
      <c r="F953" s="5" t="s">
        <v>1215</v>
      </c>
    </row>
    <row r="954">
      <c r="A954" s="5">
        <v>8.076374848E9</v>
      </c>
      <c r="B954" s="6">
        <v>45913.801520995374</v>
      </c>
      <c r="C954" s="7">
        <v>67.0</v>
      </c>
      <c r="D954" s="5" t="s">
        <v>1213</v>
      </c>
      <c r="E954" s="5" t="s">
        <v>1210</v>
      </c>
      <c r="F954" s="5" t="s">
        <v>1212</v>
      </c>
    </row>
    <row r="955">
      <c r="A955" s="5">
        <v>9.868409966E9</v>
      </c>
      <c r="B955" s="6">
        <v>45914.53493034722</v>
      </c>
      <c r="C955" s="7">
        <v>1.0</v>
      </c>
      <c r="D955" s="5" t="s">
        <v>1213</v>
      </c>
      <c r="E955" s="5" t="s">
        <v>1210</v>
      </c>
      <c r="F955" s="5" t="s">
        <v>1215</v>
      </c>
    </row>
    <row r="956">
      <c r="A956" s="5">
        <v>7.827230212E9</v>
      </c>
      <c r="B956" s="6">
        <v>45914.53615409722</v>
      </c>
      <c r="C956" s="7">
        <v>68.0</v>
      </c>
      <c r="D956" s="5" t="s">
        <v>1214</v>
      </c>
      <c r="E956" s="5" t="s">
        <v>1210</v>
      </c>
      <c r="F956" s="5" t="s">
        <v>1215</v>
      </c>
    </row>
    <row r="957">
      <c r="A957" s="5">
        <v>7.827574738E9</v>
      </c>
      <c r="B957" s="6">
        <v>45914.769839189816</v>
      </c>
      <c r="C957" s="7">
        <v>68.0</v>
      </c>
      <c r="D957" s="5" t="s">
        <v>1214</v>
      </c>
      <c r="E957" s="5" t="s">
        <v>1210</v>
      </c>
      <c r="F957" s="5" t="s">
        <v>1212</v>
      </c>
    </row>
    <row r="958">
      <c r="A958" s="5">
        <v>9.953994467E9</v>
      </c>
      <c r="B958" s="6">
        <v>45914.77139026621</v>
      </c>
      <c r="C958" s="7">
        <v>1.0</v>
      </c>
      <c r="D958" s="5" t="s">
        <v>1214</v>
      </c>
      <c r="E958" s="5" t="s">
        <v>1210</v>
      </c>
      <c r="F958" s="5" t="s">
        <v>1211</v>
      </c>
    </row>
    <row r="959">
      <c r="A959" s="5">
        <v>9.911706427E9</v>
      </c>
      <c r="B959" s="6">
        <v>45914.77529457176</v>
      </c>
      <c r="C959" s="7">
        <v>68.0</v>
      </c>
      <c r="D959" s="5" t="s">
        <v>1214</v>
      </c>
      <c r="E959" s="5" t="s">
        <v>1210</v>
      </c>
      <c r="F959" s="5" t="s">
        <v>1212</v>
      </c>
    </row>
    <row r="960">
      <c r="A960" s="5">
        <v>9.71875819E9</v>
      </c>
      <c r="B960" s="6">
        <v>45914.7795553125</v>
      </c>
      <c r="C960" s="7">
        <v>68.0</v>
      </c>
      <c r="D960" s="5" t="s">
        <v>1213</v>
      </c>
      <c r="E960" s="5" t="s">
        <v>1210</v>
      </c>
      <c r="F960" s="5" t="s">
        <v>1215</v>
      </c>
    </row>
    <row r="961">
      <c r="A961" s="5">
        <v>9.840476111E9</v>
      </c>
      <c r="B961" s="6">
        <v>45918.47294033565</v>
      </c>
      <c r="C961" s="7">
        <v>1.0</v>
      </c>
      <c r="D961" s="5" t="s">
        <v>1213</v>
      </c>
      <c r="E961" s="5" t="s">
        <v>1210</v>
      </c>
      <c r="F961" s="5" t="s">
        <v>1211</v>
      </c>
    </row>
    <row r="962">
      <c r="A962" s="5">
        <v>9.873903756E9</v>
      </c>
      <c r="B962" s="6">
        <v>45918.47418196759</v>
      </c>
      <c r="C962" s="7">
        <v>67.0</v>
      </c>
      <c r="D962" s="5" t="s">
        <v>1213</v>
      </c>
      <c r="E962" s="5" t="s">
        <v>1210</v>
      </c>
      <c r="F962" s="5" t="s">
        <v>1215</v>
      </c>
    </row>
    <row r="963">
      <c r="A963" s="5">
        <v>9.625808328E9</v>
      </c>
      <c r="B963" s="6">
        <v>45918.77228582176</v>
      </c>
      <c r="C963" s="7">
        <v>1.0</v>
      </c>
      <c r="D963" s="5" t="s">
        <v>1214</v>
      </c>
      <c r="E963" s="5" t="s">
        <v>1210</v>
      </c>
      <c r="F963" s="5" t="s">
        <v>1215</v>
      </c>
    </row>
    <row r="964">
      <c r="A964" s="5">
        <v>9.6432393E9</v>
      </c>
      <c r="B964" s="6">
        <v>45918.77457662037</v>
      </c>
      <c r="C964" s="7">
        <v>1.0</v>
      </c>
      <c r="D964" s="5" t="s">
        <v>1214</v>
      </c>
      <c r="E964" s="5" t="s">
        <v>1210</v>
      </c>
      <c r="F964" s="5" t="s">
        <v>1211</v>
      </c>
    </row>
    <row r="965">
      <c r="A965" s="5">
        <v>7.827312752E9</v>
      </c>
      <c r="B965" s="6">
        <v>45920.657807384254</v>
      </c>
      <c r="C965" s="7">
        <v>1.0</v>
      </c>
      <c r="D965" s="5" t="s">
        <v>1214</v>
      </c>
      <c r="E965" s="5" t="s">
        <v>1210</v>
      </c>
      <c r="F965" s="5" t="s">
        <v>1211</v>
      </c>
    </row>
    <row r="966">
      <c r="A966" s="5">
        <v>9.818267218E9</v>
      </c>
      <c r="B966" s="6">
        <v>45920.65976222222</v>
      </c>
      <c r="C966" s="7">
        <v>1.0</v>
      </c>
      <c r="D966" s="5" t="s">
        <v>1214</v>
      </c>
      <c r="E966" s="5" t="s">
        <v>1210</v>
      </c>
      <c r="F966" s="5" t="s">
        <v>1211</v>
      </c>
    </row>
    <row r="967">
      <c r="A967" s="5">
        <v>9.716946645E9</v>
      </c>
      <c r="B967" s="6">
        <v>45924.77545006944</v>
      </c>
      <c r="C967" s="7">
        <v>68.0</v>
      </c>
      <c r="D967" s="5" t="s">
        <v>1213</v>
      </c>
      <c r="E967" s="5" t="s">
        <v>1210</v>
      </c>
      <c r="F967" s="5" t="s">
        <v>1211</v>
      </c>
    </row>
    <row r="968">
      <c r="A968" s="5">
        <v>7.993399128E9</v>
      </c>
      <c r="B968" s="6">
        <v>45925.657631145834</v>
      </c>
      <c r="C968" s="7">
        <v>1.0</v>
      </c>
      <c r="D968" s="5" t="s">
        <v>1213</v>
      </c>
      <c r="E968" s="5" t="s">
        <v>1210</v>
      </c>
      <c r="F968" s="5" t="s">
        <v>1212</v>
      </c>
    </row>
    <row r="969">
      <c r="A969" s="5">
        <v>9.414250475E9</v>
      </c>
      <c r="B969" s="6">
        <v>45925.659624837965</v>
      </c>
      <c r="C969" s="7">
        <v>1.0</v>
      </c>
      <c r="D969" s="5" t="s">
        <v>1214</v>
      </c>
      <c r="E969" s="5" t="s">
        <v>1210</v>
      </c>
      <c r="F969" s="5" t="s">
        <v>1215</v>
      </c>
    </row>
    <row r="970">
      <c r="A970" s="5">
        <v>9.419293588E9</v>
      </c>
      <c r="B970" s="6">
        <v>45925.66203251157</v>
      </c>
      <c r="C970" s="7">
        <v>1.0</v>
      </c>
      <c r="D970" s="5" t="s">
        <v>1214</v>
      </c>
      <c r="E970" s="5" t="s">
        <v>1210</v>
      </c>
      <c r="F970" s="5" t="s">
        <v>1211</v>
      </c>
    </row>
    <row r="971">
      <c r="A971" s="5">
        <v>8.920763366E9</v>
      </c>
      <c r="B971" s="6">
        <v>45925.66780166667</v>
      </c>
      <c r="C971" s="7">
        <v>1.0</v>
      </c>
      <c r="D971" s="5" t="s">
        <v>1213</v>
      </c>
      <c r="E971" s="5" t="s">
        <v>1210</v>
      </c>
      <c r="F971" s="5" t="s">
        <v>1215</v>
      </c>
    </row>
    <row r="972">
      <c r="A972" s="5">
        <v>9.711411929E9</v>
      </c>
      <c r="B972" s="6">
        <v>45925.669879918976</v>
      </c>
      <c r="C972" s="7">
        <v>1.0</v>
      </c>
      <c r="D972" s="5" t="s">
        <v>1213</v>
      </c>
      <c r="E972" s="5" t="s">
        <v>1210</v>
      </c>
      <c r="F972" s="5" t="s">
        <v>1211</v>
      </c>
    </row>
    <row r="973">
      <c r="A973" s="5">
        <v>9.654288686E9</v>
      </c>
      <c r="B973" s="6">
        <v>45926.54167474537</v>
      </c>
      <c r="C973" s="7">
        <v>1.0</v>
      </c>
      <c r="D973" s="5" t="s">
        <v>1214</v>
      </c>
      <c r="E973" s="5" t="s">
        <v>1210</v>
      </c>
      <c r="F973" s="5" t="s">
        <v>1212</v>
      </c>
    </row>
    <row r="974">
      <c r="A974" s="5">
        <v>9.810552571E9</v>
      </c>
      <c r="B974" s="6">
        <v>45927.78181881944</v>
      </c>
      <c r="C974" s="7">
        <v>1.0</v>
      </c>
      <c r="D974" s="5" t="s">
        <v>1213</v>
      </c>
      <c r="E974" s="5" t="s">
        <v>1210</v>
      </c>
      <c r="F974" s="5" t="s">
        <v>1211</v>
      </c>
    </row>
    <row r="975">
      <c r="A975" s="5">
        <v>9.310223776E9</v>
      </c>
      <c r="B975" s="6">
        <v>45927.78450408565</v>
      </c>
      <c r="C975" s="7">
        <v>1.0</v>
      </c>
      <c r="D975" s="5" t="s">
        <v>1213</v>
      </c>
      <c r="E975" s="5" t="s">
        <v>1210</v>
      </c>
      <c r="F975" s="5" t="s">
        <v>1215</v>
      </c>
    </row>
    <row r="976">
      <c r="A976" s="5">
        <v>9.4151457E9</v>
      </c>
      <c r="B976" s="6">
        <v>45927.7862972338</v>
      </c>
      <c r="C976" s="7">
        <v>1.0</v>
      </c>
      <c r="D976" s="5" t="s">
        <v>1214</v>
      </c>
      <c r="E976" s="5" t="s">
        <v>1210</v>
      </c>
      <c r="F976" s="5" t="s">
        <v>1215</v>
      </c>
    </row>
    <row r="977">
      <c r="A977" s="5">
        <v>8.800319246E9</v>
      </c>
      <c r="B977" s="6">
        <v>45927.78812945602</v>
      </c>
      <c r="C977" s="7">
        <v>1.0</v>
      </c>
      <c r="D977" s="5" t="s">
        <v>1214</v>
      </c>
      <c r="E977" s="5" t="s">
        <v>1210</v>
      </c>
      <c r="F977" s="5" t="s">
        <v>1211</v>
      </c>
    </row>
    <row r="978">
      <c r="A978" s="5">
        <v>8.70039129E9</v>
      </c>
      <c r="B978" s="6">
        <v>45927.789647708334</v>
      </c>
      <c r="C978" s="7">
        <v>1.0</v>
      </c>
      <c r="D978" s="5" t="s">
        <v>1214</v>
      </c>
      <c r="E978" s="5" t="s">
        <v>1210</v>
      </c>
      <c r="F978" s="5" t="s">
        <v>1211</v>
      </c>
    </row>
    <row r="979">
      <c r="A979" s="5">
        <v>9.968016155E9</v>
      </c>
      <c r="B979" s="6">
        <v>45927.7913105787</v>
      </c>
      <c r="C979" s="7">
        <v>1.0</v>
      </c>
      <c r="D979" s="5" t="s">
        <v>1214</v>
      </c>
      <c r="E979" s="5" t="s">
        <v>1210</v>
      </c>
      <c r="F979" s="5" t="s">
        <v>1211</v>
      </c>
    </row>
    <row r="980">
      <c r="A980" s="5">
        <v>9.899699432E9</v>
      </c>
      <c r="B980" s="6">
        <v>45927.79558576389</v>
      </c>
      <c r="C980" s="7">
        <v>1.0</v>
      </c>
      <c r="D980" s="5" t="s">
        <v>1214</v>
      </c>
      <c r="E980" s="5" t="s">
        <v>1210</v>
      </c>
      <c r="F980" s="5" t="s">
        <v>1212</v>
      </c>
    </row>
    <row r="981">
      <c r="A981" s="5">
        <v>9.999949301E9</v>
      </c>
      <c r="B981" s="6">
        <v>45931.78714027778</v>
      </c>
      <c r="C981" s="7">
        <v>1.0</v>
      </c>
      <c r="D981" s="5" t="s">
        <v>1214</v>
      </c>
      <c r="E981" s="5" t="s">
        <v>1210</v>
      </c>
      <c r="F981" s="5" t="s">
        <v>1211</v>
      </c>
    </row>
    <row r="982">
      <c r="A982" s="5">
        <v>9.310083603E9</v>
      </c>
      <c r="B982" s="6">
        <v>45931.78864373843</v>
      </c>
      <c r="C982" s="7">
        <v>1.0</v>
      </c>
      <c r="D982" s="5" t="s">
        <v>1214</v>
      </c>
      <c r="E982" s="5" t="s">
        <v>1210</v>
      </c>
      <c r="F982" s="5" t="s">
        <v>1211</v>
      </c>
    </row>
    <row r="983">
      <c r="A983" s="5">
        <v>9.131080175E9</v>
      </c>
      <c r="B983" s="6">
        <v>45933.80740334491</v>
      </c>
      <c r="C983" s="7">
        <v>1.0</v>
      </c>
      <c r="D983" s="5" t="s">
        <v>1213</v>
      </c>
      <c r="E983" s="5" t="s">
        <v>1210</v>
      </c>
      <c r="F983" s="5" t="s">
        <v>1211</v>
      </c>
    </row>
    <row r="984">
      <c r="A984" s="5">
        <v>6.305440302E9</v>
      </c>
      <c r="B984" s="6">
        <v>45933.8091644213</v>
      </c>
      <c r="C984" s="7">
        <v>68.0</v>
      </c>
      <c r="D984" s="5" t="s">
        <v>1213</v>
      </c>
      <c r="E984" s="5" t="s">
        <v>1210</v>
      </c>
      <c r="F984" s="5" t="s">
        <v>1212</v>
      </c>
    </row>
    <row r="985">
      <c r="A985" s="5">
        <v>8.708014248E9</v>
      </c>
      <c r="B985" s="6">
        <v>45934.8017096875</v>
      </c>
      <c r="C985" s="7">
        <v>1.0</v>
      </c>
      <c r="D985" s="5" t="s">
        <v>1214</v>
      </c>
      <c r="E985" s="5" t="s">
        <v>1210</v>
      </c>
      <c r="F985" s="5" t="s">
        <v>1215</v>
      </c>
    </row>
    <row r="986">
      <c r="A986" s="5">
        <v>9.871064699E9</v>
      </c>
      <c r="B986" s="6">
        <v>45934.802848402775</v>
      </c>
      <c r="C986" s="7">
        <v>1.0</v>
      </c>
      <c r="D986" s="5" t="s">
        <v>1213</v>
      </c>
      <c r="E986" s="5" t="s">
        <v>1210</v>
      </c>
    </row>
    <row r="987">
      <c r="A987" s="5">
        <v>9.810746578E9</v>
      </c>
      <c r="B987" s="6">
        <v>45934.80417591435</v>
      </c>
      <c r="C987" s="7">
        <v>1.0</v>
      </c>
      <c r="D987" s="5" t="s">
        <v>1213</v>
      </c>
      <c r="E987" s="5" t="s">
        <v>1210</v>
      </c>
      <c r="F987" s="5" t="s">
        <v>1211</v>
      </c>
    </row>
    <row r="988">
      <c r="A988" s="5">
        <v>8.459174388E9</v>
      </c>
      <c r="B988" s="6">
        <v>45934.8064690625</v>
      </c>
      <c r="C988" s="7">
        <v>1.0</v>
      </c>
      <c r="D988" s="5" t="s">
        <v>1213</v>
      </c>
      <c r="E988" s="5" t="s">
        <v>1210</v>
      </c>
    </row>
    <row r="989">
      <c r="A989" s="5">
        <v>9.811159032E9</v>
      </c>
      <c r="B989" s="6">
        <v>45935.724875416665</v>
      </c>
      <c r="C989" s="7">
        <v>1.0</v>
      </c>
      <c r="D989" s="5" t="s">
        <v>1214</v>
      </c>
      <c r="E989" s="5" t="s">
        <v>1210</v>
      </c>
      <c r="F989" s="5" t="s">
        <v>1215</v>
      </c>
    </row>
    <row r="990">
      <c r="A990" s="5">
        <v>8.756200282E9</v>
      </c>
      <c r="B990" s="6">
        <v>45935.726532430555</v>
      </c>
      <c r="C990" s="7">
        <v>1.0</v>
      </c>
      <c r="D990" s="5" t="s">
        <v>1213</v>
      </c>
      <c r="E990" s="5" t="s">
        <v>1210</v>
      </c>
      <c r="F990" s="5" t="s">
        <v>1211</v>
      </c>
    </row>
    <row r="991">
      <c r="A991" s="5">
        <v>9.810104562E9</v>
      </c>
      <c r="B991" s="6">
        <v>45935.728101898145</v>
      </c>
      <c r="C991" s="7">
        <v>1.0</v>
      </c>
      <c r="D991" s="5" t="s">
        <v>1213</v>
      </c>
      <c r="E991" s="5" t="s">
        <v>1210</v>
      </c>
      <c r="F991" s="5" t="s">
        <v>1212</v>
      </c>
    </row>
    <row r="992">
      <c r="A992" s="5">
        <v>9.250873439E9</v>
      </c>
      <c r="B992" s="6">
        <v>45935.73036053241</v>
      </c>
      <c r="C992" s="7">
        <v>1.0</v>
      </c>
      <c r="D992" s="5" t="s">
        <v>1214</v>
      </c>
      <c r="E992" s="5" t="s">
        <v>1210</v>
      </c>
      <c r="F992" s="5" t="s">
        <v>1212</v>
      </c>
    </row>
    <row r="993">
      <c r="A993" s="5">
        <v>9.91095025E9</v>
      </c>
      <c r="B993" s="6">
        <v>45935.751668530094</v>
      </c>
      <c r="C993" s="7">
        <v>1.0</v>
      </c>
      <c r="D993" s="5" t="s">
        <v>1213</v>
      </c>
      <c r="E993" s="5" t="s">
        <v>1210</v>
      </c>
      <c r="F993" s="5" t="s">
        <v>1212</v>
      </c>
    </row>
    <row r="994">
      <c r="A994" s="5">
        <v>8.700142855E9</v>
      </c>
      <c r="B994" s="6">
        <v>45935.75541172454</v>
      </c>
      <c r="C994" s="7">
        <v>1.0</v>
      </c>
      <c r="D994" s="5" t="s">
        <v>1214</v>
      </c>
      <c r="E994" s="5" t="s">
        <v>1210</v>
      </c>
      <c r="F994" s="5" t="s">
        <v>1215</v>
      </c>
    </row>
    <row r="995">
      <c r="A995" s="5">
        <v>9.996042652E9</v>
      </c>
      <c r="B995" s="6">
        <v>45935.76018353009</v>
      </c>
      <c r="C995" s="7">
        <v>68.0</v>
      </c>
      <c r="D995" s="5" t="s">
        <v>1213</v>
      </c>
      <c r="E995" s="5" t="s">
        <v>1210</v>
      </c>
      <c r="F995" s="5" t="s">
        <v>1215</v>
      </c>
    </row>
    <row r="996">
      <c r="A996" s="5">
        <v>9.999675569E9</v>
      </c>
      <c r="B996" s="6">
        <v>45935.789636608795</v>
      </c>
      <c r="C996" s="7">
        <v>1.0</v>
      </c>
      <c r="D996" s="5" t="s">
        <v>1213</v>
      </c>
      <c r="E996" s="5" t="s">
        <v>1210</v>
      </c>
      <c r="F996" s="5" t="s">
        <v>1211</v>
      </c>
    </row>
    <row r="997">
      <c r="A997" s="5">
        <v>9.99994563E9</v>
      </c>
      <c r="B997" s="6">
        <v>45935.79139939815</v>
      </c>
      <c r="C997" s="7">
        <v>68.0</v>
      </c>
      <c r="D997" s="5" t="s">
        <v>1213</v>
      </c>
      <c r="E997" s="5" t="s">
        <v>1210</v>
      </c>
      <c r="F997" s="5" t="s">
        <v>1215</v>
      </c>
    </row>
    <row r="998">
      <c r="A998" s="5">
        <v>9.266041377E9</v>
      </c>
      <c r="B998" s="6">
        <v>45938.62659619213</v>
      </c>
      <c r="C998" s="7">
        <v>1.0</v>
      </c>
      <c r="D998" s="5" t="s">
        <v>1214</v>
      </c>
      <c r="E998" s="5" t="s">
        <v>1210</v>
      </c>
      <c r="F998" s="5" t="s">
        <v>1211</v>
      </c>
    </row>
    <row r="999">
      <c r="A999" s="5">
        <v>7.065555029E9</v>
      </c>
      <c r="B999" s="6">
        <v>45938.74302349537</v>
      </c>
      <c r="C999" s="7">
        <v>1.0</v>
      </c>
      <c r="D999" s="5" t="s">
        <v>1214</v>
      </c>
      <c r="E999" s="5" t="s">
        <v>1210</v>
      </c>
      <c r="F999" s="5" t="s">
        <v>1212</v>
      </c>
    </row>
    <row r="1000">
      <c r="A1000" s="5">
        <v>9.953308666E9</v>
      </c>
      <c r="B1000" s="6">
        <v>45938.753773819444</v>
      </c>
      <c r="C1000" s="7">
        <v>1.0</v>
      </c>
      <c r="D1000" s="5" t="s">
        <v>1213</v>
      </c>
      <c r="E1000" s="5" t="s">
        <v>1210</v>
      </c>
      <c r="F1000" s="5" t="s">
        <v>1212</v>
      </c>
    </row>
    <row r="1001">
      <c r="A1001" s="5">
        <v>9.87195766E9</v>
      </c>
      <c r="B1001" s="6">
        <v>45938.802758391204</v>
      </c>
      <c r="C1001" s="7">
        <v>68.0</v>
      </c>
      <c r="D1001" s="5" t="s">
        <v>1213</v>
      </c>
      <c r="E1001" s="5" t="s">
        <v>1210</v>
      </c>
      <c r="F1001" s="5" t="s">
        <v>1212</v>
      </c>
    </row>
    <row r="1002">
      <c r="A1002" s="5">
        <v>9.811441464E9</v>
      </c>
      <c r="B1002" s="6">
        <v>45938.804324247685</v>
      </c>
      <c r="C1002" s="7">
        <v>1.0</v>
      </c>
      <c r="D1002" s="5" t="s">
        <v>1213</v>
      </c>
      <c r="E1002" s="5" t="s">
        <v>1210</v>
      </c>
      <c r="F1002" s="5" t="s">
        <v>1211</v>
      </c>
    </row>
    <row r="1003">
      <c r="A1003" s="5">
        <v>9.911002648E9</v>
      </c>
      <c r="B1003" s="6">
        <v>45938.80630328704</v>
      </c>
      <c r="C1003" s="7">
        <v>1.0</v>
      </c>
      <c r="D1003" s="5" t="s">
        <v>1214</v>
      </c>
      <c r="E1003" s="5" t="s">
        <v>1210</v>
      </c>
      <c r="F1003" s="5" t="s">
        <v>1211</v>
      </c>
    </row>
    <row r="1004">
      <c r="A1004" s="5">
        <v>9.911136081E9</v>
      </c>
      <c r="B1004" s="6">
        <v>45939.6286690625</v>
      </c>
      <c r="C1004" s="7">
        <v>135.0</v>
      </c>
      <c r="D1004" s="5" t="s">
        <v>1213</v>
      </c>
      <c r="E1004" s="5" t="s">
        <v>1210</v>
      </c>
      <c r="F1004" s="5" t="s">
        <v>1211</v>
      </c>
    </row>
    <row r="1005">
      <c r="A1005" s="5">
        <v>8.920966676E9</v>
      </c>
      <c r="B1005" s="6">
        <v>45939.789134108796</v>
      </c>
      <c r="C1005" s="7">
        <v>1.0</v>
      </c>
      <c r="D1005" s="5" t="s">
        <v>1214</v>
      </c>
      <c r="E1005" s="5" t="s">
        <v>1210</v>
      </c>
      <c r="F1005" s="5" t="s">
        <v>1211</v>
      </c>
    </row>
    <row r="1006">
      <c r="A1006" s="5">
        <v>8.448834015E9</v>
      </c>
      <c r="B1006" s="6">
        <v>45940.66784542824</v>
      </c>
      <c r="C1006" s="7">
        <v>1.0</v>
      </c>
      <c r="D1006" s="5" t="s">
        <v>1214</v>
      </c>
      <c r="E1006" s="5" t="s">
        <v>1210</v>
      </c>
      <c r="F1006" s="5" t="s">
        <v>1215</v>
      </c>
    </row>
    <row r="1007">
      <c r="A1007" s="5">
        <v>9.5551882E9</v>
      </c>
      <c r="B1007" s="6">
        <v>45941.52896628472</v>
      </c>
      <c r="C1007" s="7">
        <v>1.0</v>
      </c>
      <c r="D1007" s="5" t="s">
        <v>1214</v>
      </c>
      <c r="E1007" s="5" t="s">
        <v>1210</v>
      </c>
      <c r="F1007" s="5" t="s">
        <v>1215</v>
      </c>
    </row>
    <row r="1008">
      <c r="A1008" s="5">
        <v>7.985310225E9</v>
      </c>
      <c r="B1008" s="6">
        <v>45941.530462916664</v>
      </c>
      <c r="C1008" s="7">
        <v>1.0</v>
      </c>
      <c r="D1008" s="5" t="s">
        <v>1213</v>
      </c>
      <c r="E1008" s="5" t="s">
        <v>1210</v>
      </c>
      <c r="F1008" s="5" t="s">
        <v>1211</v>
      </c>
    </row>
    <row r="1009">
      <c r="A1009" s="5">
        <v>9.958059151E9</v>
      </c>
      <c r="B1009" s="6">
        <v>45941.79740668982</v>
      </c>
      <c r="C1009" s="7">
        <v>1.0</v>
      </c>
      <c r="D1009" s="5" t="s">
        <v>1213</v>
      </c>
      <c r="E1009" s="5" t="s">
        <v>1210</v>
      </c>
      <c r="F1009" s="5" t="s">
        <v>1215</v>
      </c>
    </row>
    <row r="1010">
      <c r="A1010" s="5">
        <v>8.586813226E9</v>
      </c>
      <c r="B1010" s="6">
        <v>45941.798794270835</v>
      </c>
      <c r="C1010" s="7">
        <v>1.0</v>
      </c>
      <c r="D1010" s="5" t="s">
        <v>1213</v>
      </c>
      <c r="E1010" s="5" t="s">
        <v>1210</v>
      </c>
      <c r="F1010" s="5" t="s">
        <v>1212</v>
      </c>
    </row>
    <row r="1011">
      <c r="A1011" s="5">
        <v>9.891715745E9</v>
      </c>
      <c r="B1011" s="6">
        <v>45941.803077986115</v>
      </c>
      <c r="C1011" s="7">
        <v>1.0</v>
      </c>
      <c r="D1011" s="5" t="s">
        <v>1214</v>
      </c>
      <c r="E1011" s="5" t="s">
        <v>1210</v>
      </c>
      <c r="F1011" s="5" t="s">
        <v>1212</v>
      </c>
    </row>
    <row r="1012">
      <c r="A1012" s="5">
        <v>9.999103109E9</v>
      </c>
      <c r="B1012" s="6">
        <v>45941.806777453705</v>
      </c>
      <c r="C1012" s="7">
        <v>1.0</v>
      </c>
      <c r="D1012" s="5" t="s">
        <v>1214</v>
      </c>
      <c r="E1012" s="5" t="s">
        <v>1210</v>
      </c>
      <c r="F1012" s="5" t="s">
        <v>1215</v>
      </c>
    </row>
    <row r="1013">
      <c r="A1013" s="5">
        <v>9.871282922E9</v>
      </c>
      <c r="B1013" s="6">
        <v>45942.802856863425</v>
      </c>
      <c r="C1013" s="7">
        <v>1.0</v>
      </c>
      <c r="D1013" s="5" t="s">
        <v>1214</v>
      </c>
      <c r="E1013" s="5" t="s">
        <v>1210</v>
      </c>
      <c r="F1013" s="5" t="s">
        <v>1212</v>
      </c>
    </row>
    <row r="1014">
      <c r="A1014" s="5">
        <v>9.871084213E9</v>
      </c>
      <c r="B1014" s="6">
        <v>45945.56817155093</v>
      </c>
      <c r="C1014" s="7">
        <v>1.0</v>
      </c>
      <c r="D1014" s="5" t="s">
        <v>1213</v>
      </c>
      <c r="E1014" s="5" t="s">
        <v>1210</v>
      </c>
      <c r="F1014" s="5" t="s">
        <v>1215</v>
      </c>
    </row>
    <row r="1015">
      <c r="A1015" s="5">
        <v>8.920524024E9</v>
      </c>
      <c r="B1015" s="6">
        <v>45945.56985579861</v>
      </c>
      <c r="C1015" s="7">
        <v>265.0</v>
      </c>
      <c r="D1015" s="5" t="s">
        <v>1213</v>
      </c>
      <c r="E1015" s="5" t="s">
        <v>1210</v>
      </c>
      <c r="F1015" s="5" t="s">
        <v>1211</v>
      </c>
    </row>
    <row r="1016">
      <c r="A1016" s="5">
        <v>9.9585769E9</v>
      </c>
      <c r="B1016" s="6">
        <v>45945.57324375</v>
      </c>
      <c r="C1016" s="7">
        <v>1.0</v>
      </c>
      <c r="D1016" s="5" t="s">
        <v>1213</v>
      </c>
      <c r="E1016" s="5" t="s">
        <v>1210</v>
      </c>
      <c r="F1016" s="5" t="s">
        <v>1212</v>
      </c>
    </row>
    <row r="1017">
      <c r="A1017" s="5">
        <v>9.086000431E9</v>
      </c>
      <c r="B1017" s="6">
        <v>45945.57465231481</v>
      </c>
      <c r="C1017" s="7">
        <v>1.0</v>
      </c>
      <c r="D1017" s="5" t="s">
        <v>1213</v>
      </c>
      <c r="E1017" s="5" t="s">
        <v>1210</v>
      </c>
      <c r="F1017" s="5" t="s">
        <v>1215</v>
      </c>
    </row>
    <row r="1018">
      <c r="A1018" s="5">
        <v>9.899155525E9</v>
      </c>
      <c r="B1018" s="6">
        <v>45945.57575256945</v>
      </c>
      <c r="C1018" s="7">
        <v>1.0</v>
      </c>
      <c r="D1018" s="5" t="s">
        <v>1213</v>
      </c>
      <c r="E1018" s="5" t="s">
        <v>1210</v>
      </c>
      <c r="F1018" s="5" t="s">
        <v>1215</v>
      </c>
    </row>
    <row r="1019">
      <c r="A1019" s="5">
        <v>9.885352979E9</v>
      </c>
      <c r="B1019" s="6">
        <v>45945.79320666667</v>
      </c>
      <c r="C1019" s="7">
        <v>1.0</v>
      </c>
      <c r="D1019" s="5" t="s">
        <v>1213</v>
      </c>
      <c r="E1019" s="5" t="s">
        <v>1210</v>
      </c>
      <c r="F1019" s="5" t="s">
        <v>1215</v>
      </c>
    </row>
    <row r="1020">
      <c r="A1020" s="5">
        <v>8.882799899E9</v>
      </c>
      <c r="B1020" s="6">
        <v>45945.795470682875</v>
      </c>
      <c r="C1020" s="7">
        <v>1.0</v>
      </c>
      <c r="D1020" s="5" t="s">
        <v>1214</v>
      </c>
      <c r="E1020" s="5" t="s">
        <v>1210</v>
      </c>
      <c r="F1020" s="5" t="s">
        <v>1212</v>
      </c>
    </row>
    <row r="1021">
      <c r="A1021" s="5">
        <v>9.899971113E9</v>
      </c>
      <c r="B1021" s="6">
        <v>45945.79672755787</v>
      </c>
      <c r="C1021" s="7">
        <v>1.0</v>
      </c>
      <c r="D1021" s="5" t="s">
        <v>1213</v>
      </c>
      <c r="E1021" s="5" t="s">
        <v>1210</v>
      </c>
      <c r="F1021" s="5" t="s">
        <v>1211</v>
      </c>
    </row>
    <row r="1022">
      <c r="A1022" s="5">
        <v>9.910230174E9</v>
      </c>
      <c r="B1022" s="6">
        <v>45945.79787056713</v>
      </c>
      <c r="C1022" s="7">
        <v>1.0</v>
      </c>
      <c r="D1022" s="5" t="s">
        <v>1214</v>
      </c>
      <c r="E1022" s="5" t="s">
        <v>1210</v>
      </c>
      <c r="F1022" s="5" t="s">
        <v>1215</v>
      </c>
    </row>
    <row r="1023">
      <c r="A1023" s="5">
        <v>9.54056787E9</v>
      </c>
      <c r="B1023" s="6">
        <v>45945.801194687505</v>
      </c>
      <c r="C1023" s="7">
        <v>1.0</v>
      </c>
      <c r="D1023" s="5" t="s">
        <v>1214</v>
      </c>
      <c r="E1023" s="5" t="s">
        <v>1210</v>
      </c>
      <c r="F1023" s="5" t="s">
        <v>1215</v>
      </c>
    </row>
    <row r="1024">
      <c r="A1024" s="5">
        <v>9.871140012E9</v>
      </c>
      <c r="B1024" s="6">
        <v>45947.578063912035</v>
      </c>
      <c r="C1024" s="7">
        <v>1.0</v>
      </c>
      <c r="D1024" s="5" t="s">
        <v>1214</v>
      </c>
      <c r="E1024" s="5" t="s">
        <v>1210</v>
      </c>
      <c r="F1024" s="5" t="s">
        <v>1215</v>
      </c>
    </row>
    <row r="1025">
      <c r="A1025" s="5">
        <v>9.555906133E9</v>
      </c>
      <c r="B1025" s="6">
        <v>45947.57938494213</v>
      </c>
      <c r="C1025" s="7">
        <v>1.0</v>
      </c>
      <c r="D1025" s="5" t="s">
        <v>1213</v>
      </c>
      <c r="E1025" s="5" t="s">
        <v>1210</v>
      </c>
      <c r="F1025" s="5" t="s">
        <v>1215</v>
      </c>
    </row>
    <row r="1026">
      <c r="A1026" s="5">
        <v>9.086000439E9</v>
      </c>
      <c r="B1026" s="6">
        <v>45947.58200657407</v>
      </c>
      <c r="C1026" s="7">
        <v>1.0</v>
      </c>
      <c r="D1026" s="5" t="s">
        <v>1213</v>
      </c>
      <c r="E1026" s="5" t="s">
        <v>1210</v>
      </c>
      <c r="F1026" s="5" t="s">
        <v>1212</v>
      </c>
    </row>
    <row r="1027">
      <c r="A1027" s="5">
        <v>9.716165322E9</v>
      </c>
      <c r="B1027" s="6">
        <v>45947.61236540509</v>
      </c>
      <c r="C1027" s="7">
        <v>1.0</v>
      </c>
      <c r="D1027" s="5" t="s">
        <v>1213</v>
      </c>
      <c r="E1027" s="5" t="s">
        <v>1210</v>
      </c>
      <c r="F1027" s="5" t="s">
        <v>1211</v>
      </c>
    </row>
    <row r="1028">
      <c r="A1028" s="5">
        <v>6.544271814E9</v>
      </c>
      <c r="B1028" s="6">
        <v>45948.53399328704</v>
      </c>
      <c r="C1028" s="7">
        <v>1.0</v>
      </c>
      <c r="D1028" s="5" t="s">
        <v>1213</v>
      </c>
      <c r="E1028" s="5" t="s">
        <v>1210</v>
      </c>
      <c r="F1028" s="5" t="s">
        <v>1212</v>
      </c>
    </row>
    <row r="1029">
      <c r="A1029" s="5">
        <v>9.999822656E9</v>
      </c>
      <c r="B1029" s="6">
        <v>45948.5351309838</v>
      </c>
      <c r="C1029" s="7">
        <v>1.0</v>
      </c>
      <c r="D1029" s="5" t="s">
        <v>1214</v>
      </c>
      <c r="E1029" s="5" t="s">
        <v>1210</v>
      </c>
      <c r="F1029" s="5" t="s">
        <v>1215</v>
      </c>
    </row>
    <row r="1030">
      <c r="A1030" s="5">
        <v>9.004736864E9</v>
      </c>
      <c r="B1030" s="6">
        <v>45949.55546563657</v>
      </c>
      <c r="C1030" s="7">
        <v>1.0</v>
      </c>
      <c r="D1030" s="5" t="s">
        <v>1213</v>
      </c>
      <c r="E1030" s="5" t="s">
        <v>1210</v>
      </c>
      <c r="F1030" s="5" t="s">
        <v>1212</v>
      </c>
    </row>
    <row r="1031">
      <c r="A1031" s="5">
        <v>9.71108755E9</v>
      </c>
      <c r="B1031" s="6">
        <v>45949.56217662037</v>
      </c>
      <c r="C1031" s="7">
        <v>1.0</v>
      </c>
      <c r="D1031" s="5" t="s">
        <v>1213</v>
      </c>
      <c r="E1031" s="5" t="s">
        <v>1210</v>
      </c>
      <c r="F1031" s="5" t="s">
        <v>1212</v>
      </c>
    </row>
    <row r="1032">
      <c r="A1032" s="5">
        <v>9.728504564E9</v>
      </c>
      <c r="B1032" s="6">
        <v>45949.563477268515</v>
      </c>
      <c r="C1032" s="7">
        <v>1.0</v>
      </c>
      <c r="D1032" s="5" t="s">
        <v>1213</v>
      </c>
      <c r="E1032" s="5" t="s">
        <v>1210</v>
      </c>
      <c r="F1032" s="5" t="s">
        <v>1211</v>
      </c>
    </row>
    <row r="1033">
      <c r="A1033" s="5">
        <v>9.805880792E9</v>
      </c>
      <c r="B1033" s="6">
        <v>45949.56468793981</v>
      </c>
      <c r="C1033" s="7">
        <v>1.0</v>
      </c>
      <c r="D1033" s="5" t="s">
        <v>1213</v>
      </c>
      <c r="E1033" s="5" t="s">
        <v>1210</v>
      </c>
      <c r="F1033" s="5" t="s">
        <v>1211</v>
      </c>
    </row>
    <row r="1034">
      <c r="A1034" s="5">
        <v>9.3133147E9</v>
      </c>
      <c r="B1034" s="6">
        <v>45949.56596315972</v>
      </c>
      <c r="C1034" s="7">
        <v>1.0</v>
      </c>
      <c r="D1034" s="5" t="s">
        <v>1213</v>
      </c>
      <c r="E1034" s="5" t="s">
        <v>1210</v>
      </c>
      <c r="F1034" s="5" t="s">
        <v>1212</v>
      </c>
    </row>
    <row r="1035">
      <c r="A1035" s="5">
        <v>9.87146801E9</v>
      </c>
      <c r="B1035" s="6">
        <v>45949.5710559838</v>
      </c>
      <c r="C1035" s="7">
        <v>1.0</v>
      </c>
      <c r="D1035" s="5" t="s">
        <v>1213</v>
      </c>
      <c r="E1035" s="5" t="s">
        <v>1210</v>
      </c>
    </row>
    <row r="1036">
      <c r="A1036" s="5">
        <v>9.811117709E9</v>
      </c>
      <c r="B1036" s="6">
        <v>45949.57225085648</v>
      </c>
      <c r="C1036" s="7">
        <v>1.0</v>
      </c>
      <c r="D1036" s="5" t="s">
        <v>1213</v>
      </c>
      <c r="E1036" s="5" t="s">
        <v>1210</v>
      </c>
      <c r="F1036" s="5" t="s">
        <v>1212</v>
      </c>
    </row>
    <row r="1037">
      <c r="A1037" s="5">
        <v>8.368040489E9</v>
      </c>
      <c r="B1037" s="6">
        <v>45949.576551342594</v>
      </c>
      <c r="C1037" s="7">
        <v>1.0</v>
      </c>
      <c r="D1037" s="5" t="s">
        <v>1213</v>
      </c>
      <c r="E1037" s="5" t="s">
        <v>1210</v>
      </c>
      <c r="F1037" s="5" t="s">
        <v>1215</v>
      </c>
    </row>
    <row r="1038">
      <c r="A1038" s="5">
        <v>9.999994422E9</v>
      </c>
      <c r="B1038" s="6">
        <v>45949.579913113426</v>
      </c>
      <c r="C1038" s="7">
        <v>1.0</v>
      </c>
      <c r="D1038" s="5" t="s">
        <v>1213</v>
      </c>
      <c r="E1038" s="5" t="s">
        <v>1210</v>
      </c>
      <c r="F1038" s="5" t="s">
        <v>1211</v>
      </c>
    </row>
    <row r="1039">
      <c r="A1039" s="5">
        <v>9.870622331E9</v>
      </c>
      <c r="B1039" s="6">
        <v>45949.58102894676</v>
      </c>
      <c r="C1039" s="7">
        <v>1.0</v>
      </c>
      <c r="D1039" s="5" t="s">
        <v>1213</v>
      </c>
      <c r="E1039" s="5" t="s">
        <v>1210</v>
      </c>
      <c r="F1039" s="5" t="s">
        <v>1215</v>
      </c>
    </row>
    <row r="1040">
      <c r="A1040" s="5">
        <v>9.873774443E9</v>
      </c>
      <c r="B1040" s="6">
        <v>45949.58239118056</v>
      </c>
      <c r="C1040" s="7">
        <v>1.0</v>
      </c>
      <c r="D1040" s="5" t="s">
        <v>1213</v>
      </c>
      <c r="E1040" s="5" t="s">
        <v>1210</v>
      </c>
      <c r="F1040" s="5" t="s">
        <v>1211</v>
      </c>
    </row>
    <row r="1041">
      <c r="A1041" s="5">
        <v>9.899155625E9</v>
      </c>
      <c r="B1041" s="6">
        <v>45949.58413671296</v>
      </c>
      <c r="C1041" s="7">
        <v>1.0</v>
      </c>
      <c r="D1041" s="5" t="s">
        <v>1213</v>
      </c>
      <c r="E1041" s="5" t="s">
        <v>1210</v>
      </c>
      <c r="F1041" s="5" t="s">
        <v>1215</v>
      </c>
    </row>
    <row r="1042">
      <c r="A1042" s="5">
        <v>9.212710152E9</v>
      </c>
      <c r="B1042" s="6">
        <v>45949.58560170139</v>
      </c>
      <c r="C1042" s="7">
        <v>1.0</v>
      </c>
      <c r="D1042" s="5" t="s">
        <v>1213</v>
      </c>
      <c r="E1042" s="5" t="s">
        <v>1210</v>
      </c>
      <c r="F1042" s="5" t="s">
        <v>1215</v>
      </c>
    </row>
    <row r="1043">
      <c r="A1043" s="5">
        <v>9.21216052E9</v>
      </c>
      <c r="B1043" s="6">
        <v>45949.587801898146</v>
      </c>
      <c r="C1043" s="7">
        <v>1.0</v>
      </c>
      <c r="D1043" s="5" t="s">
        <v>1213</v>
      </c>
      <c r="E1043" s="5" t="s">
        <v>1210</v>
      </c>
      <c r="F1043" s="5" t="s">
        <v>1215</v>
      </c>
    </row>
    <row r="1044">
      <c r="A1044" s="5">
        <v>9.582260719E9</v>
      </c>
      <c r="B1044" s="6">
        <v>45949.62883028935</v>
      </c>
      <c r="C1044" s="7">
        <v>1.0</v>
      </c>
      <c r="D1044" s="5" t="s">
        <v>1213</v>
      </c>
      <c r="E1044" s="5" t="s">
        <v>1210</v>
      </c>
      <c r="F1044" s="5" t="s">
        <v>1215</v>
      </c>
    </row>
    <row r="1045">
      <c r="A1045" s="5">
        <v>9.891583223E9</v>
      </c>
      <c r="B1045" s="6">
        <v>45949.636453495375</v>
      </c>
      <c r="C1045" s="7">
        <v>1.0</v>
      </c>
      <c r="D1045" s="5" t="s">
        <v>1213</v>
      </c>
      <c r="E1045" s="5" t="s">
        <v>1210</v>
      </c>
      <c r="F1045" s="5" t="s">
        <v>1211</v>
      </c>
    </row>
    <row r="1046">
      <c r="A1046" s="5">
        <v>8.826733366E9</v>
      </c>
      <c r="B1046" s="6">
        <v>45949.649686226854</v>
      </c>
      <c r="C1046" s="7">
        <v>1.0</v>
      </c>
      <c r="D1046" s="5" t="s">
        <v>1213</v>
      </c>
      <c r="E1046" s="5" t="s">
        <v>1210</v>
      </c>
      <c r="F1046" s="5" t="s">
        <v>1215</v>
      </c>
    </row>
    <row r="1047">
      <c r="A1047" s="5">
        <v>8.800792934E9</v>
      </c>
      <c r="B1047" s="6">
        <v>45949.71885628472</v>
      </c>
      <c r="C1047" s="7">
        <v>1.0</v>
      </c>
      <c r="D1047" s="5" t="s">
        <v>1213</v>
      </c>
      <c r="E1047" s="5" t="s">
        <v>1210</v>
      </c>
      <c r="F1047" s="5" t="s">
        <v>1215</v>
      </c>
    </row>
    <row r="1048">
      <c r="A1048" s="5">
        <v>9.35430439E9</v>
      </c>
      <c r="B1048" s="6">
        <v>45949.72060042824</v>
      </c>
      <c r="C1048" s="7">
        <v>1.0</v>
      </c>
      <c r="D1048" s="5" t="s">
        <v>1214</v>
      </c>
      <c r="E1048" s="5" t="s">
        <v>1210</v>
      </c>
      <c r="F1048" s="5" t="s">
        <v>1215</v>
      </c>
    </row>
    <row r="1049">
      <c r="A1049" s="5">
        <v>8.810668639E9</v>
      </c>
      <c r="B1049" s="6">
        <v>45949.72337133102</v>
      </c>
      <c r="C1049" s="7">
        <v>1.0</v>
      </c>
      <c r="D1049" s="5" t="s">
        <v>1213</v>
      </c>
      <c r="E1049" s="5" t="s">
        <v>1210</v>
      </c>
      <c r="F1049" s="5" t="s">
        <v>1215</v>
      </c>
    </row>
    <row r="1050">
      <c r="A1050" s="5">
        <v>7.428676583E9</v>
      </c>
      <c r="B1050" s="6">
        <v>45949.73616513889</v>
      </c>
      <c r="C1050" s="7">
        <v>1.0</v>
      </c>
      <c r="D1050" s="5" t="s">
        <v>1213</v>
      </c>
      <c r="E1050" s="5" t="s">
        <v>1210</v>
      </c>
      <c r="F1050" s="5" t="s">
        <v>1215</v>
      </c>
    </row>
    <row r="1051">
      <c r="A1051" s="5">
        <v>9.560193569E9</v>
      </c>
      <c r="B1051" s="6">
        <v>45949.7394069213</v>
      </c>
      <c r="C1051" s="7">
        <v>1.0</v>
      </c>
      <c r="D1051" s="5" t="s">
        <v>1213</v>
      </c>
      <c r="E1051" s="5" t="s">
        <v>1210</v>
      </c>
      <c r="F1051" s="5" t="s">
        <v>1211</v>
      </c>
    </row>
    <row r="1052">
      <c r="A1052" s="5">
        <v>8.826202484E9</v>
      </c>
      <c r="B1052" s="6">
        <v>45949.74033944444</v>
      </c>
      <c r="C1052" s="7">
        <v>1.0</v>
      </c>
      <c r="D1052" s="5" t="s">
        <v>1213</v>
      </c>
      <c r="E1052" s="5" t="s">
        <v>1210</v>
      </c>
      <c r="F1052" s="5" t="s">
        <v>1215</v>
      </c>
    </row>
    <row r="1053">
      <c r="A1053" s="5">
        <v>9.01324446E9</v>
      </c>
      <c r="B1053" s="6">
        <v>45954.67403576389</v>
      </c>
      <c r="C1053" s="7">
        <v>1.0</v>
      </c>
      <c r="D1053" s="5" t="s">
        <v>1213</v>
      </c>
      <c r="E1053" s="5" t="s">
        <v>1210</v>
      </c>
      <c r="F1053" s="5" t="s">
        <v>1212</v>
      </c>
    </row>
    <row r="1054">
      <c r="A1054" s="5">
        <v>8.010808615E9</v>
      </c>
      <c r="B1054" s="6">
        <v>45954.67905020833</v>
      </c>
      <c r="C1054" s="7">
        <v>1.0</v>
      </c>
      <c r="D1054" s="5" t="s">
        <v>1213</v>
      </c>
      <c r="E1054" s="5" t="s">
        <v>1210</v>
      </c>
      <c r="F1054" s="5" t="s">
        <v>1215</v>
      </c>
    </row>
    <row r="1055">
      <c r="A1055" s="5">
        <v>9.891999306E9</v>
      </c>
      <c r="B1055" s="6">
        <v>45954.68096570602</v>
      </c>
      <c r="C1055" s="7">
        <v>1.0</v>
      </c>
      <c r="D1055" s="5" t="s">
        <v>1213</v>
      </c>
      <c r="E1055" s="5" t="s">
        <v>1210</v>
      </c>
      <c r="F1055" s="5" t="s">
        <v>1211</v>
      </c>
    </row>
    <row r="1056">
      <c r="A1056" s="5">
        <v>9.717661183E9</v>
      </c>
      <c r="B1056" s="6">
        <v>45954.68346597222</v>
      </c>
      <c r="C1056" s="7">
        <v>1.0</v>
      </c>
      <c r="D1056" s="5" t="s">
        <v>1213</v>
      </c>
      <c r="E1056" s="5" t="s">
        <v>1210</v>
      </c>
      <c r="F1056" s="5" t="s">
        <v>1212</v>
      </c>
    </row>
    <row r="1057">
      <c r="A1057" s="5">
        <v>9.911815367E9</v>
      </c>
      <c r="B1057" s="6">
        <v>45954.686950497686</v>
      </c>
      <c r="C1057" s="7">
        <v>1.0</v>
      </c>
      <c r="D1057" s="5" t="s">
        <v>1213</v>
      </c>
      <c r="E1057" s="5" t="s">
        <v>1210</v>
      </c>
      <c r="F1057" s="5" t="s">
        <v>1211</v>
      </c>
    </row>
    <row r="1058">
      <c r="A1058" s="5">
        <v>9.654195549E9</v>
      </c>
      <c r="B1058" s="6">
        <v>45954.68836155093</v>
      </c>
      <c r="C1058" s="7">
        <v>1.0</v>
      </c>
      <c r="D1058" s="5" t="s">
        <v>1213</v>
      </c>
      <c r="E1058" s="5" t="s">
        <v>1210</v>
      </c>
    </row>
    <row r="1059">
      <c r="A1059" s="5">
        <v>9.89999207E9</v>
      </c>
      <c r="B1059" s="6">
        <v>45955.55260329861</v>
      </c>
      <c r="C1059" s="7">
        <v>1.0</v>
      </c>
      <c r="D1059" s="5" t="s">
        <v>1213</v>
      </c>
      <c r="E1059" s="5" t="s">
        <v>1210</v>
      </c>
      <c r="F1059" s="5" t="s">
        <v>1215</v>
      </c>
    </row>
    <row r="1060">
      <c r="A1060" s="5">
        <v>9.818173312E9</v>
      </c>
      <c r="B1060" s="6">
        <v>45955.55569842593</v>
      </c>
      <c r="C1060" s="7">
        <v>1.0</v>
      </c>
      <c r="D1060" s="5" t="s">
        <v>1213</v>
      </c>
      <c r="E1060" s="5" t="s">
        <v>1210</v>
      </c>
      <c r="F1060" s="5" t="s">
        <v>1211</v>
      </c>
    </row>
    <row r="1061">
      <c r="A1061" s="5">
        <v>8.860285011E9</v>
      </c>
      <c r="B1061" s="6">
        <v>45955.561043877315</v>
      </c>
      <c r="C1061" s="7">
        <v>1.0</v>
      </c>
      <c r="D1061" s="5" t="s">
        <v>1214</v>
      </c>
      <c r="E1061" s="5" t="s">
        <v>1210</v>
      </c>
      <c r="F1061" s="5" t="s">
        <v>1215</v>
      </c>
    </row>
    <row r="1062">
      <c r="A1062" s="5">
        <v>7.757022573E9</v>
      </c>
      <c r="B1062" s="6">
        <v>45956.74068754629</v>
      </c>
      <c r="C1062" s="7">
        <v>1.0</v>
      </c>
      <c r="D1062" s="5" t="s">
        <v>1213</v>
      </c>
      <c r="E1062" s="5" t="s">
        <v>1210</v>
      </c>
      <c r="F1062" s="5" t="s">
        <v>1212</v>
      </c>
    </row>
    <row r="1063">
      <c r="A1063" s="5">
        <v>9.289831565E9</v>
      </c>
      <c r="B1063" s="6">
        <v>45956.74193232639</v>
      </c>
      <c r="C1063" s="7">
        <v>1.0</v>
      </c>
      <c r="D1063" s="5" t="s">
        <v>1213</v>
      </c>
      <c r="E1063" s="5" t="s">
        <v>1210</v>
      </c>
      <c r="F1063" s="5" t="s">
        <v>1211</v>
      </c>
    </row>
    <row r="1064">
      <c r="A1064" s="5">
        <v>8.081226476E9</v>
      </c>
      <c r="B1064" s="6">
        <v>45956.74312708333</v>
      </c>
      <c r="C1064" s="7">
        <v>1.0</v>
      </c>
      <c r="D1064" s="5" t="s">
        <v>1214</v>
      </c>
      <c r="E1064" s="5" t="s">
        <v>1210</v>
      </c>
      <c r="F1064" s="5" t="s">
        <v>1212</v>
      </c>
    </row>
    <row r="1065">
      <c r="A1065" s="5">
        <v>9.811646101E9</v>
      </c>
      <c r="B1065" s="6">
        <v>45956.74868609954</v>
      </c>
      <c r="C1065" s="7">
        <v>1.0</v>
      </c>
      <c r="D1065" s="5" t="s">
        <v>1214</v>
      </c>
      <c r="E1065" s="5" t="s">
        <v>1210</v>
      </c>
      <c r="F1065" s="5" t="s">
        <v>1212</v>
      </c>
    </row>
    <row r="1066">
      <c r="A1066" s="5">
        <v>8.000813156E9</v>
      </c>
      <c r="B1066" s="6">
        <v>45958.53338083334</v>
      </c>
      <c r="C1066" s="7">
        <v>1.0</v>
      </c>
      <c r="D1066" s="5" t="s">
        <v>1213</v>
      </c>
      <c r="E1066" s="5" t="s">
        <v>1210</v>
      </c>
      <c r="F1066" s="5" t="s">
        <v>1215</v>
      </c>
    </row>
    <row r="1067">
      <c r="A1067" s="5">
        <v>8.014541403E9</v>
      </c>
      <c r="B1067" s="6">
        <v>45959.601576099536</v>
      </c>
      <c r="C1067" s="7">
        <v>1.0</v>
      </c>
      <c r="D1067" s="5" t="s">
        <v>1214</v>
      </c>
      <c r="E1067" s="5" t="s">
        <v>1210</v>
      </c>
      <c r="F1067" s="5" t="s">
        <v>1211</v>
      </c>
    </row>
    <row r="1068">
      <c r="A1068" s="5">
        <v>8.000813156E9</v>
      </c>
      <c r="B1068" s="6">
        <v>45958.53338083334</v>
      </c>
      <c r="C1068" s="7">
        <v>2.0</v>
      </c>
      <c r="D1068" s="5" t="s">
        <v>1216</v>
      </c>
      <c r="E1068" s="5" t="s">
        <v>1210</v>
      </c>
      <c r="F1068" s="5" t="s">
        <v>1215</v>
      </c>
    </row>
    <row r="1069">
      <c r="A1069" s="5">
        <v>9.958275105E9</v>
      </c>
      <c r="B1069" s="6">
        <v>45959.602924606486</v>
      </c>
      <c r="C1069" s="7">
        <v>66.0</v>
      </c>
      <c r="D1069" s="5" t="s">
        <v>1214</v>
      </c>
      <c r="E1069" s="5" t="s">
        <v>1210</v>
      </c>
      <c r="F1069" s="5" t="s">
        <v>1212</v>
      </c>
    </row>
    <row r="1070">
      <c r="A1070" s="5">
        <v>8.014541403E9</v>
      </c>
      <c r="B1070" s="6">
        <v>45959.601576099536</v>
      </c>
      <c r="C1070" s="7">
        <v>1.0</v>
      </c>
      <c r="D1070" s="5" t="s">
        <v>1216</v>
      </c>
      <c r="E1070" s="5" t="s">
        <v>1210</v>
      </c>
      <c r="F1070" s="5" t="s">
        <v>1211</v>
      </c>
    </row>
    <row r="1071">
      <c r="A1071" s="5">
        <v>9.8102632E9</v>
      </c>
      <c r="B1071" s="6">
        <v>45959.60399454861</v>
      </c>
      <c r="C1071" s="7">
        <v>1.0</v>
      </c>
      <c r="D1071" s="5" t="s">
        <v>1214</v>
      </c>
      <c r="E1071" s="5" t="s">
        <v>1210</v>
      </c>
      <c r="F1071" s="5" t="s">
        <v>1212</v>
      </c>
    </row>
    <row r="1072">
      <c r="A1072" s="5">
        <v>9.8102632E9</v>
      </c>
      <c r="B1072" s="6">
        <v>45959.60399454861</v>
      </c>
      <c r="C1072" s="7">
        <v>2.0</v>
      </c>
      <c r="D1072" s="5" t="s">
        <v>1213</v>
      </c>
      <c r="E1072" s="5" t="s">
        <v>1210</v>
      </c>
      <c r="F1072" s="5" t="s">
        <v>1212</v>
      </c>
    </row>
    <row r="1073">
      <c r="A1073" s="5">
        <v>9.311163493E9</v>
      </c>
      <c r="B1073" s="6">
        <v>45959.6102159838</v>
      </c>
      <c r="C1073" s="7">
        <v>1.0</v>
      </c>
      <c r="D1073" s="5" t="s">
        <v>1213</v>
      </c>
      <c r="E1073" s="5" t="s">
        <v>1210</v>
      </c>
      <c r="F1073" s="5" t="s">
        <v>1211</v>
      </c>
    </row>
    <row r="1074">
      <c r="A1074" s="5">
        <v>9.311163493E9</v>
      </c>
      <c r="B1074" s="6">
        <v>45959.6102159838</v>
      </c>
      <c r="C1074" s="7">
        <v>1.0</v>
      </c>
      <c r="D1074" s="5" t="s">
        <v>1213</v>
      </c>
      <c r="E1074" s="5" t="s">
        <v>1210</v>
      </c>
      <c r="F1074" s="5" t="s">
        <v>1211</v>
      </c>
    </row>
    <row r="1075">
      <c r="A1075" s="5">
        <v>9.336112838E9</v>
      </c>
      <c r="B1075" s="6">
        <v>45959.61124550926</v>
      </c>
      <c r="C1075" s="7">
        <v>1.0</v>
      </c>
      <c r="D1075" s="5" t="s">
        <v>1213</v>
      </c>
      <c r="E1075" s="5" t="s">
        <v>1210</v>
      </c>
      <c r="F1075" s="5" t="s">
        <v>1212</v>
      </c>
    </row>
    <row r="1076">
      <c r="A1076" s="5">
        <v>9.336112838E9</v>
      </c>
      <c r="B1076" s="6">
        <v>45959.61124550926</v>
      </c>
      <c r="C1076" s="7">
        <v>1.0</v>
      </c>
      <c r="D1076" s="5" t="s">
        <v>1213</v>
      </c>
      <c r="E1076" s="5" t="s">
        <v>1210</v>
      </c>
      <c r="F1076" s="5" t="s">
        <v>1212</v>
      </c>
    </row>
    <row r="1077">
      <c r="A1077" s="5">
        <v>9.810080903E9</v>
      </c>
      <c r="B1077" s="6">
        <v>45959.61243390046</v>
      </c>
      <c r="C1077" s="7">
        <v>66.0</v>
      </c>
      <c r="D1077" s="5" t="s">
        <v>1213</v>
      </c>
      <c r="E1077" s="5" t="s">
        <v>1210</v>
      </c>
      <c r="F1077" s="5" t="s">
        <v>1212</v>
      </c>
    </row>
    <row r="1078">
      <c r="A1078" s="5">
        <v>9.873944034E9</v>
      </c>
      <c r="B1078" s="6">
        <v>45960.54940350694</v>
      </c>
      <c r="C1078" s="7">
        <v>1.0</v>
      </c>
      <c r="D1078" s="5" t="s">
        <v>1214</v>
      </c>
      <c r="E1078" s="5" t="s">
        <v>1210</v>
      </c>
      <c r="F1078" s="5" t="s">
        <v>1212</v>
      </c>
    </row>
    <row r="1079">
      <c r="A1079" s="5">
        <v>9.810080903E9</v>
      </c>
      <c r="B1079" s="6">
        <v>45959.61243390046</v>
      </c>
      <c r="C1079" s="7">
        <v>1.0</v>
      </c>
      <c r="D1079" s="5" t="s">
        <v>1216</v>
      </c>
      <c r="E1079" s="5" t="s">
        <v>1210</v>
      </c>
      <c r="F1079" s="5" t="s">
        <v>1212</v>
      </c>
    </row>
    <row r="1080">
      <c r="A1080" s="5">
        <v>9.873944034E9</v>
      </c>
      <c r="B1080" s="6">
        <v>45960.54940350694</v>
      </c>
      <c r="C1080" s="7">
        <v>1.0</v>
      </c>
      <c r="D1080" s="5" t="s">
        <v>1216</v>
      </c>
      <c r="E1080" s="5" t="s">
        <v>1210</v>
      </c>
      <c r="F1080" s="5" t="s">
        <v>1212</v>
      </c>
    </row>
    <row r="1081">
      <c r="A1081" s="5">
        <v>8.851106251E9</v>
      </c>
      <c r="B1081" s="6">
        <v>45960.55225140046</v>
      </c>
      <c r="C1081" s="7">
        <v>1.0</v>
      </c>
      <c r="D1081" s="5" t="s">
        <v>1213</v>
      </c>
      <c r="E1081" s="5" t="s">
        <v>1210</v>
      </c>
      <c r="F1081" s="5" t="s">
        <v>1215</v>
      </c>
    </row>
    <row r="1082">
      <c r="A1082" s="5">
        <v>9.899019935E9</v>
      </c>
      <c r="B1082" s="6">
        <v>45960.55323689815</v>
      </c>
      <c r="C1082" s="7">
        <v>1.0</v>
      </c>
      <c r="D1082" s="5" t="s">
        <v>1214</v>
      </c>
      <c r="E1082" s="5" t="s">
        <v>1210</v>
      </c>
      <c r="F1082" s="5" t="s">
        <v>1211</v>
      </c>
    </row>
    <row r="1083">
      <c r="A1083" s="5">
        <v>8.851106251E9</v>
      </c>
      <c r="B1083" s="6">
        <v>45960.55225140046</v>
      </c>
      <c r="C1083" s="7">
        <v>1.0</v>
      </c>
      <c r="D1083" s="5" t="s">
        <v>1213</v>
      </c>
      <c r="E1083" s="5" t="s">
        <v>1210</v>
      </c>
      <c r="F1083" s="5" t="s">
        <v>1215</v>
      </c>
    </row>
    <row r="1084">
      <c r="A1084" s="5">
        <v>9.899115887E9</v>
      </c>
      <c r="B1084" s="6">
        <v>45966.545127743055</v>
      </c>
      <c r="C1084" s="7">
        <v>1.0</v>
      </c>
      <c r="D1084" s="5" t="s">
        <v>1213</v>
      </c>
      <c r="E1084" s="5" t="s">
        <v>1210</v>
      </c>
      <c r="F1084" s="5" t="s">
        <v>1215</v>
      </c>
    </row>
    <row r="1085">
      <c r="A1085" s="5">
        <v>9.899019935E9</v>
      </c>
      <c r="B1085" s="6">
        <v>45960.55323689815</v>
      </c>
      <c r="C1085" s="7">
        <v>1.0</v>
      </c>
      <c r="D1085" s="5" t="s">
        <v>1216</v>
      </c>
      <c r="E1085" s="5" t="s">
        <v>1210</v>
      </c>
      <c r="F1085" s="5" t="s">
        <v>1211</v>
      </c>
    </row>
    <row r="1086">
      <c r="A1086" s="5">
        <v>9.811181307E9</v>
      </c>
      <c r="B1086" s="6">
        <v>45966.56815527778</v>
      </c>
      <c r="C1086" s="7">
        <v>1.0</v>
      </c>
      <c r="D1086" s="5" t="s">
        <v>1213</v>
      </c>
      <c r="E1086" s="5" t="s">
        <v>1210</v>
      </c>
      <c r="F1086" s="5" t="s">
        <v>1215</v>
      </c>
    </row>
    <row r="1087">
      <c r="A1087" s="5">
        <v>9.41602465E9</v>
      </c>
      <c r="B1087" s="6">
        <v>45966.569417199076</v>
      </c>
      <c r="C1087" s="7">
        <v>1.0</v>
      </c>
      <c r="D1087" s="5" t="s">
        <v>1213</v>
      </c>
      <c r="E1087" s="5" t="s">
        <v>1210</v>
      </c>
      <c r="F1087" s="5" t="s">
        <v>1212</v>
      </c>
    </row>
    <row r="1088">
      <c r="A1088" s="5">
        <v>9.811891231E9</v>
      </c>
      <c r="B1088" s="6">
        <v>45966.57508814815</v>
      </c>
      <c r="C1088" s="7">
        <v>2.0</v>
      </c>
      <c r="D1088" s="5" t="s">
        <v>1213</v>
      </c>
      <c r="E1088" s="5" t="s">
        <v>1210</v>
      </c>
      <c r="F1088" s="5" t="s">
        <v>1212</v>
      </c>
    </row>
    <row r="1089">
      <c r="A1089" s="5">
        <v>9.314010771E9</v>
      </c>
      <c r="B1089" s="6">
        <v>45966.57650664352</v>
      </c>
      <c r="C1089" s="7">
        <v>1.0</v>
      </c>
      <c r="D1089" s="5" t="s">
        <v>1214</v>
      </c>
      <c r="E1089" s="5" t="s">
        <v>1210</v>
      </c>
      <c r="F1089" s="5" t="s">
        <v>1211</v>
      </c>
    </row>
    <row r="1090">
      <c r="A1090" s="5">
        <v>9.899115887E9</v>
      </c>
      <c r="B1090" s="6">
        <v>45966.545127743055</v>
      </c>
      <c r="C1090" s="7">
        <v>1.0</v>
      </c>
      <c r="D1090" s="5" t="s">
        <v>1213</v>
      </c>
      <c r="E1090" s="5" t="s">
        <v>1210</v>
      </c>
      <c r="F1090" s="5" t="s">
        <v>1215</v>
      </c>
    </row>
    <row r="1091">
      <c r="A1091" s="5">
        <v>9.469473538E9</v>
      </c>
      <c r="B1091" s="6">
        <v>45968.546046250005</v>
      </c>
      <c r="C1091" s="7">
        <v>67.0</v>
      </c>
      <c r="D1091" s="5" t="s">
        <v>1214</v>
      </c>
      <c r="E1091" s="5" t="s">
        <v>1210</v>
      </c>
      <c r="F1091" s="5" t="s">
        <v>1215</v>
      </c>
    </row>
    <row r="1092">
      <c r="A1092" s="5">
        <v>9.711336518E9</v>
      </c>
      <c r="B1092" s="6">
        <v>45968.54738122685</v>
      </c>
      <c r="C1092" s="7">
        <v>1.0</v>
      </c>
      <c r="D1092" s="5" t="s">
        <v>1213</v>
      </c>
      <c r="E1092" s="5" t="s">
        <v>1210</v>
      </c>
      <c r="F1092" s="5" t="s">
        <v>1215</v>
      </c>
    </row>
    <row r="1093">
      <c r="A1093" s="5">
        <v>9.811181307E9</v>
      </c>
      <c r="B1093" s="6">
        <v>45966.56815527778</v>
      </c>
      <c r="C1093" s="7">
        <v>1.0</v>
      </c>
      <c r="D1093" s="5" t="s">
        <v>1213</v>
      </c>
      <c r="E1093" s="5" t="s">
        <v>1210</v>
      </c>
      <c r="F1093" s="5" t="s">
        <v>1215</v>
      </c>
    </row>
    <row r="1094">
      <c r="A1094" s="5">
        <v>9.41602465E9</v>
      </c>
      <c r="B1094" s="6">
        <v>45966.569417199076</v>
      </c>
      <c r="C1094" s="7">
        <v>1.0</v>
      </c>
      <c r="D1094" s="5" t="s">
        <v>1213</v>
      </c>
      <c r="E1094" s="5" t="s">
        <v>1210</v>
      </c>
      <c r="F1094" s="5" t="s">
        <v>1212</v>
      </c>
    </row>
    <row r="1095">
      <c r="A1095" s="5">
        <v>9.21058852E9</v>
      </c>
      <c r="B1095" s="6">
        <v>45968.548799745375</v>
      </c>
      <c r="C1095" s="7">
        <v>1.0</v>
      </c>
      <c r="D1095" s="5" t="s">
        <v>1214</v>
      </c>
      <c r="E1095" s="5" t="s">
        <v>1210</v>
      </c>
      <c r="F1095" s="5" t="s">
        <v>1211</v>
      </c>
    </row>
    <row r="1096">
      <c r="A1096" s="5">
        <v>9.811891231E9</v>
      </c>
      <c r="B1096" s="6">
        <v>45966.57508814815</v>
      </c>
      <c r="C1096" s="7">
        <v>1.0</v>
      </c>
      <c r="D1096" s="5" t="s">
        <v>1213</v>
      </c>
      <c r="E1096" s="5" t="s">
        <v>1210</v>
      </c>
      <c r="F1096" s="5" t="s">
        <v>1212</v>
      </c>
    </row>
    <row r="1097">
      <c r="A1097" s="5">
        <v>9.716335323E9</v>
      </c>
      <c r="B1097" s="6">
        <v>45968.550320069444</v>
      </c>
      <c r="C1097" s="7">
        <v>1.0</v>
      </c>
      <c r="D1097" s="5" t="s">
        <v>1213</v>
      </c>
      <c r="E1097" s="5" t="s">
        <v>1210</v>
      </c>
      <c r="F1097" s="5" t="s">
        <v>1211</v>
      </c>
    </row>
    <row r="1098">
      <c r="A1098" s="5">
        <v>8.920465183E9</v>
      </c>
      <c r="B1098" s="6">
        <v>45968.55408189815</v>
      </c>
      <c r="C1098" s="7">
        <v>1.0</v>
      </c>
      <c r="D1098" s="5" t="s">
        <v>1214</v>
      </c>
      <c r="E1098" s="5" t="s">
        <v>1210</v>
      </c>
      <c r="F1098" s="5" t="s">
        <v>1212</v>
      </c>
    </row>
    <row r="1099">
      <c r="A1099" s="5">
        <v>9.319569354E9</v>
      </c>
      <c r="B1099" s="6">
        <v>45969.57247170139</v>
      </c>
      <c r="C1099" s="7">
        <v>1.0</v>
      </c>
      <c r="D1099" s="5" t="s">
        <v>1214</v>
      </c>
      <c r="E1099" s="5" t="s">
        <v>1210</v>
      </c>
      <c r="F1099" s="5" t="s">
        <v>1215</v>
      </c>
    </row>
    <row r="1100">
      <c r="A1100" s="5">
        <v>9.314010771E9</v>
      </c>
      <c r="B1100" s="6">
        <v>45966.57650664352</v>
      </c>
      <c r="C1100" s="7">
        <v>1.0</v>
      </c>
      <c r="D1100" s="5" t="s">
        <v>1216</v>
      </c>
      <c r="E1100" s="5" t="s">
        <v>1210</v>
      </c>
      <c r="F1100" s="5" t="s">
        <v>1211</v>
      </c>
    </row>
    <row r="1101">
      <c r="A1101" s="5">
        <v>9.800816742E9</v>
      </c>
      <c r="B1101" s="6">
        <v>45969.57383112269</v>
      </c>
      <c r="C1101" s="7">
        <v>1.0</v>
      </c>
      <c r="D1101" s="5" t="s">
        <v>1213</v>
      </c>
      <c r="E1101" s="5" t="s">
        <v>1210</v>
      </c>
      <c r="F1101" s="5" t="s">
        <v>1212</v>
      </c>
    </row>
    <row r="1102">
      <c r="A1102" s="5">
        <v>9.953052536E9</v>
      </c>
      <c r="B1102" s="6">
        <v>45969.57496783565</v>
      </c>
      <c r="C1102" s="7">
        <v>66.0</v>
      </c>
      <c r="D1102" s="5" t="s">
        <v>1213</v>
      </c>
      <c r="E1102" s="5" t="s">
        <v>1210</v>
      </c>
      <c r="F1102" s="5" t="s">
        <v>1215</v>
      </c>
    </row>
    <row r="1103">
      <c r="A1103" s="5">
        <v>9.469473538E9</v>
      </c>
      <c r="B1103" s="6">
        <v>45968.546046250005</v>
      </c>
      <c r="C1103" s="7">
        <v>1.0</v>
      </c>
      <c r="D1103" s="5" t="s">
        <v>1216</v>
      </c>
      <c r="E1103" s="5" t="s">
        <v>1210</v>
      </c>
      <c r="F1103" s="5" t="s">
        <v>1215</v>
      </c>
    </row>
    <row r="1104">
      <c r="A1104" s="5">
        <v>7.838389951E9</v>
      </c>
      <c r="B1104" s="6">
        <v>45970.52341018518</v>
      </c>
      <c r="C1104" s="7">
        <v>1.0</v>
      </c>
      <c r="D1104" s="5" t="s">
        <v>1214</v>
      </c>
      <c r="E1104" s="5" t="s">
        <v>1210</v>
      </c>
      <c r="F1104" s="5" t="s">
        <v>1212</v>
      </c>
    </row>
    <row r="1105">
      <c r="A1105" s="5">
        <v>7.827407655E9</v>
      </c>
      <c r="B1105" s="6">
        <v>45970.5244878125</v>
      </c>
      <c r="C1105" s="7">
        <v>1.0</v>
      </c>
      <c r="D1105" s="5" t="s">
        <v>1214</v>
      </c>
      <c r="E1105" s="5" t="s">
        <v>1210</v>
      </c>
      <c r="F1105" s="5" t="s">
        <v>1211</v>
      </c>
    </row>
    <row r="1106">
      <c r="A1106" s="5">
        <v>9.711336518E9</v>
      </c>
      <c r="B1106" s="6">
        <v>45968.54738122685</v>
      </c>
      <c r="C1106" s="7">
        <v>1.0</v>
      </c>
      <c r="D1106" s="5" t="s">
        <v>1213</v>
      </c>
      <c r="E1106" s="5" t="s">
        <v>1210</v>
      </c>
      <c r="F1106" s="5" t="s">
        <v>1215</v>
      </c>
    </row>
    <row r="1107">
      <c r="A1107" s="5">
        <v>9.75237098E9</v>
      </c>
      <c r="B1107" s="6">
        <v>45972.5382512037</v>
      </c>
      <c r="C1107" s="7">
        <v>1.0</v>
      </c>
      <c r="D1107" s="5" t="s">
        <v>1213</v>
      </c>
      <c r="E1107" s="5" t="s">
        <v>1210</v>
      </c>
      <c r="F1107" s="5" t="s">
        <v>1211</v>
      </c>
    </row>
    <row r="1108">
      <c r="A1108" s="5">
        <v>9.21058852E9</v>
      </c>
      <c r="B1108" s="6">
        <v>45968.548799745375</v>
      </c>
      <c r="C1108" s="7">
        <v>1.0</v>
      </c>
      <c r="D1108" s="5" t="s">
        <v>1216</v>
      </c>
      <c r="E1108" s="5" t="s">
        <v>1210</v>
      </c>
      <c r="F1108" s="5" t="s">
        <v>1211</v>
      </c>
    </row>
    <row r="1109">
      <c r="A1109" s="5">
        <v>9.716335323E9</v>
      </c>
      <c r="B1109" s="6">
        <v>45968.550320069444</v>
      </c>
      <c r="C1109" s="7">
        <v>1.0</v>
      </c>
      <c r="D1109" s="5" t="s">
        <v>1213</v>
      </c>
      <c r="E1109" s="5" t="s">
        <v>1210</v>
      </c>
      <c r="F1109" s="5" t="s">
        <v>1211</v>
      </c>
    </row>
    <row r="1110">
      <c r="A1110" s="5">
        <v>9.355611119E9</v>
      </c>
      <c r="B1110" s="6">
        <v>45972.546295057866</v>
      </c>
      <c r="C1110" s="7">
        <v>1.0</v>
      </c>
      <c r="D1110" s="5" t="s">
        <v>1213</v>
      </c>
      <c r="E1110" s="5" t="s">
        <v>1210</v>
      </c>
      <c r="F1110" s="5" t="s">
        <v>1211</v>
      </c>
    </row>
    <row r="1111">
      <c r="A1111" s="5">
        <v>8.920465183E9</v>
      </c>
      <c r="B1111" s="6">
        <v>45968.55408189815</v>
      </c>
      <c r="C1111" s="7">
        <v>1.0</v>
      </c>
      <c r="D1111" s="5" t="s">
        <v>1216</v>
      </c>
      <c r="E1111" s="5" t="s">
        <v>1210</v>
      </c>
      <c r="F1111" s="5" t="s">
        <v>1212</v>
      </c>
    </row>
    <row r="1112">
      <c r="A1112" s="5">
        <v>9.319569354E9</v>
      </c>
      <c r="B1112" s="6">
        <v>45969.57247170139</v>
      </c>
      <c r="C1112" s="7">
        <v>1.0</v>
      </c>
      <c r="D1112" s="5" t="s">
        <v>1216</v>
      </c>
      <c r="E1112" s="5" t="s">
        <v>1210</v>
      </c>
      <c r="F1112" s="5" t="s">
        <v>1215</v>
      </c>
    </row>
    <row r="1113">
      <c r="A1113" s="5">
        <v>9.800816742E9</v>
      </c>
      <c r="B1113" s="6">
        <v>45969.57383112269</v>
      </c>
      <c r="C1113" s="7">
        <v>1.0</v>
      </c>
      <c r="D1113" s="5" t="s">
        <v>1213</v>
      </c>
      <c r="E1113" s="5" t="s">
        <v>1210</v>
      </c>
      <c r="F1113" s="5" t="s">
        <v>1212</v>
      </c>
    </row>
    <row r="1114">
      <c r="A1114" s="5">
        <v>9.953052536E9</v>
      </c>
      <c r="B1114" s="6">
        <v>45969.57496783565</v>
      </c>
      <c r="C1114" s="7">
        <v>1.0</v>
      </c>
      <c r="D1114" s="5" t="s">
        <v>1213</v>
      </c>
      <c r="E1114" s="5" t="s">
        <v>1210</v>
      </c>
      <c r="F1114" s="5" t="s">
        <v>1215</v>
      </c>
    </row>
    <row r="1115">
      <c r="A1115" s="5">
        <v>7.838389951E9</v>
      </c>
      <c r="B1115" s="6">
        <v>45970.52341018518</v>
      </c>
      <c r="C1115" s="7">
        <v>1.0</v>
      </c>
      <c r="D1115" s="5" t="s">
        <v>1216</v>
      </c>
      <c r="E1115" s="5" t="s">
        <v>1210</v>
      </c>
      <c r="F1115" s="5" t="s">
        <v>1212</v>
      </c>
    </row>
    <row r="1116">
      <c r="A1116" s="5">
        <v>7.827407655E9</v>
      </c>
      <c r="B1116" s="6">
        <v>45970.5244878125</v>
      </c>
      <c r="C1116" s="7">
        <v>1.0</v>
      </c>
      <c r="D1116" s="5" t="s">
        <v>1216</v>
      </c>
      <c r="E1116" s="5" t="s">
        <v>1210</v>
      </c>
      <c r="F1116" s="5" t="s">
        <v>1211</v>
      </c>
    </row>
    <row r="1117">
      <c r="A1117" s="5">
        <v>9.75237098E9</v>
      </c>
      <c r="B1117" s="6">
        <v>45972.5382512037</v>
      </c>
      <c r="C1117" s="7">
        <v>1.0</v>
      </c>
      <c r="D1117" s="5" t="s">
        <v>1213</v>
      </c>
      <c r="E1117" s="5" t="s">
        <v>1210</v>
      </c>
      <c r="F1117" s="5" t="s">
        <v>1211</v>
      </c>
    </row>
    <row r="1118">
      <c r="A1118" s="5">
        <v>9.355611119E9</v>
      </c>
      <c r="B1118" s="6">
        <v>45972.546295057866</v>
      </c>
      <c r="C1118" s="7">
        <v>1.0</v>
      </c>
      <c r="D1118" s="5" t="s">
        <v>1213</v>
      </c>
      <c r="E1118" s="5" t="s">
        <v>1210</v>
      </c>
      <c r="F1118" s="5" t="s">
        <v>1211</v>
      </c>
    </row>
    <row r="1119">
      <c r="A1119" s="5">
        <v>1.434259584E9</v>
      </c>
      <c r="B1119" s="6">
        <v>45972.54763538194</v>
      </c>
      <c r="C1119" s="7">
        <v>67.0</v>
      </c>
      <c r="D1119" s="5" t="s">
        <v>1213</v>
      </c>
      <c r="E1119" s="5" t="s">
        <v>1210</v>
      </c>
      <c r="F1119" s="5" t="s">
        <v>1211</v>
      </c>
    </row>
    <row r="1120">
      <c r="A1120" s="5">
        <v>9.910470144E9</v>
      </c>
      <c r="B1120" s="6">
        <v>45972.551793125</v>
      </c>
      <c r="C1120" s="7">
        <v>67.0</v>
      </c>
      <c r="D1120" s="5" t="s">
        <v>1213</v>
      </c>
      <c r="E1120" s="5" t="s">
        <v>1210</v>
      </c>
      <c r="F1120" s="5" t="s">
        <v>1211</v>
      </c>
    </row>
    <row r="1121">
      <c r="A1121" s="5">
        <v>9.910378325E9</v>
      </c>
      <c r="B1121" s="6">
        <v>45972.55311497685</v>
      </c>
      <c r="C1121" s="7">
        <v>67.0</v>
      </c>
      <c r="D1121" s="5" t="s">
        <v>1213</v>
      </c>
      <c r="E1121" s="5" t="s">
        <v>1210</v>
      </c>
      <c r="F1121" s="5" t="s">
        <v>1215</v>
      </c>
    </row>
    <row r="1122">
      <c r="A1122" s="5">
        <v>9.810882842E9</v>
      </c>
      <c r="B1122" s="6">
        <v>45972.55816252315</v>
      </c>
      <c r="C1122" s="7">
        <v>1.0</v>
      </c>
      <c r="D1122" s="5" t="s">
        <v>1213</v>
      </c>
      <c r="E1122" s="5" t="s">
        <v>1210</v>
      </c>
      <c r="F1122" s="5" t="s">
        <v>1215</v>
      </c>
    </row>
    <row r="1123">
      <c r="A1123" s="5">
        <v>8.750212242E9</v>
      </c>
      <c r="B1123" s="6">
        <v>45973.57655878473</v>
      </c>
      <c r="C1123" s="7">
        <v>1.0</v>
      </c>
      <c r="D1123" s="5" t="s">
        <v>1213</v>
      </c>
      <c r="E1123" s="5" t="s">
        <v>1210</v>
      </c>
      <c r="F1123" s="5" t="s">
        <v>1215</v>
      </c>
    </row>
    <row r="1124">
      <c r="A1124" s="5">
        <v>9.873305151E9</v>
      </c>
      <c r="B1124" s="6">
        <v>45973.57903425926</v>
      </c>
      <c r="C1124" s="7">
        <v>1.0</v>
      </c>
      <c r="D1124" s="5" t="s">
        <v>1213</v>
      </c>
      <c r="E1124" s="5" t="s">
        <v>1210</v>
      </c>
      <c r="F1124" s="5" t="s">
        <v>1212</v>
      </c>
    </row>
    <row r="1125">
      <c r="A1125" s="5">
        <v>9.891306342E9</v>
      </c>
      <c r="B1125" s="6">
        <v>45973.57990585648</v>
      </c>
      <c r="C1125" s="7">
        <v>67.0</v>
      </c>
      <c r="D1125" s="5" t="s">
        <v>1213</v>
      </c>
      <c r="E1125" s="5" t="s">
        <v>1210</v>
      </c>
      <c r="F1125" s="5" t="s">
        <v>1211</v>
      </c>
    </row>
    <row r="1126">
      <c r="A1126" s="5">
        <v>9.873989789E9</v>
      </c>
      <c r="B1126" s="6">
        <v>45974.52885858796</v>
      </c>
      <c r="C1126" s="7">
        <v>1.0</v>
      </c>
      <c r="D1126" s="5" t="s">
        <v>1214</v>
      </c>
      <c r="E1126" s="5" t="s">
        <v>1210</v>
      </c>
      <c r="F1126" s="5" t="s">
        <v>1211</v>
      </c>
    </row>
    <row r="1127">
      <c r="A1127" s="5">
        <v>9.999341393E9</v>
      </c>
      <c r="B1127" s="6">
        <v>45974.53023160879</v>
      </c>
      <c r="C1127" s="7">
        <v>1.0</v>
      </c>
      <c r="D1127" s="5" t="s">
        <v>1213</v>
      </c>
      <c r="E1127" s="5" t="s">
        <v>1210</v>
      </c>
      <c r="F1127" s="5" t="s">
        <v>1211</v>
      </c>
    </row>
    <row r="1128">
      <c r="A1128" s="5">
        <v>8.287096447E9</v>
      </c>
      <c r="B1128" s="6">
        <v>45974.53576254629</v>
      </c>
      <c r="C1128" s="7">
        <v>1.0</v>
      </c>
      <c r="D1128" s="5" t="s">
        <v>1214</v>
      </c>
      <c r="E1128" s="5" t="s">
        <v>1210</v>
      </c>
      <c r="F1128" s="5" t="s">
        <v>1215</v>
      </c>
    </row>
    <row r="1129">
      <c r="A1129" s="5">
        <v>9.899882198E9</v>
      </c>
      <c r="B1129" s="6">
        <v>45977.50347703704</v>
      </c>
      <c r="C1129" s="7">
        <v>67.0</v>
      </c>
      <c r="D1129" s="5" t="s">
        <v>1213</v>
      </c>
      <c r="E1129" s="5" t="s">
        <v>1210</v>
      </c>
      <c r="F1129" s="5" t="s">
        <v>1212</v>
      </c>
    </row>
    <row r="1130">
      <c r="A1130" s="5">
        <v>8.52721345E9</v>
      </c>
      <c r="B1130" s="6">
        <v>45977.506651585645</v>
      </c>
      <c r="C1130" s="7">
        <v>67.0</v>
      </c>
      <c r="D1130" s="5" t="s">
        <v>1213</v>
      </c>
      <c r="E1130" s="5" t="s">
        <v>1210</v>
      </c>
      <c r="F1130" s="5" t="s">
        <v>1211</v>
      </c>
    </row>
    <row r="1131">
      <c r="A1131" s="5">
        <v>9.654887826E9</v>
      </c>
      <c r="B1131" s="6">
        <v>45977.51110078704</v>
      </c>
      <c r="C1131" s="7">
        <v>1.0</v>
      </c>
      <c r="D1131" s="5" t="s">
        <v>1213</v>
      </c>
      <c r="E1131" s="5" t="s">
        <v>1210</v>
      </c>
      <c r="F1131" s="5" t="s">
        <v>1215</v>
      </c>
    </row>
    <row r="1132">
      <c r="A1132" s="5">
        <v>9.55591206E9</v>
      </c>
      <c r="B1132" s="6">
        <v>45980.51494649306</v>
      </c>
      <c r="C1132" s="7">
        <v>1.0</v>
      </c>
      <c r="D1132" s="5" t="s">
        <v>1213</v>
      </c>
      <c r="E1132" s="5" t="s">
        <v>1210</v>
      </c>
      <c r="F1132" s="5" t="s">
        <v>1215</v>
      </c>
    </row>
    <row r="1133">
      <c r="A1133" s="5">
        <v>8.285733143E9</v>
      </c>
      <c r="B1133" s="6">
        <v>45980.5173834375</v>
      </c>
      <c r="C1133" s="7">
        <v>1.0</v>
      </c>
      <c r="D1133" s="5" t="s">
        <v>1213</v>
      </c>
      <c r="E1133" s="5" t="s">
        <v>1210</v>
      </c>
      <c r="F1133" s="5" t="s">
        <v>1211</v>
      </c>
    </row>
    <row r="1134">
      <c r="A1134" s="5">
        <v>8.368135941E9</v>
      </c>
      <c r="B1134" s="6">
        <v>45980.5187525463</v>
      </c>
      <c r="C1134" s="7">
        <v>1.0</v>
      </c>
      <c r="D1134" s="5" t="s">
        <v>1213</v>
      </c>
      <c r="E1134" s="5" t="s">
        <v>1210</v>
      </c>
      <c r="F1134" s="5" t="s">
        <v>1211</v>
      </c>
    </row>
    <row r="1135">
      <c r="A1135" s="5">
        <v>8.447210689E9</v>
      </c>
      <c r="B1135" s="6">
        <v>45980.520162002314</v>
      </c>
      <c r="C1135" s="7">
        <v>1.0</v>
      </c>
      <c r="D1135" s="5" t="s">
        <v>1213</v>
      </c>
      <c r="E1135" s="5" t="s">
        <v>1210</v>
      </c>
      <c r="F1135" s="5" t="s">
        <v>1212</v>
      </c>
    </row>
    <row r="1136">
      <c r="A1136" s="5">
        <v>9.910043295E9</v>
      </c>
      <c r="B1136" s="6">
        <v>45980.5213442824</v>
      </c>
      <c r="C1136" s="7">
        <v>1.0</v>
      </c>
      <c r="D1136" s="5" t="s">
        <v>1214</v>
      </c>
      <c r="E1136" s="5" t="s">
        <v>1210</v>
      </c>
      <c r="F1136" s="5" t="s">
        <v>1211</v>
      </c>
    </row>
    <row r="1137">
      <c r="A1137" s="5">
        <v>8.12346781E9</v>
      </c>
      <c r="B1137" s="6">
        <v>45980.52252918981</v>
      </c>
      <c r="C1137" s="7">
        <v>1.0</v>
      </c>
      <c r="D1137" s="5" t="s">
        <v>1214</v>
      </c>
      <c r="E1137" s="5" t="s">
        <v>1210</v>
      </c>
      <c r="F1137" s="5" t="s">
        <v>1212</v>
      </c>
    </row>
    <row r="1138">
      <c r="A1138" s="5">
        <v>9.873438078E9</v>
      </c>
      <c r="B1138" s="6">
        <v>45980.52370509259</v>
      </c>
      <c r="C1138" s="7">
        <v>1.0</v>
      </c>
      <c r="D1138" s="5" t="s">
        <v>1214</v>
      </c>
      <c r="E1138" s="5" t="s">
        <v>1210</v>
      </c>
      <c r="F1138" s="5" t="s">
        <v>1211</v>
      </c>
    </row>
    <row r="1139">
      <c r="A1139" s="5">
        <v>9.654195545E9</v>
      </c>
      <c r="B1139" s="6">
        <v>45980.52529265046</v>
      </c>
      <c r="C1139" s="7">
        <v>1.0</v>
      </c>
      <c r="D1139" s="5" t="s">
        <v>1213</v>
      </c>
      <c r="E1139" s="5" t="s">
        <v>1210</v>
      </c>
      <c r="F1139" s="5" t="s">
        <v>1215</v>
      </c>
    </row>
    <row r="1140">
      <c r="A1140" s="5">
        <v>9.810133082E9</v>
      </c>
      <c r="B1140" s="6">
        <v>45981.52658175926</v>
      </c>
      <c r="C1140" s="7">
        <v>1.0</v>
      </c>
      <c r="D1140" s="5" t="s">
        <v>1214</v>
      </c>
      <c r="E1140" s="5" t="s">
        <v>1210</v>
      </c>
      <c r="F1140" s="5" t="s">
        <v>1211</v>
      </c>
    </row>
    <row r="1141">
      <c r="A1141" s="5">
        <v>9.871394198E9</v>
      </c>
      <c r="B1141" s="6">
        <v>45981.534550763885</v>
      </c>
      <c r="C1141" s="7">
        <v>133.0</v>
      </c>
      <c r="D1141" s="5" t="s">
        <v>1213</v>
      </c>
      <c r="E1141" s="5" t="s">
        <v>1210</v>
      </c>
      <c r="F1141" s="5" t="s">
        <v>1211</v>
      </c>
    </row>
    <row r="1142">
      <c r="A1142" s="5">
        <v>9.350290331E9</v>
      </c>
      <c r="B1142" s="6">
        <v>45982.705602546295</v>
      </c>
      <c r="C1142" s="7">
        <v>1.0</v>
      </c>
      <c r="D1142" s="5" t="s">
        <v>1213</v>
      </c>
      <c r="E1142" s="5" t="s">
        <v>1210</v>
      </c>
      <c r="F1142" s="5" t="s">
        <v>1211</v>
      </c>
    </row>
    <row r="1143">
      <c r="A1143" s="5">
        <v>9.81857007E9</v>
      </c>
      <c r="B1143" s="6">
        <v>45982.70651164352</v>
      </c>
      <c r="C1143" s="7">
        <v>1.0</v>
      </c>
      <c r="D1143" s="5" t="s">
        <v>1213</v>
      </c>
      <c r="E1143" s="5" t="s">
        <v>1210</v>
      </c>
      <c r="F1143" s="5" t="s">
        <v>1211</v>
      </c>
    </row>
    <row r="1144">
      <c r="A1144" s="5">
        <v>9.310348015E9</v>
      </c>
      <c r="B1144" s="6">
        <v>45982.70942587963</v>
      </c>
      <c r="C1144" s="7">
        <v>1.0</v>
      </c>
      <c r="D1144" s="5" t="s">
        <v>1214</v>
      </c>
      <c r="E1144" s="5" t="s">
        <v>1210</v>
      </c>
      <c r="F1144" s="5" t="s">
        <v>1211</v>
      </c>
    </row>
    <row r="1145">
      <c r="A1145" s="5">
        <v>7.351923465E9</v>
      </c>
      <c r="B1145" s="6">
        <v>45982.71137802083</v>
      </c>
      <c r="C1145" s="7">
        <v>1.0</v>
      </c>
      <c r="D1145" s="5" t="s">
        <v>1214</v>
      </c>
      <c r="E1145" s="5" t="s">
        <v>1210</v>
      </c>
      <c r="F1145" s="5" t="s">
        <v>1212</v>
      </c>
    </row>
    <row r="1146">
      <c r="A1146" s="5">
        <v>9.818223853E9</v>
      </c>
      <c r="B1146" s="6">
        <v>45983.53215489583</v>
      </c>
      <c r="C1146" s="7">
        <v>1.0</v>
      </c>
      <c r="D1146" s="5" t="s">
        <v>1214</v>
      </c>
      <c r="E1146" s="5" t="s">
        <v>1210</v>
      </c>
      <c r="F1146" s="5" t="s">
        <v>1212</v>
      </c>
    </row>
    <row r="1147">
      <c r="A1147" s="5">
        <v>9.871501384E9</v>
      </c>
      <c r="B1147" s="6">
        <v>45983.534724791665</v>
      </c>
      <c r="C1147" s="7">
        <v>1.0</v>
      </c>
      <c r="D1147" s="5" t="s">
        <v>1214</v>
      </c>
      <c r="E1147" s="5" t="s">
        <v>1210</v>
      </c>
      <c r="F1147" s="5" t="s">
        <v>1211</v>
      </c>
    </row>
    <row r="1148">
      <c r="A1148" s="5">
        <v>9.310698129E9</v>
      </c>
      <c r="B1148" s="6">
        <v>45984.534973981485</v>
      </c>
      <c r="C1148" s="7">
        <v>67.0</v>
      </c>
      <c r="D1148" s="5" t="s">
        <v>1213</v>
      </c>
      <c r="E1148" s="5" t="s">
        <v>1210</v>
      </c>
      <c r="F1148" s="5" t="s">
        <v>1212</v>
      </c>
    </row>
    <row r="1149">
      <c r="A1149" s="5">
        <v>9.818864604E9</v>
      </c>
      <c r="B1149" s="6">
        <v>45984.53618462963</v>
      </c>
      <c r="C1149" s="7">
        <v>67.0</v>
      </c>
      <c r="D1149" s="5" t="s">
        <v>1213</v>
      </c>
      <c r="E1149" s="5" t="s">
        <v>1210</v>
      </c>
      <c r="F1149" s="5" t="s">
        <v>1212</v>
      </c>
    </row>
    <row r="1150">
      <c r="A1150" s="5">
        <v>7.827056315E9</v>
      </c>
      <c r="B1150" s="6">
        <v>45984.538474560184</v>
      </c>
      <c r="C1150" s="7">
        <v>1.0</v>
      </c>
      <c r="D1150" s="5" t="s">
        <v>1213</v>
      </c>
      <c r="E1150" s="5" t="s">
        <v>1210</v>
      </c>
      <c r="F1150" s="5" t="s">
        <v>1211</v>
      </c>
    </row>
    <row r="1151">
      <c r="A1151" s="5">
        <v>8.971503665E9</v>
      </c>
      <c r="B1151" s="6">
        <v>45986.534905625</v>
      </c>
      <c r="C1151" s="7">
        <v>1.0</v>
      </c>
      <c r="D1151" s="5" t="s">
        <v>1213</v>
      </c>
      <c r="E1151" s="5" t="s">
        <v>1210</v>
      </c>
      <c r="F1151" s="5" t="s">
        <v>1211</v>
      </c>
    </row>
    <row r="1152">
      <c r="A1152" s="5">
        <v>9.711699689E9</v>
      </c>
      <c r="B1152" s="6">
        <v>45986.536101516205</v>
      </c>
      <c r="C1152" s="7">
        <v>1.0</v>
      </c>
      <c r="D1152" s="5" t="s">
        <v>1214</v>
      </c>
      <c r="E1152" s="5" t="s">
        <v>1210</v>
      </c>
      <c r="F1152" s="5" t="s">
        <v>1215</v>
      </c>
    </row>
    <row r="1153">
      <c r="A1153" s="5">
        <v>8.822252225E9</v>
      </c>
      <c r="B1153" s="6">
        <v>45986.537666018514</v>
      </c>
      <c r="C1153" s="7">
        <v>1.0</v>
      </c>
      <c r="D1153" s="5" t="s">
        <v>1213</v>
      </c>
      <c r="E1153" s="5" t="s">
        <v>1210</v>
      </c>
      <c r="F1153" s="5" t="s">
        <v>1211</v>
      </c>
    </row>
    <row r="1154">
      <c r="A1154" s="5">
        <v>9.899988844E9</v>
      </c>
      <c r="B1154" s="6">
        <v>45987.53402872685</v>
      </c>
      <c r="C1154" s="7">
        <v>1.0</v>
      </c>
      <c r="D1154" s="5" t="s">
        <v>1214</v>
      </c>
      <c r="E1154" s="5" t="s">
        <v>1210</v>
      </c>
      <c r="F1154" s="5" t="s">
        <v>1211</v>
      </c>
    </row>
    <row r="1155">
      <c r="A1155" s="5">
        <v>1.430393622E9</v>
      </c>
      <c r="B1155" s="6">
        <v>45987.53551736111</v>
      </c>
      <c r="C1155" s="7">
        <v>1.0</v>
      </c>
      <c r="D1155" s="5" t="s">
        <v>1214</v>
      </c>
      <c r="E1155" s="5" t="s">
        <v>1210</v>
      </c>
      <c r="F1155" s="5" t="s">
        <v>1211</v>
      </c>
    </row>
    <row r="1156">
      <c r="A1156" s="5">
        <v>9.896918939E9</v>
      </c>
      <c r="B1156" s="6">
        <v>45987.53709570602</v>
      </c>
      <c r="C1156" s="7">
        <v>1.0</v>
      </c>
      <c r="D1156" s="5" t="s">
        <v>1213</v>
      </c>
      <c r="E1156" s="5" t="s">
        <v>1210</v>
      </c>
      <c r="F1156" s="5" t="s">
        <v>1211</v>
      </c>
    </row>
    <row r="1157">
      <c r="A1157" s="5">
        <v>9.210348773E9</v>
      </c>
      <c r="B1157" s="6">
        <v>45988.531345509255</v>
      </c>
      <c r="C1157" s="7">
        <v>1.0</v>
      </c>
      <c r="D1157" s="5" t="s">
        <v>1213</v>
      </c>
      <c r="E1157" s="5" t="s">
        <v>1210</v>
      </c>
      <c r="F1157" s="5" t="s">
        <v>1211</v>
      </c>
    </row>
    <row r="1158">
      <c r="A1158" s="5">
        <v>8.826236053E9</v>
      </c>
      <c r="B1158" s="6">
        <v>45988.53240611111</v>
      </c>
      <c r="C1158" s="7">
        <v>67.0</v>
      </c>
      <c r="D1158" s="5" t="s">
        <v>1213</v>
      </c>
      <c r="E1158" s="5" t="s">
        <v>1210</v>
      </c>
      <c r="F1158" s="5" t="s">
        <v>1211</v>
      </c>
    </row>
    <row r="1159">
      <c r="A1159" s="5">
        <v>9.650074967E9</v>
      </c>
      <c r="B1159" s="6">
        <v>45988.53343545139</v>
      </c>
      <c r="C1159" s="7">
        <v>1.0</v>
      </c>
      <c r="D1159" s="5" t="s">
        <v>1213</v>
      </c>
      <c r="E1159" s="5" t="s">
        <v>1210</v>
      </c>
      <c r="F1159" s="5" t="s">
        <v>1212</v>
      </c>
    </row>
    <row r="1160">
      <c r="A1160" s="5">
        <v>9.953438515E9</v>
      </c>
      <c r="B1160" s="6">
        <v>45988.53473313658</v>
      </c>
      <c r="C1160" s="7">
        <v>1.0</v>
      </c>
      <c r="D1160" s="5" t="s">
        <v>1214</v>
      </c>
      <c r="E1160" s="5" t="s">
        <v>1210</v>
      </c>
      <c r="F1160" s="5" t="s">
        <v>1212</v>
      </c>
    </row>
    <row r="1161">
      <c r="A1161" s="5">
        <v>9.868504376E9</v>
      </c>
      <c r="B1161" s="6">
        <v>45989.53701497686</v>
      </c>
      <c r="C1161" s="7">
        <v>1.0</v>
      </c>
      <c r="D1161" s="5" t="s">
        <v>1214</v>
      </c>
      <c r="E1161" s="5" t="s">
        <v>1210</v>
      </c>
      <c r="F1161" s="5" t="s">
        <v>1215</v>
      </c>
    </row>
    <row r="1162">
      <c r="A1162" s="5">
        <v>9.989148791E9</v>
      </c>
      <c r="B1162" s="6">
        <v>45989.54063296296</v>
      </c>
      <c r="C1162" s="7">
        <v>1.0</v>
      </c>
      <c r="D1162" s="5" t="s">
        <v>1213</v>
      </c>
      <c r="E1162" s="5" t="s">
        <v>1210</v>
      </c>
    </row>
    <row r="1163">
      <c r="A1163" s="5">
        <v>1.557308035E9</v>
      </c>
      <c r="B1163" s="6">
        <v>45989.54303155093</v>
      </c>
      <c r="C1163" s="7">
        <v>1.0</v>
      </c>
      <c r="D1163" s="5" t="s">
        <v>1214</v>
      </c>
      <c r="E1163" s="5" t="s">
        <v>1210</v>
      </c>
      <c r="F1163" s="5" t="s">
        <v>1211</v>
      </c>
    </row>
    <row r="1164">
      <c r="A1164" s="5">
        <v>8.130876428E9</v>
      </c>
      <c r="B1164" s="6">
        <v>45990.50559431713</v>
      </c>
      <c r="C1164" s="7">
        <v>1.0</v>
      </c>
      <c r="D1164" s="5" t="s">
        <v>1214</v>
      </c>
      <c r="E1164" s="5" t="s">
        <v>1210</v>
      </c>
      <c r="F1164" s="5" t="s">
        <v>1211</v>
      </c>
    </row>
    <row r="1165">
      <c r="A1165" s="5">
        <v>8.708850971E9</v>
      </c>
      <c r="B1165" s="6">
        <v>45993.53359446759</v>
      </c>
      <c r="C1165" s="7">
        <v>1.0</v>
      </c>
      <c r="D1165" s="5" t="s">
        <v>1213</v>
      </c>
      <c r="E1165" s="5" t="s">
        <v>1210</v>
      </c>
      <c r="F1165" s="5" t="s">
        <v>1212</v>
      </c>
    </row>
    <row r="1166">
      <c r="A1166" s="5">
        <v>9.582971001E9</v>
      </c>
      <c r="B1166" s="6">
        <v>45994.5396387963</v>
      </c>
      <c r="C1166" s="7">
        <v>1.0</v>
      </c>
      <c r="D1166" s="5" t="s">
        <v>1213</v>
      </c>
      <c r="E1166" s="5" t="s">
        <v>1210</v>
      </c>
      <c r="F1166" s="5" t="s">
        <v>1212</v>
      </c>
    </row>
    <row r="1167">
      <c r="A1167" s="5">
        <v>5.879838221E9</v>
      </c>
      <c r="B1167" s="6">
        <v>45996.53888466435</v>
      </c>
      <c r="C1167" s="7">
        <v>1.0</v>
      </c>
      <c r="D1167" s="5" t="s">
        <v>1213</v>
      </c>
      <c r="E1167" s="5" t="s">
        <v>1210</v>
      </c>
      <c r="F1167" s="5" t="s">
        <v>1211</v>
      </c>
    </row>
    <row r="1168">
      <c r="A1168" s="5">
        <v>8.860930737E9</v>
      </c>
      <c r="B1168" s="6">
        <v>45997.56563001157</v>
      </c>
      <c r="C1168" s="7">
        <v>1.0</v>
      </c>
      <c r="D1168" s="5" t="s">
        <v>1214</v>
      </c>
      <c r="E1168" s="5" t="s">
        <v>1210</v>
      </c>
      <c r="F1168" s="5" t="s">
        <v>1211</v>
      </c>
    </row>
    <row r="1169">
      <c r="A1169" s="5">
        <v>1.432558847E9</v>
      </c>
      <c r="B1169" s="6">
        <v>45998.5282353125</v>
      </c>
      <c r="C1169" s="7">
        <v>1.0</v>
      </c>
      <c r="D1169" s="5" t="s">
        <v>1214</v>
      </c>
      <c r="E1169" s="5" t="s">
        <v>1210</v>
      </c>
      <c r="F1169" s="5" t="s">
        <v>1215</v>
      </c>
    </row>
    <row r="1170">
      <c r="A1170" s="5">
        <v>8.794449636E9</v>
      </c>
      <c r="B1170" s="6">
        <v>45998.535506851855</v>
      </c>
      <c r="C1170" s="7">
        <v>1.0</v>
      </c>
      <c r="D1170" s="5" t="s">
        <v>1214</v>
      </c>
      <c r="E1170" s="5" t="s">
        <v>1210</v>
      </c>
      <c r="F1170" s="5" t="s">
        <v>1211</v>
      </c>
    </row>
    <row r="1171">
      <c r="A1171" s="5">
        <v>8.0705103E9</v>
      </c>
      <c r="B1171" s="6">
        <v>45998.53819690972</v>
      </c>
      <c r="C1171" s="7">
        <v>1.0</v>
      </c>
      <c r="D1171" s="5" t="s">
        <v>1214</v>
      </c>
      <c r="E1171" s="5" t="s">
        <v>1210</v>
      </c>
      <c r="F1171" s="5" t="s">
        <v>1215</v>
      </c>
    </row>
    <row r="1172">
      <c r="A1172" s="5">
        <v>8.586925507E9</v>
      </c>
      <c r="B1172" s="6">
        <v>45998.54074229166</v>
      </c>
      <c r="C1172" s="7">
        <v>1.0</v>
      </c>
      <c r="D1172" s="5" t="s">
        <v>1214</v>
      </c>
      <c r="E1172" s="5" t="s">
        <v>1210</v>
      </c>
      <c r="F1172" s="5" t="s">
        <v>1212</v>
      </c>
    </row>
    <row r="1173">
      <c r="A1173" s="5">
        <v>8.8529798E9</v>
      </c>
      <c r="B1173" s="6">
        <v>46000.575655347224</v>
      </c>
      <c r="C1173" s="7">
        <v>1.0</v>
      </c>
      <c r="D1173" s="5" t="s">
        <v>1213</v>
      </c>
      <c r="E1173" s="5" t="s">
        <v>1210</v>
      </c>
      <c r="F1173" s="5" t="s">
        <v>1211</v>
      </c>
    </row>
    <row r="1174">
      <c r="A1174" s="5">
        <v>9.899074822E9</v>
      </c>
      <c r="B1174" s="6">
        <v>46000.57814347222</v>
      </c>
      <c r="C1174" s="7">
        <v>1.0</v>
      </c>
      <c r="D1174" s="5" t="s">
        <v>1214</v>
      </c>
      <c r="E1174" s="5" t="s">
        <v>1210</v>
      </c>
      <c r="F1174" s="5" t="s">
        <v>1211</v>
      </c>
    </row>
    <row r="1175">
      <c r="A1175" s="5">
        <v>9.622499867E9</v>
      </c>
      <c r="B1175" s="6">
        <v>46000.57930179399</v>
      </c>
      <c r="C1175" s="7">
        <v>1.0</v>
      </c>
      <c r="D1175" s="5" t="s">
        <v>1213</v>
      </c>
      <c r="E1175" s="5" t="s">
        <v>1210</v>
      </c>
      <c r="F1175" s="5" t="s">
        <v>1212</v>
      </c>
    </row>
    <row r="1176">
      <c r="A1176" s="5">
        <v>8.130887311E9</v>
      </c>
      <c r="B1176" s="6">
        <v>46000.5811358912</v>
      </c>
      <c r="C1176" s="7">
        <v>1.0</v>
      </c>
      <c r="D1176" s="5" t="s">
        <v>1213</v>
      </c>
      <c r="E1176" s="5" t="s">
        <v>1210</v>
      </c>
      <c r="F1176" s="5" t="s">
        <v>1212</v>
      </c>
    </row>
    <row r="1177">
      <c r="A1177" s="5">
        <v>9.810019487E9</v>
      </c>
      <c r="B1177" s="6">
        <v>46000.58267211806</v>
      </c>
      <c r="C1177" s="7">
        <v>67.0</v>
      </c>
      <c r="D1177" s="5" t="s">
        <v>1213</v>
      </c>
      <c r="E1177" s="5" t="s">
        <v>1210</v>
      </c>
      <c r="F1177" s="5" t="s">
        <v>1212</v>
      </c>
    </row>
    <row r="1178">
      <c r="A1178" s="5">
        <v>9.871463768E9</v>
      </c>
      <c r="B1178" s="6">
        <v>46000.58365487268</v>
      </c>
      <c r="C1178" s="7">
        <v>1.0</v>
      </c>
      <c r="D1178" s="5" t="s">
        <v>1213</v>
      </c>
      <c r="E1178" s="5" t="s">
        <v>1210</v>
      </c>
      <c r="F1178" s="5" t="s">
        <v>1211</v>
      </c>
    </row>
    <row r="1179">
      <c r="A1179" s="5">
        <v>9.716579227E9</v>
      </c>
      <c r="B1179" s="6">
        <v>46000.58564939815</v>
      </c>
      <c r="C1179" s="7">
        <v>1.0</v>
      </c>
      <c r="D1179" s="5" t="s">
        <v>1214</v>
      </c>
      <c r="E1179" s="5" t="s">
        <v>1210</v>
      </c>
      <c r="F1179" s="5" t="s">
        <v>1215</v>
      </c>
    </row>
    <row r="1180">
      <c r="A1180" s="5">
        <v>9.899965297E9</v>
      </c>
      <c r="B1180" s="6">
        <v>46001.492818865736</v>
      </c>
      <c r="C1180" s="7">
        <v>1.0</v>
      </c>
      <c r="D1180" s="5" t="s">
        <v>1213</v>
      </c>
      <c r="E1180" s="5" t="s">
        <v>1210</v>
      </c>
      <c r="F1180" s="5" t="s">
        <v>1215</v>
      </c>
    </row>
    <row r="1181">
      <c r="A1181" s="5">
        <v>7.011744188E9</v>
      </c>
      <c r="B1181" s="6">
        <v>46002.5356009838</v>
      </c>
      <c r="C1181" s="7">
        <v>1.0</v>
      </c>
      <c r="D1181" s="5" t="s">
        <v>1214</v>
      </c>
      <c r="E1181" s="5" t="s">
        <v>1210</v>
      </c>
      <c r="F1181" s="5" t="s">
        <v>1211</v>
      </c>
    </row>
    <row r="1182">
      <c r="A1182" s="5">
        <v>9.911385399E9</v>
      </c>
      <c r="B1182" s="6">
        <v>46002.53670471065</v>
      </c>
      <c r="C1182" s="7">
        <v>1.0</v>
      </c>
      <c r="D1182" s="5" t="s">
        <v>1214</v>
      </c>
      <c r="E1182" s="5" t="s">
        <v>1210</v>
      </c>
      <c r="F1182" s="5" t="s">
        <v>1211</v>
      </c>
    </row>
    <row r="1183">
      <c r="A1183" s="5">
        <v>9.205976385E9</v>
      </c>
      <c r="B1183" s="6">
        <v>46004.51444326389</v>
      </c>
      <c r="C1183" s="7">
        <v>1.0</v>
      </c>
      <c r="D1183" s="5" t="s">
        <v>1213</v>
      </c>
      <c r="E1183" s="5" t="s">
        <v>1210</v>
      </c>
      <c r="F1183" s="5" t="s">
        <v>1212</v>
      </c>
    </row>
    <row r="1184">
      <c r="A1184" s="5">
        <v>9.643268623E9</v>
      </c>
      <c r="B1184" s="6">
        <v>46008.52790994213</v>
      </c>
      <c r="C1184" s="7">
        <v>1.0</v>
      </c>
      <c r="D1184" s="5" t="s">
        <v>1214</v>
      </c>
      <c r="E1184" s="5" t="s">
        <v>1210</v>
      </c>
      <c r="F1184" s="5" t="s">
        <v>1215</v>
      </c>
    </row>
    <row r="1185">
      <c r="A1185" s="5">
        <v>8.911032336E9</v>
      </c>
      <c r="B1185" s="6">
        <v>46008.52895061343</v>
      </c>
      <c r="C1185" s="7">
        <v>1.0</v>
      </c>
      <c r="D1185" s="5" t="s">
        <v>1213</v>
      </c>
      <c r="E1185" s="5" t="s">
        <v>1210</v>
      </c>
      <c r="F1185" s="5" t="s">
        <v>1215</v>
      </c>
    </row>
    <row r="1186">
      <c r="A1186" s="5">
        <v>9.796224005E9</v>
      </c>
      <c r="B1186" s="6">
        <v>46008.52993959491</v>
      </c>
      <c r="C1186" s="7">
        <v>1.0</v>
      </c>
      <c r="D1186" s="5" t="s">
        <v>1214</v>
      </c>
      <c r="E1186" s="5" t="s">
        <v>1210</v>
      </c>
      <c r="F1186" s="5" t="s">
        <v>1215</v>
      </c>
    </row>
    <row r="1187">
      <c r="A1187" s="5">
        <v>8.860183073E9</v>
      </c>
      <c r="B1187" s="6">
        <v>46008.53179980324</v>
      </c>
      <c r="C1187" s="7">
        <v>1.0</v>
      </c>
      <c r="D1187" s="5" t="s">
        <v>1213</v>
      </c>
      <c r="E1187" s="5" t="s">
        <v>1210</v>
      </c>
      <c r="F1187" s="5" t="s">
        <v>1211</v>
      </c>
    </row>
    <row r="1188">
      <c r="A1188" s="5">
        <v>8.595342299E9</v>
      </c>
      <c r="B1188" s="6">
        <v>46008.532954305556</v>
      </c>
      <c r="C1188" s="7">
        <v>1.0</v>
      </c>
      <c r="D1188" s="5" t="s">
        <v>1214</v>
      </c>
      <c r="E1188" s="5" t="s">
        <v>1210</v>
      </c>
      <c r="F1188" s="5" t="s">
        <v>1212</v>
      </c>
    </row>
    <row r="1189">
      <c r="A1189" s="5">
        <v>8.130302299E9</v>
      </c>
      <c r="B1189" s="6">
        <v>46008.53401554398</v>
      </c>
      <c r="C1189" s="7">
        <v>1.0</v>
      </c>
      <c r="D1189" s="5" t="s">
        <v>1214</v>
      </c>
      <c r="E1189" s="5" t="s">
        <v>1210</v>
      </c>
      <c r="F1189" s="5" t="s">
        <v>1215</v>
      </c>
    </row>
    <row r="1190">
      <c r="A1190" s="5">
        <v>9.21729979E9</v>
      </c>
      <c r="B1190" s="6">
        <v>46008.53603798611</v>
      </c>
      <c r="C1190" s="7">
        <v>1.0</v>
      </c>
      <c r="D1190" s="5" t="s">
        <v>1213</v>
      </c>
      <c r="E1190" s="5" t="s">
        <v>1210</v>
      </c>
      <c r="F1190" s="5" t="s">
        <v>1212</v>
      </c>
    </row>
    <row r="1191">
      <c r="A1191" s="5">
        <v>8.095720564E9</v>
      </c>
      <c r="B1191" s="6">
        <v>46008.53742869213</v>
      </c>
      <c r="C1191" s="7">
        <v>1.0</v>
      </c>
      <c r="D1191" s="5" t="s">
        <v>1214</v>
      </c>
      <c r="E1191" s="5" t="s">
        <v>1210</v>
      </c>
      <c r="F1191" s="5" t="s">
        <v>1212</v>
      </c>
    </row>
    <row r="1192">
      <c r="A1192" s="5">
        <v>8.218191244E9</v>
      </c>
      <c r="B1192" s="6">
        <v>46009.5372965162</v>
      </c>
      <c r="C1192" s="7">
        <v>1.0</v>
      </c>
      <c r="D1192" s="5" t="s">
        <v>1214</v>
      </c>
      <c r="E1192" s="5" t="s">
        <v>1210</v>
      </c>
      <c r="F1192" s="5" t="s">
        <v>1215</v>
      </c>
    </row>
    <row r="1193">
      <c r="A1193" s="5">
        <v>9.910116364E9</v>
      </c>
      <c r="B1193" s="6">
        <v>46009.5383758449</v>
      </c>
      <c r="C1193" s="7">
        <v>1.0</v>
      </c>
      <c r="D1193" s="5" t="s">
        <v>1213</v>
      </c>
      <c r="E1193" s="5" t="s">
        <v>1210</v>
      </c>
      <c r="F1193" s="5" t="s">
        <v>1211</v>
      </c>
    </row>
    <row r="1194">
      <c r="A1194" s="5">
        <v>8.826871984E9</v>
      </c>
      <c r="B1194" s="6">
        <v>46010.54074888889</v>
      </c>
      <c r="C1194" s="7">
        <v>67.0</v>
      </c>
      <c r="D1194" s="5" t="s">
        <v>1214</v>
      </c>
      <c r="E1194" s="5" t="s">
        <v>1210</v>
      </c>
      <c r="F1194" s="5" t="s">
        <v>1212</v>
      </c>
    </row>
    <row r="1195">
      <c r="A1195" s="5">
        <v>9.910116304E9</v>
      </c>
      <c r="B1195" s="6">
        <v>46015.56843322917</v>
      </c>
      <c r="C1195" s="7">
        <v>1.0</v>
      </c>
      <c r="D1195" s="5" t="s">
        <v>1213</v>
      </c>
      <c r="E1195" s="5" t="s">
        <v>1210</v>
      </c>
      <c r="F1195" s="5" t="s">
        <v>1211</v>
      </c>
    </row>
    <row r="1196">
      <c r="A1196" s="5">
        <v>9.350104287E9</v>
      </c>
      <c r="B1196" s="6">
        <v>46015.57207552083</v>
      </c>
      <c r="C1196" s="7">
        <v>1.0</v>
      </c>
      <c r="D1196" s="5" t="s">
        <v>1213</v>
      </c>
      <c r="E1196" s="5" t="s">
        <v>1210</v>
      </c>
      <c r="F1196" s="5" t="s">
        <v>1212</v>
      </c>
    </row>
    <row r="1197">
      <c r="A1197" s="5">
        <v>4.5020577E9</v>
      </c>
      <c r="B1197" s="6">
        <v>46015.57421013889</v>
      </c>
      <c r="C1197" s="7">
        <v>1.0</v>
      </c>
      <c r="D1197" s="5" t="s">
        <v>1214</v>
      </c>
      <c r="E1197" s="5" t="s">
        <v>1210</v>
      </c>
      <c r="F1197" s="5" t="s">
        <v>1212</v>
      </c>
    </row>
    <row r="1198">
      <c r="A1198" s="5">
        <v>9.899725515E9</v>
      </c>
      <c r="B1198" s="6">
        <v>46015.57615648148</v>
      </c>
      <c r="C1198" s="7">
        <v>67.0</v>
      </c>
      <c r="D1198" s="5" t="s">
        <v>1213</v>
      </c>
      <c r="E1198" s="5" t="s">
        <v>1210</v>
      </c>
      <c r="F1198" s="5" t="s">
        <v>1211</v>
      </c>
    </row>
    <row r="1199">
      <c r="A1199" s="5">
        <v>9.350115868E9</v>
      </c>
      <c r="B1199" s="6">
        <v>46015.57719938658</v>
      </c>
      <c r="C1199" s="7">
        <v>1.0</v>
      </c>
      <c r="D1199" s="5" t="s">
        <v>1214</v>
      </c>
      <c r="E1199" s="5" t="s">
        <v>1210</v>
      </c>
      <c r="F1199" s="5" t="s">
        <v>1211</v>
      </c>
    </row>
    <row r="1200">
      <c r="A1200" s="5">
        <v>9.110083501E9</v>
      </c>
      <c r="B1200" s="6">
        <v>46015.57837461805</v>
      </c>
      <c r="C1200" s="7">
        <v>1.0</v>
      </c>
      <c r="D1200" s="5" t="s">
        <v>1214</v>
      </c>
      <c r="E1200" s="5" t="s">
        <v>1210</v>
      </c>
      <c r="F1200" s="5" t="s">
        <v>1215</v>
      </c>
    </row>
    <row r="1201">
      <c r="A1201" s="5">
        <v>9.891184225E9</v>
      </c>
      <c r="B1201" s="6">
        <v>46015.57924464121</v>
      </c>
      <c r="C1201" s="7">
        <v>1.0</v>
      </c>
      <c r="D1201" s="5" t="s">
        <v>1213</v>
      </c>
      <c r="E1201" s="5" t="s">
        <v>1210</v>
      </c>
      <c r="F1201" s="5" t="s">
        <v>1212</v>
      </c>
    </row>
    <row r="1202">
      <c r="A1202" s="5">
        <v>9.416519794E9</v>
      </c>
      <c r="B1202" s="6">
        <v>46016.54333215278</v>
      </c>
      <c r="C1202" s="7">
        <v>67.0</v>
      </c>
      <c r="D1202" s="5" t="s">
        <v>1213</v>
      </c>
      <c r="E1202" s="5" t="s">
        <v>1210</v>
      </c>
      <c r="F1202" s="5" t="s">
        <v>1211</v>
      </c>
    </row>
    <row r="1203">
      <c r="A1203" s="5">
        <v>8.491028157E9</v>
      </c>
      <c r="B1203" s="6">
        <v>46016.545192314814</v>
      </c>
      <c r="C1203" s="7">
        <v>1.0</v>
      </c>
      <c r="D1203" s="5" t="s">
        <v>1213</v>
      </c>
      <c r="E1203" s="5" t="s">
        <v>1210</v>
      </c>
      <c r="F1203" s="5" t="s">
        <v>1212</v>
      </c>
    </row>
    <row r="1204">
      <c r="A1204" s="5">
        <v>9.034107797E9</v>
      </c>
      <c r="B1204" s="6">
        <v>46017.542514016204</v>
      </c>
      <c r="C1204" s="7">
        <v>1.0</v>
      </c>
      <c r="D1204" s="5" t="s">
        <v>1214</v>
      </c>
      <c r="E1204" s="5" t="s">
        <v>1210</v>
      </c>
      <c r="F1204" s="5" t="s">
        <v>1211</v>
      </c>
    </row>
    <row r="1205">
      <c r="A1205" s="5">
        <v>9.821722208E9</v>
      </c>
      <c r="B1205" s="6">
        <v>46017.543516527774</v>
      </c>
      <c r="C1205" s="7">
        <v>1.0</v>
      </c>
      <c r="D1205" s="5" t="s">
        <v>1213</v>
      </c>
      <c r="E1205" s="5" t="s">
        <v>1210</v>
      </c>
      <c r="F1205" s="5" t="s">
        <v>1211</v>
      </c>
    </row>
    <row r="1206">
      <c r="A1206" s="5">
        <v>9.013362005E9</v>
      </c>
      <c r="B1206" s="6">
        <v>46017.54560415509</v>
      </c>
      <c r="C1206" s="7">
        <v>1.0</v>
      </c>
      <c r="D1206" s="5" t="s">
        <v>1213</v>
      </c>
      <c r="E1206" s="5" t="s">
        <v>1210</v>
      </c>
      <c r="F1206" s="5" t="s">
        <v>1211</v>
      </c>
    </row>
    <row r="1207">
      <c r="A1207" s="5">
        <v>9.810578174E9</v>
      </c>
      <c r="B1207" s="6">
        <v>46017.54702261574</v>
      </c>
      <c r="C1207" s="7">
        <v>67.0</v>
      </c>
      <c r="D1207" s="5" t="s">
        <v>1213</v>
      </c>
      <c r="E1207" s="5" t="s">
        <v>1210</v>
      </c>
      <c r="F1207" s="5" t="s">
        <v>1215</v>
      </c>
    </row>
    <row r="1208">
      <c r="A1208" s="5">
        <v>9.821776055E9</v>
      </c>
      <c r="B1208" s="6">
        <v>46018.539538310186</v>
      </c>
      <c r="C1208" s="7">
        <v>1.0</v>
      </c>
      <c r="D1208" s="5" t="s">
        <v>1213</v>
      </c>
      <c r="E1208" s="5" t="s">
        <v>1210</v>
      </c>
      <c r="F1208" s="5" t="s">
        <v>1215</v>
      </c>
    </row>
    <row r="1209">
      <c r="A1209" s="5">
        <v>8.92048752E9</v>
      </c>
      <c r="B1209" s="6">
        <v>46018.54172238426</v>
      </c>
      <c r="C1209" s="7">
        <v>1.0</v>
      </c>
      <c r="D1209" s="5" t="s">
        <v>1214</v>
      </c>
      <c r="E1209" s="5" t="s">
        <v>1210</v>
      </c>
      <c r="F1209" s="5" t="s">
        <v>1211</v>
      </c>
    </row>
    <row r="1210">
      <c r="A1210" s="5">
        <v>9.11019947E8</v>
      </c>
      <c r="B1210" s="6">
        <v>45302.80746491898</v>
      </c>
      <c r="C1210" s="7">
        <v>1.0</v>
      </c>
      <c r="D1210" s="5" t="s">
        <v>1209</v>
      </c>
      <c r="E1210" s="5" t="s">
        <v>1210</v>
      </c>
      <c r="F1210" s="5" t="s">
        <v>1211</v>
      </c>
    </row>
    <row r="1211">
      <c r="A1211" s="5">
        <v>4.08834834E8</v>
      </c>
      <c r="B1211" s="6">
        <v>45592.79024203704</v>
      </c>
      <c r="C1211" s="7">
        <v>1.0</v>
      </c>
      <c r="D1211" s="5" t="s">
        <v>1209</v>
      </c>
      <c r="E1211" s="5" t="s">
        <v>1210</v>
      </c>
      <c r="F1211" s="5" t="s">
        <v>1211</v>
      </c>
    </row>
    <row r="1212">
      <c r="A1212" s="5">
        <v>6.94661111E8</v>
      </c>
      <c r="B1212" s="6">
        <v>45685.73825246528</v>
      </c>
      <c r="C1212" s="7">
        <v>1.0</v>
      </c>
      <c r="D1212" s="5" t="s">
        <v>1213</v>
      </c>
      <c r="E1212" s="5" t="s">
        <v>1210</v>
      </c>
      <c r="F1212" s="5" t="s">
        <v>1211</v>
      </c>
    </row>
    <row r="1213">
      <c r="A1213" s="5">
        <v>9.11019947E8</v>
      </c>
      <c r="B1213" s="6">
        <v>45302.80746491898</v>
      </c>
      <c r="C1213" s="7">
        <v>1.0</v>
      </c>
      <c r="D1213" s="5" t="s">
        <v>1209</v>
      </c>
      <c r="E1213" s="5" t="s">
        <v>1210</v>
      </c>
      <c r="F1213" s="5" t="s">
        <v>1211</v>
      </c>
    </row>
    <row r="1214">
      <c r="A1214" s="5">
        <v>4.08834834E8</v>
      </c>
      <c r="B1214" s="6">
        <v>45592.79024203704</v>
      </c>
      <c r="C1214" s="7">
        <v>1.0</v>
      </c>
      <c r="D1214" s="5" t="s">
        <v>1209</v>
      </c>
      <c r="E1214" s="5" t="s">
        <v>1210</v>
      </c>
      <c r="F1214" s="5" t="s">
        <v>1211</v>
      </c>
    </row>
    <row r="1215">
      <c r="A1215" s="5">
        <v>6.94661111E8</v>
      </c>
      <c r="B1215" s="6">
        <v>45685.73825246528</v>
      </c>
      <c r="C1215" s="7">
        <v>1.0</v>
      </c>
      <c r="D1215" s="5" t="s">
        <v>1213</v>
      </c>
      <c r="E1215" s="5" t="s">
        <v>1210</v>
      </c>
      <c r="F1215" s="5" t="s">
        <v>1211</v>
      </c>
    </row>
    <row r="1216">
      <c r="A1216" s="5">
        <v>9.896059501E9</v>
      </c>
      <c r="B1216" s="6">
        <v>46019.556713391205</v>
      </c>
      <c r="C1216" s="7">
        <v>1.0</v>
      </c>
      <c r="D1216" s="5" t="s">
        <v>1213</v>
      </c>
      <c r="E1216" s="5" t="s">
        <v>1210</v>
      </c>
      <c r="F1216" s="5" t="s">
        <v>1211</v>
      </c>
    </row>
    <row r="1217">
      <c r="A1217" s="5">
        <v>9.958149785E9</v>
      </c>
      <c r="B1217" s="6">
        <v>46019.55881018519</v>
      </c>
      <c r="C1217" s="7">
        <v>1.0</v>
      </c>
      <c r="D1217" s="5" t="s">
        <v>1213</v>
      </c>
      <c r="E1217" s="5" t="s">
        <v>1210</v>
      </c>
      <c r="F1217" s="5" t="s">
        <v>1215</v>
      </c>
    </row>
    <row r="1218">
      <c r="A1218" s="5">
        <v>8.267693002E9</v>
      </c>
      <c r="B1218" s="6">
        <v>46019.55997012732</v>
      </c>
      <c r="C1218" s="7">
        <v>1.0</v>
      </c>
      <c r="D1218" s="5" t="s">
        <v>1214</v>
      </c>
      <c r="E1218" s="5" t="s">
        <v>1210</v>
      </c>
      <c r="F1218" s="5" t="s">
        <v>1211</v>
      </c>
    </row>
    <row r="1219">
      <c r="A1219" s="5">
        <v>9.11019947E8</v>
      </c>
      <c r="B1219" s="6">
        <v>45302.80746491898</v>
      </c>
      <c r="C1219" s="7">
        <v>1.0</v>
      </c>
      <c r="D1219" s="5" t="s">
        <v>1209</v>
      </c>
      <c r="E1219" s="5" t="s">
        <v>1210</v>
      </c>
      <c r="F1219" s="5" t="s">
        <v>1211</v>
      </c>
    </row>
    <row r="1220">
      <c r="A1220" s="5">
        <v>4.08834834E8</v>
      </c>
      <c r="B1220" s="6">
        <v>45592.79024203704</v>
      </c>
      <c r="C1220" s="7">
        <v>1.0</v>
      </c>
      <c r="D1220" s="5" t="s">
        <v>1209</v>
      </c>
      <c r="E1220" s="5" t="s">
        <v>1210</v>
      </c>
      <c r="F1220" s="5" t="s">
        <v>1211</v>
      </c>
    </row>
    <row r="1221">
      <c r="A1221" s="5">
        <v>6.94661111E8</v>
      </c>
      <c r="B1221" s="6">
        <v>45685.73825246528</v>
      </c>
      <c r="C1221" s="7">
        <v>1.0</v>
      </c>
      <c r="D1221" s="5" t="s">
        <v>1213</v>
      </c>
      <c r="E1221" s="5" t="s">
        <v>1210</v>
      </c>
      <c r="F1221" s="5" t="s">
        <v>1211</v>
      </c>
    </row>
    <row r="1222">
      <c r="A1222" s="5">
        <v>9.11019947E8</v>
      </c>
      <c r="B1222" s="6">
        <v>45302.80746491898</v>
      </c>
      <c r="C1222" s="7">
        <v>1.0</v>
      </c>
      <c r="D1222" s="5" t="s">
        <v>1209</v>
      </c>
      <c r="E1222" s="5" t="s">
        <v>1210</v>
      </c>
      <c r="F1222" s="5" t="s">
        <v>1211</v>
      </c>
    </row>
    <row r="1223">
      <c r="A1223" s="5">
        <v>4.08834834E8</v>
      </c>
      <c r="B1223" s="6">
        <v>45592.79024203704</v>
      </c>
      <c r="C1223" s="7">
        <v>1.0</v>
      </c>
      <c r="D1223" s="5" t="s">
        <v>1209</v>
      </c>
      <c r="E1223" s="5" t="s">
        <v>1210</v>
      </c>
      <c r="F1223" s="5" t="s">
        <v>1211</v>
      </c>
    </row>
    <row r="1224">
      <c r="A1224" s="5">
        <v>6.94661111E8</v>
      </c>
      <c r="B1224" s="6">
        <v>45685.73825246528</v>
      </c>
      <c r="C1224" s="7">
        <v>1.0</v>
      </c>
      <c r="D1224" s="5" t="s">
        <v>1213</v>
      </c>
      <c r="E1224" s="5" t="s">
        <v>1210</v>
      </c>
      <c r="F1224" s="5" t="s">
        <v>1211</v>
      </c>
    </row>
    <row r="1225">
      <c r="A1225" s="5">
        <v>9.11019947E8</v>
      </c>
      <c r="B1225" s="6">
        <v>45302.80746491898</v>
      </c>
      <c r="C1225" s="7">
        <v>1.0</v>
      </c>
      <c r="D1225" s="5" t="s">
        <v>1209</v>
      </c>
      <c r="E1225" s="5" t="s">
        <v>1210</v>
      </c>
      <c r="F1225" s="5" t="s">
        <v>1211</v>
      </c>
    </row>
    <row r="1226">
      <c r="A1226" s="5">
        <v>4.08834834E8</v>
      </c>
      <c r="B1226" s="6">
        <v>45592.79024203704</v>
      </c>
      <c r="C1226" s="7">
        <v>1.0</v>
      </c>
      <c r="D1226" s="5" t="s">
        <v>1209</v>
      </c>
      <c r="E1226" s="5" t="s">
        <v>1210</v>
      </c>
      <c r="F1226" s="5" t="s">
        <v>1211</v>
      </c>
    </row>
    <row r="1227">
      <c r="A1227" s="5">
        <v>6.94661111E8</v>
      </c>
      <c r="B1227" s="6">
        <v>45685.73825246528</v>
      </c>
      <c r="C1227" s="7">
        <v>1.0</v>
      </c>
      <c r="D1227" s="5" t="s">
        <v>1213</v>
      </c>
      <c r="E1227" s="5" t="s">
        <v>1210</v>
      </c>
      <c r="F1227" s="5" t="s">
        <v>1211</v>
      </c>
    </row>
    <row r="1228">
      <c r="A1228" s="5">
        <v>9.11019947E8</v>
      </c>
      <c r="B1228" s="6">
        <v>45302.80746491898</v>
      </c>
      <c r="C1228" s="7">
        <v>1.0</v>
      </c>
      <c r="D1228" s="5" t="s">
        <v>1209</v>
      </c>
      <c r="E1228" s="5" t="s">
        <v>1210</v>
      </c>
      <c r="F1228" s="5" t="s">
        <v>1211</v>
      </c>
    </row>
    <row r="1229">
      <c r="A1229" s="5">
        <v>4.08834834E8</v>
      </c>
      <c r="B1229" s="6">
        <v>45592.79024203704</v>
      </c>
      <c r="C1229" s="7">
        <v>1.0</v>
      </c>
      <c r="D1229" s="5" t="s">
        <v>1209</v>
      </c>
      <c r="E1229" s="5" t="s">
        <v>1210</v>
      </c>
      <c r="F1229" s="5" t="s">
        <v>1211</v>
      </c>
    </row>
    <row r="1230">
      <c r="A1230" s="5">
        <v>6.94661111E8</v>
      </c>
      <c r="B1230" s="6">
        <v>45685.73825246528</v>
      </c>
      <c r="C1230" s="7">
        <v>1.0</v>
      </c>
      <c r="D1230" s="5" t="s">
        <v>1213</v>
      </c>
      <c r="E1230" s="5" t="s">
        <v>1210</v>
      </c>
      <c r="F1230" s="5" t="s">
        <v>1211</v>
      </c>
    </row>
    <row r="1231">
      <c r="A1231" s="5">
        <v>9.11019947E8</v>
      </c>
      <c r="B1231" s="6">
        <v>45302.80746491898</v>
      </c>
      <c r="C1231" s="7">
        <v>1.0</v>
      </c>
      <c r="D1231" s="5" t="s">
        <v>1209</v>
      </c>
      <c r="E1231" s="5" t="s">
        <v>1210</v>
      </c>
      <c r="F1231" s="5" t="s">
        <v>1211</v>
      </c>
    </row>
    <row r="1232">
      <c r="A1232" s="5">
        <v>4.08834834E8</v>
      </c>
      <c r="B1232" s="6">
        <v>45592.79024203704</v>
      </c>
      <c r="C1232" s="7">
        <v>1.0</v>
      </c>
      <c r="D1232" s="5" t="s">
        <v>1209</v>
      </c>
      <c r="E1232" s="5" t="s">
        <v>1210</v>
      </c>
      <c r="F1232" s="5" t="s">
        <v>1211</v>
      </c>
    </row>
    <row r="1233">
      <c r="A1233" s="5">
        <v>6.94661111E8</v>
      </c>
      <c r="B1233" s="6">
        <v>45685.73825246528</v>
      </c>
      <c r="C1233" s="7">
        <v>1.0</v>
      </c>
      <c r="D1233" s="5" t="s">
        <v>1213</v>
      </c>
      <c r="E1233" s="5" t="s">
        <v>1210</v>
      </c>
      <c r="F1233" s="5" t="s">
        <v>1211</v>
      </c>
    </row>
    <row r="1234">
      <c r="A1234" s="5">
        <v>9.11019947E8</v>
      </c>
      <c r="B1234" s="6">
        <v>45302.80746491898</v>
      </c>
      <c r="C1234" s="7">
        <v>1.0</v>
      </c>
      <c r="D1234" s="5" t="s">
        <v>1209</v>
      </c>
      <c r="E1234" s="5" t="s">
        <v>1210</v>
      </c>
      <c r="F1234" s="5" t="s">
        <v>1211</v>
      </c>
    </row>
    <row r="1235">
      <c r="A1235" s="5">
        <v>4.08834834E8</v>
      </c>
      <c r="B1235" s="6">
        <v>45592.79024203704</v>
      </c>
      <c r="C1235" s="7">
        <v>1.0</v>
      </c>
      <c r="D1235" s="5" t="s">
        <v>1209</v>
      </c>
      <c r="E1235" s="5" t="s">
        <v>1210</v>
      </c>
      <c r="F1235" s="5" t="s">
        <v>1211</v>
      </c>
    </row>
    <row r="1236">
      <c r="A1236" s="5">
        <v>6.94661111E8</v>
      </c>
      <c r="B1236" s="6">
        <v>45685.73825246528</v>
      </c>
      <c r="C1236" s="7">
        <v>1.0</v>
      </c>
      <c r="D1236" s="5" t="s">
        <v>1213</v>
      </c>
      <c r="E1236" s="5" t="s">
        <v>1210</v>
      </c>
      <c r="F1236" s="5" t="s">
        <v>1211</v>
      </c>
    </row>
    <row r="1237">
      <c r="A1237" s="5">
        <v>9.11019947E8</v>
      </c>
      <c r="B1237" s="6">
        <v>45302.80746491898</v>
      </c>
      <c r="C1237" s="7">
        <v>1.0</v>
      </c>
      <c r="D1237" s="5" t="s">
        <v>1209</v>
      </c>
      <c r="E1237" s="5" t="s">
        <v>1210</v>
      </c>
      <c r="F1237" s="5" t="s">
        <v>1211</v>
      </c>
    </row>
    <row r="1238">
      <c r="A1238" s="5">
        <v>4.08834834E8</v>
      </c>
      <c r="B1238" s="6">
        <v>45592.79024203704</v>
      </c>
      <c r="C1238" s="7">
        <v>1.0</v>
      </c>
      <c r="D1238" s="5" t="s">
        <v>1209</v>
      </c>
      <c r="E1238" s="5" t="s">
        <v>1210</v>
      </c>
      <c r="F1238" s="5" t="s">
        <v>1211</v>
      </c>
    </row>
    <row r="1239">
      <c r="A1239" s="5">
        <v>6.94661111E8</v>
      </c>
      <c r="B1239" s="6">
        <v>45685.73825246528</v>
      </c>
      <c r="C1239" s="7">
        <v>1.0</v>
      </c>
      <c r="D1239" s="5" t="s">
        <v>1213</v>
      </c>
      <c r="E1239" s="5" t="s">
        <v>1210</v>
      </c>
      <c r="F1239" s="5" t="s">
        <v>1211</v>
      </c>
    </row>
    <row r="1240">
      <c r="A1240" s="5">
        <v>9.11019947E8</v>
      </c>
      <c r="B1240" s="6">
        <v>45302.80746491898</v>
      </c>
      <c r="C1240" s="7">
        <v>1.0</v>
      </c>
      <c r="D1240" s="5" t="s">
        <v>1209</v>
      </c>
      <c r="E1240" s="5" t="s">
        <v>1210</v>
      </c>
      <c r="F1240" s="5" t="s">
        <v>1211</v>
      </c>
    </row>
    <row r="1241">
      <c r="A1241" s="5">
        <v>4.08834834E8</v>
      </c>
      <c r="B1241" s="6">
        <v>45592.79024203704</v>
      </c>
      <c r="C1241" s="7">
        <v>1.0</v>
      </c>
      <c r="D1241" s="5" t="s">
        <v>1209</v>
      </c>
      <c r="E1241" s="5" t="s">
        <v>1210</v>
      </c>
      <c r="F1241" s="5" t="s">
        <v>1211</v>
      </c>
    </row>
    <row r="1242">
      <c r="A1242" s="5">
        <v>6.94661111E8</v>
      </c>
      <c r="B1242" s="6">
        <v>45685.73825246528</v>
      </c>
      <c r="C1242" s="7">
        <v>1.0</v>
      </c>
      <c r="D1242" s="5" t="s">
        <v>1213</v>
      </c>
      <c r="E1242" s="5" t="s">
        <v>1210</v>
      </c>
      <c r="F1242" s="5" t="s">
        <v>1211</v>
      </c>
    </row>
    <row r="1243">
      <c r="A1243" s="5">
        <v>9.11019947E8</v>
      </c>
      <c r="B1243" s="6">
        <v>45302.80746491898</v>
      </c>
      <c r="C1243" s="7">
        <v>1.0</v>
      </c>
      <c r="D1243" s="5" t="s">
        <v>1209</v>
      </c>
      <c r="E1243" s="5" t="s">
        <v>1210</v>
      </c>
      <c r="F1243" s="5" t="s">
        <v>1211</v>
      </c>
    </row>
    <row r="1244">
      <c r="A1244" s="5">
        <v>4.08834834E8</v>
      </c>
      <c r="B1244" s="6">
        <v>45592.79024203704</v>
      </c>
      <c r="C1244" s="7">
        <v>1.0</v>
      </c>
      <c r="D1244" s="5" t="s">
        <v>1209</v>
      </c>
      <c r="E1244" s="5" t="s">
        <v>1210</v>
      </c>
      <c r="F1244" s="5" t="s">
        <v>1211</v>
      </c>
    </row>
    <row r="1245">
      <c r="A1245" s="5">
        <v>6.94661111E8</v>
      </c>
      <c r="B1245" s="6">
        <v>45685.73825246528</v>
      </c>
      <c r="C1245" s="7">
        <v>1.0</v>
      </c>
      <c r="D1245" s="5" t="s">
        <v>1213</v>
      </c>
      <c r="E1245" s="5" t="s">
        <v>1210</v>
      </c>
      <c r="F1245" s="5" t="s">
        <v>1211</v>
      </c>
    </row>
    <row r="1246">
      <c r="A1246" s="5">
        <v>9.11019947E8</v>
      </c>
      <c r="B1246" s="6">
        <v>45302.80746491898</v>
      </c>
      <c r="C1246" s="7">
        <v>1.0</v>
      </c>
      <c r="D1246" s="5" t="s">
        <v>1209</v>
      </c>
      <c r="E1246" s="5" t="s">
        <v>1210</v>
      </c>
      <c r="F1246" s="5" t="s">
        <v>1211</v>
      </c>
    </row>
    <row r="1247">
      <c r="A1247" s="5">
        <v>4.08834834E8</v>
      </c>
      <c r="B1247" s="6">
        <v>45592.79024203704</v>
      </c>
      <c r="C1247" s="7">
        <v>1.0</v>
      </c>
      <c r="D1247" s="5" t="s">
        <v>1209</v>
      </c>
      <c r="E1247" s="5" t="s">
        <v>1210</v>
      </c>
      <c r="F1247" s="5" t="s">
        <v>1211</v>
      </c>
    </row>
    <row r="1248">
      <c r="A1248" s="5">
        <v>6.94661111E8</v>
      </c>
      <c r="B1248" s="6">
        <v>45685.73825246528</v>
      </c>
      <c r="C1248" s="7">
        <v>1.0</v>
      </c>
      <c r="D1248" s="5" t="s">
        <v>1213</v>
      </c>
      <c r="E1248" s="5" t="s">
        <v>1210</v>
      </c>
      <c r="F1248" s="5" t="s">
        <v>1211</v>
      </c>
    </row>
    <row r="1249">
      <c r="A1249" s="5">
        <v>9.11019947E8</v>
      </c>
      <c r="B1249" s="6">
        <v>45302.80746491898</v>
      </c>
      <c r="C1249" s="7">
        <v>1.0</v>
      </c>
      <c r="D1249" s="5" t="s">
        <v>1209</v>
      </c>
      <c r="E1249" s="5" t="s">
        <v>1210</v>
      </c>
      <c r="F1249" s="5" t="s">
        <v>1211</v>
      </c>
    </row>
    <row r="1250">
      <c r="A1250" s="5">
        <v>4.08834834E8</v>
      </c>
      <c r="B1250" s="6">
        <v>45592.79024203704</v>
      </c>
      <c r="C1250" s="7">
        <v>1.0</v>
      </c>
      <c r="D1250" s="5" t="s">
        <v>1209</v>
      </c>
      <c r="E1250" s="5" t="s">
        <v>1210</v>
      </c>
      <c r="F1250" s="5" t="s">
        <v>1211</v>
      </c>
    </row>
    <row r="1251">
      <c r="A1251" s="5">
        <v>6.94661111E8</v>
      </c>
      <c r="B1251" s="6">
        <v>45685.73825246528</v>
      </c>
      <c r="C1251" s="7">
        <v>1.0</v>
      </c>
      <c r="D1251" s="5" t="s">
        <v>1213</v>
      </c>
      <c r="E1251" s="5" t="s">
        <v>1210</v>
      </c>
      <c r="F1251" s="5" t="s">
        <v>1211</v>
      </c>
    </row>
    <row r="1252">
      <c r="A1252" s="5">
        <v>9.11019947E8</v>
      </c>
      <c r="B1252" s="6">
        <v>45302.80746491898</v>
      </c>
      <c r="C1252" s="7">
        <v>1.0</v>
      </c>
      <c r="D1252" s="5" t="s">
        <v>1209</v>
      </c>
      <c r="E1252" s="5" t="s">
        <v>1210</v>
      </c>
      <c r="F1252" s="5" t="s">
        <v>1211</v>
      </c>
    </row>
    <row r="1253">
      <c r="A1253" s="5">
        <v>4.08834834E8</v>
      </c>
      <c r="B1253" s="6">
        <v>45592.79024203704</v>
      </c>
      <c r="C1253" s="7">
        <v>1.0</v>
      </c>
      <c r="D1253" s="5" t="s">
        <v>1209</v>
      </c>
      <c r="E1253" s="5" t="s">
        <v>1210</v>
      </c>
      <c r="F1253" s="5" t="s">
        <v>1211</v>
      </c>
    </row>
    <row r="1254">
      <c r="A1254" s="5">
        <v>6.94661111E8</v>
      </c>
      <c r="B1254" s="6">
        <v>45685.73825246528</v>
      </c>
      <c r="C1254" s="7">
        <v>1.0</v>
      </c>
      <c r="D1254" s="5" t="s">
        <v>1213</v>
      </c>
      <c r="E1254" s="5" t="s">
        <v>1210</v>
      </c>
      <c r="F1254" s="5" t="s">
        <v>1211</v>
      </c>
    </row>
    <row r="1255">
      <c r="A1255" s="5">
        <v>9.11019947E8</v>
      </c>
      <c r="B1255" s="6">
        <v>45302.80746491898</v>
      </c>
      <c r="C1255" s="7">
        <v>1.0</v>
      </c>
      <c r="D1255" s="5" t="s">
        <v>1209</v>
      </c>
      <c r="E1255" s="5" t="s">
        <v>1210</v>
      </c>
      <c r="F1255" s="5" t="s">
        <v>1211</v>
      </c>
    </row>
    <row r="1256">
      <c r="A1256" s="5">
        <v>4.08834834E8</v>
      </c>
      <c r="B1256" s="6">
        <v>45592.79024203704</v>
      </c>
      <c r="C1256" s="7">
        <v>1.0</v>
      </c>
      <c r="D1256" s="5" t="s">
        <v>1209</v>
      </c>
      <c r="E1256" s="5" t="s">
        <v>1210</v>
      </c>
      <c r="F1256" s="5" t="s">
        <v>1211</v>
      </c>
    </row>
    <row r="1257">
      <c r="A1257" s="5">
        <v>6.94661111E8</v>
      </c>
      <c r="B1257" s="6">
        <v>45685.73825246528</v>
      </c>
      <c r="C1257" s="7">
        <v>1.0</v>
      </c>
      <c r="D1257" s="5" t="s">
        <v>1213</v>
      </c>
      <c r="E1257" s="5" t="s">
        <v>1210</v>
      </c>
      <c r="F1257" s="5" t="s">
        <v>1211</v>
      </c>
    </row>
    <row r="1258">
      <c r="A1258" s="5">
        <v>9.11019947E8</v>
      </c>
      <c r="B1258" s="6">
        <v>45302.80746491898</v>
      </c>
      <c r="C1258" s="7">
        <v>1.0</v>
      </c>
      <c r="D1258" s="5" t="s">
        <v>1209</v>
      </c>
      <c r="E1258" s="5" t="s">
        <v>1210</v>
      </c>
      <c r="F1258" s="5" t="s">
        <v>1211</v>
      </c>
    </row>
    <row r="1259">
      <c r="A1259" s="5">
        <v>4.08834834E8</v>
      </c>
      <c r="B1259" s="6">
        <v>45592.79024203704</v>
      </c>
      <c r="C1259" s="7">
        <v>1.0</v>
      </c>
      <c r="D1259" s="5" t="s">
        <v>1209</v>
      </c>
      <c r="E1259" s="5" t="s">
        <v>1210</v>
      </c>
      <c r="F1259" s="5" t="s">
        <v>1211</v>
      </c>
    </row>
    <row r="1260">
      <c r="A1260" s="5">
        <v>6.94661111E8</v>
      </c>
      <c r="B1260" s="6">
        <v>45685.73825246528</v>
      </c>
      <c r="C1260" s="7">
        <v>1.0</v>
      </c>
      <c r="D1260" s="5" t="s">
        <v>1213</v>
      </c>
      <c r="E1260" s="5" t="s">
        <v>1210</v>
      </c>
      <c r="F1260" s="5" t="s">
        <v>1211</v>
      </c>
    </row>
    <row r="1261">
      <c r="A1261" s="5">
        <v>9.11019947E8</v>
      </c>
      <c r="B1261" s="6">
        <v>45302.80746491898</v>
      </c>
      <c r="C1261" s="7">
        <v>1.0</v>
      </c>
      <c r="D1261" s="5" t="s">
        <v>1209</v>
      </c>
      <c r="E1261" s="5" t="s">
        <v>1210</v>
      </c>
      <c r="F1261" s="5" t="s">
        <v>1211</v>
      </c>
    </row>
    <row r="1262">
      <c r="A1262" s="5">
        <v>4.08834834E8</v>
      </c>
      <c r="B1262" s="6">
        <v>45592.79024203704</v>
      </c>
      <c r="C1262" s="7">
        <v>1.0</v>
      </c>
      <c r="D1262" s="5" t="s">
        <v>1209</v>
      </c>
      <c r="E1262" s="5" t="s">
        <v>1210</v>
      </c>
      <c r="F1262" s="5" t="s">
        <v>1211</v>
      </c>
    </row>
    <row r="1263">
      <c r="A1263" s="5">
        <v>6.94661111E8</v>
      </c>
      <c r="B1263" s="6">
        <v>45685.73825246528</v>
      </c>
      <c r="C1263" s="7">
        <v>1.0</v>
      </c>
      <c r="D1263" s="5" t="s">
        <v>1213</v>
      </c>
      <c r="E1263" s="5" t="s">
        <v>1210</v>
      </c>
      <c r="F1263" s="5" t="s">
        <v>1211</v>
      </c>
    </row>
    <row r="1264">
      <c r="A1264" s="5">
        <v>9.11019947E8</v>
      </c>
      <c r="B1264" s="6">
        <v>45302.80746491898</v>
      </c>
      <c r="C1264" s="7">
        <v>1.0</v>
      </c>
      <c r="D1264" s="5" t="s">
        <v>1209</v>
      </c>
      <c r="E1264" s="5" t="s">
        <v>1210</v>
      </c>
      <c r="F1264" s="5" t="s">
        <v>1211</v>
      </c>
    </row>
    <row r="1265">
      <c r="A1265" s="5">
        <v>4.08834834E8</v>
      </c>
      <c r="B1265" s="6">
        <v>45592.79024203704</v>
      </c>
      <c r="C1265" s="7">
        <v>1.0</v>
      </c>
      <c r="D1265" s="5" t="s">
        <v>1209</v>
      </c>
      <c r="E1265" s="5" t="s">
        <v>1210</v>
      </c>
      <c r="F1265" s="5" t="s">
        <v>1211</v>
      </c>
    </row>
    <row r="1266">
      <c r="A1266" s="5">
        <v>6.94661111E8</v>
      </c>
      <c r="B1266" s="6">
        <v>45685.73825246528</v>
      </c>
      <c r="C1266" s="7">
        <v>1.0</v>
      </c>
      <c r="D1266" s="5" t="s">
        <v>1213</v>
      </c>
      <c r="E1266" s="5" t="s">
        <v>1210</v>
      </c>
      <c r="F1266" s="5" t="s">
        <v>1211</v>
      </c>
    </row>
    <row r="1267">
      <c r="A1267" s="5">
        <v>9.11019947E8</v>
      </c>
      <c r="B1267" s="6">
        <v>45302.80746491898</v>
      </c>
      <c r="C1267" s="7">
        <v>1.0</v>
      </c>
      <c r="D1267" s="5" t="s">
        <v>1209</v>
      </c>
      <c r="E1267" s="5" t="s">
        <v>1210</v>
      </c>
      <c r="F1267" s="5" t="s">
        <v>1211</v>
      </c>
    </row>
    <row r="1268">
      <c r="A1268" s="5">
        <v>4.08834834E8</v>
      </c>
      <c r="B1268" s="6">
        <v>45592.79024203704</v>
      </c>
      <c r="C1268" s="7">
        <v>1.0</v>
      </c>
      <c r="D1268" s="5" t="s">
        <v>1209</v>
      </c>
      <c r="E1268" s="5" t="s">
        <v>1210</v>
      </c>
      <c r="F1268" s="5" t="s">
        <v>1211</v>
      </c>
    </row>
    <row r="1269">
      <c r="A1269" s="5">
        <v>6.94661111E8</v>
      </c>
      <c r="B1269" s="6">
        <v>45685.73825246528</v>
      </c>
      <c r="C1269" s="7">
        <v>1.0</v>
      </c>
      <c r="D1269" s="5" t="s">
        <v>1213</v>
      </c>
      <c r="E1269" s="5" t="s">
        <v>1210</v>
      </c>
      <c r="F1269" s="5" t="s">
        <v>1211</v>
      </c>
    </row>
    <row r="1270">
      <c r="A1270" s="5">
        <v>9.11019947E8</v>
      </c>
      <c r="B1270" s="6">
        <v>45302.80746491898</v>
      </c>
      <c r="C1270" s="7">
        <v>1.0</v>
      </c>
      <c r="D1270" s="5" t="s">
        <v>1209</v>
      </c>
      <c r="E1270" s="5" t="s">
        <v>1210</v>
      </c>
      <c r="F1270" s="5" t="s">
        <v>1211</v>
      </c>
    </row>
    <row r="1271">
      <c r="A1271" s="5">
        <v>4.08834834E8</v>
      </c>
      <c r="B1271" s="6">
        <v>45592.79024203704</v>
      </c>
      <c r="C1271" s="7">
        <v>1.0</v>
      </c>
      <c r="D1271" s="5" t="s">
        <v>1209</v>
      </c>
      <c r="E1271" s="5" t="s">
        <v>1210</v>
      </c>
      <c r="F1271" s="5" t="s">
        <v>1211</v>
      </c>
    </row>
    <row r="1272">
      <c r="A1272" s="5">
        <v>6.94661111E8</v>
      </c>
      <c r="B1272" s="6">
        <v>45685.73825246528</v>
      </c>
      <c r="C1272" s="7">
        <v>1.0</v>
      </c>
      <c r="D1272" s="5" t="s">
        <v>1213</v>
      </c>
      <c r="E1272" s="5" t="s">
        <v>1210</v>
      </c>
      <c r="F1272" s="5" t="s">
        <v>1211</v>
      </c>
    </row>
    <row r="1273">
      <c r="A1273" s="5">
        <v>9.11019947E8</v>
      </c>
      <c r="B1273" s="6">
        <v>45302.80746491898</v>
      </c>
      <c r="C1273" s="7">
        <v>1.0</v>
      </c>
      <c r="D1273" s="5" t="s">
        <v>1209</v>
      </c>
      <c r="E1273" s="5" t="s">
        <v>1210</v>
      </c>
      <c r="F1273" s="5" t="s">
        <v>1211</v>
      </c>
    </row>
    <row r="1274">
      <c r="A1274" s="5">
        <v>4.08834834E8</v>
      </c>
      <c r="B1274" s="6">
        <v>45592.79024203704</v>
      </c>
      <c r="C1274" s="7">
        <v>1.0</v>
      </c>
      <c r="D1274" s="5" t="s">
        <v>1209</v>
      </c>
      <c r="E1274" s="5" t="s">
        <v>1210</v>
      </c>
      <c r="F1274" s="5" t="s">
        <v>1211</v>
      </c>
    </row>
    <row r="1275">
      <c r="A1275" s="5">
        <v>6.94661111E8</v>
      </c>
      <c r="B1275" s="6">
        <v>45685.73825246528</v>
      </c>
      <c r="C1275" s="7">
        <v>1.0</v>
      </c>
      <c r="D1275" s="5" t="s">
        <v>1213</v>
      </c>
      <c r="E1275" s="5" t="s">
        <v>1210</v>
      </c>
      <c r="F1275" s="5" t="s">
        <v>1211</v>
      </c>
    </row>
    <row r="1276">
      <c r="A1276" s="5">
        <v>9.11019947E8</v>
      </c>
      <c r="B1276" s="6">
        <v>45302.80746491898</v>
      </c>
      <c r="C1276" s="7">
        <v>1.0</v>
      </c>
      <c r="D1276" s="5" t="s">
        <v>1209</v>
      </c>
      <c r="E1276" s="5" t="s">
        <v>1210</v>
      </c>
      <c r="F1276" s="5" t="s">
        <v>1211</v>
      </c>
    </row>
    <row r="1277">
      <c r="A1277" s="5">
        <v>4.08834834E8</v>
      </c>
      <c r="B1277" s="6">
        <v>45592.79024203704</v>
      </c>
      <c r="C1277" s="7">
        <v>1.0</v>
      </c>
      <c r="D1277" s="5" t="s">
        <v>1209</v>
      </c>
      <c r="E1277" s="5" t="s">
        <v>1210</v>
      </c>
      <c r="F1277" s="5" t="s">
        <v>1211</v>
      </c>
    </row>
    <row r="1278">
      <c r="A1278" s="5">
        <v>6.94661111E8</v>
      </c>
      <c r="B1278" s="6">
        <v>45685.73825246528</v>
      </c>
      <c r="C1278" s="7">
        <v>1.0</v>
      </c>
      <c r="D1278" s="5" t="s">
        <v>1213</v>
      </c>
      <c r="E1278" s="5" t="s">
        <v>1210</v>
      </c>
      <c r="F1278" s="5" t="s">
        <v>1211</v>
      </c>
    </row>
    <row r="1279">
      <c r="A1279" s="5">
        <v>9.11019947E8</v>
      </c>
      <c r="B1279" s="6">
        <v>45302.80746491898</v>
      </c>
      <c r="C1279" s="7">
        <v>1.0</v>
      </c>
      <c r="D1279" s="5" t="s">
        <v>1209</v>
      </c>
      <c r="E1279" s="5" t="s">
        <v>1210</v>
      </c>
      <c r="F1279" s="5" t="s">
        <v>1211</v>
      </c>
    </row>
    <row r="1280">
      <c r="A1280" s="5">
        <v>4.08834834E8</v>
      </c>
      <c r="B1280" s="6">
        <v>45592.79024203704</v>
      </c>
      <c r="C1280" s="7">
        <v>1.0</v>
      </c>
      <c r="D1280" s="5" t="s">
        <v>1209</v>
      </c>
      <c r="E1280" s="5" t="s">
        <v>1210</v>
      </c>
      <c r="F1280" s="5" t="s">
        <v>1211</v>
      </c>
    </row>
    <row r="1281">
      <c r="A1281" s="5">
        <v>6.94661111E8</v>
      </c>
      <c r="B1281" s="6">
        <v>45685.73825246528</v>
      </c>
      <c r="C1281" s="7">
        <v>1.0</v>
      </c>
      <c r="D1281" s="5" t="s">
        <v>1213</v>
      </c>
      <c r="E1281" s="5" t="s">
        <v>1210</v>
      </c>
      <c r="F1281" s="5" t="s">
        <v>1211</v>
      </c>
    </row>
    <row r="1282">
      <c r="A1282" s="5">
        <v>9.11019947E8</v>
      </c>
      <c r="B1282" s="6">
        <v>45302.80746491898</v>
      </c>
      <c r="C1282" s="7">
        <v>1.0</v>
      </c>
      <c r="D1282" s="5" t="s">
        <v>1209</v>
      </c>
      <c r="E1282" s="5" t="s">
        <v>1210</v>
      </c>
      <c r="F1282" s="5" t="s">
        <v>1211</v>
      </c>
    </row>
    <row r="1283">
      <c r="A1283" s="5">
        <v>4.08834834E8</v>
      </c>
      <c r="B1283" s="6">
        <v>45592.79024203704</v>
      </c>
      <c r="C1283" s="7">
        <v>1.0</v>
      </c>
      <c r="D1283" s="5" t="s">
        <v>1209</v>
      </c>
      <c r="E1283" s="5" t="s">
        <v>1210</v>
      </c>
      <c r="F1283" s="5" t="s">
        <v>1211</v>
      </c>
    </row>
    <row r="1284">
      <c r="A1284" s="5">
        <v>6.94661111E8</v>
      </c>
      <c r="B1284" s="6">
        <v>45685.73825246528</v>
      </c>
      <c r="C1284" s="7">
        <v>1.0</v>
      </c>
      <c r="D1284" s="5" t="s">
        <v>1213</v>
      </c>
      <c r="E1284" s="5" t="s">
        <v>1210</v>
      </c>
      <c r="F1284" s="5" t="s">
        <v>1211</v>
      </c>
    </row>
    <row r="1285">
      <c r="A1285" s="5">
        <v>9.11019947E8</v>
      </c>
      <c r="B1285" s="6">
        <v>45302.80746491898</v>
      </c>
      <c r="C1285" s="7">
        <v>1.0</v>
      </c>
      <c r="D1285" s="5" t="s">
        <v>1209</v>
      </c>
      <c r="E1285" s="5" t="s">
        <v>1210</v>
      </c>
      <c r="F1285" s="5" t="s">
        <v>1211</v>
      </c>
    </row>
    <row r="1286">
      <c r="A1286" s="5">
        <v>4.08834834E8</v>
      </c>
      <c r="B1286" s="6">
        <v>45592.79024203704</v>
      </c>
      <c r="C1286" s="7">
        <v>1.0</v>
      </c>
      <c r="D1286" s="5" t="s">
        <v>1209</v>
      </c>
      <c r="E1286" s="5" t="s">
        <v>1210</v>
      </c>
      <c r="F1286" s="5" t="s">
        <v>1211</v>
      </c>
    </row>
    <row r="1287">
      <c r="A1287" s="5">
        <v>6.94661111E8</v>
      </c>
      <c r="B1287" s="6">
        <v>45685.73825246528</v>
      </c>
      <c r="C1287" s="7">
        <v>1.0</v>
      </c>
      <c r="D1287" s="5" t="s">
        <v>1213</v>
      </c>
      <c r="E1287" s="5" t="s">
        <v>1210</v>
      </c>
      <c r="F1287" s="5" t="s">
        <v>1211</v>
      </c>
    </row>
    <row r="1288">
      <c r="A1288" s="5">
        <v>9.11019947E8</v>
      </c>
      <c r="B1288" s="6">
        <v>45302.80746491898</v>
      </c>
      <c r="C1288" s="7">
        <v>1.0</v>
      </c>
      <c r="D1288" s="5" t="s">
        <v>1209</v>
      </c>
      <c r="E1288" s="5" t="s">
        <v>1210</v>
      </c>
      <c r="F1288" s="5" t="s">
        <v>1211</v>
      </c>
    </row>
    <row r="1289">
      <c r="A1289" s="5">
        <v>4.08834834E8</v>
      </c>
      <c r="B1289" s="6">
        <v>45592.79024203704</v>
      </c>
      <c r="C1289" s="7">
        <v>1.0</v>
      </c>
      <c r="D1289" s="5" t="s">
        <v>1209</v>
      </c>
      <c r="E1289" s="5" t="s">
        <v>1210</v>
      </c>
      <c r="F1289" s="5" t="s">
        <v>1211</v>
      </c>
    </row>
    <row r="1290">
      <c r="A1290" s="5">
        <v>6.94661111E8</v>
      </c>
      <c r="B1290" s="6">
        <v>45685.73825246528</v>
      </c>
      <c r="C1290" s="7">
        <v>1.0</v>
      </c>
      <c r="D1290" s="5" t="s">
        <v>1213</v>
      </c>
      <c r="E1290" s="5" t="s">
        <v>1210</v>
      </c>
      <c r="F1290" s="5" t="s">
        <v>1211</v>
      </c>
    </row>
    <row r="1291">
      <c r="A1291" s="5">
        <v>9.11019947E8</v>
      </c>
      <c r="B1291" s="6">
        <v>45302.80746491898</v>
      </c>
      <c r="C1291" s="7">
        <v>1.0</v>
      </c>
      <c r="D1291" s="5" t="s">
        <v>1209</v>
      </c>
      <c r="E1291" s="5" t="s">
        <v>1210</v>
      </c>
      <c r="F1291" s="5" t="s">
        <v>1211</v>
      </c>
    </row>
    <row r="1292">
      <c r="A1292" s="5">
        <v>4.08834834E8</v>
      </c>
      <c r="B1292" s="6">
        <v>45592.79024203704</v>
      </c>
      <c r="C1292" s="7">
        <v>1.0</v>
      </c>
      <c r="D1292" s="5" t="s">
        <v>1209</v>
      </c>
      <c r="E1292" s="5" t="s">
        <v>1210</v>
      </c>
      <c r="F1292" s="5" t="s">
        <v>1211</v>
      </c>
    </row>
    <row r="1293">
      <c r="A1293" s="5">
        <v>6.94661111E8</v>
      </c>
      <c r="B1293" s="6">
        <v>45685.73825246528</v>
      </c>
      <c r="C1293" s="7">
        <v>1.0</v>
      </c>
      <c r="D1293" s="5" t="s">
        <v>1213</v>
      </c>
      <c r="E1293" s="5" t="s">
        <v>1210</v>
      </c>
      <c r="F1293" s="5" t="s">
        <v>1211</v>
      </c>
    </row>
    <row r="1294">
      <c r="A1294" s="5">
        <v>9.11019947E8</v>
      </c>
      <c r="B1294" s="6">
        <v>45302.80746491898</v>
      </c>
      <c r="C1294" s="7">
        <v>1.0</v>
      </c>
      <c r="D1294" s="5" t="s">
        <v>1209</v>
      </c>
      <c r="E1294" s="5" t="s">
        <v>1210</v>
      </c>
      <c r="F1294" s="5" t="s">
        <v>1211</v>
      </c>
    </row>
    <row r="1295">
      <c r="A1295" s="5">
        <v>4.08834834E8</v>
      </c>
      <c r="B1295" s="6">
        <v>45592.79024203704</v>
      </c>
      <c r="C1295" s="7">
        <v>1.0</v>
      </c>
      <c r="D1295" s="5" t="s">
        <v>1209</v>
      </c>
      <c r="E1295" s="5" t="s">
        <v>1210</v>
      </c>
      <c r="F1295" s="5" t="s">
        <v>1211</v>
      </c>
    </row>
    <row r="1296">
      <c r="A1296" s="5">
        <v>6.94661111E8</v>
      </c>
      <c r="B1296" s="6">
        <v>45685.73825246528</v>
      </c>
      <c r="C1296" s="7">
        <v>1.0</v>
      </c>
      <c r="D1296" s="5" t="s">
        <v>1213</v>
      </c>
      <c r="E1296" s="5" t="s">
        <v>1210</v>
      </c>
      <c r="F1296" s="5" t="s">
        <v>1211</v>
      </c>
    </row>
    <row r="1297">
      <c r="A1297" s="5">
        <v>9.11019947E8</v>
      </c>
      <c r="B1297" s="6">
        <v>45302.80746491898</v>
      </c>
      <c r="C1297" s="7">
        <v>1.0</v>
      </c>
      <c r="D1297" s="5" t="s">
        <v>1209</v>
      </c>
      <c r="E1297" s="5" t="s">
        <v>1210</v>
      </c>
      <c r="F1297" s="5" t="s">
        <v>1211</v>
      </c>
    </row>
    <row r="1298">
      <c r="A1298" s="5">
        <v>4.08834834E8</v>
      </c>
      <c r="B1298" s="6">
        <v>45592.79024203704</v>
      </c>
      <c r="C1298" s="7">
        <v>1.0</v>
      </c>
      <c r="D1298" s="5" t="s">
        <v>1209</v>
      </c>
      <c r="E1298" s="5" t="s">
        <v>1210</v>
      </c>
      <c r="F1298" s="5" t="s">
        <v>1211</v>
      </c>
    </row>
    <row r="1299">
      <c r="A1299" s="5">
        <v>6.94661111E8</v>
      </c>
      <c r="B1299" s="6">
        <v>45685.73825246528</v>
      </c>
      <c r="C1299" s="7">
        <v>1.0</v>
      </c>
      <c r="D1299" s="5" t="s">
        <v>1213</v>
      </c>
      <c r="E1299" s="5" t="s">
        <v>1210</v>
      </c>
      <c r="F1299" s="5" t="s">
        <v>1211</v>
      </c>
    </row>
    <row r="1300">
      <c r="A1300" s="5">
        <v>9.11019947E8</v>
      </c>
      <c r="B1300" s="6">
        <v>45302.80746491898</v>
      </c>
      <c r="C1300" s="7">
        <v>1.0</v>
      </c>
      <c r="D1300" s="5" t="s">
        <v>1209</v>
      </c>
      <c r="E1300" s="5" t="s">
        <v>1210</v>
      </c>
      <c r="F1300" s="5" t="s">
        <v>1211</v>
      </c>
    </row>
    <row r="1301">
      <c r="A1301" s="5">
        <v>4.08834834E8</v>
      </c>
      <c r="B1301" s="6">
        <v>45592.79024203704</v>
      </c>
      <c r="C1301" s="7">
        <v>1.0</v>
      </c>
      <c r="D1301" s="5" t="s">
        <v>1209</v>
      </c>
      <c r="E1301" s="5" t="s">
        <v>1210</v>
      </c>
      <c r="F1301" s="5" t="s">
        <v>1211</v>
      </c>
    </row>
    <row r="1302">
      <c r="A1302" s="5">
        <v>6.94661111E8</v>
      </c>
      <c r="B1302" s="6">
        <v>45685.73825246528</v>
      </c>
      <c r="C1302" s="7">
        <v>1.0</v>
      </c>
      <c r="D1302" s="5" t="s">
        <v>1213</v>
      </c>
      <c r="E1302" s="5" t="s">
        <v>1210</v>
      </c>
      <c r="F1302" s="5" t="s">
        <v>1211</v>
      </c>
    </row>
    <row r="1303">
      <c r="A1303" s="5">
        <v>9.11019947E8</v>
      </c>
      <c r="B1303" s="6">
        <v>45302.80746491898</v>
      </c>
      <c r="C1303" s="7">
        <v>1.0</v>
      </c>
      <c r="D1303" s="5" t="s">
        <v>1209</v>
      </c>
      <c r="E1303" s="5" t="s">
        <v>1210</v>
      </c>
      <c r="F1303" s="5" t="s">
        <v>1211</v>
      </c>
    </row>
    <row r="1304">
      <c r="A1304" s="5">
        <v>4.08834834E8</v>
      </c>
      <c r="B1304" s="6">
        <v>45592.79024203704</v>
      </c>
      <c r="C1304" s="7">
        <v>1.0</v>
      </c>
      <c r="D1304" s="5" t="s">
        <v>1209</v>
      </c>
      <c r="E1304" s="5" t="s">
        <v>1210</v>
      </c>
      <c r="F1304" s="5" t="s">
        <v>1211</v>
      </c>
    </row>
    <row r="1305">
      <c r="A1305" s="5">
        <v>6.94661111E8</v>
      </c>
      <c r="B1305" s="6">
        <v>45685.73825246528</v>
      </c>
      <c r="C1305" s="7">
        <v>1.0</v>
      </c>
      <c r="D1305" s="5" t="s">
        <v>1213</v>
      </c>
      <c r="E1305" s="5" t="s">
        <v>1210</v>
      </c>
      <c r="F1305" s="5" t="s">
        <v>1211</v>
      </c>
    </row>
    <row r="1306">
      <c r="A1306" s="5">
        <v>9.11019947E8</v>
      </c>
      <c r="B1306" s="6">
        <v>45302.80746491898</v>
      </c>
      <c r="C1306" s="7">
        <v>1.0</v>
      </c>
      <c r="D1306" s="5" t="s">
        <v>1209</v>
      </c>
      <c r="E1306" s="5" t="s">
        <v>1210</v>
      </c>
      <c r="F1306" s="5" t="s">
        <v>1211</v>
      </c>
    </row>
    <row r="1307">
      <c r="A1307" s="5">
        <v>4.08834834E8</v>
      </c>
      <c r="B1307" s="6">
        <v>45592.79024203704</v>
      </c>
      <c r="C1307" s="7">
        <v>1.0</v>
      </c>
      <c r="D1307" s="5" t="s">
        <v>1209</v>
      </c>
      <c r="E1307" s="5" t="s">
        <v>1210</v>
      </c>
      <c r="F1307" s="5" t="s">
        <v>1211</v>
      </c>
    </row>
    <row r="1308">
      <c r="A1308" s="5">
        <v>6.94661111E8</v>
      </c>
      <c r="B1308" s="6">
        <v>45685.73825246528</v>
      </c>
      <c r="C1308" s="7">
        <v>1.0</v>
      </c>
      <c r="D1308" s="5" t="s">
        <v>1213</v>
      </c>
      <c r="E1308" s="5" t="s">
        <v>1210</v>
      </c>
      <c r="F1308" s="5" t="s">
        <v>1211</v>
      </c>
    </row>
    <row r="1309">
      <c r="A1309" s="5">
        <v>9.11019947E8</v>
      </c>
      <c r="B1309" s="6">
        <v>45302.80746491898</v>
      </c>
      <c r="C1309" s="7">
        <v>1.0</v>
      </c>
      <c r="D1309" s="5" t="s">
        <v>1209</v>
      </c>
      <c r="E1309" s="5" t="s">
        <v>1210</v>
      </c>
      <c r="F1309" s="5" t="s">
        <v>1211</v>
      </c>
    </row>
    <row r="1310">
      <c r="A1310" s="5">
        <v>4.08834834E8</v>
      </c>
      <c r="B1310" s="6">
        <v>45592.79024203704</v>
      </c>
      <c r="C1310" s="7">
        <v>1.0</v>
      </c>
      <c r="D1310" s="5" t="s">
        <v>1209</v>
      </c>
      <c r="E1310" s="5" t="s">
        <v>1210</v>
      </c>
      <c r="F1310" s="5" t="s">
        <v>1211</v>
      </c>
    </row>
    <row r="1311">
      <c r="A1311" s="5">
        <v>6.94661111E8</v>
      </c>
      <c r="B1311" s="6">
        <v>45685.73825246528</v>
      </c>
      <c r="C1311" s="7">
        <v>1.0</v>
      </c>
      <c r="D1311" s="5" t="s">
        <v>1213</v>
      </c>
      <c r="E1311" s="5" t="s">
        <v>1210</v>
      </c>
      <c r="F1311" s="5" t="s">
        <v>1211</v>
      </c>
    </row>
    <row r="1312">
      <c r="A1312" s="5">
        <v>9.11019947E8</v>
      </c>
      <c r="B1312" s="6">
        <v>45302.80746491898</v>
      </c>
      <c r="C1312" s="7">
        <v>1.0</v>
      </c>
      <c r="D1312" s="5" t="s">
        <v>1209</v>
      </c>
      <c r="E1312" s="5" t="s">
        <v>1210</v>
      </c>
      <c r="F1312" s="5" t="s">
        <v>1211</v>
      </c>
    </row>
    <row r="1313">
      <c r="A1313" s="5">
        <v>4.08834834E8</v>
      </c>
      <c r="B1313" s="6">
        <v>45592.79024203704</v>
      </c>
      <c r="C1313" s="7">
        <v>1.0</v>
      </c>
      <c r="D1313" s="5" t="s">
        <v>1209</v>
      </c>
      <c r="E1313" s="5" t="s">
        <v>1210</v>
      </c>
      <c r="F1313" s="5" t="s">
        <v>1211</v>
      </c>
    </row>
    <row r="1314">
      <c r="A1314" s="5">
        <v>6.94661111E8</v>
      </c>
      <c r="B1314" s="6">
        <v>45685.73825246528</v>
      </c>
      <c r="C1314" s="7">
        <v>1.0</v>
      </c>
      <c r="D1314" s="5" t="s">
        <v>1213</v>
      </c>
      <c r="E1314" s="5" t="s">
        <v>1210</v>
      </c>
      <c r="F1314" s="5" t="s">
        <v>1211</v>
      </c>
    </row>
    <row r="1315">
      <c r="A1315" s="5">
        <v>9.11019947E8</v>
      </c>
      <c r="B1315" s="6">
        <v>45302.80746491898</v>
      </c>
      <c r="C1315" s="7">
        <v>1.0</v>
      </c>
      <c r="D1315" s="5" t="s">
        <v>1209</v>
      </c>
      <c r="E1315" s="5" t="s">
        <v>1210</v>
      </c>
      <c r="F1315" s="5" t="s">
        <v>1211</v>
      </c>
    </row>
    <row r="1316">
      <c r="A1316" s="5">
        <v>4.08834834E8</v>
      </c>
      <c r="B1316" s="6">
        <v>45592.79024203704</v>
      </c>
      <c r="C1316" s="7">
        <v>1.0</v>
      </c>
      <c r="D1316" s="5" t="s">
        <v>1209</v>
      </c>
      <c r="E1316" s="5" t="s">
        <v>1210</v>
      </c>
      <c r="F1316" s="5" t="s">
        <v>1211</v>
      </c>
    </row>
    <row r="1317">
      <c r="A1317" s="5">
        <v>6.94661111E8</v>
      </c>
      <c r="B1317" s="6">
        <v>45685.73825246528</v>
      </c>
      <c r="C1317" s="7">
        <v>1.0</v>
      </c>
      <c r="D1317" s="5" t="s">
        <v>1213</v>
      </c>
      <c r="E1317" s="5" t="s">
        <v>1210</v>
      </c>
      <c r="F1317" s="5" t="s">
        <v>1211</v>
      </c>
    </row>
    <row r="1318">
      <c r="A1318" s="5">
        <v>9.11019947E8</v>
      </c>
      <c r="B1318" s="6">
        <v>45302.80746491898</v>
      </c>
      <c r="C1318" s="7">
        <v>1.0</v>
      </c>
      <c r="D1318" s="5" t="s">
        <v>1209</v>
      </c>
      <c r="E1318" s="5" t="s">
        <v>1210</v>
      </c>
      <c r="F1318" s="5" t="s">
        <v>1211</v>
      </c>
    </row>
    <row r="1319">
      <c r="A1319" s="5">
        <v>4.08834834E8</v>
      </c>
      <c r="B1319" s="6">
        <v>45592.79024203704</v>
      </c>
      <c r="C1319" s="7">
        <v>1.0</v>
      </c>
      <c r="D1319" s="5" t="s">
        <v>1209</v>
      </c>
      <c r="E1319" s="5" t="s">
        <v>1210</v>
      </c>
      <c r="F1319" s="5" t="s">
        <v>1211</v>
      </c>
    </row>
    <row r="1320">
      <c r="A1320" s="5">
        <v>6.94661111E8</v>
      </c>
      <c r="B1320" s="6">
        <v>45685.73825246528</v>
      </c>
      <c r="C1320" s="7">
        <v>1.0</v>
      </c>
      <c r="D1320" s="5" t="s">
        <v>1213</v>
      </c>
      <c r="E1320" s="5" t="s">
        <v>1210</v>
      </c>
      <c r="F1320" s="5" t="s">
        <v>1211</v>
      </c>
    </row>
    <row r="1321">
      <c r="A1321" s="5">
        <v>9.11019947E8</v>
      </c>
      <c r="B1321" s="6">
        <v>45302.80746491898</v>
      </c>
      <c r="C1321" s="7">
        <v>1.0</v>
      </c>
      <c r="D1321" s="5" t="s">
        <v>1209</v>
      </c>
      <c r="E1321" s="5" t="s">
        <v>1210</v>
      </c>
      <c r="F1321" s="5" t="s">
        <v>1211</v>
      </c>
    </row>
    <row r="1322">
      <c r="A1322" s="5">
        <v>4.08834834E8</v>
      </c>
      <c r="B1322" s="6">
        <v>45592.79024203704</v>
      </c>
      <c r="C1322" s="7">
        <v>1.0</v>
      </c>
      <c r="D1322" s="5" t="s">
        <v>1209</v>
      </c>
      <c r="E1322" s="5" t="s">
        <v>1210</v>
      </c>
      <c r="F1322" s="5" t="s">
        <v>1211</v>
      </c>
    </row>
    <row r="1323">
      <c r="A1323" s="5">
        <v>6.94661111E8</v>
      </c>
      <c r="B1323" s="6">
        <v>45685.73825246528</v>
      </c>
      <c r="C1323" s="7">
        <v>1.0</v>
      </c>
      <c r="D1323" s="5" t="s">
        <v>1213</v>
      </c>
      <c r="E1323" s="5" t="s">
        <v>1210</v>
      </c>
      <c r="F1323" s="5" t="s">
        <v>1211</v>
      </c>
    </row>
    <row r="1324">
      <c r="A1324" s="5">
        <v>9.11019947E8</v>
      </c>
      <c r="B1324" s="6">
        <v>45302.80746491898</v>
      </c>
      <c r="C1324" s="7">
        <v>1.0</v>
      </c>
      <c r="D1324" s="5" t="s">
        <v>1209</v>
      </c>
      <c r="E1324" s="5" t="s">
        <v>1210</v>
      </c>
      <c r="F1324" s="5" t="s">
        <v>1211</v>
      </c>
    </row>
    <row r="1325">
      <c r="A1325" s="5">
        <v>4.08834834E8</v>
      </c>
      <c r="B1325" s="6">
        <v>45592.79024203704</v>
      </c>
      <c r="C1325" s="7">
        <v>1.0</v>
      </c>
      <c r="D1325" s="5" t="s">
        <v>1209</v>
      </c>
      <c r="E1325" s="5" t="s">
        <v>1210</v>
      </c>
      <c r="F1325" s="5" t="s">
        <v>1211</v>
      </c>
    </row>
    <row r="1326">
      <c r="A1326" s="5">
        <v>6.94661111E8</v>
      </c>
      <c r="B1326" s="6">
        <v>45685.73825246528</v>
      </c>
      <c r="C1326" s="7">
        <v>1.0</v>
      </c>
      <c r="D1326" s="5" t="s">
        <v>1213</v>
      </c>
      <c r="E1326" s="5" t="s">
        <v>1210</v>
      </c>
      <c r="F1326" s="5" t="s">
        <v>1211</v>
      </c>
    </row>
    <row r="1327">
      <c r="A1327" s="5">
        <v>9.11019947E8</v>
      </c>
      <c r="B1327" s="6">
        <v>45302.80746491898</v>
      </c>
      <c r="C1327" s="7">
        <v>1.0</v>
      </c>
      <c r="D1327" s="5" t="s">
        <v>1209</v>
      </c>
      <c r="E1327" s="5" t="s">
        <v>1210</v>
      </c>
      <c r="F1327" s="5" t="s">
        <v>1211</v>
      </c>
    </row>
    <row r="1328">
      <c r="A1328" s="5">
        <v>4.08834834E8</v>
      </c>
      <c r="B1328" s="6">
        <v>45592.79024203704</v>
      </c>
      <c r="C1328" s="7">
        <v>1.0</v>
      </c>
      <c r="D1328" s="5" t="s">
        <v>1209</v>
      </c>
      <c r="E1328" s="5" t="s">
        <v>1210</v>
      </c>
      <c r="F1328" s="5" t="s">
        <v>1211</v>
      </c>
    </row>
    <row r="1329">
      <c r="A1329" s="5">
        <v>6.94661111E8</v>
      </c>
      <c r="B1329" s="6">
        <v>45685.73825246528</v>
      </c>
      <c r="C1329" s="7">
        <v>1.0</v>
      </c>
      <c r="D1329" s="5" t="s">
        <v>1213</v>
      </c>
      <c r="E1329" s="5" t="s">
        <v>1210</v>
      </c>
      <c r="F1329" s="5" t="s">
        <v>1211</v>
      </c>
    </row>
    <row r="1330">
      <c r="A1330" s="5">
        <v>9.11019947E8</v>
      </c>
      <c r="B1330" s="6">
        <v>45302.80746491898</v>
      </c>
      <c r="C1330" s="7">
        <v>1.0</v>
      </c>
      <c r="D1330" s="5" t="s">
        <v>1209</v>
      </c>
      <c r="E1330" s="5" t="s">
        <v>1210</v>
      </c>
      <c r="F1330" s="5" t="s">
        <v>1211</v>
      </c>
    </row>
    <row r="1331">
      <c r="A1331" s="5">
        <v>4.08834834E8</v>
      </c>
      <c r="B1331" s="6">
        <v>45592.79024203704</v>
      </c>
      <c r="C1331" s="7">
        <v>1.0</v>
      </c>
      <c r="D1331" s="5" t="s">
        <v>1209</v>
      </c>
      <c r="E1331" s="5" t="s">
        <v>1210</v>
      </c>
      <c r="F1331" s="5" t="s">
        <v>1211</v>
      </c>
    </row>
    <row r="1332">
      <c r="A1332" s="5">
        <v>6.94661111E8</v>
      </c>
      <c r="B1332" s="6">
        <v>45685.73825246528</v>
      </c>
      <c r="C1332" s="7">
        <v>1.0</v>
      </c>
      <c r="D1332" s="5" t="s">
        <v>1213</v>
      </c>
      <c r="E1332" s="5" t="s">
        <v>1210</v>
      </c>
      <c r="F1332" s="5" t="s">
        <v>1211</v>
      </c>
    </row>
    <row r="1333">
      <c r="A1333" s="5">
        <v>9.11019947E8</v>
      </c>
      <c r="B1333" s="6">
        <v>45302.80746491898</v>
      </c>
      <c r="C1333" s="7">
        <v>1.0</v>
      </c>
      <c r="D1333" s="5" t="s">
        <v>1209</v>
      </c>
      <c r="E1333" s="5" t="s">
        <v>1210</v>
      </c>
      <c r="F1333" s="5" t="s">
        <v>1211</v>
      </c>
    </row>
    <row r="1334">
      <c r="A1334" s="5">
        <v>4.08834834E8</v>
      </c>
      <c r="B1334" s="6">
        <v>45592.79024203704</v>
      </c>
      <c r="C1334" s="7">
        <v>1.0</v>
      </c>
      <c r="D1334" s="5" t="s">
        <v>1209</v>
      </c>
      <c r="E1334" s="5" t="s">
        <v>1210</v>
      </c>
      <c r="F1334" s="5" t="s">
        <v>1211</v>
      </c>
    </row>
    <row r="1335">
      <c r="A1335" s="5">
        <v>6.94661111E8</v>
      </c>
      <c r="B1335" s="6">
        <v>45685.73825246528</v>
      </c>
      <c r="C1335" s="7">
        <v>1.0</v>
      </c>
      <c r="D1335" s="5" t="s">
        <v>1213</v>
      </c>
      <c r="E1335" s="5" t="s">
        <v>1210</v>
      </c>
      <c r="F1335" s="5" t="s">
        <v>1211</v>
      </c>
    </row>
    <row r="1336">
      <c r="A1336" s="5">
        <v>9.11019947E8</v>
      </c>
      <c r="B1336" s="6">
        <v>45302.80746491898</v>
      </c>
      <c r="C1336" s="7">
        <v>1.0</v>
      </c>
      <c r="D1336" s="5" t="s">
        <v>1209</v>
      </c>
      <c r="E1336" s="5" t="s">
        <v>1210</v>
      </c>
      <c r="F1336" s="5" t="s">
        <v>1211</v>
      </c>
    </row>
    <row r="1337">
      <c r="A1337" s="5">
        <v>4.08834834E8</v>
      </c>
      <c r="B1337" s="6">
        <v>45592.79024203704</v>
      </c>
      <c r="C1337" s="7">
        <v>1.0</v>
      </c>
      <c r="D1337" s="5" t="s">
        <v>1209</v>
      </c>
      <c r="E1337" s="5" t="s">
        <v>1210</v>
      </c>
      <c r="F1337" s="5" t="s">
        <v>1211</v>
      </c>
    </row>
    <row r="1338">
      <c r="A1338" s="5">
        <v>6.94661111E8</v>
      </c>
      <c r="B1338" s="6">
        <v>45685.73825246528</v>
      </c>
      <c r="C1338" s="7">
        <v>1.0</v>
      </c>
      <c r="D1338" s="5" t="s">
        <v>1213</v>
      </c>
      <c r="E1338" s="5" t="s">
        <v>1210</v>
      </c>
      <c r="F1338" s="5" t="s">
        <v>1211</v>
      </c>
    </row>
    <row r="1339">
      <c r="A1339" s="5">
        <v>9.11019947E8</v>
      </c>
      <c r="B1339" s="6">
        <v>45302.80746491898</v>
      </c>
      <c r="C1339" s="7">
        <v>1.0</v>
      </c>
      <c r="D1339" s="5" t="s">
        <v>1209</v>
      </c>
      <c r="E1339" s="5" t="s">
        <v>1210</v>
      </c>
      <c r="F1339" s="5" t="s">
        <v>1211</v>
      </c>
    </row>
    <row r="1340">
      <c r="A1340" s="5">
        <v>4.08834834E8</v>
      </c>
      <c r="B1340" s="6">
        <v>45592.79024203704</v>
      </c>
      <c r="C1340" s="7">
        <v>1.0</v>
      </c>
      <c r="D1340" s="5" t="s">
        <v>1209</v>
      </c>
      <c r="E1340" s="5" t="s">
        <v>1210</v>
      </c>
      <c r="F1340" s="5" t="s">
        <v>1211</v>
      </c>
    </row>
    <row r="1341">
      <c r="A1341" s="5">
        <v>6.94661111E8</v>
      </c>
      <c r="B1341" s="6">
        <v>45685.73825246528</v>
      </c>
      <c r="C1341" s="7">
        <v>1.0</v>
      </c>
      <c r="D1341" s="5" t="s">
        <v>1213</v>
      </c>
      <c r="E1341" s="5" t="s">
        <v>1210</v>
      </c>
      <c r="F1341" s="5" t="s">
        <v>1211</v>
      </c>
    </row>
    <row r="1342">
      <c r="A1342" s="5">
        <v>9.11019947E8</v>
      </c>
      <c r="B1342" s="6">
        <v>45302.80746491898</v>
      </c>
      <c r="C1342" s="7">
        <v>1.0</v>
      </c>
      <c r="D1342" s="5" t="s">
        <v>1209</v>
      </c>
      <c r="E1342" s="5" t="s">
        <v>1210</v>
      </c>
      <c r="F1342" s="5" t="s">
        <v>1211</v>
      </c>
    </row>
    <row r="1343">
      <c r="A1343" s="5">
        <v>4.08834834E8</v>
      </c>
      <c r="B1343" s="6">
        <v>45592.79024203704</v>
      </c>
      <c r="C1343" s="7">
        <v>1.0</v>
      </c>
      <c r="D1343" s="5" t="s">
        <v>1209</v>
      </c>
      <c r="E1343" s="5" t="s">
        <v>1210</v>
      </c>
      <c r="F1343" s="5" t="s">
        <v>1211</v>
      </c>
    </row>
    <row r="1344">
      <c r="A1344" s="5">
        <v>6.94661111E8</v>
      </c>
      <c r="B1344" s="6">
        <v>45685.73825246528</v>
      </c>
      <c r="C1344" s="7">
        <v>1.0</v>
      </c>
      <c r="D1344" s="5" t="s">
        <v>1213</v>
      </c>
      <c r="E1344" s="5" t="s">
        <v>1210</v>
      </c>
      <c r="F1344" s="5" t="s">
        <v>1211</v>
      </c>
    </row>
    <row r="1345">
      <c r="A1345" s="5">
        <v>9.11019947E8</v>
      </c>
      <c r="B1345" s="6">
        <v>45302.80746491898</v>
      </c>
      <c r="C1345" s="7">
        <v>1.0</v>
      </c>
      <c r="D1345" s="5" t="s">
        <v>1209</v>
      </c>
      <c r="E1345" s="5" t="s">
        <v>1210</v>
      </c>
      <c r="F1345" s="5" t="s">
        <v>1211</v>
      </c>
    </row>
    <row r="1346">
      <c r="A1346" s="5">
        <v>4.08834834E8</v>
      </c>
      <c r="B1346" s="6">
        <v>45592.79024203704</v>
      </c>
      <c r="C1346" s="7">
        <v>1.0</v>
      </c>
      <c r="D1346" s="5" t="s">
        <v>1209</v>
      </c>
      <c r="E1346" s="5" t="s">
        <v>1210</v>
      </c>
      <c r="F1346" s="5" t="s">
        <v>1211</v>
      </c>
    </row>
    <row r="1347">
      <c r="A1347" s="5">
        <v>6.94661111E8</v>
      </c>
      <c r="B1347" s="6">
        <v>45685.73825246528</v>
      </c>
      <c r="C1347" s="7">
        <v>1.0</v>
      </c>
      <c r="D1347" s="5" t="s">
        <v>1213</v>
      </c>
      <c r="E1347" s="5" t="s">
        <v>1210</v>
      </c>
      <c r="F1347" s="5" t="s">
        <v>1211</v>
      </c>
    </row>
    <row r="1348">
      <c r="A1348" s="5">
        <v>9.11019947E8</v>
      </c>
      <c r="B1348" s="6">
        <v>45302.80746491898</v>
      </c>
      <c r="C1348" s="7">
        <v>1.0</v>
      </c>
      <c r="D1348" s="5" t="s">
        <v>1209</v>
      </c>
      <c r="E1348" s="5" t="s">
        <v>1210</v>
      </c>
      <c r="F1348" s="5" t="s">
        <v>1211</v>
      </c>
    </row>
    <row r="1349">
      <c r="A1349" s="5">
        <v>4.08834834E8</v>
      </c>
      <c r="B1349" s="6">
        <v>45592.79024203704</v>
      </c>
      <c r="C1349" s="7">
        <v>1.0</v>
      </c>
      <c r="D1349" s="5" t="s">
        <v>1209</v>
      </c>
      <c r="E1349" s="5" t="s">
        <v>1210</v>
      </c>
      <c r="F1349" s="5" t="s">
        <v>1211</v>
      </c>
    </row>
    <row r="1350">
      <c r="A1350" s="5">
        <v>6.94661111E8</v>
      </c>
      <c r="B1350" s="6">
        <v>45685.73825246528</v>
      </c>
      <c r="C1350" s="7">
        <v>1.0</v>
      </c>
      <c r="D1350" s="5" t="s">
        <v>1213</v>
      </c>
      <c r="E1350" s="5" t="s">
        <v>1210</v>
      </c>
      <c r="F1350" s="5" t="s">
        <v>1211</v>
      </c>
    </row>
    <row r="1351">
      <c r="A1351" s="5">
        <v>9.11019947E8</v>
      </c>
      <c r="B1351" s="6">
        <v>45302.80746491898</v>
      </c>
      <c r="C1351" s="7">
        <v>1.0</v>
      </c>
      <c r="D1351" s="5" t="s">
        <v>1209</v>
      </c>
      <c r="E1351" s="5" t="s">
        <v>1210</v>
      </c>
      <c r="F1351" s="5" t="s">
        <v>1211</v>
      </c>
    </row>
    <row r="1352">
      <c r="A1352" s="5">
        <v>4.08834834E8</v>
      </c>
      <c r="B1352" s="6">
        <v>45592.79024203704</v>
      </c>
      <c r="C1352" s="7">
        <v>1.0</v>
      </c>
      <c r="D1352" s="5" t="s">
        <v>1209</v>
      </c>
      <c r="E1352" s="5" t="s">
        <v>1210</v>
      </c>
      <c r="F1352" s="5" t="s">
        <v>1211</v>
      </c>
    </row>
    <row r="1353">
      <c r="A1353" s="5">
        <v>6.94661111E8</v>
      </c>
      <c r="B1353" s="6">
        <v>45685.73825246528</v>
      </c>
      <c r="C1353" s="7">
        <v>1.0</v>
      </c>
      <c r="D1353" s="5" t="s">
        <v>1213</v>
      </c>
      <c r="E1353" s="5" t="s">
        <v>1210</v>
      </c>
      <c r="F1353" s="5" t="s">
        <v>1211</v>
      </c>
    </row>
    <row r="1354">
      <c r="A1354" s="5">
        <v>9.11019947E8</v>
      </c>
      <c r="B1354" s="6">
        <v>45302.80746491898</v>
      </c>
      <c r="C1354" s="7">
        <v>1.0</v>
      </c>
      <c r="D1354" s="5" t="s">
        <v>1209</v>
      </c>
      <c r="E1354" s="5" t="s">
        <v>1210</v>
      </c>
      <c r="F1354" s="5" t="s">
        <v>1211</v>
      </c>
    </row>
    <row r="1355">
      <c r="A1355" s="5">
        <v>4.08834834E8</v>
      </c>
      <c r="B1355" s="6">
        <v>45592.79024203704</v>
      </c>
      <c r="C1355" s="7">
        <v>1.0</v>
      </c>
      <c r="D1355" s="5" t="s">
        <v>1209</v>
      </c>
      <c r="E1355" s="5" t="s">
        <v>1210</v>
      </c>
      <c r="F1355" s="5" t="s">
        <v>1211</v>
      </c>
    </row>
    <row r="1356">
      <c r="A1356" s="5">
        <v>6.94661111E8</v>
      </c>
      <c r="B1356" s="6">
        <v>45685.73825246528</v>
      </c>
      <c r="C1356" s="7">
        <v>1.0</v>
      </c>
      <c r="D1356" s="5" t="s">
        <v>1213</v>
      </c>
      <c r="E1356" s="5" t="s">
        <v>1210</v>
      </c>
      <c r="F1356" s="5" t="s">
        <v>1211</v>
      </c>
    </row>
    <row r="1357">
      <c r="A1357" s="5">
        <v>9.11019947E8</v>
      </c>
      <c r="B1357" s="6">
        <v>45302.80746491898</v>
      </c>
      <c r="C1357" s="7">
        <v>1.0</v>
      </c>
      <c r="D1357" s="5" t="s">
        <v>1209</v>
      </c>
      <c r="E1357" s="5" t="s">
        <v>1210</v>
      </c>
      <c r="F1357" s="5" t="s">
        <v>1211</v>
      </c>
    </row>
    <row r="1358">
      <c r="A1358" s="5">
        <v>4.08834834E8</v>
      </c>
      <c r="B1358" s="6">
        <v>45592.79024203704</v>
      </c>
      <c r="C1358" s="7">
        <v>1.0</v>
      </c>
      <c r="D1358" s="5" t="s">
        <v>1209</v>
      </c>
      <c r="E1358" s="5" t="s">
        <v>1210</v>
      </c>
      <c r="F1358" s="5" t="s">
        <v>1211</v>
      </c>
    </row>
    <row r="1359">
      <c r="A1359" s="5">
        <v>6.94661111E8</v>
      </c>
      <c r="B1359" s="6">
        <v>45685.73825246528</v>
      </c>
      <c r="C1359" s="7">
        <v>1.0</v>
      </c>
      <c r="D1359" s="5" t="s">
        <v>1213</v>
      </c>
      <c r="E1359" s="5" t="s">
        <v>1210</v>
      </c>
      <c r="F1359" s="5" t="s">
        <v>1211</v>
      </c>
    </row>
    <row r="1360">
      <c r="A1360" s="5">
        <v>9.11019947E8</v>
      </c>
      <c r="B1360" s="6">
        <v>45302.80746491898</v>
      </c>
      <c r="C1360" s="7">
        <v>1.0</v>
      </c>
      <c r="D1360" s="5" t="s">
        <v>1209</v>
      </c>
      <c r="E1360" s="5" t="s">
        <v>1210</v>
      </c>
      <c r="F1360" s="5" t="s">
        <v>1211</v>
      </c>
    </row>
    <row r="1361">
      <c r="A1361" s="5">
        <v>4.08834834E8</v>
      </c>
      <c r="B1361" s="6">
        <v>45592.79024203704</v>
      </c>
      <c r="C1361" s="7">
        <v>1.0</v>
      </c>
      <c r="D1361" s="5" t="s">
        <v>1209</v>
      </c>
      <c r="E1361" s="5" t="s">
        <v>1210</v>
      </c>
      <c r="F1361" s="5" t="s">
        <v>1211</v>
      </c>
    </row>
    <row r="1362">
      <c r="A1362" s="5">
        <v>6.94661111E8</v>
      </c>
      <c r="B1362" s="6">
        <v>45685.73825246528</v>
      </c>
      <c r="C1362" s="7">
        <v>1.0</v>
      </c>
      <c r="D1362" s="5" t="s">
        <v>1213</v>
      </c>
      <c r="E1362" s="5" t="s">
        <v>1210</v>
      </c>
      <c r="F1362" s="5" t="s">
        <v>1211</v>
      </c>
    </row>
    <row r="1363">
      <c r="A1363" s="5">
        <v>9.11019947E8</v>
      </c>
      <c r="B1363" s="6">
        <v>45302.80746491898</v>
      </c>
      <c r="C1363" s="7">
        <v>1.0</v>
      </c>
      <c r="D1363" s="5" t="s">
        <v>1209</v>
      </c>
      <c r="E1363" s="5" t="s">
        <v>1210</v>
      </c>
      <c r="F1363" s="5" t="s">
        <v>1211</v>
      </c>
    </row>
    <row r="1364">
      <c r="A1364" s="5">
        <v>4.08834834E8</v>
      </c>
      <c r="B1364" s="6">
        <v>45592.79024203704</v>
      </c>
      <c r="C1364" s="7">
        <v>1.0</v>
      </c>
      <c r="D1364" s="5" t="s">
        <v>1209</v>
      </c>
      <c r="E1364" s="5" t="s">
        <v>1210</v>
      </c>
      <c r="F1364" s="5" t="s">
        <v>1211</v>
      </c>
    </row>
    <row r="1365">
      <c r="A1365" s="5">
        <v>6.94661111E8</v>
      </c>
      <c r="B1365" s="6">
        <v>45685.73825246528</v>
      </c>
      <c r="C1365" s="7">
        <v>1.0</v>
      </c>
      <c r="D1365" s="5" t="s">
        <v>1213</v>
      </c>
      <c r="E1365" s="5" t="s">
        <v>1210</v>
      </c>
      <c r="F1365" s="5" t="s">
        <v>1211</v>
      </c>
    </row>
    <row r="1366">
      <c r="A1366" s="5">
        <v>9.11019947E8</v>
      </c>
      <c r="B1366" s="6">
        <v>45302.80746491898</v>
      </c>
      <c r="C1366" s="7">
        <v>1.0</v>
      </c>
      <c r="D1366" s="5" t="s">
        <v>1209</v>
      </c>
      <c r="E1366" s="5" t="s">
        <v>1210</v>
      </c>
      <c r="F1366" s="5" t="s">
        <v>1211</v>
      </c>
    </row>
    <row r="1367">
      <c r="A1367" s="5">
        <v>4.08834834E8</v>
      </c>
      <c r="B1367" s="6">
        <v>45592.79024203704</v>
      </c>
      <c r="C1367" s="7">
        <v>1.0</v>
      </c>
      <c r="D1367" s="5" t="s">
        <v>1209</v>
      </c>
      <c r="E1367" s="5" t="s">
        <v>1210</v>
      </c>
      <c r="F1367" s="5" t="s">
        <v>1211</v>
      </c>
    </row>
    <row r="1368">
      <c r="A1368" s="5">
        <v>6.94661111E8</v>
      </c>
      <c r="B1368" s="6">
        <v>45685.73825246528</v>
      </c>
      <c r="C1368" s="7">
        <v>1.0</v>
      </c>
      <c r="D1368" s="5" t="s">
        <v>1213</v>
      </c>
      <c r="E1368" s="5" t="s">
        <v>1210</v>
      </c>
      <c r="F1368" s="5" t="s">
        <v>1211</v>
      </c>
    </row>
    <row r="1369">
      <c r="A1369" s="5">
        <v>9.11019947E8</v>
      </c>
      <c r="B1369" s="6">
        <v>45302.80746491898</v>
      </c>
      <c r="C1369" s="7">
        <v>1.0</v>
      </c>
      <c r="D1369" s="5" t="s">
        <v>1209</v>
      </c>
      <c r="E1369" s="5" t="s">
        <v>1210</v>
      </c>
      <c r="F1369" s="5" t="s">
        <v>1211</v>
      </c>
    </row>
    <row r="1370">
      <c r="A1370" s="5">
        <v>4.08834834E8</v>
      </c>
      <c r="B1370" s="6">
        <v>45592.79024203704</v>
      </c>
      <c r="C1370" s="7">
        <v>1.0</v>
      </c>
      <c r="D1370" s="5" t="s">
        <v>1209</v>
      </c>
      <c r="E1370" s="5" t="s">
        <v>1210</v>
      </c>
      <c r="F1370" s="5" t="s">
        <v>1211</v>
      </c>
    </row>
    <row r="1371">
      <c r="A1371" s="5">
        <v>6.94661111E8</v>
      </c>
      <c r="B1371" s="6">
        <v>45685.73825246528</v>
      </c>
      <c r="C1371" s="7">
        <v>1.0</v>
      </c>
      <c r="D1371" s="5" t="s">
        <v>1213</v>
      </c>
      <c r="E1371" s="5" t="s">
        <v>1210</v>
      </c>
      <c r="F1371" s="5" t="s">
        <v>1211</v>
      </c>
    </row>
    <row r="1372">
      <c r="A1372" s="5">
        <v>9.11019947E8</v>
      </c>
      <c r="B1372" s="6">
        <v>45302.80746491898</v>
      </c>
      <c r="C1372" s="7">
        <v>1.0</v>
      </c>
      <c r="D1372" s="5" t="s">
        <v>1209</v>
      </c>
      <c r="E1372" s="5" t="s">
        <v>1210</v>
      </c>
      <c r="F1372" s="5" t="s">
        <v>1211</v>
      </c>
    </row>
    <row r="1373">
      <c r="A1373" s="5">
        <v>4.08834834E8</v>
      </c>
      <c r="B1373" s="6">
        <v>45592.79024203704</v>
      </c>
      <c r="C1373" s="7">
        <v>1.0</v>
      </c>
      <c r="D1373" s="5" t="s">
        <v>1209</v>
      </c>
      <c r="E1373" s="5" t="s">
        <v>1210</v>
      </c>
      <c r="F1373" s="5" t="s">
        <v>1211</v>
      </c>
    </row>
    <row r="1374">
      <c r="A1374" s="5">
        <v>6.94661111E8</v>
      </c>
      <c r="B1374" s="6">
        <v>45685.73825246528</v>
      </c>
      <c r="C1374" s="7">
        <v>1.0</v>
      </c>
      <c r="D1374" s="5" t="s">
        <v>1213</v>
      </c>
      <c r="E1374" s="5" t="s">
        <v>1210</v>
      </c>
      <c r="F1374" s="5" t="s">
        <v>1211</v>
      </c>
    </row>
    <row r="1375">
      <c r="A1375" s="5">
        <v>9.11019947E8</v>
      </c>
      <c r="B1375" s="6">
        <v>45302.80746491898</v>
      </c>
      <c r="C1375" s="7">
        <v>1.0</v>
      </c>
      <c r="D1375" s="5" t="s">
        <v>1209</v>
      </c>
      <c r="E1375" s="5" t="s">
        <v>1210</v>
      </c>
      <c r="F1375" s="5" t="s">
        <v>1211</v>
      </c>
    </row>
    <row r="1376">
      <c r="A1376" s="5">
        <v>4.08834834E8</v>
      </c>
      <c r="B1376" s="6">
        <v>45592.79024203704</v>
      </c>
      <c r="C1376" s="7">
        <v>1.0</v>
      </c>
      <c r="D1376" s="5" t="s">
        <v>1209</v>
      </c>
      <c r="E1376" s="5" t="s">
        <v>1210</v>
      </c>
      <c r="F1376" s="5" t="s">
        <v>1211</v>
      </c>
    </row>
    <row r="1377">
      <c r="A1377" s="5">
        <v>6.94661111E8</v>
      </c>
      <c r="B1377" s="6">
        <v>45685.73825246528</v>
      </c>
      <c r="C1377" s="7">
        <v>1.0</v>
      </c>
      <c r="D1377" s="5" t="s">
        <v>1213</v>
      </c>
      <c r="E1377" s="5" t="s">
        <v>1210</v>
      </c>
      <c r="F1377" s="5" t="s">
        <v>1211</v>
      </c>
    </row>
    <row r="1378">
      <c r="A1378" s="5">
        <v>9.11019947E8</v>
      </c>
      <c r="B1378" s="6">
        <v>45302.80746491898</v>
      </c>
      <c r="C1378" s="7">
        <v>1.0</v>
      </c>
      <c r="D1378" s="5" t="s">
        <v>1209</v>
      </c>
      <c r="E1378" s="5" t="s">
        <v>1210</v>
      </c>
      <c r="F1378" s="5" t="s">
        <v>1211</v>
      </c>
    </row>
    <row r="1379">
      <c r="A1379" s="5">
        <v>4.08834834E8</v>
      </c>
      <c r="B1379" s="6">
        <v>45592.79024203704</v>
      </c>
      <c r="C1379" s="7">
        <v>1.0</v>
      </c>
      <c r="D1379" s="5" t="s">
        <v>1209</v>
      </c>
      <c r="E1379" s="5" t="s">
        <v>1210</v>
      </c>
      <c r="F1379" s="5" t="s">
        <v>1211</v>
      </c>
    </row>
    <row r="1380">
      <c r="A1380" s="5">
        <v>6.94661111E8</v>
      </c>
      <c r="B1380" s="6">
        <v>45685.73825246528</v>
      </c>
      <c r="C1380" s="7">
        <v>1.0</v>
      </c>
      <c r="D1380" s="5" t="s">
        <v>1213</v>
      </c>
      <c r="E1380" s="5" t="s">
        <v>1210</v>
      </c>
      <c r="F1380" s="5" t="s">
        <v>1211</v>
      </c>
    </row>
    <row r="1381">
      <c r="A1381" s="5">
        <v>9.11019947E8</v>
      </c>
      <c r="B1381" s="6">
        <v>45302.80746491898</v>
      </c>
      <c r="C1381" s="7">
        <v>1.0</v>
      </c>
      <c r="D1381" s="5" t="s">
        <v>1209</v>
      </c>
      <c r="E1381" s="5" t="s">
        <v>1210</v>
      </c>
      <c r="F1381" s="5" t="s">
        <v>1211</v>
      </c>
    </row>
    <row r="1382">
      <c r="A1382" s="5">
        <v>4.08834834E8</v>
      </c>
      <c r="B1382" s="6">
        <v>45592.79024203704</v>
      </c>
      <c r="C1382" s="7">
        <v>1.0</v>
      </c>
      <c r="D1382" s="5" t="s">
        <v>1209</v>
      </c>
      <c r="E1382" s="5" t="s">
        <v>1210</v>
      </c>
      <c r="F1382" s="5" t="s">
        <v>1211</v>
      </c>
    </row>
    <row r="1383">
      <c r="A1383" s="5">
        <v>6.94661111E8</v>
      </c>
      <c r="B1383" s="6">
        <v>45685.73825246528</v>
      </c>
      <c r="C1383" s="7">
        <v>1.0</v>
      </c>
      <c r="D1383" s="5" t="s">
        <v>1213</v>
      </c>
      <c r="E1383" s="5" t="s">
        <v>1210</v>
      </c>
      <c r="F1383" s="5" t="s">
        <v>1211</v>
      </c>
    </row>
    <row r="1384">
      <c r="A1384" s="5">
        <v>9.11019947E8</v>
      </c>
      <c r="B1384" s="6">
        <v>45302.80746491898</v>
      </c>
      <c r="C1384" s="7">
        <v>1.0</v>
      </c>
      <c r="D1384" s="5" t="s">
        <v>1209</v>
      </c>
      <c r="E1384" s="5" t="s">
        <v>1210</v>
      </c>
      <c r="F1384" s="5" t="s">
        <v>1211</v>
      </c>
    </row>
    <row r="1385">
      <c r="A1385" s="5">
        <v>4.08834834E8</v>
      </c>
      <c r="B1385" s="6">
        <v>45592.79024203704</v>
      </c>
      <c r="C1385" s="7">
        <v>1.0</v>
      </c>
      <c r="D1385" s="5" t="s">
        <v>1209</v>
      </c>
      <c r="E1385" s="5" t="s">
        <v>1210</v>
      </c>
      <c r="F1385" s="5" t="s">
        <v>1211</v>
      </c>
    </row>
    <row r="1386">
      <c r="A1386" s="5">
        <v>6.94661111E8</v>
      </c>
      <c r="B1386" s="6">
        <v>45685.73825246528</v>
      </c>
      <c r="C1386" s="7">
        <v>1.0</v>
      </c>
      <c r="D1386" s="5" t="s">
        <v>1213</v>
      </c>
      <c r="E1386" s="5" t="s">
        <v>1210</v>
      </c>
      <c r="F1386" s="5" t="s">
        <v>1211</v>
      </c>
    </row>
    <row r="1387">
      <c r="A1387" s="5">
        <v>9.11019947E8</v>
      </c>
      <c r="B1387" s="6">
        <v>45302.80746491898</v>
      </c>
      <c r="C1387" s="7">
        <v>1.0</v>
      </c>
      <c r="D1387" s="5" t="s">
        <v>1209</v>
      </c>
      <c r="E1387" s="5" t="s">
        <v>1210</v>
      </c>
      <c r="F1387" s="5" t="s">
        <v>1211</v>
      </c>
    </row>
    <row r="1388">
      <c r="A1388" s="5">
        <v>4.08834834E8</v>
      </c>
      <c r="B1388" s="6">
        <v>45592.79024203704</v>
      </c>
      <c r="C1388" s="7">
        <v>1.0</v>
      </c>
      <c r="D1388" s="5" t="s">
        <v>1209</v>
      </c>
      <c r="E1388" s="5" t="s">
        <v>1210</v>
      </c>
      <c r="F1388" s="5" t="s">
        <v>1211</v>
      </c>
    </row>
    <row r="1389">
      <c r="A1389" s="5">
        <v>6.94661111E8</v>
      </c>
      <c r="B1389" s="6">
        <v>45685.73825246528</v>
      </c>
      <c r="C1389" s="7">
        <v>1.0</v>
      </c>
      <c r="D1389" s="5" t="s">
        <v>1213</v>
      </c>
      <c r="E1389" s="5" t="s">
        <v>1210</v>
      </c>
      <c r="F1389" s="5" t="s">
        <v>1211</v>
      </c>
    </row>
    <row r="1390">
      <c r="A1390" s="5">
        <v>9.11019947E8</v>
      </c>
      <c r="B1390" s="6">
        <v>45302.80746491898</v>
      </c>
      <c r="C1390" s="7">
        <v>1.0</v>
      </c>
      <c r="D1390" s="5" t="s">
        <v>1209</v>
      </c>
      <c r="E1390" s="5" t="s">
        <v>1210</v>
      </c>
      <c r="F1390" s="5" t="s">
        <v>1211</v>
      </c>
    </row>
    <row r="1391">
      <c r="A1391" s="5">
        <v>4.08834834E8</v>
      </c>
      <c r="B1391" s="6">
        <v>45592.79024203704</v>
      </c>
      <c r="C1391" s="7">
        <v>1.0</v>
      </c>
      <c r="D1391" s="5" t="s">
        <v>1209</v>
      </c>
      <c r="E1391" s="5" t="s">
        <v>1210</v>
      </c>
      <c r="F1391" s="5" t="s">
        <v>1211</v>
      </c>
    </row>
    <row r="1392">
      <c r="A1392" s="5">
        <v>6.94661111E8</v>
      </c>
      <c r="B1392" s="6">
        <v>45685.73825246528</v>
      </c>
      <c r="C1392" s="7">
        <v>1.0</v>
      </c>
      <c r="D1392" s="5" t="s">
        <v>1213</v>
      </c>
      <c r="E1392" s="5" t="s">
        <v>1210</v>
      </c>
      <c r="F1392" s="5" t="s">
        <v>1211</v>
      </c>
    </row>
    <row r="1393">
      <c r="A1393" s="5">
        <v>9.11019947E8</v>
      </c>
      <c r="B1393" s="6">
        <v>45302.80746491898</v>
      </c>
      <c r="C1393" s="7">
        <v>1.0</v>
      </c>
      <c r="D1393" s="5" t="s">
        <v>1209</v>
      </c>
      <c r="E1393" s="5" t="s">
        <v>1210</v>
      </c>
      <c r="F1393" s="5" t="s">
        <v>1211</v>
      </c>
    </row>
    <row r="1394">
      <c r="A1394" s="5">
        <v>4.08834834E8</v>
      </c>
      <c r="B1394" s="6">
        <v>45592.79024203704</v>
      </c>
      <c r="C1394" s="7">
        <v>1.0</v>
      </c>
      <c r="D1394" s="5" t="s">
        <v>1209</v>
      </c>
      <c r="E1394" s="5" t="s">
        <v>1210</v>
      </c>
      <c r="F1394" s="5" t="s">
        <v>1211</v>
      </c>
    </row>
    <row r="1395">
      <c r="A1395" s="5">
        <v>6.94661111E8</v>
      </c>
      <c r="B1395" s="6">
        <v>45685.73825246528</v>
      </c>
      <c r="C1395" s="7">
        <v>1.0</v>
      </c>
      <c r="D1395" s="5" t="s">
        <v>1213</v>
      </c>
      <c r="E1395" s="5" t="s">
        <v>1210</v>
      </c>
      <c r="F1395" s="5" t="s">
        <v>1211</v>
      </c>
    </row>
    <row r="1396">
      <c r="A1396" s="5">
        <v>9.11019947E8</v>
      </c>
      <c r="B1396" s="6">
        <v>45302.80746491898</v>
      </c>
      <c r="C1396" s="7">
        <v>1.0</v>
      </c>
      <c r="D1396" s="5" t="s">
        <v>1209</v>
      </c>
      <c r="E1396" s="5" t="s">
        <v>1210</v>
      </c>
      <c r="F1396" s="5" t="s">
        <v>1211</v>
      </c>
    </row>
    <row r="1397">
      <c r="A1397" s="5">
        <v>4.08834834E8</v>
      </c>
      <c r="B1397" s="6">
        <v>45592.79024203704</v>
      </c>
      <c r="C1397" s="7">
        <v>1.0</v>
      </c>
      <c r="D1397" s="5" t="s">
        <v>1209</v>
      </c>
      <c r="E1397" s="5" t="s">
        <v>1210</v>
      </c>
      <c r="F1397" s="5" t="s">
        <v>1211</v>
      </c>
    </row>
    <row r="1398">
      <c r="A1398" s="5">
        <v>6.94661111E8</v>
      </c>
      <c r="B1398" s="6">
        <v>45685.73825246528</v>
      </c>
      <c r="C1398" s="7">
        <v>1.0</v>
      </c>
      <c r="D1398" s="5" t="s">
        <v>1213</v>
      </c>
      <c r="E1398" s="5" t="s">
        <v>1210</v>
      </c>
      <c r="F1398" s="5" t="s">
        <v>1211</v>
      </c>
    </row>
    <row r="1399">
      <c r="A1399" s="5">
        <v>9.11019947E8</v>
      </c>
      <c r="B1399" s="6">
        <v>45302.80746491898</v>
      </c>
      <c r="C1399" s="7">
        <v>1.0</v>
      </c>
      <c r="D1399" s="5" t="s">
        <v>1209</v>
      </c>
      <c r="E1399" s="5" t="s">
        <v>1210</v>
      </c>
      <c r="F1399" s="5" t="s">
        <v>1211</v>
      </c>
    </row>
    <row r="1400">
      <c r="A1400" s="5">
        <v>4.08834834E8</v>
      </c>
      <c r="B1400" s="6">
        <v>45592.79024203704</v>
      </c>
      <c r="C1400" s="7">
        <v>1.0</v>
      </c>
      <c r="D1400" s="5" t="s">
        <v>1209</v>
      </c>
      <c r="E1400" s="5" t="s">
        <v>1210</v>
      </c>
      <c r="F1400" s="5" t="s">
        <v>1211</v>
      </c>
    </row>
    <row r="1401">
      <c r="A1401" s="5">
        <v>6.94661111E8</v>
      </c>
      <c r="B1401" s="6">
        <v>45685.73825246528</v>
      </c>
      <c r="C1401" s="7">
        <v>1.0</v>
      </c>
      <c r="D1401" s="5" t="s">
        <v>1213</v>
      </c>
      <c r="E1401" s="5" t="s">
        <v>1210</v>
      </c>
      <c r="F1401" s="5" t="s">
        <v>1211</v>
      </c>
    </row>
    <row r="1402">
      <c r="A1402" s="5">
        <v>9.11019947E8</v>
      </c>
      <c r="B1402" s="6">
        <v>45302.80746491898</v>
      </c>
      <c r="C1402" s="7">
        <v>1.0</v>
      </c>
      <c r="D1402" s="5" t="s">
        <v>1209</v>
      </c>
      <c r="E1402" s="5" t="s">
        <v>1210</v>
      </c>
      <c r="F1402" s="5" t="s">
        <v>1211</v>
      </c>
    </row>
    <row r="1403">
      <c r="A1403" s="5">
        <v>4.08834834E8</v>
      </c>
      <c r="B1403" s="6">
        <v>45592.79024203704</v>
      </c>
      <c r="C1403" s="7">
        <v>1.0</v>
      </c>
      <c r="D1403" s="5" t="s">
        <v>1209</v>
      </c>
      <c r="E1403" s="5" t="s">
        <v>1210</v>
      </c>
      <c r="F1403" s="5" t="s">
        <v>1211</v>
      </c>
    </row>
    <row r="1404">
      <c r="A1404" s="5">
        <v>6.94661111E8</v>
      </c>
      <c r="B1404" s="6">
        <v>45685.73825246528</v>
      </c>
      <c r="C1404" s="7">
        <v>1.0</v>
      </c>
      <c r="D1404" s="5" t="s">
        <v>1213</v>
      </c>
      <c r="E1404" s="5" t="s">
        <v>1210</v>
      </c>
      <c r="F1404" s="5" t="s">
        <v>1211</v>
      </c>
    </row>
    <row r="1405">
      <c r="A1405" s="5">
        <v>9.11019947E8</v>
      </c>
      <c r="B1405" s="6">
        <v>45302.80746491898</v>
      </c>
      <c r="C1405" s="7">
        <v>1.0</v>
      </c>
      <c r="D1405" s="5" t="s">
        <v>1209</v>
      </c>
      <c r="E1405" s="5" t="s">
        <v>1210</v>
      </c>
      <c r="F1405" s="5" t="s">
        <v>1211</v>
      </c>
    </row>
    <row r="1406">
      <c r="A1406" s="5">
        <v>4.08834834E8</v>
      </c>
      <c r="B1406" s="6">
        <v>45592.79024203704</v>
      </c>
      <c r="C1406" s="7">
        <v>1.0</v>
      </c>
      <c r="D1406" s="5" t="s">
        <v>1209</v>
      </c>
      <c r="E1406" s="5" t="s">
        <v>1210</v>
      </c>
      <c r="F1406" s="5" t="s">
        <v>1211</v>
      </c>
    </row>
    <row r="1407">
      <c r="A1407" s="5">
        <v>6.94661111E8</v>
      </c>
      <c r="B1407" s="6">
        <v>45685.73825246528</v>
      </c>
      <c r="C1407" s="7">
        <v>1.0</v>
      </c>
      <c r="D1407" s="5" t="s">
        <v>1213</v>
      </c>
      <c r="E1407" s="5" t="s">
        <v>1210</v>
      </c>
      <c r="F1407" s="5" t="s">
        <v>1211</v>
      </c>
    </row>
    <row r="1408">
      <c r="A1408" s="5">
        <v>9.11019947E8</v>
      </c>
      <c r="B1408" s="6">
        <v>45302.80746491898</v>
      </c>
      <c r="C1408" s="7">
        <v>1.0</v>
      </c>
      <c r="D1408" s="5" t="s">
        <v>1209</v>
      </c>
      <c r="E1408" s="5" t="s">
        <v>1210</v>
      </c>
      <c r="F1408" s="5" t="s">
        <v>1211</v>
      </c>
    </row>
    <row r="1409">
      <c r="A1409" s="5">
        <v>4.08834834E8</v>
      </c>
      <c r="B1409" s="6">
        <v>45592.79024203704</v>
      </c>
      <c r="C1409" s="7">
        <v>1.0</v>
      </c>
      <c r="D1409" s="5" t="s">
        <v>1209</v>
      </c>
      <c r="E1409" s="5" t="s">
        <v>1210</v>
      </c>
      <c r="F1409" s="5" t="s">
        <v>1211</v>
      </c>
    </row>
    <row r="1410">
      <c r="A1410" s="5">
        <v>6.94661111E8</v>
      </c>
      <c r="B1410" s="6">
        <v>45685.73825246528</v>
      </c>
      <c r="C1410" s="7">
        <v>1.0</v>
      </c>
      <c r="D1410" s="5" t="s">
        <v>1213</v>
      </c>
      <c r="E1410" s="5" t="s">
        <v>1210</v>
      </c>
      <c r="F1410" s="5" t="s">
        <v>1211</v>
      </c>
    </row>
    <row r="1411">
      <c r="A1411" s="5">
        <v>9.11019947E8</v>
      </c>
      <c r="B1411" s="6">
        <v>45302.80746491898</v>
      </c>
      <c r="C1411" s="7">
        <v>1.0</v>
      </c>
      <c r="D1411" s="5" t="s">
        <v>1209</v>
      </c>
      <c r="E1411" s="5" t="s">
        <v>1210</v>
      </c>
      <c r="F1411" s="5" t="s">
        <v>1211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38"/>
  </cols>
  <sheetData>
    <row r="1">
      <c r="A1" s="5" t="s">
        <v>0</v>
      </c>
      <c r="B1" s="5" t="s">
        <v>1217</v>
      </c>
      <c r="C1" s="5" t="s">
        <v>1218</v>
      </c>
      <c r="D1" s="5" t="s">
        <v>1219</v>
      </c>
      <c r="E1" s="5" t="s">
        <v>1220</v>
      </c>
      <c r="F1" s="5" t="s">
        <v>1207</v>
      </c>
    </row>
    <row r="2">
      <c r="A2" s="5">
        <v>9.811023449E9</v>
      </c>
      <c r="B2" s="5" t="s">
        <v>145</v>
      </c>
      <c r="C2" s="5" t="s">
        <v>1209</v>
      </c>
      <c r="D2" s="7">
        <v>1.0</v>
      </c>
      <c r="E2" s="6">
        <v>46018.46875</v>
      </c>
      <c r="F2" s="5" t="s">
        <v>1221</v>
      </c>
    </row>
    <row r="3">
      <c r="A3" s="5">
        <v>9.610072943E9</v>
      </c>
      <c r="B3" s="5" t="s">
        <v>393</v>
      </c>
      <c r="C3" s="5" t="s">
        <v>1209</v>
      </c>
      <c r="D3" s="7">
        <v>1.0</v>
      </c>
      <c r="E3" s="6">
        <v>46018.46875</v>
      </c>
      <c r="F3" s="5" t="s">
        <v>1221</v>
      </c>
    </row>
    <row r="4">
      <c r="A4" s="5">
        <v>7.042183683E9</v>
      </c>
      <c r="B4" s="5" t="s">
        <v>1222</v>
      </c>
      <c r="C4" s="5" t="s">
        <v>1209</v>
      </c>
      <c r="D4" s="7">
        <v>1.0</v>
      </c>
      <c r="E4" s="6">
        <v>46018.46875</v>
      </c>
      <c r="F4" s="5" t="s">
        <v>1221</v>
      </c>
    </row>
    <row r="5">
      <c r="A5" s="5">
        <v>9.810668596E9</v>
      </c>
      <c r="B5" s="5" t="s">
        <v>395</v>
      </c>
      <c r="C5" s="5" t="s">
        <v>1209</v>
      </c>
      <c r="D5" s="7">
        <v>1.0</v>
      </c>
      <c r="E5" s="6">
        <v>46018.46875</v>
      </c>
      <c r="F5" s="5" t="s">
        <v>1221</v>
      </c>
    </row>
    <row r="6">
      <c r="A6" s="5">
        <v>8.1781488E9</v>
      </c>
      <c r="B6" s="5" t="s">
        <v>6</v>
      </c>
      <c r="C6" s="5" t="s">
        <v>1209</v>
      </c>
      <c r="D6" s="7">
        <v>1.0</v>
      </c>
      <c r="E6" s="6">
        <v>46018.46875</v>
      </c>
      <c r="F6" s="5" t="s">
        <v>1221</v>
      </c>
    </row>
    <row r="7">
      <c r="A7" s="5">
        <v>9.953450909E9</v>
      </c>
      <c r="B7" s="5" t="s">
        <v>396</v>
      </c>
      <c r="C7" s="5" t="s">
        <v>1209</v>
      </c>
      <c r="D7" s="7">
        <v>1.0</v>
      </c>
      <c r="E7" s="6">
        <v>46018.46875</v>
      </c>
      <c r="F7" s="5" t="s">
        <v>1221</v>
      </c>
    </row>
    <row r="8">
      <c r="A8" s="5">
        <v>8.700173741E9</v>
      </c>
      <c r="B8" s="5" t="s">
        <v>397</v>
      </c>
      <c r="C8" s="5" t="s">
        <v>1209</v>
      </c>
      <c r="D8" s="7">
        <v>1.0</v>
      </c>
      <c r="E8" s="6">
        <v>46018.46875</v>
      </c>
      <c r="F8" s="5" t="s">
        <v>1221</v>
      </c>
    </row>
    <row r="9">
      <c r="A9" s="5">
        <v>9.311691012E9</v>
      </c>
      <c r="B9" s="5" t="s">
        <v>11</v>
      </c>
      <c r="C9" s="5" t="s">
        <v>1209</v>
      </c>
      <c r="D9" s="7">
        <v>1.0</v>
      </c>
      <c r="E9" s="6">
        <v>46018.46875</v>
      </c>
      <c r="F9" s="5" t="s">
        <v>1221</v>
      </c>
    </row>
    <row r="10">
      <c r="A10" s="5">
        <v>9.810222843E9</v>
      </c>
      <c r="B10" s="5" t="s">
        <v>398</v>
      </c>
      <c r="C10" s="5" t="s">
        <v>1209</v>
      </c>
      <c r="D10" s="7">
        <v>1.0</v>
      </c>
      <c r="E10" s="6">
        <v>46018.46875</v>
      </c>
      <c r="F10" s="5" t="s">
        <v>1221</v>
      </c>
    </row>
    <row r="11">
      <c r="A11" s="5">
        <v>9.82148915E9</v>
      </c>
      <c r="B11" s="5" t="s">
        <v>399</v>
      </c>
      <c r="C11" s="5" t="s">
        <v>1209</v>
      </c>
      <c r="D11" s="7">
        <v>1.0</v>
      </c>
      <c r="E11" s="6">
        <v>46018.46875</v>
      </c>
      <c r="F11" s="5" t="s">
        <v>1221</v>
      </c>
    </row>
    <row r="12">
      <c r="A12" s="5">
        <v>9.810007503E9</v>
      </c>
      <c r="B12" s="5" t="s">
        <v>13</v>
      </c>
      <c r="C12" s="5" t="s">
        <v>1209</v>
      </c>
      <c r="D12" s="7">
        <v>1.0</v>
      </c>
      <c r="E12" s="6">
        <v>46018.46875</v>
      </c>
      <c r="F12" s="5" t="s">
        <v>1221</v>
      </c>
    </row>
    <row r="13">
      <c r="A13" s="5">
        <v>9.873041853E9</v>
      </c>
      <c r="B13" s="5" t="s">
        <v>1223</v>
      </c>
      <c r="C13" s="5" t="s">
        <v>1209</v>
      </c>
      <c r="D13" s="7">
        <v>1.0</v>
      </c>
      <c r="E13" s="6">
        <v>46018.46875</v>
      </c>
      <c r="F13" s="5" t="s">
        <v>1221</v>
      </c>
    </row>
    <row r="14">
      <c r="A14" s="5">
        <v>9.9106033E9</v>
      </c>
      <c r="B14" s="5" t="s">
        <v>400</v>
      </c>
      <c r="C14" s="5" t="s">
        <v>1209</v>
      </c>
      <c r="D14" s="7">
        <v>1.0</v>
      </c>
      <c r="E14" s="6">
        <v>46018.46875</v>
      </c>
      <c r="F14" s="5" t="s">
        <v>1221</v>
      </c>
    </row>
    <row r="15">
      <c r="A15" s="5">
        <v>9.560358448E9</v>
      </c>
      <c r="B15" s="5" t="s">
        <v>401</v>
      </c>
      <c r="C15" s="5" t="s">
        <v>1209</v>
      </c>
      <c r="D15" s="7">
        <v>1.0</v>
      </c>
      <c r="E15" s="6">
        <v>46018.46875</v>
      </c>
      <c r="F15" s="5" t="s">
        <v>1221</v>
      </c>
    </row>
    <row r="16">
      <c r="A16" s="5">
        <v>8.882584436E9</v>
      </c>
      <c r="B16" s="5" t="s">
        <v>402</v>
      </c>
      <c r="C16" s="5" t="s">
        <v>1209</v>
      </c>
      <c r="D16" s="7">
        <v>1.0</v>
      </c>
      <c r="E16" s="6">
        <v>46018.46875</v>
      </c>
      <c r="F16" s="5" t="s">
        <v>1221</v>
      </c>
    </row>
    <row r="17">
      <c r="A17" s="5">
        <v>9.21232777E9</v>
      </c>
      <c r="B17" s="5" t="s">
        <v>403</v>
      </c>
      <c r="C17" s="5" t="s">
        <v>1209</v>
      </c>
      <c r="D17" s="7">
        <v>1.0</v>
      </c>
      <c r="E17" s="6">
        <v>46018.46875</v>
      </c>
      <c r="F17" s="5" t="s">
        <v>1221</v>
      </c>
    </row>
    <row r="18">
      <c r="A18" s="5">
        <v>9.212674929E9</v>
      </c>
      <c r="B18" s="5" t="s">
        <v>17</v>
      </c>
      <c r="C18" s="5" t="s">
        <v>1209</v>
      </c>
      <c r="D18" s="7">
        <v>1.0</v>
      </c>
      <c r="E18" s="6">
        <v>46018.46875</v>
      </c>
      <c r="F18" s="5" t="s">
        <v>1221</v>
      </c>
    </row>
    <row r="19">
      <c r="A19" s="5">
        <v>8.800939462E9</v>
      </c>
      <c r="B19" s="5" t="s">
        <v>19</v>
      </c>
      <c r="C19" s="5" t="s">
        <v>1209</v>
      </c>
      <c r="D19" s="7">
        <v>1.0</v>
      </c>
      <c r="E19" s="6">
        <v>46018.46875</v>
      </c>
      <c r="F19" s="5" t="s">
        <v>1221</v>
      </c>
    </row>
    <row r="20">
      <c r="A20" s="5">
        <v>9.999728283E9</v>
      </c>
      <c r="B20" s="5" t="s">
        <v>21</v>
      </c>
      <c r="C20" s="5" t="s">
        <v>1209</v>
      </c>
      <c r="D20" s="7">
        <v>1.0</v>
      </c>
      <c r="E20" s="6">
        <v>46018.46875</v>
      </c>
      <c r="F20" s="5" t="s">
        <v>1221</v>
      </c>
    </row>
    <row r="21">
      <c r="A21" s="5">
        <v>9.958950595E9</v>
      </c>
      <c r="B21" s="5" t="s">
        <v>404</v>
      </c>
      <c r="C21" s="5" t="s">
        <v>1209</v>
      </c>
      <c r="D21" s="7">
        <v>1.0</v>
      </c>
      <c r="E21" s="6">
        <v>46018.46875</v>
      </c>
      <c r="F21" s="5" t="s">
        <v>1221</v>
      </c>
    </row>
    <row r="22">
      <c r="A22" s="5">
        <v>7.021183656E9</v>
      </c>
      <c r="B22" s="5" t="s">
        <v>405</v>
      </c>
      <c r="C22" s="5" t="s">
        <v>1209</v>
      </c>
      <c r="D22" s="7">
        <v>1.0</v>
      </c>
      <c r="E22" s="6">
        <v>46018.46875</v>
      </c>
      <c r="F22" s="5" t="s">
        <v>1221</v>
      </c>
    </row>
    <row r="23">
      <c r="A23" s="5">
        <v>9.818926253E9</v>
      </c>
      <c r="B23" s="5" t="s">
        <v>406</v>
      </c>
      <c r="C23" s="5" t="s">
        <v>1209</v>
      </c>
      <c r="D23" s="7">
        <v>1.0</v>
      </c>
      <c r="E23" s="6">
        <v>46018.46875</v>
      </c>
      <c r="F23" s="5" t="s">
        <v>1221</v>
      </c>
    </row>
    <row r="24">
      <c r="A24" s="5">
        <v>8.860741616E9</v>
      </c>
      <c r="B24" s="5" t="s">
        <v>23</v>
      </c>
      <c r="C24" s="5" t="s">
        <v>1209</v>
      </c>
      <c r="D24" s="7">
        <v>1.0</v>
      </c>
      <c r="E24" s="6">
        <v>46018.46875</v>
      </c>
      <c r="F24" s="5" t="s">
        <v>1221</v>
      </c>
    </row>
    <row r="25">
      <c r="A25" s="5">
        <v>7.011729202E9</v>
      </c>
      <c r="B25" s="5" t="s">
        <v>407</v>
      </c>
      <c r="C25" s="5" t="s">
        <v>1209</v>
      </c>
      <c r="D25" s="7">
        <v>1.0</v>
      </c>
      <c r="E25" s="6">
        <v>46018.46875</v>
      </c>
      <c r="F25" s="5" t="s">
        <v>1221</v>
      </c>
    </row>
    <row r="26">
      <c r="A26" s="5">
        <v>8.860590814E9</v>
      </c>
      <c r="B26" s="5" t="s">
        <v>25</v>
      </c>
      <c r="C26" s="5" t="s">
        <v>1209</v>
      </c>
      <c r="D26" s="7">
        <v>1.0</v>
      </c>
      <c r="E26" s="6">
        <v>46018.46875</v>
      </c>
      <c r="F26" s="5" t="s">
        <v>1221</v>
      </c>
    </row>
    <row r="27">
      <c r="A27" s="5">
        <v>9.650745331E9</v>
      </c>
      <c r="B27" s="5" t="s">
        <v>408</v>
      </c>
      <c r="C27" s="5" t="s">
        <v>1209</v>
      </c>
      <c r="D27" s="7">
        <v>1.0</v>
      </c>
      <c r="E27" s="6">
        <v>46018.46875</v>
      </c>
      <c r="F27" s="5" t="s">
        <v>1221</v>
      </c>
    </row>
    <row r="28">
      <c r="A28" s="5">
        <v>8.974251308E9</v>
      </c>
      <c r="B28" s="5" t="s">
        <v>27</v>
      </c>
      <c r="C28" s="5" t="s">
        <v>1209</v>
      </c>
      <c r="D28" s="7">
        <v>1.0</v>
      </c>
      <c r="E28" s="6">
        <v>46018.46875</v>
      </c>
      <c r="F28" s="5" t="s">
        <v>1221</v>
      </c>
    </row>
    <row r="29">
      <c r="A29" s="5">
        <v>9.81077575E9</v>
      </c>
      <c r="B29" s="5" t="s">
        <v>409</v>
      </c>
      <c r="C29" s="5" t="s">
        <v>1209</v>
      </c>
      <c r="D29" s="7">
        <v>1.0</v>
      </c>
      <c r="E29" s="6">
        <v>46018.46875</v>
      </c>
      <c r="F29" s="5" t="s">
        <v>1221</v>
      </c>
    </row>
    <row r="30">
      <c r="A30" s="5">
        <v>9.811172888E9</v>
      </c>
      <c r="B30" s="5" t="s">
        <v>125</v>
      </c>
      <c r="C30" s="5" t="s">
        <v>1209</v>
      </c>
      <c r="D30" s="7">
        <v>1.0</v>
      </c>
      <c r="E30" s="6">
        <v>46018.46875</v>
      </c>
      <c r="F30" s="5" t="s">
        <v>1221</v>
      </c>
    </row>
    <row r="31">
      <c r="A31" s="5">
        <v>9.818668439E9</v>
      </c>
      <c r="B31" s="5" t="s">
        <v>1224</v>
      </c>
      <c r="C31" s="5" t="s">
        <v>1209</v>
      </c>
      <c r="D31" s="7">
        <v>1.0</v>
      </c>
      <c r="E31" s="6">
        <v>46018.46875</v>
      </c>
      <c r="F31" s="5" t="s">
        <v>1221</v>
      </c>
    </row>
    <row r="32">
      <c r="A32" s="5">
        <v>9.818926153E9</v>
      </c>
      <c r="B32" s="5" t="s">
        <v>406</v>
      </c>
      <c r="C32" s="5" t="s">
        <v>1209</v>
      </c>
      <c r="D32" s="7">
        <v>1.0</v>
      </c>
      <c r="E32" s="6">
        <v>46018.46875</v>
      </c>
      <c r="F32" s="5" t="s">
        <v>1221</v>
      </c>
    </row>
    <row r="33">
      <c r="A33" s="5">
        <v>9.81880272E9</v>
      </c>
      <c r="B33" s="5" t="s">
        <v>29</v>
      </c>
      <c r="C33" s="5" t="s">
        <v>1209</v>
      </c>
      <c r="D33" s="7">
        <v>1.0</v>
      </c>
      <c r="E33" s="6">
        <v>46018.46875</v>
      </c>
      <c r="F33" s="5" t="s">
        <v>1221</v>
      </c>
    </row>
    <row r="34">
      <c r="A34" s="5">
        <v>9.811488999E9</v>
      </c>
      <c r="B34" s="5" t="s">
        <v>262</v>
      </c>
      <c r="C34" s="5" t="s">
        <v>1209</v>
      </c>
      <c r="D34" s="7">
        <v>1.0</v>
      </c>
      <c r="E34" s="6">
        <v>46018.46875</v>
      </c>
      <c r="F34" s="5" t="s">
        <v>1221</v>
      </c>
    </row>
    <row r="35">
      <c r="A35" s="5">
        <v>9.811795829E9</v>
      </c>
      <c r="B35" s="5" t="s">
        <v>31</v>
      </c>
      <c r="C35" s="5" t="s">
        <v>1209</v>
      </c>
      <c r="D35" s="7">
        <v>1.0</v>
      </c>
      <c r="E35" s="6">
        <v>46018.46875</v>
      </c>
      <c r="F35" s="5" t="s">
        <v>1221</v>
      </c>
    </row>
    <row r="36">
      <c r="A36" s="5">
        <v>8.860211768E9</v>
      </c>
      <c r="B36" s="5" t="s">
        <v>410</v>
      </c>
      <c r="C36" s="5" t="s">
        <v>1209</v>
      </c>
      <c r="D36" s="7">
        <v>1.0</v>
      </c>
      <c r="E36" s="6">
        <v>46018.46875</v>
      </c>
      <c r="F36" s="5" t="s">
        <v>1221</v>
      </c>
    </row>
    <row r="37">
      <c r="A37" s="5">
        <v>8.826313399E9</v>
      </c>
      <c r="B37" s="5" t="s">
        <v>33</v>
      </c>
      <c r="C37" s="5" t="s">
        <v>1209</v>
      </c>
      <c r="D37" s="7">
        <v>1.0</v>
      </c>
      <c r="E37" s="6">
        <v>46018.46875</v>
      </c>
      <c r="F37" s="5" t="s">
        <v>1221</v>
      </c>
    </row>
    <row r="38">
      <c r="A38" s="5">
        <v>9.810100011E9</v>
      </c>
      <c r="B38" s="5" t="s">
        <v>1225</v>
      </c>
      <c r="C38" s="5" t="s">
        <v>1209</v>
      </c>
      <c r="D38" s="7">
        <v>1.0</v>
      </c>
      <c r="E38" s="6">
        <v>46018.46875</v>
      </c>
      <c r="F38" s="5" t="s">
        <v>1221</v>
      </c>
    </row>
    <row r="39">
      <c r="A39" s="5">
        <v>8.920285128E9</v>
      </c>
      <c r="B39" s="5" t="s">
        <v>411</v>
      </c>
      <c r="C39" s="5" t="s">
        <v>1209</v>
      </c>
      <c r="D39" s="7">
        <v>1.0</v>
      </c>
      <c r="E39" s="6">
        <v>46018.46875</v>
      </c>
      <c r="F39" s="5" t="s">
        <v>1221</v>
      </c>
    </row>
    <row r="40">
      <c r="A40" s="5">
        <v>8.920731234E9</v>
      </c>
      <c r="B40" s="5" t="s">
        <v>412</v>
      </c>
      <c r="C40" s="5" t="s">
        <v>1209</v>
      </c>
      <c r="D40" s="7">
        <v>1.0</v>
      </c>
      <c r="E40" s="6">
        <v>46018.46875</v>
      </c>
      <c r="F40" s="5" t="s">
        <v>1221</v>
      </c>
    </row>
    <row r="41">
      <c r="A41" s="5">
        <v>7.053000572E9</v>
      </c>
      <c r="B41" s="5" t="s">
        <v>413</v>
      </c>
      <c r="C41" s="5" t="s">
        <v>1209</v>
      </c>
      <c r="D41" s="7">
        <v>1.0</v>
      </c>
      <c r="E41" s="6">
        <v>46018.46875</v>
      </c>
      <c r="F41" s="5" t="s">
        <v>1221</v>
      </c>
    </row>
    <row r="42">
      <c r="A42" s="5">
        <v>9.582588575E9</v>
      </c>
      <c r="B42" s="5" t="s">
        <v>414</v>
      </c>
      <c r="C42" s="5" t="s">
        <v>1209</v>
      </c>
      <c r="D42" s="7">
        <v>1.0</v>
      </c>
      <c r="E42" s="6">
        <v>46018.46875</v>
      </c>
      <c r="F42" s="5" t="s">
        <v>1221</v>
      </c>
    </row>
    <row r="43">
      <c r="A43" s="5">
        <v>9.999882673E9</v>
      </c>
      <c r="B43" s="5" t="s">
        <v>415</v>
      </c>
      <c r="C43" s="5" t="s">
        <v>1209</v>
      </c>
      <c r="D43" s="7">
        <v>1.0</v>
      </c>
      <c r="E43" s="6">
        <v>46018.46875</v>
      </c>
      <c r="F43" s="5" t="s">
        <v>1221</v>
      </c>
    </row>
    <row r="44">
      <c r="A44" s="5">
        <v>7.390880818E9</v>
      </c>
      <c r="B44" s="5" t="s">
        <v>416</v>
      </c>
      <c r="C44" s="5" t="s">
        <v>1209</v>
      </c>
      <c r="D44" s="7">
        <v>1.0</v>
      </c>
      <c r="E44" s="6">
        <v>46018.46875</v>
      </c>
      <c r="F44" s="5" t="s">
        <v>1221</v>
      </c>
    </row>
    <row r="45">
      <c r="A45" s="5">
        <v>8.929184477E9</v>
      </c>
      <c r="B45" s="5" t="s">
        <v>417</v>
      </c>
      <c r="C45" s="5" t="s">
        <v>1209</v>
      </c>
      <c r="D45" s="7">
        <v>1.0</v>
      </c>
      <c r="E45" s="6">
        <v>46018.46875</v>
      </c>
      <c r="F45" s="5" t="s">
        <v>1221</v>
      </c>
    </row>
    <row r="46">
      <c r="A46" s="5">
        <v>9.971389387E9</v>
      </c>
      <c r="B46" s="5" t="s">
        <v>418</v>
      </c>
      <c r="C46" s="5" t="s">
        <v>1209</v>
      </c>
      <c r="D46" s="7">
        <v>1.0</v>
      </c>
      <c r="E46" s="6">
        <v>46018.46875</v>
      </c>
      <c r="F46" s="5" t="s">
        <v>1221</v>
      </c>
    </row>
    <row r="47">
      <c r="A47" s="5">
        <v>9.21317156E9</v>
      </c>
      <c r="B47" s="5" t="s">
        <v>419</v>
      </c>
      <c r="C47" s="5" t="s">
        <v>1209</v>
      </c>
      <c r="D47" s="7">
        <v>1.0</v>
      </c>
      <c r="E47" s="6">
        <v>46018.46875</v>
      </c>
      <c r="F47" s="5" t="s">
        <v>1221</v>
      </c>
    </row>
    <row r="48">
      <c r="A48" s="5">
        <v>8.587085269E9</v>
      </c>
      <c r="B48" s="5" t="s">
        <v>420</v>
      </c>
      <c r="C48" s="5" t="s">
        <v>1209</v>
      </c>
      <c r="D48" s="7">
        <v>1.0</v>
      </c>
      <c r="E48" s="6">
        <v>46018.46875</v>
      </c>
      <c r="F48" s="5" t="s">
        <v>1221</v>
      </c>
    </row>
    <row r="49">
      <c r="A49" s="5">
        <v>9.818756677E9</v>
      </c>
      <c r="B49" s="5" t="s">
        <v>421</v>
      </c>
      <c r="C49" s="5" t="s">
        <v>1209</v>
      </c>
      <c r="D49" s="7">
        <v>1.0</v>
      </c>
      <c r="E49" s="6">
        <v>46018.46875</v>
      </c>
      <c r="F49" s="5" t="s">
        <v>1221</v>
      </c>
    </row>
    <row r="50">
      <c r="A50" s="5">
        <v>9.868120901E9</v>
      </c>
      <c r="B50" s="5" t="s">
        <v>1226</v>
      </c>
      <c r="C50" s="5" t="s">
        <v>1209</v>
      </c>
      <c r="D50" s="7">
        <v>1.0</v>
      </c>
      <c r="E50" s="6">
        <v>46018.46875</v>
      </c>
      <c r="F50" s="5" t="s">
        <v>1221</v>
      </c>
    </row>
    <row r="51">
      <c r="A51" s="5">
        <v>9.525203641E9</v>
      </c>
      <c r="B51" s="5" t="s">
        <v>423</v>
      </c>
      <c r="C51" s="5" t="s">
        <v>1209</v>
      </c>
      <c r="D51" s="7">
        <v>1.0</v>
      </c>
      <c r="E51" s="6">
        <v>46018.46875</v>
      </c>
      <c r="F51" s="5" t="s">
        <v>1221</v>
      </c>
    </row>
    <row r="52">
      <c r="A52" s="5">
        <v>9.999507907E9</v>
      </c>
      <c r="B52" s="5" t="s">
        <v>424</v>
      </c>
      <c r="C52" s="5" t="s">
        <v>1209</v>
      </c>
      <c r="D52" s="7">
        <v>1.0</v>
      </c>
      <c r="E52" s="6">
        <v>46018.46875</v>
      </c>
      <c r="F52" s="5" t="s">
        <v>1221</v>
      </c>
    </row>
    <row r="53">
      <c r="A53" s="5">
        <v>9.643705979E9</v>
      </c>
      <c r="B53" s="5" t="s">
        <v>37</v>
      </c>
      <c r="C53" s="5" t="s">
        <v>1209</v>
      </c>
      <c r="D53" s="7">
        <v>1.0</v>
      </c>
      <c r="E53" s="6">
        <v>46018.46875</v>
      </c>
      <c r="F53" s="5" t="s">
        <v>1221</v>
      </c>
    </row>
    <row r="54">
      <c r="A54" s="5">
        <v>9.312229038E9</v>
      </c>
      <c r="B54" s="5" t="s">
        <v>425</v>
      </c>
      <c r="C54" s="5" t="s">
        <v>1209</v>
      </c>
      <c r="D54" s="7">
        <v>1.0</v>
      </c>
      <c r="E54" s="6">
        <v>46018.46875</v>
      </c>
      <c r="F54" s="5" t="s">
        <v>1221</v>
      </c>
    </row>
    <row r="55">
      <c r="A55" s="5">
        <v>9.886328522E9</v>
      </c>
      <c r="B55" s="5" t="s">
        <v>426</v>
      </c>
      <c r="C55" s="5" t="s">
        <v>1209</v>
      </c>
      <c r="D55" s="7">
        <v>1.0</v>
      </c>
      <c r="E55" s="6">
        <v>46018.46875</v>
      </c>
      <c r="F55" s="5" t="s">
        <v>1221</v>
      </c>
    </row>
    <row r="56">
      <c r="A56" s="5">
        <v>9.654141505E9</v>
      </c>
      <c r="B56" s="5" t="s">
        <v>427</v>
      </c>
      <c r="C56" s="5" t="s">
        <v>1209</v>
      </c>
      <c r="D56" s="7">
        <v>1.0</v>
      </c>
      <c r="E56" s="6">
        <v>46018.46875</v>
      </c>
      <c r="F56" s="5" t="s">
        <v>1221</v>
      </c>
    </row>
    <row r="57">
      <c r="A57" s="5">
        <v>9.818802702E9</v>
      </c>
      <c r="B57" s="5" t="s">
        <v>29</v>
      </c>
      <c r="C57" s="5" t="s">
        <v>1209</v>
      </c>
      <c r="D57" s="7">
        <v>1.0</v>
      </c>
      <c r="E57" s="6">
        <v>46018.46875</v>
      </c>
      <c r="F57" s="5" t="s">
        <v>1221</v>
      </c>
    </row>
    <row r="58">
      <c r="A58" s="5">
        <v>9.56034111E9</v>
      </c>
      <c r="B58" s="5" t="s">
        <v>39</v>
      </c>
      <c r="C58" s="5" t="s">
        <v>1209</v>
      </c>
      <c r="D58" s="7">
        <v>1.0</v>
      </c>
      <c r="E58" s="6">
        <v>46018.46875</v>
      </c>
      <c r="F58" s="5" t="s">
        <v>1221</v>
      </c>
    </row>
    <row r="59">
      <c r="A59" s="5">
        <v>7.021020509E9</v>
      </c>
      <c r="B59" s="5" t="s">
        <v>428</v>
      </c>
      <c r="C59" s="5" t="s">
        <v>1209</v>
      </c>
      <c r="D59" s="7">
        <v>1.0</v>
      </c>
      <c r="E59" s="6">
        <v>46018.46875</v>
      </c>
      <c r="F59" s="5" t="s">
        <v>1221</v>
      </c>
    </row>
    <row r="60">
      <c r="A60" s="5">
        <v>9.711428669E9</v>
      </c>
      <c r="B60" s="5" t="s">
        <v>429</v>
      </c>
      <c r="C60" s="5" t="s">
        <v>1209</v>
      </c>
      <c r="D60" s="7">
        <v>1.0</v>
      </c>
      <c r="E60" s="6">
        <v>46018.46875</v>
      </c>
      <c r="F60" s="5" t="s">
        <v>1221</v>
      </c>
    </row>
    <row r="61">
      <c r="A61" s="5">
        <v>9.743705979E9</v>
      </c>
      <c r="B61" s="5" t="s">
        <v>37</v>
      </c>
      <c r="C61" s="5" t="s">
        <v>1209</v>
      </c>
      <c r="D61" s="7">
        <v>1.0</v>
      </c>
      <c r="E61" s="6">
        <v>46018.46875</v>
      </c>
      <c r="F61" s="5" t="s">
        <v>1221</v>
      </c>
    </row>
    <row r="62">
      <c r="A62" s="5">
        <v>9.821136219E9</v>
      </c>
      <c r="B62" s="5" t="s">
        <v>430</v>
      </c>
      <c r="C62" s="5" t="s">
        <v>1209</v>
      </c>
      <c r="D62" s="7">
        <v>1.0</v>
      </c>
      <c r="E62" s="6">
        <v>46018.46875</v>
      </c>
      <c r="F62" s="5" t="s">
        <v>1221</v>
      </c>
    </row>
    <row r="63">
      <c r="A63" s="5">
        <v>9.810068111E9</v>
      </c>
      <c r="B63" s="5" t="s">
        <v>431</v>
      </c>
      <c r="C63" s="5" t="s">
        <v>1209</v>
      </c>
      <c r="D63" s="7">
        <v>1.0</v>
      </c>
      <c r="E63" s="6">
        <v>46018.46875</v>
      </c>
      <c r="F63" s="5" t="s">
        <v>1221</v>
      </c>
    </row>
    <row r="64">
      <c r="A64" s="5">
        <v>9.89922268E9</v>
      </c>
      <c r="B64" s="5" t="s">
        <v>1227</v>
      </c>
      <c r="C64" s="5" t="s">
        <v>1209</v>
      </c>
      <c r="D64" s="7">
        <v>1.0</v>
      </c>
      <c r="E64" s="6">
        <v>46018.46875</v>
      </c>
      <c r="F64" s="5" t="s">
        <v>1221</v>
      </c>
    </row>
    <row r="65">
      <c r="A65" s="5">
        <v>9.711216574E9</v>
      </c>
      <c r="B65" s="5" t="s">
        <v>432</v>
      </c>
      <c r="C65" s="5" t="s">
        <v>1209</v>
      </c>
      <c r="D65" s="7">
        <v>1.0</v>
      </c>
      <c r="E65" s="6">
        <v>46018.46875</v>
      </c>
      <c r="F65" s="5" t="s">
        <v>1221</v>
      </c>
    </row>
    <row r="66">
      <c r="A66" s="5">
        <v>8.010046101E9</v>
      </c>
      <c r="B66" s="5" t="s">
        <v>41</v>
      </c>
      <c r="C66" s="5" t="s">
        <v>1209</v>
      </c>
      <c r="D66" s="7">
        <v>1.0</v>
      </c>
      <c r="E66" s="6">
        <v>46018.46875</v>
      </c>
      <c r="F66" s="5" t="s">
        <v>1221</v>
      </c>
    </row>
    <row r="67">
      <c r="A67" s="5">
        <v>9.780560701E9</v>
      </c>
      <c r="B67" s="5" t="s">
        <v>260</v>
      </c>
      <c r="C67" s="5" t="s">
        <v>1209</v>
      </c>
      <c r="D67" s="7">
        <v>1.0</v>
      </c>
      <c r="E67" s="6">
        <v>46018.46875</v>
      </c>
      <c r="F67" s="5" t="s">
        <v>1221</v>
      </c>
    </row>
    <row r="68">
      <c r="A68" s="5">
        <v>8.700909391E9</v>
      </c>
      <c r="B68" s="5" t="s">
        <v>433</v>
      </c>
      <c r="C68" s="5" t="s">
        <v>1209</v>
      </c>
      <c r="D68" s="7">
        <v>1.0</v>
      </c>
      <c r="E68" s="6">
        <v>46018.46875</v>
      </c>
      <c r="F68" s="5" t="s">
        <v>1221</v>
      </c>
    </row>
    <row r="69">
      <c r="A69" s="5">
        <v>8.860036737E9</v>
      </c>
      <c r="B69" s="5" t="s">
        <v>434</v>
      </c>
      <c r="C69" s="5" t="s">
        <v>1209</v>
      </c>
      <c r="D69" s="7">
        <v>1.0</v>
      </c>
      <c r="E69" s="6">
        <v>46018.46875</v>
      </c>
      <c r="F69" s="5" t="s">
        <v>1221</v>
      </c>
    </row>
    <row r="70">
      <c r="A70" s="5">
        <v>7.385216713E9</v>
      </c>
      <c r="B70" s="5" t="s">
        <v>435</v>
      </c>
      <c r="C70" s="5" t="s">
        <v>1209</v>
      </c>
      <c r="D70" s="7">
        <v>1.0</v>
      </c>
      <c r="E70" s="6">
        <v>46018.46875</v>
      </c>
      <c r="F70" s="5" t="s">
        <v>1221</v>
      </c>
    </row>
    <row r="71">
      <c r="A71" s="5">
        <v>9.810337136E9</v>
      </c>
      <c r="B71" s="5" t="s">
        <v>436</v>
      </c>
      <c r="C71" s="5" t="s">
        <v>1209</v>
      </c>
      <c r="D71" s="7">
        <v>1.0</v>
      </c>
      <c r="E71" s="6">
        <v>46018.46875</v>
      </c>
      <c r="F71" s="5" t="s">
        <v>1221</v>
      </c>
    </row>
    <row r="72">
      <c r="A72" s="5">
        <v>9.899442938E9</v>
      </c>
      <c r="B72" s="5" t="s">
        <v>99</v>
      </c>
      <c r="C72" s="5" t="s">
        <v>1209</v>
      </c>
      <c r="D72" s="7">
        <v>1.0</v>
      </c>
      <c r="E72" s="6">
        <v>46018.46875</v>
      </c>
      <c r="F72" s="5" t="s">
        <v>1221</v>
      </c>
    </row>
    <row r="73">
      <c r="A73" s="5">
        <v>9.811448932E9</v>
      </c>
      <c r="B73" s="5" t="s">
        <v>437</v>
      </c>
      <c r="C73" s="5" t="s">
        <v>1209</v>
      </c>
      <c r="D73" s="7">
        <v>1.0</v>
      </c>
      <c r="E73" s="6">
        <v>46018.46875</v>
      </c>
      <c r="F73" s="5" t="s">
        <v>1221</v>
      </c>
    </row>
    <row r="74">
      <c r="A74" s="5">
        <v>9.810857727E9</v>
      </c>
      <c r="B74" s="5" t="s">
        <v>1228</v>
      </c>
      <c r="C74" s="5" t="s">
        <v>1209</v>
      </c>
      <c r="D74" s="7">
        <v>1.0</v>
      </c>
      <c r="E74" s="6">
        <v>46018.46875</v>
      </c>
      <c r="F74" s="5" t="s">
        <v>1221</v>
      </c>
    </row>
    <row r="75">
      <c r="A75" s="5">
        <v>9.999446004E9</v>
      </c>
      <c r="B75" s="5" t="s">
        <v>1229</v>
      </c>
      <c r="C75" s="5" t="s">
        <v>1209</v>
      </c>
      <c r="D75" s="7">
        <v>1.0</v>
      </c>
      <c r="E75" s="6">
        <v>46018.46875</v>
      </c>
      <c r="F75" s="5" t="s">
        <v>1221</v>
      </c>
    </row>
    <row r="76">
      <c r="A76" s="5">
        <v>9.319319976E9</v>
      </c>
      <c r="B76" s="5" t="s">
        <v>439</v>
      </c>
      <c r="C76" s="5" t="s">
        <v>1209</v>
      </c>
      <c r="D76" s="7">
        <v>1.0</v>
      </c>
      <c r="E76" s="6">
        <v>46018.46875</v>
      </c>
      <c r="F76" s="5" t="s">
        <v>1221</v>
      </c>
    </row>
    <row r="77">
      <c r="A77" s="5">
        <v>8.59224619E9</v>
      </c>
      <c r="B77" s="5" t="s">
        <v>440</v>
      </c>
      <c r="C77" s="5" t="s">
        <v>1209</v>
      </c>
      <c r="D77" s="7">
        <v>1.0</v>
      </c>
      <c r="E77" s="6">
        <v>46018.46875</v>
      </c>
      <c r="F77" s="5" t="s">
        <v>1221</v>
      </c>
    </row>
    <row r="78">
      <c r="A78" s="5">
        <v>9.820731234E9</v>
      </c>
      <c r="B78" s="5" t="s">
        <v>412</v>
      </c>
      <c r="C78" s="5" t="s">
        <v>1209</v>
      </c>
      <c r="D78" s="7">
        <v>1.0</v>
      </c>
      <c r="E78" s="6">
        <v>46018.46875</v>
      </c>
      <c r="F78" s="5" t="s">
        <v>1221</v>
      </c>
    </row>
    <row r="79">
      <c r="A79" s="5">
        <v>9.971989789E9</v>
      </c>
      <c r="B79" s="5" t="s">
        <v>441</v>
      </c>
      <c r="C79" s="5" t="s">
        <v>1209</v>
      </c>
      <c r="D79" s="7">
        <v>1.0</v>
      </c>
      <c r="E79" s="6">
        <v>46018.46875</v>
      </c>
      <c r="F79" s="5" t="s">
        <v>1221</v>
      </c>
    </row>
    <row r="80">
      <c r="A80" s="5">
        <v>9.560915533E9</v>
      </c>
      <c r="B80" s="5" t="s">
        <v>1230</v>
      </c>
      <c r="C80" s="5" t="s">
        <v>1209</v>
      </c>
      <c r="D80" s="7">
        <v>1.0</v>
      </c>
      <c r="E80" s="6">
        <v>46018.46875</v>
      </c>
      <c r="F80" s="5" t="s">
        <v>1221</v>
      </c>
    </row>
    <row r="81">
      <c r="A81" s="5">
        <v>8.218058775E9</v>
      </c>
      <c r="B81" s="5" t="s">
        <v>443</v>
      </c>
      <c r="C81" s="5" t="s">
        <v>1209</v>
      </c>
      <c r="D81" s="7">
        <v>1.0</v>
      </c>
      <c r="E81" s="6">
        <v>46018.46875</v>
      </c>
      <c r="F81" s="5" t="s">
        <v>1221</v>
      </c>
    </row>
    <row r="82">
      <c r="A82" s="5">
        <v>9.891143023E9</v>
      </c>
      <c r="B82" s="5" t="s">
        <v>444</v>
      </c>
      <c r="C82" s="5" t="s">
        <v>1209</v>
      </c>
      <c r="D82" s="7">
        <v>1.0</v>
      </c>
      <c r="E82" s="6">
        <v>46018.46875</v>
      </c>
      <c r="F82" s="5" t="s">
        <v>1221</v>
      </c>
    </row>
    <row r="83">
      <c r="A83" s="5">
        <v>8.375933947E9</v>
      </c>
      <c r="B83" s="5" t="s">
        <v>47</v>
      </c>
      <c r="C83" s="5" t="s">
        <v>1209</v>
      </c>
      <c r="D83" s="7">
        <v>1.0</v>
      </c>
      <c r="E83" s="6">
        <v>46018.46875</v>
      </c>
      <c r="F83" s="5" t="s">
        <v>1221</v>
      </c>
    </row>
    <row r="84">
      <c r="A84" s="5">
        <v>7.83840825E9</v>
      </c>
      <c r="B84" s="5" t="s">
        <v>445</v>
      </c>
      <c r="C84" s="5" t="s">
        <v>1209</v>
      </c>
      <c r="D84" s="7">
        <v>1.0</v>
      </c>
      <c r="E84" s="6">
        <v>46018.46875</v>
      </c>
      <c r="F84" s="5" t="s">
        <v>1221</v>
      </c>
    </row>
    <row r="85">
      <c r="A85" s="5">
        <v>9.817922929E9</v>
      </c>
      <c r="B85" s="5" t="s">
        <v>446</v>
      </c>
      <c r="C85" s="5" t="s">
        <v>1209</v>
      </c>
      <c r="D85" s="7">
        <v>1.0</v>
      </c>
      <c r="E85" s="6">
        <v>46018.46875</v>
      </c>
      <c r="F85" s="5" t="s">
        <v>1221</v>
      </c>
    </row>
    <row r="86">
      <c r="A86" s="5">
        <v>9.990145453E9</v>
      </c>
      <c r="B86" s="5" t="s">
        <v>447</v>
      </c>
      <c r="C86" s="5" t="s">
        <v>1209</v>
      </c>
      <c r="D86" s="7">
        <v>1.0</v>
      </c>
      <c r="E86" s="6">
        <v>46018.46875</v>
      </c>
      <c r="F86" s="5" t="s">
        <v>1221</v>
      </c>
    </row>
    <row r="87">
      <c r="A87" s="5">
        <v>8.287645704E9</v>
      </c>
      <c r="B87" s="5" t="s">
        <v>448</v>
      </c>
      <c r="C87" s="5" t="s">
        <v>1209</v>
      </c>
      <c r="D87" s="7">
        <v>1.0</v>
      </c>
      <c r="E87" s="6">
        <v>46018.46875</v>
      </c>
      <c r="F87" s="5" t="s">
        <v>1221</v>
      </c>
    </row>
    <row r="88">
      <c r="A88" s="5">
        <v>7.300620421E9</v>
      </c>
      <c r="B88" s="5" t="s">
        <v>175</v>
      </c>
      <c r="C88" s="5" t="s">
        <v>1209</v>
      </c>
      <c r="D88" s="7">
        <v>1.0</v>
      </c>
      <c r="E88" s="6">
        <v>46018.46875</v>
      </c>
      <c r="F88" s="5" t="s">
        <v>1221</v>
      </c>
    </row>
    <row r="89">
      <c r="A89" s="5">
        <v>9.717611464E9</v>
      </c>
      <c r="B89" s="5" t="s">
        <v>449</v>
      </c>
      <c r="C89" s="5" t="s">
        <v>1209</v>
      </c>
      <c r="D89" s="7">
        <v>1.0</v>
      </c>
      <c r="E89" s="6">
        <v>46018.46875</v>
      </c>
      <c r="F89" s="5" t="s">
        <v>1221</v>
      </c>
    </row>
    <row r="90">
      <c r="A90" s="5">
        <v>9.910925269E9</v>
      </c>
      <c r="B90" s="5" t="s">
        <v>49</v>
      </c>
      <c r="C90" s="5" t="s">
        <v>1209</v>
      </c>
      <c r="D90" s="7">
        <v>1.0</v>
      </c>
      <c r="E90" s="6">
        <v>46018.46875</v>
      </c>
      <c r="F90" s="5" t="s">
        <v>1221</v>
      </c>
    </row>
    <row r="91">
      <c r="A91" s="5">
        <v>9.310857548E9</v>
      </c>
      <c r="B91" s="5" t="s">
        <v>450</v>
      </c>
      <c r="C91" s="5" t="s">
        <v>1209</v>
      </c>
      <c r="D91" s="7">
        <v>1.0</v>
      </c>
      <c r="E91" s="6">
        <v>46018.46875</v>
      </c>
      <c r="F91" s="5" t="s">
        <v>1221</v>
      </c>
    </row>
    <row r="92">
      <c r="A92" s="5">
        <v>9.873833656E9</v>
      </c>
      <c r="B92" s="5" t="s">
        <v>51</v>
      </c>
      <c r="C92" s="5" t="s">
        <v>1209</v>
      </c>
      <c r="D92" s="7">
        <v>1.0</v>
      </c>
      <c r="E92" s="6">
        <v>46018.46875</v>
      </c>
      <c r="F92" s="5" t="s">
        <v>1221</v>
      </c>
    </row>
    <row r="93">
      <c r="A93" s="5">
        <v>9.971097482E9</v>
      </c>
      <c r="B93" s="5" t="s">
        <v>451</v>
      </c>
      <c r="C93" s="5" t="s">
        <v>1209</v>
      </c>
      <c r="D93" s="7">
        <v>1.0</v>
      </c>
      <c r="E93" s="6">
        <v>46018.46875</v>
      </c>
      <c r="F93" s="5" t="s">
        <v>1221</v>
      </c>
    </row>
    <row r="94">
      <c r="A94" s="5">
        <v>6.20520388E9</v>
      </c>
      <c r="B94" s="5" t="s">
        <v>452</v>
      </c>
      <c r="C94" s="5" t="s">
        <v>1209</v>
      </c>
      <c r="D94" s="7">
        <v>1.0</v>
      </c>
      <c r="E94" s="6">
        <v>46018.46875</v>
      </c>
      <c r="F94" s="5" t="s">
        <v>1221</v>
      </c>
    </row>
    <row r="95">
      <c r="A95" s="5">
        <v>9.555152166E9</v>
      </c>
      <c r="B95" s="5" t="s">
        <v>53</v>
      </c>
      <c r="C95" s="5" t="s">
        <v>1209</v>
      </c>
      <c r="D95" s="7">
        <v>1.0</v>
      </c>
      <c r="E95" s="6">
        <v>46018.46875</v>
      </c>
      <c r="F95" s="5" t="s">
        <v>1221</v>
      </c>
    </row>
    <row r="96">
      <c r="A96" s="5">
        <v>9.899226225E9</v>
      </c>
      <c r="B96" s="5" t="s">
        <v>1231</v>
      </c>
      <c r="C96" s="5" t="s">
        <v>1209</v>
      </c>
      <c r="D96" s="7">
        <v>1.0</v>
      </c>
      <c r="E96" s="6">
        <v>46018.46875</v>
      </c>
      <c r="F96" s="5" t="s">
        <v>1221</v>
      </c>
    </row>
    <row r="97">
      <c r="A97" s="5">
        <v>9.999678088E9</v>
      </c>
      <c r="B97" s="5" t="s">
        <v>453</v>
      </c>
      <c r="C97" s="5" t="s">
        <v>1209</v>
      </c>
      <c r="D97" s="7">
        <v>1.0</v>
      </c>
      <c r="E97" s="6">
        <v>46018.46875</v>
      </c>
      <c r="F97" s="5" t="s">
        <v>1221</v>
      </c>
    </row>
    <row r="98">
      <c r="A98" s="5">
        <v>9.811456708E9</v>
      </c>
      <c r="B98" s="5" t="s">
        <v>1232</v>
      </c>
      <c r="C98" s="5" t="s">
        <v>1209</v>
      </c>
      <c r="D98" s="7">
        <v>1.0</v>
      </c>
      <c r="E98" s="6">
        <v>46018.46875</v>
      </c>
      <c r="F98" s="5" t="s">
        <v>1221</v>
      </c>
    </row>
    <row r="99">
      <c r="A99" s="5">
        <v>9.971052404E9</v>
      </c>
      <c r="B99" s="5" t="s">
        <v>455</v>
      </c>
      <c r="C99" s="5" t="s">
        <v>1209</v>
      </c>
      <c r="D99" s="7">
        <v>1.0</v>
      </c>
      <c r="E99" s="6">
        <v>46018.46875</v>
      </c>
      <c r="F99" s="5" t="s">
        <v>1221</v>
      </c>
    </row>
    <row r="100">
      <c r="A100" s="5">
        <v>9.871024292E9</v>
      </c>
      <c r="B100" s="5" t="s">
        <v>57</v>
      </c>
      <c r="C100" s="5" t="s">
        <v>1209</v>
      </c>
      <c r="D100" s="7">
        <v>1.0</v>
      </c>
      <c r="E100" s="6">
        <v>46018.46875</v>
      </c>
      <c r="F100" s="5" t="s">
        <v>1221</v>
      </c>
    </row>
    <row r="101">
      <c r="A101" s="5">
        <v>9.873273593E9</v>
      </c>
      <c r="B101" s="5" t="s">
        <v>456</v>
      </c>
      <c r="C101" s="5" t="s">
        <v>1209</v>
      </c>
      <c r="D101" s="7">
        <v>1.0</v>
      </c>
      <c r="E101" s="6">
        <v>46018.46875</v>
      </c>
      <c r="F101" s="5" t="s">
        <v>1221</v>
      </c>
    </row>
    <row r="102">
      <c r="A102" s="5">
        <v>9.310379264E9</v>
      </c>
      <c r="B102" s="5" t="s">
        <v>457</v>
      </c>
      <c r="C102" s="5" t="s">
        <v>1209</v>
      </c>
      <c r="D102" s="7">
        <v>1.0</v>
      </c>
      <c r="E102" s="6">
        <v>46018.46875</v>
      </c>
      <c r="F102" s="5" t="s">
        <v>1221</v>
      </c>
    </row>
    <row r="103">
      <c r="A103" s="5">
        <v>7.217786373E9</v>
      </c>
      <c r="B103" s="5" t="s">
        <v>458</v>
      </c>
      <c r="C103" s="5" t="s">
        <v>1209</v>
      </c>
      <c r="D103" s="7">
        <v>1.0</v>
      </c>
      <c r="E103" s="6">
        <v>46018.46875</v>
      </c>
      <c r="F103" s="5" t="s">
        <v>1221</v>
      </c>
    </row>
    <row r="104">
      <c r="A104" s="5">
        <v>9.910773855E9</v>
      </c>
      <c r="B104" s="5" t="s">
        <v>458</v>
      </c>
      <c r="C104" s="5" t="s">
        <v>1209</v>
      </c>
      <c r="D104" s="7">
        <v>1.0</v>
      </c>
      <c r="E104" s="6">
        <v>46018.46875</v>
      </c>
      <c r="F104" s="5" t="s">
        <v>1221</v>
      </c>
    </row>
    <row r="105">
      <c r="A105" s="5">
        <v>9.36983726E9</v>
      </c>
      <c r="B105" s="5" t="s">
        <v>459</v>
      </c>
      <c r="C105" s="5" t="s">
        <v>1209</v>
      </c>
      <c r="D105" s="7">
        <v>1.0</v>
      </c>
      <c r="E105" s="6">
        <v>46018.46875</v>
      </c>
      <c r="F105" s="5" t="s">
        <v>1221</v>
      </c>
    </row>
    <row r="106">
      <c r="A106" s="5">
        <v>9.818110346E9</v>
      </c>
      <c r="B106" s="5" t="s">
        <v>460</v>
      </c>
      <c r="C106" s="5" t="s">
        <v>1209</v>
      </c>
      <c r="D106" s="7">
        <v>1.0</v>
      </c>
      <c r="E106" s="6">
        <v>46018.46875</v>
      </c>
      <c r="F106" s="5" t="s">
        <v>1221</v>
      </c>
    </row>
    <row r="107">
      <c r="A107" s="5">
        <v>9.811755998E9</v>
      </c>
      <c r="B107" s="5" t="s">
        <v>461</v>
      </c>
      <c r="C107" s="5" t="s">
        <v>1209</v>
      </c>
      <c r="D107" s="7">
        <v>1.0</v>
      </c>
      <c r="E107" s="6">
        <v>46018.46875</v>
      </c>
      <c r="F107" s="5" t="s">
        <v>1221</v>
      </c>
    </row>
    <row r="108">
      <c r="A108" s="5">
        <v>9.892203082E9</v>
      </c>
      <c r="B108" s="5" t="s">
        <v>458</v>
      </c>
      <c r="C108" s="5" t="s">
        <v>1209</v>
      </c>
      <c r="D108" s="7">
        <v>1.0</v>
      </c>
      <c r="E108" s="6">
        <v>46018.46875</v>
      </c>
      <c r="F108" s="5" t="s">
        <v>1221</v>
      </c>
    </row>
    <row r="109">
      <c r="A109" s="5">
        <v>9.910278945E9</v>
      </c>
      <c r="B109" s="5" t="s">
        <v>462</v>
      </c>
      <c r="C109" s="5" t="s">
        <v>1209</v>
      </c>
      <c r="D109" s="7">
        <v>1.0</v>
      </c>
      <c r="E109" s="6">
        <v>46018.46875</v>
      </c>
      <c r="F109" s="5" t="s">
        <v>1221</v>
      </c>
    </row>
    <row r="110">
      <c r="A110" s="5">
        <v>8.094884343E9</v>
      </c>
      <c r="B110" s="5" t="s">
        <v>463</v>
      </c>
      <c r="C110" s="5" t="s">
        <v>1209</v>
      </c>
      <c r="D110" s="7">
        <v>1.0</v>
      </c>
      <c r="E110" s="6">
        <v>46018.46875</v>
      </c>
      <c r="F110" s="5" t="s">
        <v>1221</v>
      </c>
    </row>
    <row r="111">
      <c r="A111" s="5">
        <v>9.958166341E9</v>
      </c>
      <c r="B111" s="5" t="s">
        <v>464</v>
      </c>
      <c r="C111" s="5" t="s">
        <v>1209</v>
      </c>
      <c r="D111" s="7">
        <v>1.0</v>
      </c>
      <c r="E111" s="6">
        <v>46018.46875</v>
      </c>
      <c r="F111" s="5" t="s">
        <v>1221</v>
      </c>
    </row>
    <row r="112">
      <c r="A112" s="5">
        <v>9.818311188E9</v>
      </c>
      <c r="B112" s="5" t="s">
        <v>393</v>
      </c>
      <c r="C112" s="5" t="s">
        <v>1209</v>
      </c>
      <c r="D112" s="7">
        <v>1.0</v>
      </c>
      <c r="E112" s="6">
        <v>46018.46875</v>
      </c>
      <c r="F112" s="5" t="s">
        <v>1221</v>
      </c>
    </row>
    <row r="113">
      <c r="A113" s="5">
        <v>9.810947581E9</v>
      </c>
      <c r="B113" s="5" t="s">
        <v>226</v>
      </c>
      <c r="C113" s="5" t="s">
        <v>1209</v>
      </c>
      <c r="D113" s="7">
        <v>1.0</v>
      </c>
      <c r="E113" s="6">
        <v>46018.46875</v>
      </c>
      <c r="F113" s="5" t="s">
        <v>1221</v>
      </c>
    </row>
    <row r="114">
      <c r="A114" s="5">
        <v>8.130437059E9</v>
      </c>
      <c r="B114" s="5" t="s">
        <v>465</v>
      </c>
      <c r="C114" s="5" t="s">
        <v>1209</v>
      </c>
      <c r="D114" s="7">
        <v>1.0</v>
      </c>
      <c r="E114" s="6">
        <v>46018.46875</v>
      </c>
      <c r="F114" s="5" t="s">
        <v>1221</v>
      </c>
    </row>
    <row r="115">
      <c r="A115" s="5">
        <v>8.587888357E9</v>
      </c>
      <c r="B115" s="5" t="s">
        <v>466</v>
      </c>
      <c r="C115" s="5" t="s">
        <v>1209</v>
      </c>
      <c r="D115" s="7">
        <v>1.0</v>
      </c>
      <c r="E115" s="6">
        <v>46018.46875</v>
      </c>
      <c r="F115" s="5" t="s">
        <v>1221</v>
      </c>
    </row>
    <row r="116">
      <c r="A116" s="5">
        <v>7.827182727E9</v>
      </c>
      <c r="B116" s="5" t="s">
        <v>59</v>
      </c>
      <c r="C116" s="5" t="s">
        <v>1209</v>
      </c>
      <c r="D116" s="7">
        <v>1.0</v>
      </c>
      <c r="E116" s="6">
        <v>46018.46875</v>
      </c>
      <c r="F116" s="5" t="s">
        <v>1221</v>
      </c>
    </row>
    <row r="117">
      <c r="A117" s="5">
        <v>9.86872356E9</v>
      </c>
      <c r="B117" s="5" t="s">
        <v>467</v>
      </c>
      <c r="C117" s="5" t="s">
        <v>1209</v>
      </c>
      <c r="D117" s="7">
        <v>1.0</v>
      </c>
      <c r="E117" s="6">
        <v>46018.46875</v>
      </c>
      <c r="F117" s="5" t="s">
        <v>1221</v>
      </c>
    </row>
    <row r="118">
      <c r="A118" s="5">
        <v>7.827399396E9</v>
      </c>
      <c r="B118" s="5" t="s">
        <v>468</v>
      </c>
      <c r="C118" s="5" t="s">
        <v>1209</v>
      </c>
      <c r="D118" s="7">
        <v>1.0</v>
      </c>
      <c r="E118" s="6">
        <v>46018.46875</v>
      </c>
      <c r="F118" s="5" t="s">
        <v>1221</v>
      </c>
    </row>
    <row r="119">
      <c r="A119" s="5">
        <v>9.899615881E9</v>
      </c>
      <c r="B119" s="5" t="s">
        <v>1233</v>
      </c>
      <c r="C119" s="5" t="s">
        <v>1209</v>
      </c>
      <c r="D119" s="7">
        <v>1.0</v>
      </c>
      <c r="E119" s="6">
        <v>46018.46875</v>
      </c>
      <c r="F119" s="5" t="s">
        <v>1221</v>
      </c>
    </row>
    <row r="120">
      <c r="A120" s="5">
        <v>9.311580781E9</v>
      </c>
      <c r="B120" s="5" t="s">
        <v>469</v>
      </c>
      <c r="C120" s="5" t="s">
        <v>1209</v>
      </c>
      <c r="D120" s="7">
        <v>1.0</v>
      </c>
      <c r="E120" s="6">
        <v>46018.46875</v>
      </c>
      <c r="F120" s="5" t="s">
        <v>1221</v>
      </c>
    </row>
    <row r="121">
      <c r="A121" s="5">
        <v>9.818766685E9</v>
      </c>
      <c r="B121" s="5" t="s">
        <v>470</v>
      </c>
      <c r="C121" s="5" t="s">
        <v>1209</v>
      </c>
      <c r="D121" s="7">
        <v>1.0</v>
      </c>
      <c r="E121" s="6">
        <v>46018.46875</v>
      </c>
      <c r="F121" s="5" t="s">
        <v>1221</v>
      </c>
    </row>
    <row r="122">
      <c r="A122" s="5">
        <v>9.871089414E9</v>
      </c>
      <c r="B122" s="5" t="s">
        <v>61</v>
      </c>
      <c r="C122" s="5" t="s">
        <v>1209</v>
      </c>
      <c r="D122" s="7">
        <v>1.0</v>
      </c>
      <c r="E122" s="6">
        <v>46018.46875</v>
      </c>
      <c r="F122" s="5" t="s">
        <v>1221</v>
      </c>
    </row>
    <row r="123">
      <c r="A123" s="5">
        <v>6.1388288E9</v>
      </c>
      <c r="B123" s="5" t="s">
        <v>471</v>
      </c>
      <c r="C123" s="5" t="s">
        <v>1209</v>
      </c>
      <c r="D123" s="7">
        <v>1.0</v>
      </c>
      <c r="E123" s="6">
        <v>46018.46875</v>
      </c>
      <c r="F123" s="5" t="s">
        <v>1221</v>
      </c>
    </row>
    <row r="124">
      <c r="A124" s="5">
        <v>9.711686788E9</v>
      </c>
      <c r="B124" s="5" t="s">
        <v>472</v>
      </c>
      <c r="C124" s="5" t="s">
        <v>1209</v>
      </c>
      <c r="D124" s="7">
        <v>1.0</v>
      </c>
      <c r="E124" s="6">
        <v>46018.46875</v>
      </c>
      <c r="F124" s="5" t="s">
        <v>1221</v>
      </c>
    </row>
    <row r="125">
      <c r="A125" s="5">
        <v>9.958481195E9</v>
      </c>
      <c r="B125" s="5" t="s">
        <v>473</v>
      </c>
      <c r="C125" s="5" t="s">
        <v>1209</v>
      </c>
      <c r="D125" s="7">
        <v>1.0</v>
      </c>
      <c r="E125" s="6">
        <v>46018.46875</v>
      </c>
      <c r="F125" s="5" t="s">
        <v>1221</v>
      </c>
    </row>
    <row r="126">
      <c r="A126" s="5">
        <v>9.650557706E9</v>
      </c>
      <c r="B126" s="5" t="s">
        <v>474</v>
      </c>
      <c r="C126" s="5" t="s">
        <v>1209</v>
      </c>
      <c r="D126" s="7">
        <v>1.0</v>
      </c>
      <c r="E126" s="6">
        <v>46018.46875</v>
      </c>
      <c r="F126" s="5" t="s">
        <v>1221</v>
      </c>
    </row>
    <row r="127">
      <c r="A127" s="5">
        <v>9.625148818E9</v>
      </c>
      <c r="B127" s="5" t="s">
        <v>372</v>
      </c>
      <c r="C127" s="5" t="s">
        <v>1209</v>
      </c>
      <c r="D127" s="7">
        <v>1.0</v>
      </c>
      <c r="E127" s="6">
        <v>46018.46875</v>
      </c>
      <c r="F127" s="5" t="s">
        <v>1221</v>
      </c>
    </row>
    <row r="128">
      <c r="A128" s="5">
        <v>9.654311323E9</v>
      </c>
      <c r="B128" s="5" t="s">
        <v>475</v>
      </c>
      <c r="C128" s="5" t="s">
        <v>1209</v>
      </c>
      <c r="D128" s="7">
        <v>1.0</v>
      </c>
      <c r="E128" s="6">
        <v>46018.46875</v>
      </c>
      <c r="F128" s="5" t="s">
        <v>1221</v>
      </c>
    </row>
    <row r="129">
      <c r="A129" s="5">
        <v>9.419015579E9</v>
      </c>
      <c r="B129" s="5" t="s">
        <v>476</v>
      </c>
      <c r="C129" s="5" t="s">
        <v>1209</v>
      </c>
      <c r="D129" s="7">
        <v>1.0</v>
      </c>
      <c r="E129" s="6">
        <v>46018.46875</v>
      </c>
      <c r="F129" s="5" t="s">
        <v>1221</v>
      </c>
    </row>
    <row r="130">
      <c r="A130" s="5">
        <v>9.64107874E9</v>
      </c>
      <c r="B130" s="5" t="s">
        <v>477</v>
      </c>
      <c r="C130" s="5" t="s">
        <v>1209</v>
      </c>
      <c r="D130" s="7">
        <v>1.0</v>
      </c>
      <c r="E130" s="6">
        <v>46018.46875</v>
      </c>
      <c r="F130" s="5" t="s">
        <v>1221</v>
      </c>
    </row>
    <row r="131">
      <c r="A131" s="5">
        <v>9.927643391E9</v>
      </c>
      <c r="B131" s="5" t="s">
        <v>1234</v>
      </c>
      <c r="C131" s="5" t="s">
        <v>1209</v>
      </c>
      <c r="D131" s="7">
        <v>1.0</v>
      </c>
      <c r="E131" s="6">
        <v>46018.46875</v>
      </c>
      <c r="F131" s="5" t="s">
        <v>1221</v>
      </c>
    </row>
    <row r="132">
      <c r="A132" s="5">
        <v>8.448763272E9</v>
      </c>
      <c r="B132" s="5" t="s">
        <v>381</v>
      </c>
      <c r="C132" s="5" t="s">
        <v>1209</v>
      </c>
      <c r="D132" s="7">
        <v>1.0</v>
      </c>
      <c r="E132" s="6">
        <v>46018.46875</v>
      </c>
      <c r="F132" s="5" t="s">
        <v>1221</v>
      </c>
    </row>
    <row r="133">
      <c r="A133" s="5">
        <v>9.873652585E9</v>
      </c>
      <c r="B133" s="5" t="s">
        <v>479</v>
      </c>
      <c r="C133" s="5" t="s">
        <v>1209</v>
      </c>
      <c r="D133" s="7">
        <v>1.0</v>
      </c>
      <c r="E133" s="6">
        <v>46018.46875</v>
      </c>
      <c r="F133" s="5" t="s">
        <v>1221</v>
      </c>
    </row>
    <row r="134">
      <c r="A134" s="5">
        <v>9.534107191E9</v>
      </c>
      <c r="B134" s="5" t="s">
        <v>480</v>
      </c>
      <c r="C134" s="5" t="s">
        <v>1209</v>
      </c>
      <c r="D134" s="7">
        <v>1.0</v>
      </c>
      <c r="E134" s="6">
        <v>46018.46875</v>
      </c>
      <c r="F134" s="5" t="s">
        <v>1221</v>
      </c>
    </row>
    <row r="135">
      <c r="A135" s="5">
        <v>7.906897981E9</v>
      </c>
      <c r="B135" s="5" t="s">
        <v>63</v>
      </c>
      <c r="C135" s="5" t="s">
        <v>1209</v>
      </c>
      <c r="D135" s="7">
        <v>1.0</v>
      </c>
      <c r="E135" s="6">
        <v>46018.46875</v>
      </c>
      <c r="F135" s="5" t="s">
        <v>1221</v>
      </c>
    </row>
    <row r="136">
      <c r="A136" s="5">
        <v>9.81805745E9</v>
      </c>
      <c r="B136" s="5" t="s">
        <v>481</v>
      </c>
      <c r="C136" s="5" t="s">
        <v>1209</v>
      </c>
      <c r="D136" s="7">
        <v>1.0</v>
      </c>
      <c r="E136" s="6">
        <v>46018.46875</v>
      </c>
      <c r="F136" s="5" t="s">
        <v>1221</v>
      </c>
    </row>
    <row r="137">
      <c r="A137" s="5">
        <v>7.838194917E9</v>
      </c>
      <c r="B137" s="5" t="s">
        <v>482</v>
      </c>
      <c r="C137" s="5" t="s">
        <v>1209</v>
      </c>
      <c r="D137" s="7">
        <v>1.0</v>
      </c>
      <c r="E137" s="6">
        <v>46018.46875</v>
      </c>
      <c r="F137" s="5" t="s">
        <v>1221</v>
      </c>
    </row>
    <row r="138">
      <c r="A138" s="5">
        <v>8.800315834E9</v>
      </c>
      <c r="B138" s="5" t="s">
        <v>483</v>
      </c>
      <c r="C138" s="5" t="s">
        <v>1209</v>
      </c>
      <c r="D138" s="7">
        <v>1.0</v>
      </c>
      <c r="E138" s="6">
        <v>46018.46875</v>
      </c>
      <c r="F138" s="5" t="s">
        <v>1221</v>
      </c>
    </row>
    <row r="139">
      <c r="A139" s="5">
        <v>9.625811996E9</v>
      </c>
      <c r="B139" s="5" t="s">
        <v>484</v>
      </c>
      <c r="C139" s="5" t="s">
        <v>1209</v>
      </c>
      <c r="D139" s="7">
        <v>1.0</v>
      </c>
      <c r="E139" s="6">
        <v>46018.46875</v>
      </c>
      <c r="F139" s="5" t="s">
        <v>1221</v>
      </c>
    </row>
    <row r="140">
      <c r="A140" s="5">
        <v>9.212157824E9</v>
      </c>
      <c r="B140" s="5" t="s">
        <v>65</v>
      </c>
      <c r="C140" s="5" t="s">
        <v>1209</v>
      </c>
      <c r="D140" s="7">
        <v>1.0</v>
      </c>
      <c r="E140" s="6">
        <v>46018.46875</v>
      </c>
      <c r="F140" s="5" t="s">
        <v>1221</v>
      </c>
    </row>
    <row r="141">
      <c r="A141" s="5">
        <v>8.923711703E9</v>
      </c>
      <c r="B141" s="5" t="s">
        <v>107</v>
      </c>
      <c r="C141" s="5" t="s">
        <v>1209</v>
      </c>
      <c r="D141" s="7">
        <v>1.0</v>
      </c>
      <c r="E141" s="6">
        <v>46018.46875</v>
      </c>
      <c r="F141" s="5" t="s">
        <v>1221</v>
      </c>
    </row>
    <row r="142">
      <c r="A142" s="5">
        <v>9.813566322E9</v>
      </c>
      <c r="B142" s="5" t="s">
        <v>485</v>
      </c>
      <c r="C142" s="5" t="s">
        <v>1209</v>
      </c>
      <c r="D142" s="7">
        <v>1.0</v>
      </c>
      <c r="E142" s="6">
        <v>46018.46875</v>
      </c>
      <c r="F142" s="5" t="s">
        <v>1221</v>
      </c>
    </row>
    <row r="143">
      <c r="A143" s="5">
        <v>8.586968902E9</v>
      </c>
      <c r="B143" s="5" t="s">
        <v>67</v>
      </c>
      <c r="C143" s="5" t="s">
        <v>1209</v>
      </c>
      <c r="D143" s="7">
        <v>1.0</v>
      </c>
      <c r="E143" s="6">
        <v>46018.46875</v>
      </c>
      <c r="F143" s="5" t="s">
        <v>1221</v>
      </c>
    </row>
    <row r="144">
      <c r="A144" s="5">
        <v>9.899070017E9</v>
      </c>
      <c r="B144" s="5" t="s">
        <v>486</v>
      </c>
      <c r="C144" s="5" t="s">
        <v>1209</v>
      </c>
      <c r="D144" s="7">
        <v>1.0</v>
      </c>
      <c r="E144" s="6">
        <v>46018.46875</v>
      </c>
      <c r="F144" s="5" t="s">
        <v>1221</v>
      </c>
    </row>
    <row r="145">
      <c r="A145" s="5">
        <v>9.810878387E9</v>
      </c>
      <c r="B145" s="5" t="s">
        <v>487</v>
      </c>
      <c r="C145" s="5" t="s">
        <v>1209</v>
      </c>
      <c r="D145" s="7">
        <v>1.0</v>
      </c>
      <c r="E145" s="6">
        <v>46018.46875</v>
      </c>
      <c r="F145" s="5" t="s">
        <v>1221</v>
      </c>
    </row>
    <row r="146">
      <c r="A146" s="5">
        <v>9.711100748E9</v>
      </c>
      <c r="B146" s="5" t="s">
        <v>1235</v>
      </c>
      <c r="C146" s="5" t="s">
        <v>1209</v>
      </c>
      <c r="D146" s="7">
        <v>1.0</v>
      </c>
      <c r="E146" s="6">
        <v>46018.46875</v>
      </c>
      <c r="F146" s="5" t="s">
        <v>1221</v>
      </c>
    </row>
    <row r="147">
      <c r="A147" s="5">
        <v>7.292019394E9</v>
      </c>
      <c r="B147" s="5" t="s">
        <v>488</v>
      </c>
      <c r="C147" s="5" t="s">
        <v>1209</v>
      </c>
      <c r="D147" s="7">
        <v>1.0</v>
      </c>
      <c r="E147" s="6">
        <v>46018.46875</v>
      </c>
      <c r="F147" s="5" t="s">
        <v>1221</v>
      </c>
    </row>
    <row r="148">
      <c r="A148" s="5">
        <v>9.971162532E9</v>
      </c>
      <c r="B148" s="5" t="s">
        <v>489</v>
      </c>
      <c r="C148" s="5" t="s">
        <v>1209</v>
      </c>
      <c r="D148" s="7">
        <v>1.0</v>
      </c>
      <c r="E148" s="6">
        <v>46018.46875</v>
      </c>
      <c r="F148" s="5" t="s">
        <v>1221</v>
      </c>
    </row>
    <row r="149">
      <c r="A149" s="5">
        <v>9.371162532E9</v>
      </c>
      <c r="B149" s="5" t="s">
        <v>490</v>
      </c>
      <c r="C149" s="5" t="s">
        <v>1209</v>
      </c>
      <c r="D149" s="7">
        <v>1.0</v>
      </c>
      <c r="E149" s="6">
        <v>46018.46875</v>
      </c>
      <c r="F149" s="5" t="s">
        <v>1221</v>
      </c>
    </row>
    <row r="150">
      <c r="A150" s="5">
        <v>8.920520204E9</v>
      </c>
      <c r="B150" s="5" t="s">
        <v>491</v>
      </c>
      <c r="C150" s="5" t="s">
        <v>1209</v>
      </c>
      <c r="D150" s="7">
        <v>1.0</v>
      </c>
      <c r="E150" s="6">
        <v>46018.46875</v>
      </c>
      <c r="F150" s="5" t="s">
        <v>1221</v>
      </c>
    </row>
    <row r="151">
      <c r="A151" s="5">
        <v>9.83105246E9</v>
      </c>
      <c r="B151" s="5" t="s">
        <v>1236</v>
      </c>
      <c r="C151" s="5" t="s">
        <v>1209</v>
      </c>
      <c r="D151" s="7">
        <v>1.0</v>
      </c>
      <c r="E151" s="6">
        <v>46018.46875</v>
      </c>
      <c r="F151" s="5" t="s">
        <v>1221</v>
      </c>
    </row>
    <row r="152">
      <c r="A152" s="5">
        <v>8.86075959E9</v>
      </c>
      <c r="B152" s="5" t="s">
        <v>493</v>
      </c>
      <c r="C152" s="5" t="s">
        <v>1209</v>
      </c>
      <c r="D152" s="7">
        <v>1.0</v>
      </c>
      <c r="E152" s="6">
        <v>46018.46875</v>
      </c>
      <c r="F152" s="5" t="s">
        <v>1221</v>
      </c>
    </row>
    <row r="153">
      <c r="A153" s="5">
        <v>9.89150021E9</v>
      </c>
      <c r="B153" s="5" t="s">
        <v>494</v>
      </c>
      <c r="C153" s="5" t="s">
        <v>1209</v>
      </c>
      <c r="D153" s="7">
        <v>1.0</v>
      </c>
      <c r="E153" s="6">
        <v>46018.46875</v>
      </c>
      <c r="F153" s="5" t="s">
        <v>1221</v>
      </c>
    </row>
    <row r="154">
      <c r="A154" s="5">
        <v>8.08122676E9</v>
      </c>
      <c r="B154" s="5" t="s">
        <v>71</v>
      </c>
      <c r="C154" s="5" t="s">
        <v>1209</v>
      </c>
      <c r="D154" s="7">
        <v>1.0</v>
      </c>
      <c r="E154" s="6">
        <v>46018.46875</v>
      </c>
      <c r="F154" s="5" t="s">
        <v>1221</v>
      </c>
    </row>
    <row r="155">
      <c r="A155" s="5">
        <v>9.386347767E9</v>
      </c>
      <c r="B155" s="5" t="s">
        <v>71</v>
      </c>
      <c r="C155" s="5" t="s">
        <v>1209</v>
      </c>
      <c r="D155" s="7">
        <v>1.0</v>
      </c>
      <c r="E155" s="6">
        <v>46018.46875</v>
      </c>
      <c r="F155" s="5" t="s">
        <v>1221</v>
      </c>
    </row>
    <row r="156">
      <c r="A156" s="5">
        <v>9.810500382E9</v>
      </c>
      <c r="B156" s="5" t="s">
        <v>495</v>
      </c>
      <c r="C156" s="5" t="s">
        <v>1209</v>
      </c>
      <c r="D156" s="7">
        <v>1.0</v>
      </c>
      <c r="E156" s="6">
        <v>46018.46875</v>
      </c>
      <c r="F156" s="5" t="s">
        <v>1221</v>
      </c>
    </row>
    <row r="157">
      <c r="A157" s="5">
        <v>9.818304747E9</v>
      </c>
      <c r="B157" s="5" t="s">
        <v>1237</v>
      </c>
      <c r="C157" s="5" t="s">
        <v>1209</v>
      </c>
      <c r="D157" s="7">
        <v>1.0</v>
      </c>
      <c r="E157" s="6">
        <v>46018.46875</v>
      </c>
      <c r="F157" s="5" t="s">
        <v>1221</v>
      </c>
    </row>
    <row r="158">
      <c r="A158" s="5">
        <v>9.810834236E9</v>
      </c>
      <c r="B158" s="5" t="s">
        <v>1238</v>
      </c>
      <c r="C158" s="5" t="s">
        <v>1209</v>
      </c>
      <c r="D158" s="7">
        <v>1.0</v>
      </c>
      <c r="E158" s="6">
        <v>46018.46875</v>
      </c>
      <c r="F158" s="5" t="s">
        <v>1221</v>
      </c>
    </row>
    <row r="159">
      <c r="A159" s="5">
        <v>7.838003571E9</v>
      </c>
      <c r="B159" s="5" t="s">
        <v>498</v>
      </c>
      <c r="C159" s="5" t="s">
        <v>1209</v>
      </c>
      <c r="D159" s="7">
        <v>1.0</v>
      </c>
      <c r="E159" s="6">
        <v>46018.46875</v>
      </c>
      <c r="F159" s="5" t="s">
        <v>1221</v>
      </c>
    </row>
    <row r="160">
      <c r="A160" s="5">
        <v>9.098649418E9</v>
      </c>
      <c r="B160" s="5" t="s">
        <v>73</v>
      </c>
      <c r="C160" s="5" t="s">
        <v>1209</v>
      </c>
      <c r="D160" s="7">
        <v>1.0</v>
      </c>
      <c r="E160" s="6">
        <v>46018.46875</v>
      </c>
      <c r="F160" s="5" t="s">
        <v>1221</v>
      </c>
    </row>
    <row r="161">
      <c r="A161" s="5">
        <v>8.377873828E9</v>
      </c>
      <c r="B161" s="5" t="s">
        <v>1239</v>
      </c>
      <c r="C161" s="5" t="s">
        <v>1209</v>
      </c>
      <c r="D161" s="7">
        <v>1.0</v>
      </c>
      <c r="E161" s="6">
        <v>46018.46875</v>
      </c>
      <c r="F161" s="5" t="s">
        <v>1221</v>
      </c>
    </row>
    <row r="162">
      <c r="A162" s="5">
        <v>9.910138678E9</v>
      </c>
      <c r="B162" s="5" t="s">
        <v>99</v>
      </c>
      <c r="C162" s="5" t="s">
        <v>1209</v>
      </c>
      <c r="D162" s="7">
        <v>1.0</v>
      </c>
      <c r="E162" s="6">
        <v>46018.46875</v>
      </c>
      <c r="F162" s="5" t="s">
        <v>1221</v>
      </c>
    </row>
    <row r="163">
      <c r="A163" s="5">
        <v>9.958029273E9</v>
      </c>
      <c r="B163" s="5" t="s">
        <v>500</v>
      </c>
      <c r="C163" s="5" t="s">
        <v>1209</v>
      </c>
      <c r="D163" s="7">
        <v>1.0</v>
      </c>
      <c r="E163" s="6">
        <v>46018.46875</v>
      </c>
      <c r="F163" s="5" t="s">
        <v>1221</v>
      </c>
    </row>
    <row r="164">
      <c r="A164" s="5">
        <v>9.717383278E9</v>
      </c>
      <c r="B164" s="5" t="s">
        <v>501</v>
      </c>
      <c r="C164" s="5" t="s">
        <v>1209</v>
      </c>
      <c r="D164" s="7">
        <v>1.0</v>
      </c>
      <c r="E164" s="6">
        <v>46018.46875</v>
      </c>
      <c r="F164" s="5" t="s">
        <v>1221</v>
      </c>
    </row>
    <row r="165">
      <c r="A165" s="5">
        <v>9.891184192E9</v>
      </c>
      <c r="B165" s="5" t="s">
        <v>502</v>
      </c>
      <c r="C165" s="5" t="s">
        <v>1209</v>
      </c>
      <c r="D165" s="7">
        <v>1.0</v>
      </c>
      <c r="E165" s="6">
        <v>46018.46875</v>
      </c>
      <c r="F165" s="5" t="s">
        <v>1221</v>
      </c>
    </row>
    <row r="166">
      <c r="A166" s="5">
        <v>9.13193441E9</v>
      </c>
      <c r="B166" s="5" t="s">
        <v>503</v>
      </c>
      <c r="C166" s="5" t="s">
        <v>1209</v>
      </c>
      <c r="D166" s="7">
        <v>1.0</v>
      </c>
      <c r="E166" s="6">
        <v>46018.46875</v>
      </c>
      <c r="F166" s="5" t="s">
        <v>1221</v>
      </c>
    </row>
    <row r="167">
      <c r="A167" s="5">
        <v>8.375030384E9</v>
      </c>
      <c r="B167" s="5" t="s">
        <v>228</v>
      </c>
      <c r="C167" s="5" t="s">
        <v>1209</v>
      </c>
      <c r="D167" s="7">
        <v>1.0</v>
      </c>
      <c r="E167" s="6">
        <v>46018.46875</v>
      </c>
      <c r="F167" s="5" t="s">
        <v>1221</v>
      </c>
    </row>
    <row r="168">
      <c r="A168" s="5">
        <v>9.958509653E9</v>
      </c>
      <c r="B168" s="5" t="s">
        <v>504</v>
      </c>
      <c r="C168" s="5" t="s">
        <v>1209</v>
      </c>
      <c r="D168" s="7">
        <v>1.0</v>
      </c>
      <c r="E168" s="6">
        <v>46018.46875</v>
      </c>
      <c r="F168" s="5" t="s">
        <v>1221</v>
      </c>
    </row>
    <row r="169">
      <c r="A169" s="5">
        <v>9.999978172E9</v>
      </c>
      <c r="B169" s="5" t="s">
        <v>505</v>
      </c>
      <c r="C169" s="5" t="s">
        <v>1209</v>
      </c>
      <c r="D169" s="7">
        <v>1.0</v>
      </c>
      <c r="E169" s="6">
        <v>46018.46875</v>
      </c>
      <c r="F169" s="5" t="s">
        <v>1221</v>
      </c>
    </row>
    <row r="170">
      <c r="A170" s="5">
        <v>9.873787782E9</v>
      </c>
      <c r="B170" s="5" t="s">
        <v>506</v>
      </c>
      <c r="C170" s="5" t="s">
        <v>1209</v>
      </c>
      <c r="D170" s="7">
        <v>1.0</v>
      </c>
      <c r="E170" s="6">
        <v>46018.46875</v>
      </c>
      <c r="F170" s="5" t="s">
        <v>1221</v>
      </c>
    </row>
    <row r="171">
      <c r="A171" s="5">
        <v>9.810766703E9</v>
      </c>
      <c r="B171" s="5" t="s">
        <v>507</v>
      </c>
      <c r="C171" s="5" t="s">
        <v>1209</v>
      </c>
      <c r="D171" s="7">
        <v>1.0</v>
      </c>
      <c r="E171" s="6">
        <v>46018.46875</v>
      </c>
      <c r="F171" s="5" t="s">
        <v>1221</v>
      </c>
    </row>
    <row r="172">
      <c r="A172" s="5">
        <v>9.650785711E9</v>
      </c>
      <c r="B172" s="5" t="s">
        <v>87</v>
      </c>
      <c r="C172" s="5" t="s">
        <v>1209</v>
      </c>
      <c r="D172" s="7">
        <v>1.0</v>
      </c>
      <c r="E172" s="6">
        <v>46018.46875</v>
      </c>
      <c r="F172" s="5" t="s">
        <v>1221</v>
      </c>
    </row>
    <row r="173">
      <c r="A173" s="5">
        <v>8.825179746E9</v>
      </c>
      <c r="B173" s="5" t="s">
        <v>508</v>
      </c>
      <c r="C173" s="5" t="s">
        <v>1209</v>
      </c>
      <c r="D173" s="7">
        <v>1.0</v>
      </c>
      <c r="E173" s="6">
        <v>46018.46875</v>
      </c>
      <c r="F173" s="5" t="s">
        <v>1221</v>
      </c>
    </row>
    <row r="174">
      <c r="A174" s="5">
        <v>9.268948231E9</v>
      </c>
      <c r="B174" s="5" t="s">
        <v>509</v>
      </c>
      <c r="C174" s="5" t="s">
        <v>1209</v>
      </c>
      <c r="D174" s="7">
        <v>1.0</v>
      </c>
      <c r="E174" s="6">
        <v>46018.46875</v>
      </c>
      <c r="F174" s="5" t="s">
        <v>1221</v>
      </c>
    </row>
    <row r="175">
      <c r="A175" s="5">
        <v>9.599143711E9</v>
      </c>
      <c r="B175" s="5" t="s">
        <v>510</v>
      </c>
      <c r="C175" s="5" t="s">
        <v>1209</v>
      </c>
      <c r="D175" s="7">
        <v>1.0</v>
      </c>
      <c r="E175" s="6">
        <v>46018.46875</v>
      </c>
      <c r="F175" s="5" t="s">
        <v>1221</v>
      </c>
    </row>
    <row r="176">
      <c r="A176" s="5">
        <v>8.76634281E9</v>
      </c>
      <c r="B176" s="5" t="s">
        <v>511</v>
      </c>
      <c r="C176" s="5" t="s">
        <v>1209</v>
      </c>
      <c r="D176" s="7">
        <v>1.0</v>
      </c>
      <c r="E176" s="6">
        <v>46018.46875</v>
      </c>
      <c r="F176" s="5" t="s">
        <v>1221</v>
      </c>
    </row>
    <row r="177">
      <c r="A177" s="5">
        <v>9.42595643E9</v>
      </c>
      <c r="B177" s="5" t="s">
        <v>512</v>
      </c>
      <c r="C177" s="5" t="s">
        <v>1209</v>
      </c>
      <c r="D177" s="7">
        <v>1.0</v>
      </c>
      <c r="E177" s="6">
        <v>46018.46875</v>
      </c>
      <c r="F177" s="5" t="s">
        <v>1221</v>
      </c>
    </row>
    <row r="178">
      <c r="A178" s="5">
        <v>9.86804995E9</v>
      </c>
      <c r="B178" s="5" t="s">
        <v>1240</v>
      </c>
      <c r="C178" s="5" t="s">
        <v>1209</v>
      </c>
      <c r="D178" s="7">
        <v>1.0</v>
      </c>
      <c r="E178" s="6">
        <v>46018.46875</v>
      </c>
      <c r="F178" s="5" t="s">
        <v>1221</v>
      </c>
    </row>
    <row r="179">
      <c r="A179" s="5">
        <v>9.71792028E9</v>
      </c>
      <c r="B179" s="5" t="s">
        <v>61</v>
      </c>
      <c r="C179" s="5" t="s">
        <v>1209</v>
      </c>
      <c r="D179" s="7">
        <v>1.0</v>
      </c>
      <c r="E179" s="6">
        <v>46018.46875</v>
      </c>
      <c r="F179" s="5" t="s">
        <v>1221</v>
      </c>
    </row>
    <row r="180">
      <c r="A180" s="5">
        <v>9.891102336E9</v>
      </c>
      <c r="B180" s="5" t="s">
        <v>75</v>
      </c>
      <c r="C180" s="5" t="s">
        <v>1209</v>
      </c>
      <c r="D180" s="7">
        <v>1.0</v>
      </c>
      <c r="E180" s="6">
        <v>46018.46875</v>
      </c>
      <c r="F180" s="5" t="s">
        <v>1221</v>
      </c>
    </row>
    <row r="181">
      <c r="A181" s="5">
        <v>9.319288857E9</v>
      </c>
      <c r="B181" s="5" t="s">
        <v>514</v>
      </c>
      <c r="C181" s="5" t="s">
        <v>1209</v>
      </c>
      <c r="D181" s="7">
        <v>1.0</v>
      </c>
      <c r="E181" s="6">
        <v>46018.46875</v>
      </c>
      <c r="F181" s="5" t="s">
        <v>1221</v>
      </c>
    </row>
    <row r="182">
      <c r="A182" s="5">
        <v>7.303432645E9</v>
      </c>
      <c r="B182" s="5" t="s">
        <v>515</v>
      </c>
      <c r="C182" s="5" t="s">
        <v>1209</v>
      </c>
      <c r="D182" s="7">
        <v>1.0</v>
      </c>
      <c r="E182" s="6">
        <v>46018.46875</v>
      </c>
      <c r="F182" s="5" t="s">
        <v>1221</v>
      </c>
    </row>
    <row r="183">
      <c r="A183" s="5">
        <v>7.303432644E9</v>
      </c>
      <c r="B183" s="5" t="s">
        <v>515</v>
      </c>
      <c r="C183" s="5" t="s">
        <v>1209</v>
      </c>
      <c r="D183" s="7">
        <v>1.0</v>
      </c>
      <c r="E183" s="6">
        <v>46018.46875</v>
      </c>
      <c r="F183" s="5" t="s">
        <v>1221</v>
      </c>
    </row>
    <row r="184">
      <c r="A184" s="5">
        <v>8.384013994E9</v>
      </c>
      <c r="B184" s="5" t="s">
        <v>516</v>
      </c>
      <c r="C184" s="5" t="s">
        <v>1209</v>
      </c>
      <c r="D184" s="7">
        <v>1.0</v>
      </c>
      <c r="E184" s="6">
        <v>46018.46875</v>
      </c>
      <c r="F184" s="5" t="s">
        <v>1221</v>
      </c>
    </row>
    <row r="185">
      <c r="A185" s="5">
        <v>9.962578667E9</v>
      </c>
      <c r="B185" s="5" t="s">
        <v>385</v>
      </c>
      <c r="C185" s="5" t="s">
        <v>1209</v>
      </c>
      <c r="D185" s="7">
        <v>1.0</v>
      </c>
      <c r="E185" s="6">
        <v>46018.46875</v>
      </c>
      <c r="F185" s="5" t="s">
        <v>1221</v>
      </c>
    </row>
    <row r="186">
      <c r="A186" s="5">
        <v>7.217868801E9</v>
      </c>
      <c r="B186" s="5" t="s">
        <v>517</v>
      </c>
      <c r="C186" s="5" t="s">
        <v>1209</v>
      </c>
      <c r="D186" s="7">
        <v>1.0</v>
      </c>
      <c r="E186" s="6">
        <v>46018.46875</v>
      </c>
      <c r="F186" s="5" t="s">
        <v>1221</v>
      </c>
    </row>
    <row r="187">
      <c r="A187" s="5">
        <v>9.711009801E9</v>
      </c>
      <c r="B187" s="5" t="s">
        <v>127</v>
      </c>
      <c r="C187" s="5" t="s">
        <v>1209</v>
      </c>
      <c r="D187" s="7">
        <v>1.0</v>
      </c>
      <c r="E187" s="6">
        <v>46018.46875</v>
      </c>
      <c r="F187" s="5" t="s">
        <v>1221</v>
      </c>
    </row>
    <row r="188">
      <c r="A188" s="5">
        <v>9.86844262E9</v>
      </c>
      <c r="B188" s="5" t="s">
        <v>518</v>
      </c>
      <c r="C188" s="5" t="s">
        <v>1209</v>
      </c>
      <c r="D188" s="7">
        <v>1.0</v>
      </c>
      <c r="E188" s="6">
        <v>46018.46875</v>
      </c>
      <c r="F188" s="5" t="s">
        <v>1221</v>
      </c>
    </row>
    <row r="189">
      <c r="A189" s="5">
        <v>9.81231937E9</v>
      </c>
      <c r="B189" s="5" t="s">
        <v>519</v>
      </c>
      <c r="C189" s="5" t="s">
        <v>1209</v>
      </c>
      <c r="D189" s="7">
        <v>1.0</v>
      </c>
      <c r="E189" s="6">
        <v>46018.46875</v>
      </c>
      <c r="F189" s="5" t="s">
        <v>1221</v>
      </c>
    </row>
    <row r="190">
      <c r="A190" s="5">
        <v>7.906897961E9</v>
      </c>
      <c r="B190" s="5" t="s">
        <v>1241</v>
      </c>
      <c r="C190" s="5" t="s">
        <v>1209</v>
      </c>
      <c r="D190" s="7">
        <v>1.0</v>
      </c>
      <c r="E190" s="6">
        <v>46018.46875</v>
      </c>
      <c r="F190" s="5" t="s">
        <v>1221</v>
      </c>
    </row>
    <row r="191">
      <c r="A191" s="5">
        <v>9.560757721E9</v>
      </c>
      <c r="B191" s="5" t="s">
        <v>125</v>
      </c>
      <c r="C191" s="5" t="s">
        <v>1209</v>
      </c>
      <c r="D191" s="7">
        <v>1.0</v>
      </c>
      <c r="E191" s="6">
        <v>46018.46875</v>
      </c>
      <c r="F191" s="5" t="s">
        <v>1221</v>
      </c>
    </row>
    <row r="192">
      <c r="A192" s="5">
        <v>9.811791798E9</v>
      </c>
      <c r="B192" s="5" t="s">
        <v>521</v>
      </c>
      <c r="C192" s="5" t="s">
        <v>1209</v>
      </c>
      <c r="D192" s="7">
        <v>1.0</v>
      </c>
      <c r="E192" s="6">
        <v>46018.46875</v>
      </c>
      <c r="F192" s="5" t="s">
        <v>1221</v>
      </c>
    </row>
    <row r="193">
      <c r="A193" s="5">
        <v>7.4091E9</v>
      </c>
      <c r="B193" s="5" t="s">
        <v>522</v>
      </c>
      <c r="C193" s="5" t="s">
        <v>1209</v>
      </c>
      <c r="D193" s="7">
        <v>1.0</v>
      </c>
      <c r="E193" s="6">
        <v>46018.46875</v>
      </c>
      <c r="F193" s="5" t="s">
        <v>1221</v>
      </c>
    </row>
    <row r="194">
      <c r="A194" s="5">
        <v>9.818024252E9</v>
      </c>
      <c r="B194" s="5" t="s">
        <v>87</v>
      </c>
      <c r="C194" s="5" t="s">
        <v>1209</v>
      </c>
      <c r="D194" s="7">
        <v>1.0</v>
      </c>
      <c r="E194" s="6">
        <v>46018.46875</v>
      </c>
      <c r="F194" s="5" t="s">
        <v>1221</v>
      </c>
    </row>
    <row r="195">
      <c r="A195" s="5">
        <v>8.447575487E9</v>
      </c>
      <c r="B195" s="5" t="s">
        <v>523</v>
      </c>
      <c r="C195" s="5" t="s">
        <v>1209</v>
      </c>
      <c r="D195" s="7">
        <v>1.0</v>
      </c>
      <c r="E195" s="6">
        <v>46018.46875</v>
      </c>
      <c r="F195" s="5" t="s">
        <v>1221</v>
      </c>
    </row>
    <row r="196">
      <c r="A196" s="5">
        <v>7.838100747E9</v>
      </c>
      <c r="B196" s="5" t="s">
        <v>1242</v>
      </c>
      <c r="C196" s="5" t="s">
        <v>1209</v>
      </c>
      <c r="D196" s="7">
        <v>1.0</v>
      </c>
      <c r="E196" s="6">
        <v>46018.46875</v>
      </c>
      <c r="F196" s="5" t="s">
        <v>1221</v>
      </c>
    </row>
    <row r="197">
      <c r="A197" s="5">
        <v>8.368667298E9</v>
      </c>
      <c r="B197" s="5" t="s">
        <v>525</v>
      </c>
      <c r="C197" s="5" t="s">
        <v>1209</v>
      </c>
      <c r="D197" s="7">
        <v>1.0</v>
      </c>
      <c r="E197" s="6">
        <v>46018.46875</v>
      </c>
      <c r="F197" s="5" t="s">
        <v>1221</v>
      </c>
    </row>
    <row r="198">
      <c r="A198" s="5">
        <v>9.654528846E9</v>
      </c>
      <c r="B198" s="5" t="s">
        <v>458</v>
      </c>
      <c r="C198" s="5" t="s">
        <v>1209</v>
      </c>
      <c r="D198" s="7">
        <v>1.0</v>
      </c>
      <c r="E198" s="6">
        <v>46018.46875</v>
      </c>
      <c r="F198" s="5" t="s">
        <v>1221</v>
      </c>
    </row>
    <row r="199">
      <c r="A199" s="5">
        <v>7.00816625E9</v>
      </c>
      <c r="B199" s="5" t="s">
        <v>479</v>
      </c>
      <c r="C199" s="5" t="s">
        <v>1209</v>
      </c>
      <c r="D199" s="7">
        <v>1.0</v>
      </c>
      <c r="E199" s="6">
        <v>46018.46875</v>
      </c>
      <c r="F199" s="5" t="s">
        <v>1221</v>
      </c>
    </row>
    <row r="200">
      <c r="A200" s="5">
        <v>9.811333074E9</v>
      </c>
      <c r="B200" s="5" t="s">
        <v>526</v>
      </c>
      <c r="C200" s="5" t="s">
        <v>1209</v>
      </c>
      <c r="D200" s="7">
        <v>1.0</v>
      </c>
      <c r="E200" s="6">
        <v>46018.46875</v>
      </c>
      <c r="F200" s="5" t="s">
        <v>1221</v>
      </c>
    </row>
    <row r="201">
      <c r="A201" s="5">
        <v>9.717321137E9</v>
      </c>
      <c r="B201" s="5" t="s">
        <v>527</v>
      </c>
      <c r="C201" s="5" t="s">
        <v>1209</v>
      </c>
      <c r="D201" s="7">
        <v>1.0</v>
      </c>
      <c r="E201" s="6">
        <v>46018.46875</v>
      </c>
      <c r="F201" s="5" t="s">
        <v>1221</v>
      </c>
    </row>
    <row r="202">
      <c r="A202" s="5">
        <v>7.065869677E9</v>
      </c>
      <c r="B202" s="5" t="s">
        <v>528</v>
      </c>
      <c r="C202" s="5" t="s">
        <v>1209</v>
      </c>
      <c r="D202" s="7">
        <v>1.0</v>
      </c>
      <c r="E202" s="6">
        <v>46018.46875</v>
      </c>
      <c r="F202" s="5" t="s">
        <v>1221</v>
      </c>
    </row>
    <row r="203">
      <c r="A203" s="5">
        <v>9.654591719E9</v>
      </c>
      <c r="B203" s="5" t="s">
        <v>79</v>
      </c>
      <c r="C203" s="5" t="s">
        <v>1209</v>
      </c>
      <c r="D203" s="7">
        <v>1.0</v>
      </c>
      <c r="E203" s="6">
        <v>46018.46875</v>
      </c>
      <c r="F203" s="5" t="s">
        <v>1221</v>
      </c>
    </row>
    <row r="204">
      <c r="A204" s="5">
        <v>6.289219597E9</v>
      </c>
      <c r="B204" s="5" t="s">
        <v>1243</v>
      </c>
      <c r="C204" s="5" t="s">
        <v>1209</v>
      </c>
      <c r="D204" s="7">
        <v>1.0</v>
      </c>
      <c r="E204" s="6">
        <v>46018.46875</v>
      </c>
      <c r="F204" s="5" t="s">
        <v>1221</v>
      </c>
    </row>
    <row r="205">
      <c r="A205" s="5">
        <v>8.800985838E9</v>
      </c>
      <c r="B205" s="5" t="s">
        <v>77</v>
      </c>
      <c r="C205" s="5" t="s">
        <v>1209</v>
      </c>
      <c r="D205" s="7">
        <v>1.0</v>
      </c>
      <c r="E205" s="6">
        <v>46018.46875</v>
      </c>
      <c r="F205" s="5" t="s">
        <v>1221</v>
      </c>
    </row>
    <row r="206">
      <c r="A206" s="5">
        <v>9.664591719E9</v>
      </c>
      <c r="B206" s="5" t="s">
        <v>79</v>
      </c>
      <c r="C206" s="5" t="s">
        <v>1209</v>
      </c>
      <c r="D206" s="7">
        <v>1.0</v>
      </c>
      <c r="E206" s="6">
        <v>46018.46875</v>
      </c>
      <c r="F206" s="5" t="s">
        <v>1221</v>
      </c>
    </row>
    <row r="207">
      <c r="A207" s="5">
        <v>9.818747966E9</v>
      </c>
      <c r="B207" s="5" t="s">
        <v>530</v>
      </c>
      <c r="C207" s="5" t="s">
        <v>1209</v>
      </c>
      <c r="D207" s="7">
        <v>1.0</v>
      </c>
      <c r="E207" s="6">
        <v>46018.46875</v>
      </c>
      <c r="F207" s="5" t="s">
        <v>1221</v>
      </c>
    </row>
    <row r="208">
      <c r="A208" s="5">
        <v>8.802238505E9</v>
      </c>
      <c r="B208" s="5" t="s">
        <v>531</v>
      </c>
      <c r="C208" s="5" t="s">
        <v>1209</v>
      </c>
      <c r="D208" s="7">
        <v>1.0</v>
      </c>
      <c r="E208" s="6">
        <v>46018.46875</v>
      </c>
      <c r="F208" s="5" t="s">
        <v>1221</v>
      </c>
    </row>
    <row r="209">
      <c r="A209" s="5">
        <v>9.899980269E9</v>
      </c>
      <c r="B209" s="5" t="s">
        <v>532</v>
      </c>
      <c r="C209" s="5" t="s">
        <v>1209</v>
      </c>
      <c r="D209" s="7">
        <v>1.0</v>
      </c>
      <c r="E209" s="6">
        <v>46018.46875</v>
      </c>
      <c r="F209" s="5" t="s">
        <v>1221</v>
      </c>
    </row>
    <row r="210">
      <c r="A210" s="5">
        <v>8.929324941E9</v>
      </c>
      <c r="B210" s="5" t="s">
        <v>81</v>
      </c>
      <c r="C210" s="5" t="s">
        <v>1209</v>
      </c>
      <c r="D210" s="7">
        <v>1.0</v>
      </c>
      <c r="E210" s="6">
        <v>46018.46875</v>
      </c>
      <c r="F210" s="5" t="s">
        <v>1221</v>
      </c>
    </row>
    <row r="211">
      <c r="A211" s="5">
        <v>9.818325544E9</v>
      </c>
      <c r="B211" s="5" t="s">
        <v>1224</v>
      </c>
      <c r="C211" s="5" t="s">
        <v>1209</v>
      </c>
      <c r="D211" s="7">
        <v>1.0</v>
      </c>
      <c r="E211" s="6">
        <v>46018.46875</v>
      </c>
      <c r="F211" s="5" t="s">
        <v>1221</v>
      </c>
    </row>
    <row r="212">
      <c r="A212" s="5">
        <v>9.682615632E9</v>
      </c>
      <c r="B212" s="5" t="s">
        <v>533</v>
      </c>
      <c r="C212" s="5" t="s">
        <v>1209</v>
      </c>
      <c r="D212" s="7">
        <v>1.0</v>
      </c>
      <c r="E212" s="6">
        <v>46018.46875</v>
      </c>
      <c r="F212" s="5" t="s">
        <v>1221</v>
      </c>
    </row>
    <row r="213">
      <c r="A213" s="5">
        <v>9.717700946E9</v>
      </c>
      <c r="B213" s="5" t="s">
        <v>89</v>
      </c>
      <c r="C213" s="5" t="s">
        <v>1209</v>
      </c>
      <c r="D213" s="7">
        <v>1.0</v>
      </c>
      <c r="E213" s="6">
        <v>46018.46875</v>
      </c>
      <c r="F213" s="5" t="s">
        <v>1221</v>
      </c>
    </row>
    <row r="214">
      <c r="A214" s="5">
        <v>9.810413272E9</v>
      </c>
      <c r="B214" s="5" t="s">
        <v>1244</v>
      </c>
      <c r="C214" s="5" t="s">
        <v>1209</v>
      </c>
      <c r="D214" s="7">
        <v>1.0</v>
      </c>
      <c r="E214" s="6">
        <v>46018.46875</v>
      </c>
      <c r="F214" s="5" t="s">
        <v>1221</v>
      </c>
    </row>
    <row r="215">
      <c r="A215" s="5">
        <v>9.582636788E9</v>
      </c>
      <c r="B215" s="5" t="s">
        <v>534</v>
      </c>
      <c r="C215" s="5" t="s">
        <v>1209</v>
      </c>
      <c r="D215" s="7">
        <v>1.0</v>
      </c>
      <c r="E215" s="6">
        <v>46018.46875</v>
      </c>
      <c r="F215" s="5" t="s">
        <v>1221</v>
      </c>
    </row>
    <row r="216">
      <c r="A216" s="5">
        <v>9.711525419E9</v>
      </c>
      <c r="B216" s="5" t="s">
        <v>535</v>
      </c>
      <c r="C216" s="5" t="s">
        <v>1209</v>
      </c>
      <c r="D216" s="7">
        <v>1.0</v>
      </c>
      <c r="E216" s="6">
        <v>46018.46875</v>
      </c>
      <c r="F216" s="5" t="s">
        <v>1221</v>
      </c>
    </row>
    <row r="217">
      <c r="A217" s="5">
        <v>9.899007399E9</v>
      </c>
      <c r="B217" s="5" t="s">
        <v>536</v>
      </c>
      <c r="C217" s="5" t="s">
        <v>1209</v>
      </c>
      <c r="D217" s="7">
        <v>1.0</v>
      </c>
      <c r="E217" s="6">
        <v>46018.46875</v>
      </c>
      <c r="F217" s="5" t="s">
        <v>1221</v>
      </c>
    </row>
    <row r="218">
      <c r="A218" s="5">
        <v>9.811255881E9</v>
      </c>
      <c r="B218" s="5" t="s">
        <v>537</v>
      </c>
      <c r="C218" s="5" t="s">
        <v>1209</v>
      </c>
      <c r="D218" s="7">
        <v>1.0</v>
      </c>
      <c r="E218" s="6">
        <v>46018.46875</v>
      </c>
      <c r="F218" s="5" t="s">
        <v>1221</v>
      </c>
    </row>
    <row r="219">
      <c r="A219" s="5">
        <v>9.213882013E9</v>
      </c>
      <c r="B219" s="5" t="s">
        <v>538</v>
      </c>
      <c r="C219" s="5" t="s">
        <v>1209</v>
      </c>
      <c r="D219" s="7">
        <v>1.0</v>
      </c>
      <c r="E219" s="6">
        <v>46018.46875</v>
      </c>
      <c r="F219" s="5" t="s">
        <v>1221</v>
      </c>
    </row>
    <row r="220">
      <c r="A220" s="5">
        <v>9.582356161E9</v>
      </c>
      <c r="B220" s="5" t="s">
        <v>539</v>
      </c>
      <c r="C220" s="5" t="s">
        <v>1209</v>
      </c>
      <c r="D220" s="7">
        <v>1.0</v>
      </c>
      <c r="E220" s="6">
        <v>46018.46875</v>
      </c>
      <c r="F220" s="5" t="s">
        <v>1221</v>
      </c>
    </row>
    <row r="221">
      <c r="A221" s="5">
        <v>9.346561515E9</v>
      </c>
      <c r="B221" s="5" t="s">
        <v>540</v>
      </c>
      <c r="C221" s="5" t="s">
        <v>1209</v>
      </c>
      <c r="D221" s="7">
        <v>1.0</v>
      </c>
      <c r="E221" s="6">
        <v>46018.46875</v>
      </c>
      <c r="F221" s="5" t="s">
        <v>1221</v>
      </c>
    </row>
    <row r="222">
      <c r="A222" s="5">
        <v>9.818498821E9</v>
      </c>
      <c r="B222" s="5" t="s">
        <v>1245</v>
      </c>
      <c r="C222" s="5" t="s">
        <v>1209</v>
      </c>
      <c r="D222" s="7">
        <v>1.0</v>
      </c>
      <c r="E222" s="6">
        <v>46018.46875</v>
      </c>
      <c r="F222" s="5" t="s">
        <v>1221</v>
      </c>
    </row>
    <row r="223">
      <c r="A223" s="5">
        <v>7.417700981E9</v>
      </c>
      <c r="B223" s="5" t="s">
        <v>528</v>
      </c>
      <c r="C223" s="5" t="s">
        <v>1209</v>
      </c>
      <c r="D223" s="7">
        <v>1.0</v>
      </c>
      <c r="E223" s="6">
        <v>46018.46875</v>
      </c>
      <c r="F223" s="5" t="s">
        <v>1221</v>
      </c>
    </row>
    <row r="224">
      <c r="A224" s="5">
        <v>7.988345244E9</v>
      </c>
      <c r="B224" s="5" t="s">
        <v>542</v>
      </c>
      <c r="C224" s="5" t="s">
        <v>1209</v>
      </c>
      <c r="D224" s="7">
        <v>1.0</v>
      </c>
      <c r="E224" s="6">
        <v>46018.46875</v>
      </c>
      <c r="F224" s="5" t="s">
        <v>1221</v>
      </c>
    </row>
    <row r="225">
      <c r="A225" s="5">
        <v>8.588087194E9</v>
      </c>
      <c r="B225" s="5" t="s">
        <v>543</v>
      </c>
      <c r="C225" s="5" t="s">
        <v>1209</v>
      </c>
      <c r="D225" s="7">
        <v>1.0</v>
      </c>
      <c r="E225" s="6">
        <v>46018.46875</v>
      </c>
      <c r="F225" s="5" t="s">
        <v>1221</v>
      </c>
    </row>
    <row r="226">
      <c r="A226" s="5">
        <v>9.971620451E9</v>
      </c>
      <c r="B226" s="5" t="s">
        <v>544</v>
      </c>
      <c r="C226" s="5" t="s">
        <v>1209</v>
      </c>
      <c r="D226" s="7">
        <v>1.0</v>
      </c>
      <c r="E226" s="6">
        <v>46018.46875</v>
      </c>
      <c r="F226" s="5" t="s">
        <v>1221</v>
      </c>
    </row>
    <row r="227">
      <c r="A227" s="5">
        <v>8.920888312E9</v>
      </c>
      <c r="B227" s="5" t="s">
        <v>528</v>
      </c>
      <c r="C227" s="5" t="s">
        <v>1209</v>
      </c>
      <c r="D227" s="7">
        <v>1.0</v>
      </c>
      <c r="E227" s="6">
        <v>46018.46875</v>
      </c>
      <c r="F227" s="5" t="s">
        <v>1221</v>
      </c>
    </row>
    <row r="228">
      <c r="A228" s="5">
        <v>7.82772007E9</v>
      </c>
      <c r="B228" s="5" t="s">
        <v>545</v>
      </c>
      <c r="C228" s="5" t="s">
        <v>1209</v>
      </c>
      <c r="D228" s="7">
        <v>1.0</v>
      </c>
      <c r="E228" s="6">
        <v>46018.46875</v>
      </c>
      <c r="F228" s="5" t="s">
        <v>1221</v>
      </c>
    </row>
    <row r="229">
      <c r="A229" s="5">
        <v>8.377867496E9</v>
      </c>
      <c r="B229" s="5" t="s">
        <v>504</v>
      </c>
      <c r="C229" s="5" t="s">
        <v>1209</v>
      </c>
      <c r="D229" s="7">
        <v>1.0</v>
      </c>
      <c r="E229" s="6">
        <v>46018.46875</v>
      </c>
      <c r="F229" s="5" t="s">
        <v>1221</v>
      </c>
    </row>
    <row r="230">
      <c r="A230" s="5">
        <v>9.599026033E9</v>
      </c>
      <c r="B230" s="5" t="s">
        <v>546</v>
      </c>
      <c r="C230" s="5" t="s">
        <v>1209</v>
      </c>
      <c r="D230" s="7">
        <v>1.0</v>
      </c>
      <c r="E230" s="6">
        <v>46018.46875</v>
      </c>
      <c r="F230" s="5" t="s">
        <v>1221</v>
      </c>
    </row>
    <row r="231">
      <c r="A231" s="5">
        <v>9.899090013E9</v>
      </c>
      <c r="B231" s="5" t="s">
        <v>547</v>
      </c>
      <c r="C231" s="5" t="s">
        <v>1209</v>
      </c>
      <c r="D231" s="7">
        <v>1.0</v>
      </c>
      <c r="E231" s="6">
        <v>46018.46875</v>
      </c>
      <c r="F231" s="5" t="s">
        <v>1221</v>
      </c>
    </row>
    <row r="232">
      <c r="A232" s="5">
        <v>9.434246914E9</v>
      </c>
      <c r="B232" s="5" t="s">
        <v>1246</v>
      </c>
      <c r="C232" s="5" t="s">
        <v>1209</v>
      </c>
      <c r="D232" s="7">
        <v>1.0</v>
      </c>
      <c r="E232" s="6">
        <v>46018.46875</v>
      </c>
      <c r="F232" s="5" t="s">
        <v>1221</v>
      </c>
    </row>
    <row r="233">
      <c r="A233" s="5">
        <v>9.899721688E9</v>
      </c>
      <c r="B233" s="5" t="s">
        <v>549</v>
      </c>
      <c r="C233" s="5" t="s">
        <v>1209</v>
      </c>
      <c r="D233" s="7">
        <v>1.0</v>
      </c>
      <c r="E233" s="6">
        <v>46018.46875</v>
      </c>
      <c r="F233" s="5" t="s">
        <v>1221</v>
      </c>
    </row>
    <row r="234">
      <c r="A234" s="5">
        <v>9.999376232E9</v>
      </c>
      <c r="B234" s="5" t="s">
        <v>550</v>
      </c>
      <c r="C234" s="5" t="s">
        <v>1209</v>
      </c>
      <c r="D234" s="7">
        <v>1.0</v>
      </c>
      <c r="E234" s="6">
        <v>46018.46875</v>
      </c>
      <c r="F234" s="5" t="s">
        <v>1221</v>
      </c>
    </row>
    <row r="235">
      <c r="A235" s="5">
        <v>9.289617468E9</v>
      </c>
      <c r="B235" s="5" t="s">
        <v>551</v>
      </c>
      <c r="C235" s="5" t="s">
        <v>1209</v>
      </c>
      <c r="D235" s="7">
        <v>1.0</v>
      </c>
      <c r="E235" s="6">
        <v>46018.46875</v>
      </c>
      <c r="F235" s="5" t="s">
        <v>1221</v>
      </c>
    </row>
    <row r="236">
      <c r="A236" s="5">
        <v>9.968266086E9</v>
      </c>
      <c r="B236" s="5" t="s">
        <v>383</v>
      </c>
      <c r="C236" s="5" t="s">
        <v>1209</v>
      </c>
      <c r="D236" s="7">
        <v>1.0</v>
      </c>
      <c r="E236" s="6">
        <v>46018.46875</v>
      </c>
      <c r="F236" s="5" t="s">
        <v>1221</v>
      </c>
    </row>
    <row r="237">
      <c r="A237" s="5">
        <v>9.873469848E9</v>
      </c>
      <c r="B237" s="5" t="s">
        <v>232</v>
      </c>
      <c r="C237" s="5" t="s">
        <v>1209</v>
      </c>
      <c r="D237" s="7">
        <v>1.0</v>
      </c>
      <c r="E237" s="6">
        <v>46018.46875</v>
      </c>
      <c r="F237" s="5" t="s">
        <v>1221</v>
      </c>
    </row>
    <row r="238">
      <c r="A238" s="5">
        <v>9.313251554E9</v>
      </c>
      <c r="B238" s="5" t="s">
        <v>85</v>
      </c>
      <c r="C238" s="5" t="s">
        <v>1209</v>
      </c>
      <c r="D238" s="7">
        <v>1.0</v>
      </c>
      <c r="E238" s="6">
        <v>46018.46875</v>
      </c>
      <c r="F238" s="5" t="s">
        <v>1221</v>
      </c>
    </row>
    <row r="239">
      <c r="A239" s="5">
        <v>9.654168668E9</v>
      </c>
      <c r="B239" s="5" t="s">
        <v>552</v>
      </c>
      <c r="C239" s="5" t="s">
        <v>1209</v>
      </c>
      <c r="D239" s="7">
        <v>1.0</v>
      </c>
      <c r="E239" s="6">
        <v>46018.46875</v>
      </c>
      <c r="F239" s="5" t="s">
        <v>1221</v>
      </c>
    </row>
    <row r="240">
      <c r="A240" s="5">
        <v>8.769597023E9</v>
      </c>
      <c r="B240" s="5" t="s">
        <v>553</v>
      </c>
      <c r="C240" s="5" t="s">
        <v>1209</v>
      </c>
      <c r="D240" s="7">
        <v>1.0</v>
      </c>
      <c r="E240" s="6">
        <v>46018.46875</v>
      </c>
      <c r="F240" s="5" t="s">
        <v>1221</v>
      </c>
    </row>
    <row r="241">
      <c r="A241" s="5">
        <v>9.81062888E9</v>
      </c>
      <c r="B241" s="5" t="s">
        <v>87</v>
      </c>
      <c r="C241" s="5" t="s">
        <v>1209</v>
      </c>
      <c r="D241" s="7">
        <v>1.0</v>
      </c>
      <c r="E241" s="6">
        <v>46018.46875</v>
      </c>
      <c r="F241" s="5" t="s">
        <v>1221</v>
      </c>
    </row>
    <row r="242">
      <c r="A242" s="5">
        <v>7.982577704E9</v>
      </c>
      <c r="B242" s="5" t="s">
        <v>554</v>
      </c>
      <c r="C242" s="5" t="s">
        <v>1209</v>
      </c>
      <c r="D242" s="7">
        <v>1.0</v>
      </c>
      <c r="E242" s="6">
        <v>46018.46875</v>
      </c>
      <c r="F242" s="5" t="s">
        <v>1221</v>
      </c>
    </row>
    <row r="243">
      <c r="A243" s="5">
        <v>9.89109509E9</v>
      </c>
      <c r="B243" s="5" t="s">
        <v>555</v>
      </c>
      <c r="C243" s="5" t="s">
        <v>1209</v>
      </c>
      <c r="D243" s="7">
        <v>1.0</v>
      </c>
      <c r="E243" s="6">
        <v>46018.46875</v>
      </c>
      <c r="F243" s="5" t="s">
        <v>1221</v>
      </c>
    </row>
    <row r="244">
      <c r="A244" s="5">
        <v>9.717700546E9</v>
      </c>
      <c r="B244" s="5" t="s">
        <v>89</v>
      </c>
      <c r="C244" s="5" t="s">
        <v>1209</v>
      </c>
      <c r="D244" s="7">
        <v>1.0</v>
      </c>
      <c r="E244" s="6">
        <v>46018.46875</v>
      </c>
      <c r="F244" s="5" t="s">
        <v>1221</v>
      </c>
    </row>
    <row r="245">
      <c r="A245" s="5">
        <v>7.703938998E9</v>
      </c>
      <c r="B245" s="5" t="s">
        <v>458</v>
      </c>
      <c r="C245" s="5" t="s">
        <v>1209</v>
      </c>
      <c r="D245" s="7">
        <v>1.0</v>
      </c>
      <c r="E245" s="6">
        <v>46018.46875</v>
      </c>
      <c r="F245" s="5" t="s">
        <v>1221</v>
      </c>
    </row>
    <row r="246">
      <c r="A246" s="5">
        <v>9.711063633E9</v>
      </c>
      <c r="B246" s="5" t="s">
        <v>91</v>
      </c>
      <c r="C246" s="5" t="s">
        <v>1209</v>
      </c>
      <c r="D246" s="7">
        <v>1.0</v>
      </c>
      <c r="E246" s="6">
        <v>46018.46875</v>
      </c>
      <c r="F246" s="5" t="s">
        <v>1221</v>
      </c>
    </row>
    <row r="247">
      <c r="A247" s="5">
        <v>9.81809325E9</v>
      </c>
      <c r="B247" s="5" t="s">
        <v>556</v>
      </c>
      <c r="C247" s="5" t="s">
        <v>1209</v>
      </c>
      <c r="D247" s="7">
        <v>1.0</v>
      </c>
      <c r="E247" s="6">
        <v>46018.46875</v>
      </c>
      <c r="F247" s="5" t="s">
        <v>1221</v>
      </c>
    </row>
    <row r="248">
      <c r="A248" s="5">
        <v>8.851312233E9</v>
      </c>
      <c r="B248" s="5" t="s">
        <v>1247</v>
      </c>
      <c r="C248" s="5" t="s">
        <v>1209</v>
      </c>
      <c r="D248" s="7">
        <v>1.0</v>
      </c>
      <c r="E248" s="6">
        <v>46018.46875</v>
      </c>
      <c r="F248" s="5" t="s">
        <v>1221</v>
      </c>
    </row>
    <row r="249">
      <c r="A249" s="5">
        <v>9.953475761E9</v>
      </c>
      <c r="B249" s="5" t="s">
        <v>557</v>
      </c>
      <c r="C249" s="5" t="s">
        <v>1209</v>
      </c>
      <c r="D249" s="7">
        <v>1.0</v>
      </c>
      <c r="E249" s="6">
        <v>46018.46875</v>
      </c>
      <c r="F249" s="5" t="s">
        <v>1221</v>
      </c>
    </row>
    <row r="250">
      <c r="A250" s="5">
        <v>9.818416046E9</v>
      </c>
      <c r="B250" s="5" t="s">
        <v>558</v>
      </c>
      <c r="C250" s="5" t="s">
        <v>1209</v>
      </c>
      <c r="D250" s="7">
        <v>1.0</v>
      </c>
      <c r="E250" s="6">
        <v>46018.46875</v>
      </c>
      <c r="F250" s="5" t="s">
        <v>1221</v>
      </c>
    </row>
    <row r="251">
      <c r="A251" s="5">
        <v>9.999347862E9</v>
      </c>
      <c r="B251" s="5" t="s">
        <v>559</v>
      </c>
      <c r="C251" s="5" t="s">
        <v>1209</v>
      </c>
      <c r="D251" s="7">
        <v>1.0</v>
      </c>
      <c r="E251" s="6">
        <v>46018.46875</v>
      </c>
      <c r="F251" s="5" t="s">
        <v>1221</v>
      </c>
    </row>
    <row r="252">
      <c r="A252" s="5">
        <v>9.871921125E9</v>
      </c>
      <c r="B252" s="5" t="s">
        <v>560</v>
      </c>
      <c r="C252" s="5" t="s">
        <v>1209</v>
      </c>
      <c r="D252" s="7">
        <v>1.0</v>
      </c>
      <c r="E252" s="6">
        <v>46018.46875</v>
      </c>
      <c r="F252" s="5" t="s">
        <v>1221</v>
      </c>
    </row>
    <row r="253">
      <c r="A253" s="5">
        <v>9.971149898E9</v>
      </c>
      <c r="B253" s="5" t="s">
        <v>561</v>
      </c>
      <c r="C253" s="5" t="s">
        <v>1209</v>
      </c>
      <c r="D253" s="7">
        <v>1.0</v>
      </c>
      <c r="E253" s="6">
        <v>46018.46875</v>
      </c>
      <c r="F253" s="5" t="s">
        <v>1221</v>
      </c>
    </row>
    <row r="254">
      <c r="A254" s="5">
        <v>9.711668159E9</v>
      </c>
      <c r="B254" s="5" t="s">
        <v>1248</v>
      </c>
      <c r="C254" s="5" t="s">
        <v>1209</v>
      </c>
      <c r="D254" s="7">
        <v>1.0</v>
      </c>
      <c r="E254" s="6">
        <v>46018.46875</v>
      </c>
      <c r="F254" s="5" t="s">
        <v>1221</v>
      </c>
    </row>
    <row r="255">
      <c r="A255" s="5">
        <v>9.990054084E9</v>
      </c>
      <c r="B255" s="5" t="s">
        <v>95</v>
      </c>
      <c r="C255" s="5" t="s">
        <v>1209</v>
      </c>
      <c r="D255" s="7">
        <v>1.0</v>
      </c>
      <c r="E255" s="6">
        <v>46018.46875</v>
      </c>
      <c r="F255" s="5" t="s">
        <v>1221</v>
      </c>
    </row>
    <row r="256">
      <c r="A256" s="5">
        <v>8.59528338E9</v>
      </c>
      <c r="B256" s="5" t="s">
        <v>563</v>
      </c>
      <c r="C256" s="5" t="s">
        <v>1209</v>
      </c>
      <c r="D256" s="7">
        <v>1.0</v>
      </c>
      <c r="E256" s="6">
        <v>46018.46875</v>
      </c>
      <c r="F256" s="5" t="s">
        <v>1221</v>
      </c>
    </row>
    <row r="257">
      <c r="A257" s="5">
        <v>8.909741255E9</v>
      </c>
      <c r="B257" s="5" t="s">
        <v>564</v>
      </c>
      <c r="C257" s="5" t="s">
        <v>1209</v>
      </c>
      <c r="D257" s="7">
        <v>1.0</v>
      </c>
      <c r="E257" s="6">
        <v>46018.46875</v>
      </c>
      <c r="F257" s="5" t="s">
        <v>1221</v>
      </c>
    </row>
    <row r="258">
      <c r="A258" s="5">
        <v>9.810287478E9</v>
      </c>
      <c r="B258" s="5" t="s">
        <v>97</v>
      </c>
      <c r="C258" s="5" t="s">
        <v>1209</v>
      </c>
      <c r="D258" s="7">
        <v>1.0</v>
      </c>
      <c r="E258" s="6">
        <v>46018.46875</v>
      </c>
      <c r="F258" s="5" t="s">
        <v>1221</v>
      </c>
    </row>
    <row r="259">
      <c r="A259" s="5">
        <v>9.26851437E9</v>
      </c>
      <c r="B259" s="5" t="s">
        <v>408</v>
      </c>
      <c r="C259" s="5" t="s">
        <v>1209</v>
      </c>
      <c r="D259" s="7">
        <v>1.0</v>
      </c>
      <c r="E259" s="6">
        <v>46018.46875</v>
      </c>
      <c r="F259" s="5" t="s">
        <v>1221</v>
      </c>
    </row>
    <row r="260">
      <c r="A260" s="5">
        <v>7.889096931E9</v>
      </c>
      <c r="B260" s="5" t="s">
        <v>550</v>
      </c>
      <c r="C260" s="5" t="s">
        <v>1209</v>
      </c>
      <c r="D260" s="7">
        <v>1.0</v>
      </c>
      <c r="E260" s="6">
        <v>46018.46875</v>
      </c>
      <c r="F260" s="5" t="s">
        <v>1221</v>
      </c>
    </row>
    <row r="261">
      <c r="A261" s="5">
        <v>9.711710329E9</v>
      </c>
      <c r="B261" s="5" t="s">
        <v>1249</v>
      </c>
      <c r="C261" s="5" t="s">
        <v>1209</v>
      </c>
      <c r="D261" s="7">
        <v>1.0</v>
      </c>
      <c r="E261" s="6">
        <v>46018.46875</v>
      </c>
      <c r="F261" s="5" t="s">
        <v>1221</v>
      </c>
    </row>
    <row r="262">
      <c r="A262" s="5">
        <v>8.447540669E9</v>
      </c>
      <c r="B262" s="5" t="s">
        <v>372</v>
      </c>
      <c r="C262" s="5" t="s">
        <v>1209</v>
      </c>
      <c r="D262" s="7">
        <v>1.0</v>
      </c>
      <c r="E262" s="6">
        <v>46018.46875</v>
      </c>
      <c r="F262" s="5" t="s">
        <v>1221</v>
      </c>
    </row>
    <row r="263">
      <c r="A263" s="5">
        <v>9.999323701E9</v>
      </c>
      <c r="B263" s="5" t="s">
        <v>565</v>
      </c>
      <c r="C263" s="5" t="s">
        <v>1209</v>
      </c>
      <c r="D263" s="7">
        <v>1.0</v>
      </c>
      <c r="E263" s="6">
        <v>46018.46875</v>
      </c>
      <c r="F263" s="5" t="s">
        <v>1221</v>
      </c>
    </row>
    <row r="264">
      <c r="A264" s="5">
        <v>9.013504064E9</v>
      </c>
      <c r="B264" s="5" t="s">
        <v>566</v>
      </c>
      <c r="C264" s="5" t="s">
        <v>1209</v>
      </c>
      <c r="D264" s="7">
        <v>1.0</v>
      </c>
      <c r="E264" s="6">
        <v>46018.46875</v>
      </c>
      <c r="F264" s="5" t="s">
        <v>1221</v>
      </c>
    </row>
    <row r="265">
      <c r="A265" s="5">
        <v>9.999641245E9</v>
      </c>
      <c r="B265" s="5" t="s">
        <v>567</v>
      </c>
      <c r="C265" s="5" t="s">
        <v>1209</v>
      </c>
      <c r="D265" s="7">
        <v>1.0</v>
      </c>
      <c r="E265" s="6">
        <v>46018.46875</v>
      </c>
      <c r="F265" s="5" t="s">
        <v>1221</v>
      </c>
    </row>
    <row r="266">
      <c r="A266" s="5">
        <v>9.911220005E9</v>
      </c>
      <c r="B266" s="5" t="s">
        <v>568</v>
      </c>
      <c r="C266" s="5" t="s">
        <v>1209</v>
      </c>
      <c r="D266" s="7">
        <v>1.0</v>
      </c>
      <c r="E266" s="6">
        <v>46018.46875</v>
      </c>
      <c r="F266" s="5" t="s">
        <v>1221</v>
      </c>
    </row>
    <row r="267">
      <c r="A267" s="5">
        <v>9.71702601E9</v>
      </c>
      <c r="B267" s="5" t="s">
        <v>99</v>
      </c>
      <c r="C267" s="5" t="s">
        <v>1209</v>
      </c>
      <c r="D267" s="7">
        <v>1.0</v>
      </c>
      <c r="E267" s="6">
        <v>46018.46875</v>
      </c>
      <c r="F267" s="5" t="s">
        <v>1221</v>
      </c>
    </row>
    <row r="268">
      <c r="A268" s="5">
        <v>8.882131759E9</v>
      </c>
      <c r="B268" s="5" t="s">
        <v>569</v>
      </c>
      <c r="C268" s="5" t="s">
        <v>1209</v>
      </c>
      <c r="D268" s="7">
        <v>1.0</v>
      </c>
      <c r="E268" s="6">
        <v>46018.46875</v>
      </c>
      <c r="F268" s="5" t="s">
        <v>1221</v>
      </c>
    </row>
    <row r="269">
      <c r="A269" s="5">
        <v>9.313890608E9</v>
      </c>
      <c r="B269" s="5" t="s">
        <v>570</v>
      </c>
      <c r="C269" s="5" t="s">
        <v>1209</v>
      </c>
      <c r="D269" s="7">
        <v>1.0</v>
      </c>
      <c r="E269" s="6">
        <v>46018.46875</v>
      </c>
      <c r="F269" s="5" t="s">
        <v>1221</v>
      </c>
    </row>
    <row r="270">
      <c r="A270" s="5">
        <v>8.826639017E9</v>
      </c>
      <c r="B270" s="5" t="s">
        <v>571</v>
      </c>
      <c r="C270" s="5" t="s">
        <v>1209</v>
      </c>
      <c r="D270" s="7">
        <v>1.0</v>
      </c>
      <c r="E270" s="6">
        <v>46018.46875</v>
      </c>
      <c r="F270" s="5" t="s">
        <v>1221</v>
      </c>
    </row>
    <row r="271">
      <c r="A271" s="5">
        <v>7.838532754E9</v>
      </c>
      <c r="B271" s="5" t="s">
        <v>572</v>
      </c>
      <c r="C271" s="5" t="s">
        <v>1209</v>
      </c>
      <c r="D271" s="7">
        <v>1.0</v>
      </c>
      <c r="E271" s="6">
        <v>46018.46875</v>
      </c>
      <c r="F271" s="5" t="s">
        <v>1221</v>
      </c>
    </row>
    <row r="272">
      <c r="A272" s="5">
        <v>9.718226622E9</v>
      </c>
      <c r="B272" s="5" t="s">
        <v>573</v>
      </c>
      <c r="C272" s="5" t="s">
        <v>1209</v>
      </c>
      <c r="D272" s="7">
        <v>1.0</v>
      </c>
      <c r="E272" s="6">
        <v>46018.46875</v>
      </c>
      <c r="F272" s="5" t="s">
        <v>1221</v>
      </c>
    </row>
    <row r="273">
      <c r="A273" s="5">
        <v>9.91080292E9</v>
      </c>
      <c r="B273" s="5" t="s">
        <v>574</v>
      </c>
      <c r="C273" s="5" t="s">
        <v>1209</v>
      </c>
      <c r="D273" s="7">
        <v>1.0</v>
      </c>
      <c r="E273" s="6">
        <v>46018.46875</v>
      </c>
      <c r="F273" s="5" t="s">
        <v>1221</v>
      </c>
    </row>
    <row r="274">
      <c r="A274" s="5">
        <v>9.92099516E9</v>
      </c>
      <c r="B274" s="5" t="s">
        <v>575</v>
      </c>
      <c r="C274" s="5" t="s">
        <v>1209</v>
      </c>
      <c r="D274" s="7">
        <v>1.0</v>
      </c>
      <c r="E274" s="6">
        <v>46018.46875</v>
      </c>
      <c r="F274" s="5" t="s">
        <v>1221</v>
      </c>
    </row>
    <row r="275">
      <c r="A275" s="5">
        <v>9.891000073E9</v>
      </c>
      <c r="B275" s="5" t="s">
        <v>101</v>
      </c>
      <c r="C275" s="5" t="s">
        <v>1209</v>
      </c>
      <c r="D275" s="7">
        <v>1.0</v>
      </c>
      <c r="E275" s="6">
        <v>46018.46875</v>
      </c>
      <c r="F275" s="5" t="s">
        <v>1221</v>
      </c>
    </row>
    <row r="276">
      <c r="A276" s="5">
        <v>9.873282859E9</v>
      </c>
      <c r="B276" s="5" t="s">
        <v>103</v>
      </c>
      <c r="C276" s="5" t="s">
        <v>1209</v>
      </c>
      <c r="D276" s="7">
        <v>1.0</v>
      </c>
      <c r="E276" s="6">
        <v>46018.46875</v>
      </c>
      <c r="F276" s="5" t="s">
        <v>1221</v>
      </c>
    </row>
    <row r="277">
      <c r="A277" s="5">
        <v>8.278678863E9</v>
      </c>
      <c r="B277" s="5" t="s">
        <v>437</v>
      </c>
      <c r="C277" s="5" t="s">
        <v>1209</v>
      </c>
      <c r="D277" s="7">
        <v>1.0</v>
      </c>
      <c r="E277" s="6">
        <v>46018.46875</v>
      </c>
      <c r="F277" s="5" t="s">
        <v>1221</v>
      </c>
    </row>
    <row r="278">
      <c r="A278" s="5">
        <v>8.800646334E9</v>
      </c>
      <c r="B278" s="5" t="s">
        <v>576</v>
      </c>
      <c r="C278" s="5" t="s">
        <v>1209</v>
      </c>
      <c r="D278" s="7">
        <v>1.0</v>
      </c>
      <c r="E278" s="6">
        <v>46018.46875</v>
      </c>
      <c r="F278" s="5" t="s">
        <v>1221</v>
      </c>
    </row>
    <row r="279">
      <c r="A279" s="5">
        <v>8.448226086E9</v>
      </c>
      <c r="B279" s="5" t="s">
        <v>577</v>
      </c>
      <c r="C279" s="5" t="s">
        <v>1209</v>
      </c>
      <c r="D279" s="7">
        <v>1.0</v>
      </c>
      <c r="E279" s="6">
        <v>46018.46875</v>
      </c>
      <c r="F279" s="5" t="s">
        <v>1221</v>
      </c>
    </row>
    <row r="280">
      <c r="A280" s="5">
        <v>9.650020688E9</v>
      </c>
      <c r="B280" s="5" t="s">
        <v>19</v>
      </c>
      <c r="C280" s="5" t="s">
        <v>1209</v>
      </c>
      <c r="D280" s="7">
        <v>1.0</v>
      </c>
      <c r="E280" s="6">
        <v>46018.46875</v>
      </c>
      <c r="F280" s="5" t="s">
        <v>1221</v>
      </c>
    </row>
    <row r="281">
      <c r="A281" s="5">
        <v>9.599954388E9</v>
      </c>
      <c r="B281" s="5" t="s">
        <v>276</v>
      </c>
      <c r="C281" s="5" t="s">
        <v>1209</v>
      </c>
      <c r="D281" s="7">
        <v>1.0</v>
      </c>
      <c r="E281" s="6">
        <v>46018.46875</v>
      </c>
      <c r="F281" s="5" t="s">
        <v>1221</v>
      </c>
    </row>
    <row r="282">
      <c r="A282" s="5">
        <v>6.261748022E9</v>
      </c>
      <c r="B282" s="5" t="s">
        <v>433</v>
      </c>
      <c r="C282" s="5" t="s">
        <v>1209</v>
      </c>
      <c r="D282" s="7">
        <v>1.0</v>
      </c>
      <c r="E282" s="6">
        <v>46018.46875</v>
      </c>
      <c r="F282" s="5" t="s">
        <v>1221</v>
      </c>
    </row>
    <row r="283">
      <c r="A283" s="5">
        <v>7.845086976E9</v>
      </c>
      <c r="B283" s="5" t="s">
        <v>578</v>
      </c>
      <c r="C283" s="5" t="s">
        <v>1209</v>
      </c>
      <c r="D283" s="7">
        <v>1.0</v>
      </c>
      <c r="E283" s="6">
        <v>46018.46875</v>
      </c>
      <c r="F283" s="5" t="s">
        <v>1221</v>
      </c>
    </row>
    <row r="284">
      <c r="A284" s="5">
        <v>9.811675741E9</v>
      </c>
      <c r="B284" s="5" t="s">
        <v>105</v>
      </c>
      <c r="C284" s="5" t="s">
        <v>1209</v>
      </c>
      <c r="D284" s="7">
        <v>1.0</v>
      </c>
      <c r="E284" s="6">
        <v>46018.46875</v>
      </c>
      <c r="F284" s="5" t="s">
        <v>1221</v>
      </c>
    </row>
    <row r="285">
      <c r="A285" s="5">
        <v>8.084229236E9</v>
      </c>
      <c r="B285" s="5" t="s">
        <v>579</v>
      </c>
      <c r="C285" s="5" t="s">
        <v>1209</v>
      </c>
      <c r="D285" s="7">
        <v>1.0</v>
      </c>
      <c r="E285" s="6">
        <v>46018.46875</v>
      </c>
      <c r="F285" s="5" t="s">
        <v>1221</v>
      </c>
    </row>
    <row r="286">
      <c r="A286" s="5">
        <v>9.082673384E9</v>
      </c>
      <c r="B286" s="5" t="s">
        <v>580</v>
      </c>
      <c r="C286" s="5" t="s">
        <v>1209</v>
      </c>
      <c r="D286" s="7">
        <v>1.0</v>
      </c>
      <c r="E286" s="6">
        <v>46018.46875</v>
      </c>
      <c r="F286" s="5" t="s">
        <v>1221</v>
      </c>
    </row>
    <row r="287">
      <c r="A287" s="5">
        <v>7.504978422E9</v>
      </c>
      <c r="B287" s="5" t="s">
        <v>581</v>
      </c>
      <c r="C287" s="5" t="s">
        <v>1209</v>
      </c>
      <c r="D287" s="7">
        <v>1.0</v>
      </c>
      <c r="E287" s="6">
        <v>46018.46875</v>
      </c>
      <c r="F287" s="5" t="s">
        <v>1221</v>
      </c>
    </row>
    <row r="288">
      <c r="A288" s="5">
        <v>9.818838872E9</v>
      </c>
      <c r="B288" s="5" t="s">
        <v>582</v>
      </c>
      <c r="C288" s="5" t="s">
        <v>1209</v>
      </c>
      <c r="D288" s="7">
        <v>1.0</v>
      </c>
      <c r="E288" s="6">
        <v>46018.46875</v>
      </c>
      <c r="F288" s="5" t="s">
        <v>1221</v>
      </c>
    </row>
    <row r="289">
      <c r="A289" s="5">
        <v>9.811016739E9</v>
      </c>
      <c r="B289" s="5" t="s">
        <v>583</v>
      </c>
      <c r="C289" s="5" t="s">
        <v>1209</v>
      </c>
      <c r="D289" s="7">
        <v>1.0</v>
      </c>
      <c r="E289" s="6">
        <v>46018.46875</v>
      </c>
      <c r="F289" s="5" t="s">
        <v>1221</v>
      </c>
    </row>
    <row r="290">
      <c r="A290" s="5">
        <v>8.186882922E9</v>
      </c>
      <c r="B290" s="5" t="s">
        <v>584</v>
      </c>
      <c r="C290" s="5" t="s">
        <v>1209</v>
      </c>
      <c r="D290" s="7">
        <v>1.0</v>
      </c>
      <c r="E290" s="6">
        <v>46018.46875</v>
      </c>
      <c r="F290" s="5" t="s">
        <v>1221</v>
      </c>
    </row>
    <row r="291">
      <c r="A291" s="5">
        <v>9.643776719E9</v>
      </c>
      <c r="B291" s="5" t="s">
        <v>585</v>
      </c>
      <c r="C291" s="5" t="s">
        <v>1209</v>
      </c>
      <c r="D291" s="7">
        <v>1.0</v>
      </c>
      <c r="E291" s="6">
        <v>46018.46875</v>
      </c>
      <c r="F291" s="5" t="s">
        <v>1221</v>
      </c>
    </row>
    <row r="292">
      <c r="A292" s="5">
        <v>9.873771263E9</v>
      </c>
      <c r="B292" s="5" t="s">
        <v>586</v>
      </c>
      <c r="C292" s="5" t="s">
        <v>1209</v>
      </c>
      <c r="D292" s="7">
        <v>1.0</v>
      </c>
      <c r="E292" s="6">
        <v>46018.46875</v>
      </c>
      <c r="F292" s="5" t="s">
        <v>1221</v>
      </c>
    </row>
    <row r="293">
      <c r="A293" s="5">
        <v>9.253006422E9</v>
      </c>
      <c r="B293" s="5" t="s">
        <v>587</v>
      </c>
      <c r="C293" s="5" t="s">
        <v>1209</v>
      </c>
      <c r="D293" s="7">
        <v>1.0</v>
      </c>
      <c r="E293" s="6">
        <v>46018.46875</v>
      </c>
      <c r="F293" s="5" t="s">
        <v>1221</v>
      </c>
    </row>
    <row r="294">
      <c r="A294" s="5">
        <v>9.431125063E9</v>
      </c>
      <c r="B294" s="5" t="s">
        <v>588</v>
      </c>
      <c r="C294" s="5" t="s">
        <v>1209</v>
      </c>
      <c r="D294" s="7">
        <v>1.0</v>
      </c>
      <c r="E294" s="6">
        <v>46018.46875</v>
      </c>
      <c r="F294" s="5" t="s">
        <v>1221</v>
      </c>
    </row>
    <row r="295">
      <c r="A295" s="5">
        <v>9.711634416E9</v>
      </c>
      <c r="B295" s="5" t="s">
        <v>141</v>
      </c>
      <c r="C295" s="5" t="s">
        <v>1209</v>
      </c>
      <c r="D295" s="7">
        <v>1.0</v>
      </c>
      <c r="E295" s="6">
        <v>46018.46875</v>
      </c>
      <c r="F295" s="5" t="s">
        <v>1221</v>
      </c>
    </row>
    <row r="296">
      <c r="A296" s="5">
        <v>8.010211636E9</v>
      </c>
      <c r="B296" s="5" t="s">
        <v>589</v>
      </c>
      <c r="C296" s="5" t="s">
        <v>1209</v>
      </c>
      <c r="D296" s="7">
        <v>1.0</v>
      </c>
      <c r="E296" s="6">
        <v>46018.46875</v>
      </c>
      <c r="F296" s="5" t="s">
        <v>1221</v>
      </c>
    </row>
    <row r="297">
      <c r="A297" s="5">
        <v>9.818995584E9</v>
      </c>
      <c r="B297" s="5" t="s">
        <v>590</v>
      </c>
      <c r="C297" s="5" t="s">
        <v>1209</v>
      </c>
      <c r="D297" s="7">
        <v>1.0</v>
      </c>
      <c r="E297" s="6">
        <v>46018.46875</v>
      </c>
      <c r="F297" s="5" t="s">
        <v>1221</v>
      </c>
    </row>
    <row r="298">
      <c r="A298" s="5">
        <v>9.914703643E9</v>
      </c>
      <c r="B298" s="5" t="s">
        <v>107</v>
      </c>
      <c r="C298" s="5" t="s">
        <v>1209</v>
      </c>
      <c r="D298" s="7">
        <v>1.0</v>
      </c>
      <c r="E298" s="6">
        <v>46018.46875</v>
      </c>
      <c r="F298" s="5" t="s">
        <v>1221</v>
      </c>
    </row>
    <row r="299">
      <c r="A299" s="5">
        <v>9.81040575E9</v>
      </c>
      <c r="B299" s="5" t="s">
        <v>591</v>
      </c>
      <c r="C299" s="5" t="s">
        <v>1209</v>
      </c>
      <c r="D299" s="7">
        <v>1.0</v>
      </c>
      <c r="E299" s="6">
        <v>46018.46875</v>
      </c>
      <c r="F299" s="5" t="s">
        <v>1221</v>
      </c>
    </row>
    <row r="300">
      <c r="A300" s="5">
        <v>7.67822726E9</v>
      </c>
      <c r="B300" s="5" t="s">
        <v>592</v>
      </c>
      <c r="C300" s="5" t="s">
        <v>1209</v>
      </c>
      <c r="D300" s="7">
        <v>1.0</v>
      </c>
      <c r="E300" s="6">
        <v>46018.46875</v>
      </c>
      <c r="F300" s="5" t="s">
        <v>1221</v>
      </c>
    </row>
    <row r="301">
      <c r="A301" s="5">
        <v>9.999365851E9</v>
      </c>
      <c r="B301" s="5" t="s">
        <v>593</v>
      </c>
      <c r="C301" s="5" t="s">
        <v>1209</v>
      </c>
      <c r="D301" s="7">
        <v>1.0</v>
      </c>
      <c r="E301" s="6">
        <v>46018.46875</v>
      </c>
      <c r="F301" s="5" t="s">
        <v>1221</v>
      </c>
    </row>
    <row r="302">
      <c r="A302" s="5">
        <v>9.871153696E9</v>
      </c>
      <c r="B302" s="5" t="s">
        <v>109</v>
      </c>
      <c r="C302" s="5" t="s">
        <v>1209</v>
      </c>
      <c r="D302" s="7">
        <v>1.0</v>
      </c>
      <c r="E302" s="6">
        <v>46018.46875</v>
      </c>
      <c r="F302" s="5" t="s">
        <v>1221</v>
      </c>
    </row>
    <row r="303">
      <c r="A303" s="5">
        <v>8.920453034E9</v>
      </c>
      <c r="B303" s="5" t="s">
        <v>594</v>
      </c>
      <c r="C303" s="5" t="s">
        <v>1209</v>
      </c>
      <c r="D303" s="7">
        <v>1.0</v>
      </c>
      <c r="E303" s="6">
        <v>46018.46875</v>
      </c>
      <c r="F303" s="5" t="s">
        <v>1221</v>
      </c>
    </row>
    <row r="304">
      <c r="A304" s="5">
        <v>8.920724452E9</v>
      </c>
      <c r="B304" s="5" t="s">
        <v>595</v>
      </c>
      <c r="C304" s="5" t="s">
        <v>1209</v>
      </c>
      <c r="D304" s="7">
        <v>1.0</v>
      </c>
      <c r="E304" s="6">
        <v>46018.46875</v>
      </c>
      <c r="F304" s="5" t="s">
        <v>1221</v>
      </c>
    </row>
    <row r="305">
      <c r="A305" s="5">
        <v>9.871767175E9</v>
      </c>
      <c r="B305" s="5" t="s">
        <v>111</v>
      </c>
      <c r="C305" s="5" t="s">
        <v>1209</v>
      </c>
      <c r="D305" s="7">
        <v>1.0</v>
      </c>
      <c r="E305" s="6">
        <v>46018.46875</v>
      </c>
      <c r="F305" s="5" t="s">
        <v>1221</v>
      </c>
    </row>
    <row r="306">
      <c r="A306" s="5">
        <v>7.777082177E9</v>
      </c>
      <c r="B306" s="5" t="s">
        <v>596</v>
      </c>
      <c r="C306" s="5" t="s">
        <v>1209</v>
      </c>
      <c r="D306" s="7">
        <v>1.0</v>
      </c>
      <c r="E306" s="6">
        <v>46018.46875</v>
      </c>
      <c r="F306" s="5" t="s">
        <v>1221</v>
      </c>
    </row>
    <row r="307">
      <c r="A307" s="5">
        <v>9.015802726E9</v>
      </c>
      <c r="B307" s="5" t="s">
        <v>113</v>
      </c>
      <c r="C307" s="5" t="s">
        <v>1209</v>
      </c>
      <c r="D307" s="7">
        <v>1.0</v>
      </c>
      <c r="E307" s="6">
        <v>46018.46875</v>
      </c>
      <c r="F307" s="5" t="s">
        <v>1221</v>
      </c>
    </row>
    <row r="308">
      <c r="A308" s="5">
        <v>8.178264753E9</v>
      </c>
      <c r="B308" s="5" t="s">
        <v>597</v>
      </c>
      <c r="C308" s="5" t="s">
        <v>1209</v>
      </c>
      <c r="D308" s="7">
        <v>1.0</v>
      </c>
      <c r="E308" s="6">
        <v>46018.46875</v>
      </c>
      <c r="F308" s="5" t="s">
        <v>1221</v>
      </c>
    </row>
    <row r="309">
      <c r="A309" s="5">
        <v>7.840001934E9</v>
      </c>
      <c r="B309" s="5" t="s">
        <v>598</v>
      </c>
      <c r="C309" s="5" t="s">
        <v>1209</v>
      </c>
      <c r="D309" s="7">
        <v>1.0</v>
      </c>
      <c r="E309" s="6">
        <v>46018.46875</v>
      </c>
      <c r="F309" s="5" t="s">
        <v>1221</v>
      </c>
    </row>
    <row r="310">
      <c r="A310" s="5">
        <v>8.010566521E9</v>
      </c>
      <c r="B310" s="5" t="s">
        <v>410</v>
      </c>
      <c r="C310" s="5" t="s">
        <v>1209</v>
      </c>
      <c r="D310" s="7">
        <v>1.0</v>
      </c>
      <c r="E310" s="6">
        <v>46018.46875</v>
      </c>
      <c r="F310" s="5" t="s">
        <v>1221</v>
      </c>
    </row>
    <row r="311">
      <c r="A311" s="5">
        <v>9.999488996E9</v>
      </c>
      <c r="B311" s="5" t="s">
        <v>1250</v>
      </c>
      <c r="C311" s="5" t="s">
        <v>1209</v>
      </c>
      <c r="D311" s="7">
        <v>1.0</v>
      </c>
      <c r="E311" s="6">
        <v>46018.46875</v>
      </c>
      <c r="F311" s="5" t="s">
        <v>1221</v>
      </c>
    </row>
    <row r="312">
      <c r="A312" s="5">
        <v>7.982221351E9</v>
      </c>
      <c r="B312" s="5" t="s">
        <v>599</v>
      </c>
      <c r="C312" s="5" t="s">
        <v>1209</v>
      </c>
      <c r="D312" s="7">
        <v>1.0</v>
      </c>
      <c r="E312" s="6">
        <v>46018.46875</v>
      </c>
      <c r="F312" s="5" t="s">
        <v>1221</v>
      </c>
    </row>
    <row r="313">
      <c r="A313" s="5">
        <v>9.818709009E9</v>
      </c>
      <c r="B313" s="5" t="s">
        <v>600</v>
      </c>
      <c r="C313" s="5" t="s">
        <v>1209</v>
      </c>
      <c r="D313" s="7">
        <v>1.0</v>
      </c>
      <c r="E313" s="6">
        <v>46018.46875</v>
      </c>
      <c r="F313" s="5" t="s">
        <v>1221</v>
      </c>
    </row>
    <row r="314">
      <c r="A314" s="5">
        <v>8.527714373E9</v>
      </c>
      <c r="B314" s="5" t="s">
        <v>601</v>
      </c>
      <c r="C314" s="5" t="s">
        <v>1209</v>
      </c>
      <c r="D314" s="7">
        <v>1.0</v>
      </c>
      <c r="E314" s="6">
        <v>46018.46875</v>
      </c>
      <c r="F314" s="5" t="s">
        <v>1221</v>
      </c>
    </row>
    <row r="315">
      <c r="A315" s="5">
        <v>9.868203875E9</v>
      </c>
      <c r="B315" s="5" t="s">
        <v>115</v>
      </c>
      <c r="C315" s="5" t="s">
        <v>1209</v>
      </c>
      <c r="D315" s="7">
        <v>1.0</v>
      </c>
      <c r="E315" s="6">
        <v>46018.46875</v>
      </c>
      <c r="F315" s="5" t="s">
        <v>1221</v>
      </c>
    </row>
    <row r="316">
      <c r="A316" s="5">
        <v>9.818317374E9</v>
      </c>
      <c r="B316" s="5" t="s">
        <v>117</v>
      </c>
      <c r="C316" s="5" t="s">
        <v>1209</v>
      </c>
      <c r="D316" s="7">
        <v>1.0</v>
      </c>
      <c r="E316" s="6">
        <v>46018.46875</v>
      </c>
      <c r="F316" s="5" t="s">
        <v>1221</v>
      </c>
    </row>
    <row r="317">
      <c r="A317" s="5">
        <v>8.860001189E9</v>
      </c>
      <c r="B317" s="5" t="s">
        <v>602</v>
      </c>
      <c r="C317" s="5" t="s">
        <v>1209</v>
      </c>
      <c r="D317" s="7">
        <v>1.0</v>
      </c>
      <c r="E317" s="6">
        <v>46018.46875</v>
      </c>
      <c r="F317" s="5" t="s">
        <v>1221</v>
      </c>
    </row>
    <row r="318">
      <c r="A318" s="5">
        <v>8.447760018E9</v>
      </c>
      <c r="B318" s="5" t="s">
        <v>603</v>
      </c>
      <c r="C318" s="5" t="s">
        <v>1209</v>
      </c>
      <c r="D318" s="7">
        <v>1.0</v>
      </c>
      <c r="E318" s="6">
        <v>46018.46875</v>
      </c>
      <c r="F318" s="5" t="s">
        <v>1221</v>
      </c>
    </row>
    <row r="319">
      <c r="A319" s="5">
        <v>8.527162516E9</v>
      </c>
      <c r="B319" s="5" t="s">
        <v>119</v>
      </c>
      <c r="C319" s="5" t="s">
        <v>1209</v>
      </c>
      <c r="D319" s="7">
        <v>1.0</v>
      </c>
      <c r="E319" s="6">
        <v>46018.46875</v>
      </c>
      <c r="F319" s="5" t="s">
        <v>1221</v>
      </c>
    </row>
    <row r="320">
      <c r="A320" s="5">
        <v>9.582463698E9</v>
      </c>
      <c r="B320" s="5" t="s">
        <v>39</v>
      </c>
      <c r="C320" s="5" t="s">
        <v>1209</v>
      </c>
      <c r="D320" s="7">
        <v>1.0</v>
      </c>
      <c r="E320" s="6">
        <v>46018.46875</v>
      </c>
      <c r="F320" s="5" t="s">
        <v>1221</v>
      </c>
    </row>
    <row r="321">
      <c r="A321" s="5">
        <v>9.95383246E9</v>
      </c>
      <c r="B321" s="5" t="s">
        <v>175</v>
      </c>
      <c r="C321" s="5" t="s">
        <v>1209</v>
      </c>
      <c r="D321" s="7">
        <v>1.0</v>
      </c>
      <c r="E321" s="6">
        <v>46018.46875</v>
      </c>
      <c r="F321" s="5" t="s">
        <v>1221</v>
      </c>
    </row>
    <row r="322">
      <c r="A322" s="5">
        <v>9.999625586E9</v>
      </c>
      <c r="B322" s="5" t="s">
        <v>604</v>
      </c>
      <c r="C322" s="5" t="s">
        <v>1209</v>
      </c>
      <c r="D322" s="7">
        <v>1.0</v>
      </c>
      <c r="E322" s="6">
        <v>46018.46875</v>
      </c>
      <c r="F322" s="5" t="s">
        <v>1221</v>
      </c>
    </row>
    <row r="323">
      <c r="A323" s="5">
        <v>8.860681868E9</v>
      </c>
      <c r="B323" s="5" t="s">
        <v>605</v>
      </c>
      <c r="C323" s="5" t="s">
        <v>1209</v>
      </c>
      <c r="D323" s="7">
        <v>1.0</v>
      </c>
      <c r="E323" s="6">
        <v>46018.46875</v>
      </c>
      <c r="F323" s="5" t="s">
        <v>1221</v>
      </c>
    </row>
    <row r="324">
      <c r="A324" s="5">
        <v>9.872446601E9</v>
      </c>
      <c r="B324" s="5" t="s">
        <v>606</v>
      </c>
      <c r="C324" s="5" t="s">
        <v>1209</v>
      </c>
      <c r="D324" s="7">
        <v>1.0</v>
      </c>
      <c r="E324" s="6">
        <v>46018.46875</v>
      </c>
      <c r="F324" s="5" t="s">
        <v>1221</v>
      </c>
    </row>
    <row r="325">
      <c r="A325" s="5">
        <v>9.899322201E9</v>
      </c>
      <c r="B325" s="5" t="s">
        <v>121</v>
      </c>
      <c r="C325" s="5" t="s">
        <v>1209</v>
      </c>
      <c r="D325" s="7">
        <v>1.0</v>
      </c>
      <c r="E325" s="6">
        <v>46018.46875</v>
      </c>
      <c r="F325" s="5" t="s">
        <v>1221</v>
      </c>
    </row>
    <row r="326">
      <c r="A326" s="5">
        <v>9.81016199E9</v>
      </c>
      <c r="B326" s="5" t="s">
        <v>607</v>
      </c>
      <c r="C326" s="5" t="s">
        <v>1209</v>
      </c>
      <c r="D326" s="7">
        <v>1.0</v>
      </c>
      <c r="E326" s="6">
        <v>46018.46875</v>
      </c>
      <c r="F326" s="5" t="s">
        <v>1221</v>
      </c>
    </row>
    <row r="327">
      <c r="A327" s="5">
        <v>9.899990844E9</v>
      </c>
      <c r="B327" s="5" t="s">
        <v>608</v>
      </c>
      <c r="C327" s="5" t="s">
        <v>1209</v>
      </c>
      <c r="D327" s="7">
        <v>1.0</v>
      </c>
      <c r="E327" s="6">
        <v>46018.46875</v>
      </c>
      <c r="F327" s="5" t="s">
        <v>1221</v>
      </c>
    </row>
    <row r="328">
      <c r="A328" s="5">
        <v>9.821720049E9</v>
      </c>
      <c r="B328" s="5" t="s">
        <v>609</v>
      </c>
      <c r="C328" s="5" t="s">
        <v>1209</v>
      </c>
      <c r="D328" s="7">
        <v>1.0</v>
      </c>
      <c r="E328" s="6">
        <v>46018.46875</v>
      </c>
      <c r="F328" s="5" t="s">
        <v>1221</v>
      </c>
    </row>
    <row r="329">
      <c r="A329" s="5">
        <v>9.717426492E9</v>
      </c>
      <c r="B329" s="5" t="s">
        <v>610</v>
      </c>
      <c r="C329" s="5" t="s">
        <v>1209</v>
      </c>
      <c r="D329" s="7">
        <v>1.0</v>
      </c>
      <c r="E329" s="6">
        <v>46018.46875</v>
      </c>
      <c r="F329" s="5" t="s">
        <v>1221</v>
      </c>
    </row>
    <row r="330">
      <c r="A330" s="5">
        <v>9.81812662E9</v>
      </c>
      <c r="B330" s="5" t="s">
        <v>611</v>
      </c>
      <c r="C330" s="5" t="s">
        <v>1209</v>
      </c>
      <c r="D330" s="7">
        <v>1.0</v>
      </c>
      <c r="E330" s="6">
        <v>46018.46875</v>
      </c>
      <c r="F330" s="5" t="s">
        <v>1221</v>
      </c>
    </row>
    <row r="331">
      <c r="A331" s="5">
        <v>8.285631226E9</v>
      </c>
      <c r="B331" s="5" t="s">
        <v>609</v>
      </c>
      <c r="C331" s="5" t="s">
        <v>1209</v>
      </c>
      <c r="D331" s="7">
        <v>1.0</v>
      </c>
      <c r="E331" s="6">
        <v>46018.46875</v>
      </c>
      <c r="F331" s="5" t="s">
        <v>1221</v>
      </c>
    </row>
    <row r="332">
      <c r="A332" s="5">
        <v>9.412744197E9</v>
      </c>
      <c r="B332" s="5" t="s">
        <v>612</v>
      </c>
      <c r="C332" s="5" t="s">
        <v>1209</v>
      </c>
      <c r="D332" s="7">
        <v>1.0</v>
      </c>
      <c r="E332" s="6">
        <v>46018.46875</v>
      </c>
      <c r="F332" s="5" t="s">
        <v>1221</v>
      </c>
    </row>
    <row r="333">
      <c r="A333" s="5">
        <v>8.595817411E9</v>
      </c>
      <c r="B333" s="5" t="s">
        <v>613</v>
      </c>
      <c r="C333" s="5" t="s">
        <v>1209</v>
      </c>
      <c r="D333" s="7">
        <v>1.0</v>
      </c>
      <c r="E333" s="6">
        <v>46018.46875</v>
      </c>
      <c r="F333" s="5" t="s">
        <v>1221</v>
      </c>
    </row>
    <row r="334">
      <c r="A334" s="5">
        <v>7.206579048E9</v>
      </c>
      <c r="B334" s="5" t="s">
        <v>614</v>
      </c>
      <c r="C334" s="5" t="s">
        <v>1209</v>
      </c>
      <c r="D334" s="7">
        <v>1.0</v>
      </c>
      <c r="E334" s="6">
        <v>46018.46875</v>
      </c>
      <c r="F334" s="5" t="s">
        <v>1221</v>
      </c>
    </row>
    <row r="335">
      <c r="A335" s="5">
        <v>9.811041368E9</v>
      </c>
      <c r="B335" s="5" t="s">
        <v>615</v>
      </c>
      <c r="C335" s="5" t="s">
        <v>1209</v>
      </c>
      <c r="D335" s="7">
        <v>1.0</v>
      </c>
      <c r="E335" s="6">
        <v>46018.46875</v>
      </c>
      <c r="F335" s="5" t="s">
        <v>1221</v>
      </c>
    </row>
    <row r="336">
      <c r="A336" s="5">
        <v>8.083532359E9</v>
      </c>
      <c r="B336" s="5" t="s">
        <v>616</v>
      </c>
      <c r="C336" s="5" t="s">
        <v>1209</v>
      </c>
      <c r="D336" s="7">
        <v>1.0</v>
      </c>
      <c r="E336" s="6">
        <v>46018.46875</v>
      </c>
      <c r="F336" s="5" t="s">
        <v>1221</v>
      </c>
    </row>
    <row r="337">
      <c r="A337" s="5">
        <v>9.746942951E9</v>
      </c>
      <c r="B337" s="5" t="s">
        <v>617</v>
      </c>
      <c r="C337" s="5" t="s">
        <v>1209</v>
      </c>
      <c r="D337" s="7">
        <v>1.0</v>
      </c>
      <c r="E337" s="6">
        <v>46018.46875</v>
      </c>
      <c r="F337" s="5" t="s">
        <v>1221</v>
      </c>
    </row>
    <row r="338">
      <c r="A338" s="5">
        <v>9.871758037E9</v>
      </c>
      <c r="B338" s="5" t="s">
        <v>123</v>
      </c>
      <c r="C338" s="5" t="s">
        <v>1209</v>
      </c>
      <c r="D338" s="7">
        <v>1.0</v>
      </c>
      <c r="E338" s="6">
        <v>46018.46875</v>
      </c>
      <c r="F338" s="5" t="s">
        <v>1221</v>
      </c>
    </row>
    <row r="339">
      <c r="A339" s="5">
        <v>8.800581162E9</v>
      </c>
      <c r="B339" s="5" t="s">
        <v>475</v>
      </c>
      <c r="C339" s="5" t="s">
        <v>1209</v>
      </c>
      <c r="D339" s="7">
        <v>1.0</v>
      </c>
      <c r="E339" s="6">
        <v>46018.46875</v>
      </c>
      <c r="F339" s="5" t="s">
        <v>1221</v>
      </c>
    </row>
    <row r="340">
      <c r="A340" s="5">
        <v>9.97156789E9</v>
      </c>
      <c r="B340" s="5" t="s">
        <v>1251</v>
      </c>
      <c r="C340" s="5" t="s">
        <v>1209</v>
      </c>
      <c r="D340" s="7">
        <v>1.0</v>
      </c>
      <c r="E340" s="6">
        <v>46018.46875</v>
      </c>
      <c r="F340" s="5" t="s">
        <v>1221</v>
      </c>
    </row>
    <row r="341">
      <c r="A341" s="5">
        <v>9.560540676E9</v>
      </c>
      <c r="B341" s="5" t="s">
        <v>125</v>
      </c>
      <c r="C341" s="5" t="s">
        <v>1209</v>
      </c>
      <c r="D341" s="7">
        <v>1.0</v>
      </c>
      <c r="E341" s="6">
        <v>46018.46875</v>
      </c>
      <c r="F341" s="5" t="s">
        <v>1221</v>
      </c>
    </row>
    <row r="342">
      <c r="A342" s="5">
        <v>8.373954151E9</v>
      </c>
      <c r="B342" s="5" t="s">
        <v>1252</v>
      </c>
      <c r="C342" s="5" t="s">
        <v>1209</v>
      </c>
      <c r="D342" s="7">
        <v>1.0</v>
      </c>
      <c r="E342" s="6">
        <v>46018.46875</v>
      </c>
      <c r="F342" s="5" t="s">
        <v>1221</v>
      </c>
    </row>
    <row r="343">
      <c r="A343" s="5">
        <v>9.416537937E9</v>
      </c>
      <c r="B343" s="5" t="s">
        <v>618</v>
      </c>
      <c r="C343" s="5" t="s">
        <v>1209</v>
      </c>
      <c r="D343" s="7">
        <v>1.0</v>
      </c>
      <c r="E343" s="6">
        <v>46018.46875</v>
      </c>
      <c r="F343" s="5" t="s">
        <v>1221</v>
      </c>
    </row>
    <row r="344">
      <c r="A344" s="5">
        <v>9.31105226E9</v>
      </c>
      <c r="B344" s="5" t="s">
        <v>619</v>
      </c>
      <c r="C344" s="5" t="s">
        <v>1209</v>
      </c>
      <c r="D344" s="7">
        <v>1.0</v>
      </c>
      <c r="E344" s="6">
        <v>46018.46875</v>
      </c>
      <c r="F344" s="5" t="s">
        <v>1221</v>
      </c>
    </row>
    <row r="345">
      <c r="A345" s="5">
        <v>9.910950257E9</v>
      </c>
      <c r="B345" s="5" t="s">
        <v>129</v>
      </c>
      <c r="C345" s="5" t="s">
        <v>1209</v>
      </c>
      <c r="D345" s="7">
        <v>1.0</v>
      </c>
      <c r="E345" s="6">
        <v>46018.46875</v>
      </c>
      <c r="F345" s="5" t="s">
        <v>1221</v>
      </c>
    </row>
    <row r="346">
      <c r="A346" s="5">
        <v>9.599784588E9</v>
      </c>
      <c r="B346" s="5" t="s">
        <v>1253</v>
      </c>
      <c r="C346" s="5" t="s">
        <v>1209</v>
      </c>
      <c r="D346" s="7">
        <v>1.0</v>
      </c>
      <c r="E346" s="6">
        <v>46018.46875</v>
      </c>
      <c r="F346" s="5" t="s">
        <v>1221</v>
      </c>
    </row>
    <row r="347">
      <c r="A347" s="5">
        <v>9.717922288E9</v>
      </c>
      <c r="B347" s="5" t="s">
        <v>620</v>
      </c>
      <c r="C347" s="5" t="s">
        <v>1209</v>
      </c>
      <c r="D347" s="7">
        <v>1.0</v>
      </c>
      <c r="E347" s="6">
        <v>46018.46875</v>
      </c>
      <c r="F347" s="5" t="s">
        <v>1221</v>
      </c>
    </row>
    <row r="348">
      <c r="A348" s="5">
        <v>8.375069085E9</v>
      </c>
      <c r="B348" s="5" t="s">
        <v>131</v>
      </c>
      <c r="C348" s="5" t="s">
        <v>1209</v>
      </c>
      <c r="D348" s="7">
        <v>1.0</v>
      </c>
      <c r="E348" s="6">
        <v>46018.46875</v>
      </c>
      <c r="F348" s="5" t="s">
        <v>1221</v>
      </c>
    </row>
    <row r="349">
      <c r="A349" s="5">
        <v>8.376859944E9</v>
      </c>
      <c r="B349" s="5" t="s">
        <v>1254</v>
      </c>
      <c r="C349" s="5" t="s">
        <v>1209</v>
      </c>
      <c r="D349" s="7">
        <v>1.0</v>
      </c>
      <c r="E349" s="6">
        <v>46018.46875</v>
      </c>
      <c r="F349" s="5" t="s">
        <v>1221</v>
      </c>
    </row>
    <row r="350">
      <c r="A350" s="5">
        <v>9.899558626E9</v>
      </c>
      <c r="B350" s="5" t="s">
        <v>621</v>
      </c>
      <c r="C350" s="5" t="s">
        <v>1209</v>
      </c>
      <c r="D350" s="7">
        <v>1.0</v>
      </c>
      <c r="E350" s="6">
        <v>46018.46875</v>
      </c>
      <c r="F350" s="5" t="s">
        <v>1221</v>
      </c>
    </row>
    <row r="351">
      <c r="A351" s="5">
        <v>7.006027017E9</v>
      </c>
      <c r="B351" s="5" t="s">
        <v>622</v>
      </c>
      <c r="C351" s="5" t="s">
        <v>1209</v>
      </c>
      <c r="D351" s="7">
        <v>1.0</v>
      </c>
      <c r="E351" s="6">
        <v>46018.46875</v>
      </c>
      <c r="F351" s="5" t="s">
        <v>1221</v>
      </c>
    </row>
    <row r="352">
      <c r="A352" s="5">
        <v>7.739146597E9</v>
      </c>
      <c r="B352" s="5" t="s">
        <v>623</v>
      </c>
      <c r="C352" s="5" t="s">
        <v>1209</v>
      </c>
      <c r="D352" s="7">
        <v>1.0</v>
      </c>
      <c r="E352" s="6">
        <v>46018.46875</v>
      </c>
      <c r="F352" s="5" t="s">
        <v>1221</v>
      </c>
    </row>
    <row r="353">
      <c r="A353" s="5">
        <v>9.654632324E9</v>
      </c>
      <c r="B353" s="5" t="s">
        <v>1255</v>
      </c>
      <c r="C353" s="5" t="s">
        <v>1209</v>
      </c>
      <c r="D353" s="7">
        <v>1.0</v>
      </c>
      <c r="E353" s="6">
        <v>46018.46875</v>
      </c>
      <c r="F353" s="5" t="s">
        <v>1221</v>
      </c>
    </row>
    <row r="354">
      <c r="A354" s="5">
        <v>9.873245333E9</v>
      </c>
      <c r="B354" s="5" t="s">
        <v>133</v>
      </c>
      <c r="C354" s="5" t="s">
        <v>1209</v>
      </c>
      <c r="D354" s="7">
        <v>1.0</v>
      </c>
      <c r="E354" s="6">
        <v>46018.46875</v>
      </c>
      <c r="F354" s="5" t="s">
        <v>1221</v>
      </c>
    </row>
    <row r="355">
      <c r="A355" s="5">
        <v>8.839886774E9</v>
      </c>
      <c r="B355" s="5" t="s">
        <v>625</v>
      </c>
      <c r="C355" s="5" t="s">
        <v>1209</v>
      </c>
      <c r="D355" s="7">
        <v>1.0</v>
      </c>
      <c r="E355" s="6">
        <v>46018.46875</v>
      </c>
      <c r="F355" s="5" t="s">
        <v>1221</v>
      </c>
    </row>
    <row r="356">
      <c r="A356" s="5">
        <v>9.797406789E9</v>
      </c>
      <c r="B356" s="5" t="s">
        <v>626</v>
      </c>
      <c r="C356" s="5" t="s">
        <v>1209</v>
      </c>
      <c r="D356" s="7">
        <v>1.0</v>
      </c>
      <c r="E356" s="6">
        <v>46018.46875</v>
      </c>
      <c r="F356" s="5" t="s">
        <v>1221</v>
      </c>
    </row>
    <row r="357">
      <c r="A357" s="5">
        <v>8.130477446E9</v>
      </c>
      <c r="B357" s="5" t="s">
        <v>135</v>
      </c>
      <c r="C357" s="5" t="s">
        <v>1209</v>
      </c>
      <c r="D357" s="7">
        <v>1.0</v>
      </c>
      <c r="E357" s="6">
        <v>46018.46875</v>
      </c>
      <c r="F357" s="5" t="s">
        <v>1221</v>
      </c>
    </row>
    <row r="358">
      <c r="A358" s="5">
        <v>9.560184299E9</v>
      </c>
      <c r="B358" s="5" t="s">
        <v>627</v>
      </c>
      <c r="C358" s="5" t="s">
        <v>1209</v>
      </c>
      <c r="D358" s="7">
        <v>1.0</v>
      </c>
      <c r="E358" s="6">
        <v>46018.46875</v>
      </c>
      <c r="F358" s="5" t="s">
        <v>1221</v>
      </c>
    </row>
    <row r="359">
      <c r="A359" s="5">
        <v>9.453263463E9</v>
      </c>
      <c r="B359" s="5" t="s">
        <v>628</v>
      </c>
      <c r="C359" s="5" t="s">
        <v>1209</v>
      </c>
      <c r="D359" s="7">
        <v>1.0</v>
      </c>
      <c r="E359" s="6">
        <v>46018.46875</v>
      </c>
      <c r="F359" s="5" t="s">
        <v>1221</v>
      </c>
    </row>
    <row r="360">
      <c r="A360" s="5">
        <v>8.307241298E9</v>
      </c>
      <c r="B360" s="5" t="s">
        <v>629</v>
      </c>
      <c r="C360" s="5" t="s">
        <v>1209</v>
      </c>
      <c r="D360" s="7">
        <v>1.0</v>
      </c>
      <c r="E360" s="6">
        <v>46018.46875</v>
      </c>
      <c r="F360" s="5" t="s">
        <v>1221</v>
      </c>
    </row>
    <row r="361">
      <c r="A361" s="5">
        <v>8.92009204E9</v>
      </c>
      <c r="B361" s="5" t="s">
        <v>630</v>
      </c>
      <c r="C361" s="5" t="s">
        <v>1209</v>
      </c>
      <c r="D361" s="7">
        <v>1.0</v>
      </c>
      <c r="E361" s="6">
        <v>46018.46875</v>
      </c>
      <c r="F361" s="5" t="s">
        <v>1221</v>
      </c>
    </row>
    <row r="362">
      <c r="A362" s="5">
        <v>9.069461111E9</v>
      </c>
      <c r="B362" s="5" t="s">
        <v>1256</v>
      </c>
      <c r="C362" s="5" t="s">
        <v>1209</v>
      </c>
      <c r="D362" s="7">
        <v>1.0</v>
      </c>
      <c r="E362" s="6">
        <v>46018.46875</v>
      </c>
      <c r="F362" s="5" t="s">
        <v>1221</v>
      </c>
    </row>
    <row r="363">
      <c r="A363" s="5">
        <v>9.871939022E9</v>
      </c>
      <c r="B363" s="5" t="s">
        <v>137</v>
      </c>
      <c r="C363" s="5" t="s">
        <v>1209</v>
      </c>
      <c r="D363" s="7">
        <v>1.0</v>
      </c>
      <c r="E363" s="6">
        <v>46018.46875</v>
      </c>
      <c r="F363" s="5" t="s">
        <v>1221</v>
      </c>
    </row>
    <row r="364">
      <c r="A364" s="5">
        <v>9.711538399E9</v>
      </c>
      <c r="B364" s="5" t="s">
        <v>632</v>
      </c>
      <c r="C364" s="5" t="s">
        <v>1209</v>
      </c>
      <c r="D364" s="7">
        <v>1.0</v>
      </c>
      <c r="E364" s="6">
        <v>46018.46875</v>
      </c>
      <c r="F364" s="5" t="s">
        <v>1221</v>
      </c>
    </row>
    <row r="365">
      <c r="A365" s="5">
        <v>9.319387993E9</v>
      </c>
      <c r="B365" s="5" t="s">
        <v>633</v>
      </c>
      <c r="C365" s="5" t="s">
        <v>1209</v>
      </c>
      <c r="D365" s="7">
        <v>1.0</v>
      </c>
      <c r="E365" s="6">
        <v>46018.46875</v>
      </c>
      <c r="F365" s="5" t="s">
        <v>1221</v>
      </c>
    </row>
    <row r="366">
      <c r="A366" s="5">
        <v>9.971250669E9</v>
      </c>
      <c r="B366" s="5" t="s">
        <v>634</v>
      </c>
      <c r="C366" s="5" t="s">
        <v>1209</v>
      </c>
      <c r="D366" s="7">
        <v>1.0</v>
      </c>
      <c r="E366" s="6">
        <v>46018.46875</v>
      </c>
      <c r="F366" s="5" t="s">
        <v>1221</v>
      </c>
    </row>
    <row r="367">
      <c r="A367" s="5">
        <v>9.81037529E9</v>
      </c>
      <c r="B367" s="5" t="s">
        <v>635</v>
      </c>
      <c r="C367" s="5" t="s">
        <v>1209</v>
      </c>
      <c r="D367" s="7">
        <v>1.0</v>
      </c>
      <c r="E367" s="6">
        <v>46018.46875</v>
      </c>
      <c r="F367" s="5" t="s">
        <v>1221</v>
      </c>
    </row>
    <row r="368">
      <c r="A368" s="5">
        <v>9.911958928E9</v>
      </c>
      <c r="B368" s="5" t="s">
        <v>139</v>
      </c>
      <c r="C368" s="5" t="s">
        <v>1209</v>
      </c>
      <c r="D368" s="7">
        <v>1.0</v>
      </c>
      <c r="E368" s="6">
        <v>46018.46875</v>
      </c>
      <c r="F368" s="5" t="s">
        <v>1221</v>
      </c>
    </row>
    <row r="369">
      <c r="A369" s="5">
        <v>9.818944004E9</v>
      </c>
      <c r="B369" s="5" t="s">
        <v>226</v>
      </c>
      <c r="C369" s="5" t="s">
        <v>1209</v>
      </c>
      <c r="D369" s="7">
        <v>1.0</v>
      </c>
      <c r="E369" s="6">
        <v>46018.46875</v>
      </c>
      <c r="F369" s="5" t="s">
        <v>1221</v>
      </c>
    </row>
    <row r="370">
      <c r="A370" s="5">
        <v>9.811900815E9</v>
      </c>
      <c r="B370" s="5" t="s">
        <v>141</v>
      </c>
      <c r="C370" s="5" t="s">
        <v>1209</v>
      </c>
      <c r="D370" s="7">
        <v>1.0</v>
      </c>
      <c r="E370" s="6">
        <v>46018.46875</v>
      </c>
      <c r="F370" s="5" t="s">
        <v>1221</v>
      </c>
    </row>
    <row r="371">
      <c r="A371" s="5">
        <v>9.350104257E9</v>
      </c>
      <c r="B371" s="5" t="s">
        <v>143</v>
      </c>
      <c r="C371" s="5" t="s">
        <v>1209</v>
      </c>
      <c r="D371" s="7">
        <v>1.0</v>
      </c>
      <c r="E371" s="6">
        <v>46018.46875</v>
      </c>
      <c r="F371" s="5" t="s">
        <v>1221</v>
      </c>
    </row>
    <row r="372">
      <c r="A372" s="5">
        <v>8.920351205E9</v>
      </c>
      <c r="B372" s="5" t="s">
        <v>636</v>
      </c>
      <c r="C372" s="5" t="s">
        <v>1209</v>
      </c>
      <c r="D372" s="7">
        <v>1.0</v>
      </c>
      <c r="E372" s="6">
        <v>46018.46875</v>
      </c>
      <c r="F372" s="5" t="s">
        <v>1221</v>
      </c>
    </row>
    <row r="373">
      <c r="A373" s="5">
        <v>8.486193617E9</v>
      </c>
      <c r="B373" s="5" t="s">
        <v>549</v>
      </c>
      <c r="C373" s="5" t="s">
        <v>1209</v>
      </c>
      <c r="D373" s="7">
        <v>1.0</v>
      </c>
      <c r="E373" s="6">
        <v>46018.46875</v>
      </c>
      <c r="F373" s="5" t="s">
        <v>1221</v>
      </c>
    </row>
    <row r="374">
      <c r="A374" s="5">
        <v>9.821182914E9</v>
      </c>
      <c r="B374" s="5" t="s">
        <v>408</v>
      </c>
      <c r="C374" s="5" t="s">
        <v>1209</v>
      </c>
      <c r="D374" s="7">
        <v>1.0</v>
      </c>
      <c r="E374" s="6">
        <v>46018.46875</v>
      </c>
      <c r="F374" s="5" t="s">
        <v>1221</v>
      </c>
    </row>
    <row r="375">
      <c r="A375" s="5">
        <v>9.911160469E9</v>
      </c>
      <c r="B375" s="5" t="s">
        <v>637</v>
      </c>
      <c r="C375" s="5" t="s">
        <v>1209</v>
      </c>
      <c r="D375" s="7">
        <v>1.0</v>
      </c>
      <c r="E375" s="6">
        <v>46018.46875</v>
      </c>
      <c r="F375" s="5" t="s">
        <v>1221</v>
      </c>
    </row>
    <row r="376">
      <c r="A376" s="5">
        <v>9.515668308E9</v>
      </c>
      <c r="B376" s="5" t="s">
        <v>408</v>
      </c>
      <c r="C376" s="5" t="s">
        <v>1209</v>
      </c>
      <c r="D376" s="7">
        <v>1.0</v>
      </c>
      <c r="E376" s="6">
        <v>46018.46875</v>
      </c>
      <c r="F376" s="5" t="s">
        <v>1221</v>
      </c>
    </row>
    <row r="377">
      <c r="A377" s="5">
        <v>8.470070705E9</v>
      </c>
      <c r="B377" s="5" t="s">
        <v>372</v>
      </c>
      <c r="C377" s="5" t="s">
        <v>1209</v>
      </c>
      <c r="D377" s="7">
        <v>1.0</v>
      </c>
      <c r="E377" s="6">
        <v>46018.46875</v>
      </c>
      <c r="F377" s="5" t="s">
        <v>1221</v>
      </c>
    </row>
    <row r="378">
      <c r="A378" s="5">
        <v>9.654814132E9</v>
      </c>
      <c r="B378" s="5" t="s">
        <v>638</v>
      </c>
      <c r="C378" s="5" t="s">
        <v>1209</v>
      </c>
      <c r="D378" s="7">
        <v>1.0</v>
      </c>
      <c r="E378" s="6">
        <v>46018.46875</v>
      </c>
      <c r="F378" s="5" t="s">
        <v>1221</v>
      </c>
    </row>
    <row r="379">
      <c r="A379" s="5">
        <v>9.811949803E9</v>
      </c>
      <c r="B379" s="5" t="s">
        <v>639</v>
      </c>
      <c r="C379" s="5" t="s">
        <v>1209</v>
      </c>
      <c r="D379" s="7">
        <v>1.0</v>
      </c>
      <c r="E379" s="6">
        <v>46018.46875</v>
      </c>
      <c r="F379" s="5" t="s">
        <v>1221</v>
      </c>
    </row>
    <row r="380">
      <c r="A380" s="5">
        <v>9.560298034E9</v>
      </c>
      <c r="B380" s="5" t="s">
        <v>1257</v>
      </c>
      <c r="C380" s="5" t="s">
        <v>1209</v>
      </c>
      <c r="D380" s="7">
        <v>1.0</v>
      </c>
      <c r="E380" s="6">
        <v>46018.46875</v>
      </c>
      <c r="F380" s="5" t="s">
        <v>1221</v>
      </c>
    </row>
    <row r="381">
      <c r="A381" s="5">
        <v>9.899284144E9</v>
      </c>
      <c r="B381" s="5" t="s">
        <v>641</v>
      </c>
      <c r="C381" s="5" t="s">
        <v>1209</v>
      </c>
      <c r="D381" s="7">
        <v>1.0</v>
      </c>
      <c r="E381" s="6">
        <v>46018.46875</v>
      </c>
      <c r="F381" s="5" t="s">
        <v>1221</v>
      </c>
    </row>
    <row r="382">
      <c r="A382" s="5">
        <v>8.860014378E9</v>
      </c>
      <c r="B382" s="5" t="s">
        <v>642</v>
      </c>
      <c r="C382" s="5" t="s">
        <v>1209</v>
      </c>
      <c r="D382" s="7">
        <v>1.0</v>
      </c>
      <c r="E382" s="6">
        <v>46018.46875</v>
      </c>
      <c r="F382" s="5" t="s">
        <v>1221</v>
      </c>
    </row>
    <row r="383">
      <c r="A383" s="5">
        <v>9.990213737E9</v>
      </c>
      <c r="B383" s="5" t="s">
        <v>643</v>
      </c>
      <c r="C383" s="5" t="s">
        <v>1209</v>
      </c>
      <c r="D383" s="7">
        <v>1.0</v>
      </c>
      <c r="E383" s="6">
        <v>46018.46875</v>
      </c>
      <c r="F383" s="5" t="s">
        <v>1221</v>
      </c>
    </row>
    <row r="384">
      <c r="A384" s="5">
        <v>9.506540778E9</v>
      </c>
      <c r="B384" s="5" t="s">
        <v>644</v>
      </c>
      <c r="C384" s="5" t="s">
        <v>1209</v>
      </c>
      <c r="D384" s="7">
        <v>1.0</v>
      </c>
      <c r="E384" s="6">
        <v>46018.46875</v>
      </c>
      <c r="F384" s="5" t="s">
        <v>1221</v>
      </c>
    </row>
    <row r="385">
      <c r="A385" s="5">
        <v>8.084432596E9</v>
      </c>
      <c r="B385" s="5" t="s">
        <v>645</v>
      </c>
      <c r="C385" s="5" t="s">
        <v>1209</v>
      </c>
      <c r="D385" s="7">
        <v>1.0</v>
      </c>
      <c r="E385" s="6">
        <v>46018.46875</v>
      </c>
      <c r="F385" s="5" t="s">
        <v>1221</v>
      </c>
    </row>
    <row r="386">
      <c r="A386" s="5">
        <v>9.953832021E9</v>
      </c>
      <c r="B386" s="5" t="s">
        <v>646</v>
      </c>
      <c r="C386" s="5" t="s">
        <v>1209</v>
      </c>
      <c r="D386" s="7">
        <v>1.0</v>
      </c>
      <c r="E386" s="6">
        <v>46018.46875</v>
      </c>
      <c r="F386" s="5" t="s">
        <v>1221</v>
      </c>
    </row>
    <row r="387">
      <c r="A387" s="5">
        <v>8.504863131E9</v>
      </c>
      <c r="B387" s="5" t="s">
        <v>1258</v>
      </c>
      <c r="C387" s="5" t="s">
        <v>1209</v>
      </c>
      <c r="D387" s="7">
        <v>1.0</v>
      </c>
      <c r="E387" s="6">
        <v>46018.46875</v>
      </c>
      <c r="F387" s="5" t="s">
        <v>1221</v>
      </c>
    </row>
    <row r="388">
      <c r="A388" s="5">
        <v>9.811252166E9</v>
      </c>
      <c r="B388" s="5" t="s">
        <v>1259</v>
      </c>
      <c r="C388" s="5" t="s">
        <v>1209</v>
      </c>
      <c r="D388" s="7">
        <v>1.0</v>
      </c>
      <c r="E388" s="6">
        <v>46018.46875</v>
      </c>
      <c r="F388" s="5" t="s">
        <v>1221</v>
      </c>
    </row>
    <row r="389">
      <c r="A389" s="5">
        <v>8.758014309E9</v>
      </c>
      <c r="B389" s="5" t="s">
        <v>648</v>
      </c>
      <c r="C389" s="5" t="s">
        <v>1209</v>
      </c>
      <c r="D389" s="7">
        <v>1.0</v>
      </c>
      <c r="E389" s="6">
        <v>46018.46875</v>
      </c>
      <c r="F389" s="5" t="s">
        <v>1221</v>
      </c>
    </row>
    <row r="390">
      <c r="A390" s="5">
        <v>8.800206494E9</v>
      </c>
      <c r="B390" s="5" t="s">
        <v>649</v>
      </c>
      <c r="C390" s="5" t="s">
        <v>1209</v>
      </c>
      <c r="D390" s="7">
        <v>1.0</v>
      </c>
      <c r="E390" s="6">
        <v>46018.46875</v>
      </c>
      <c r="F390" s="5" t="s">
        <v>1221</v>
      </c>
    </row>
    <row r="391">
      <c r="A391" s="5">
        <v>9.911958929E9</v>
      </c>
      <c r="B391" s="5" t="s">
        <v>139</v>
      </c>
      <c r="C391" s="5" t="s">
        <v>1209</v>
      </c>
      <c r="D391" s="7">
        <v>1.0</v>
      </c>
      <c r="E391" s="6">
        <v>46018.46875</v>
      </c>
      <c r="F391" s="5" t="s">
        <v>1221</v>
      </c>
    </row>
    <row r="392">
      <c r="A392" s="5">
        <v>8.130420203E9</v>
      </c>
      <c r="B392" s="5" t="s">
        <v>650</v>
      </c>
      <c r="C392" s="5" t="s">
        <v>1209</v>
      </c>
      <c r="D392" s="7">
        <v>1.0</v>
      </c>
      <c r="E392" s="6">
        <v>46018.46875</v>
      </c>
      <c r="F392" s="5" t="s">
        <v>1221</v>
      </c>
    </row>
    <row r="393">
      <c r="A393" s="5">
        <v>9.873670646E9</v>
      </c>
      <c r="B393" s="5" t="s">
        <v>433</v>
      </c>
      <c r="C393" s="5" t="s">
        <v>1209</v>
      </c>
      <c r="D393" s="7">
        <v>1.0</v>
      </c>
      <c r="E393" s="6">
        <v>46018.46875</v>
      </c>
      <c r="F393" s="5" t="s">
        <v>1221</v>
      </c>
    </row>
    <row r="394">
      <c r="A394" s="5">
        <v>9.711166793E9</v>
      </c>
      <c r="B394" s="5" t="s">
        <v>651</v>
      </c>
      <c r="C394" s="5" t="s">
        <v>1209</v>
      </c>
      <c r="D394" s="7">
        <v>1.0</v>
      </c>
      <c r="E394" s="6">
        <v>46018.46875</v>
      </c>
      <c r="F394" s="5" t="s">
        <v>1221</v>
      </c>
    </row>
    <row r="395">
      <c r="A395" s="5">
        <v>9.990464596E9</v>
      </c>
      <c r="B395" s="5" t="s">
        <v>652</v>
      </c>
      <c r="C395" s="5" t="s">
        <v>1209</v>
      </c>
      <c r="D395" s="7">
        <v>1.0</v>
      </c>
      <c r="E395" s="6">
        <v>46018.46875</v>
      </c>
      <c r="F395" s="5" t="s">
        <v>1221</v>
      </c>
    </row>
    <row r="396">
      <c r="A396" s="5">
        <v>9.560984299E9</v>
      </c>
      <c r="B396" s="5" t="s">
        <v>1260</v>
      </c>
      <c r="C396" s="5" t="s">
        <v>1209</v>
      </c>
      <c r="D396" s="7">
        <v>1.0</v>
      </c>
      <c r="E396" s="6">
        <v>46018.46875</v>
      </c>
      <c r="F396" s="5" t="s">
        <v>1221</v>
      </c>
    </row>
    <row r="397">
      <c r="A397" s="5">
        <v>9.818238387E9</v>
      </c>
      <c r="B397" s="5" t="s">
        <v>147</v>
      </c>
      <c r="C397" s="5" t="s">
        <v>1209</v>
      </c>
      <c r="D397" s="7">
        <v>1.0</v>
      </c>
      <c r="E397" s="6">
        <v>46018.46875</v>
      </c>
      <c r="F397" s="5" t="s">
        <v>1221</v>
      </c>
    </row>
    <row r="398">
      <c r="A398" s="5">
        <v>9.999347471E9</v>
      </c>
      <c r="B398" s="5" t="s">
        <v>654</v>
      </c>
      <c r="C398" s="5" t="s">
        <v>1209</v>
      </c>
      <c r="D398" s="7">
        <v>1.0</v>
      </c>
      <c r="E398" s="6">
        <v>46018.46875</v>
      </c>
      <c r="F398" s="5" t="s">
        <v>1221</v>
      </c>
    </row>
    <row r="399">
      <c r="A399" s="5">
        <v>9.311425509E9</v>
      </c>
      <c r="B399" s="5" t="s">
        <v>85</v>
      </c>
      <c r="C399" s="5" t="s">
        <v>1209</v>
      </c>
      <c r="D399" s="7">
        <v>1.0</v>
      </c>
      <c r="E399" s="6">
        <v>46018.46875</v>
      </c>
      <c r="F399" s="5" t="s">
        <v>1221</v>
      </c>
    </row>
    <row r="400">
      <c r="A400" s="5">
        <v>9.910812E9</v>
      </c>
      <c r="B400" s="5" t="s">
        <v>433</v>
      </c>
      <c r="C400" s="5" t="s">
        <v>1209</v>
      </c>
      <c r="D400" s="7">
        <v>1.0</v>
      </c>
      <c r="E400" s="6">
        <v>46018.46875</v>
      </c>
      <c r="F400" s="5" t="s">
        <v>1221</v>
      </c>
    </row>
    <row r="401">
      <c r="A401" s="5">
        <v>8.742910331E9</v>
      </c>
      <c r="B401" s="5" t="s">
        <v>655</v>
      </c>
      <c r="C401" s="5" t="s">
        <v>1209</v>
      </c>
      <c r="D401" s="7">
        <v>1.0</v>
      </c>
      <c r="E401" s="6">
        <v>46018.46875</v>
      </c>
      <c r="F401" s="5" t="s">
        <v>1221</v>
      </c>
    </row>
    <row r="402">
      <c r="A402" s="5">
        <v>9.999943184E9</v>
      </c>
      <c r="B402" s="5" t="s">
        <v>656</v>
      </c>
      <c r="C402" s="5" t="s">
        <v>1209</v>
      </c>
      <c r="D402" s="7">
        <v>1.0</v>
      </c>
      <c r="E402" s="6">
        <v>46018.46875</v>
      </c>
      <c r="F402" s="5" t="s">
        <v>1221</v>
      </c>
    </row>
    <row r="403">
      <c r="A403" s="5">
        <v>6.398952967E9</v>
      </c>
      <c r="B403" s="5" t="s">
        <v>657</v>
      </c>
      <c r="C403" s="5" t="s">
        <v>1209</v>
      </c>
      <c r="D403" s="7">
        <v>1.0</v>
      </c>
      <c r="E403" s="6">
        <v>46018.46875</v>
      </c>
      <c r="F403" s="5" t="s">
        <v>1221</v>
      </c>
    </row>
    <row r="404">
      <c r="A404" s="5">
        <v>8.130996054E9</v>
      </c>
      <c r="B404" s="5" t="s">
        <v>658</v>
      </c>
      <c r="C404" s="5" t="s">
        <v>1209</v>
      </c>
      <c r="D404" s="7">
        <v>1.0</v>
      </c>
      <c r="E404" s="6">
        <v>46018.46875</v>
      </c>
      <c r="F404" s="5" t="s">
        <v>1221</v>
      </c>
    </row>
    <row r="405">
      <c r="A405" s="5">
        <v>9.310948529E9</v>
      </c>
      <c r="B405" s="5" t="s">
        <v>39</v>
      </c>
      <c r="C405" s="5" t="s">
        <v>1209</v>
      </c>
      <c r="D405" s="7">
        <v>1.0</v>
      </c>
      <c r="E405" s="6">
        <v>46018.46875</v>
      </c>
      <c r="F405" s="5" t="s">
        <v>1221</v>
      </c>
    </row>
    <row r="406">
      <c r="A406" s="5">
        <v>9.43160504E9</v>
      </c>
      <c r="B406" s="5" t="s">
        <v>659</v>
      </c>
      <c r="C406" s="5" t="s">
        <v>1209</v>
      </c>
      <c r="D406" s="7">
        <v>1.0</v>
      </c>
      <c r="E406" s="6">
        <v>46018.46875</v>
      </c>
      <c r="F406" s="5" t="s">
        <v>1221</v>
      </c>
    </row>
    <row r="407">
      <c r="A407" s="5">
        <v>9.868258081E9</v>
      </c>
      <c r="B407" s="5" t="s">
        <v>77</v>
      </c>
      <c r="C407" s="5" t="s">
        <v>1209</v>
      </c>
      <c r="D407" s="7">
        <v>1.0</v>
      </c>
      <c r="E407" s="6">
        <v>46018.46875</v>
      </c>
      <c r="F407" s="5" t="s">
        <v>1221</v>
      </c>
    </row>
    <row r="408">
      <c r="A408" s="5">
        <v>7.838722791E9</v>
      </c>
      <c r="B408" s="5" t="s">
        <v>226</v>
      </c>
      <c r="C408" s="5" t="s">
        <v>1209</v>
      </c>
      <c r="D408" s="7">
        <v>1.0</v>
      </c>
      <c r="E408" s="6">
        <v>46018.46875</v>
      </c>
      <c r="F408" s="5" t="s">
        <v>1221</v>
      </c>
    </row>
    <row r="409">
      <c r="A409" s="5">
        <v>9.873085145E9</v>
      </c>
      <c r="B409" s="5" t="s">
        <v>193</v>
      </c>
      <c r="C409" s="5" t="s">
        <v>1209</v>
      </c>
      <c r="D409" s="7">
        <v>1.0</v>
      </c>
      <c r="E409" s="6">
        <v>46018.46875</v>
      </c>
      <c r="F409" s="5" t="s">
        <v>1221</v>
      </c>
    </row>
    <row r="410">
      <c r="A410" s="5">
        <v>8.527616025E9</v>
      </c>
      <c r="B410" s="5" t="s">
        <v>149</v>
      </c>
      <c r="C410" s="5" t="s">
        <v>1209</v>
      </c>
      <c r="D410" s="7">
        <v>1.0</v>
      </c>
      <c r="E410" s="6">
        <v>46018.46875</v>
      </c>
      <c r="F410" s="5" t="s">
        <v>1221</v>
      </c>
    </row>
    <row r="411">
      <c r="A411" s="5">
        <v>8.287611915E9</v>
      </c>
      <c r="B411" s="5" t="s">
        <v>593</v>
      </c>
      <c r="C411" s="5" t="s">
        <v>1209</v>
      </c>
      <c r="D411" s="7">
        <v>1.0</v>
      </c>
      <c r="E411" s="6">
        <v>46018.46875</v>
      </c>
      <c r="F411" s="5" t="s">
        <v>1221</v>
      </c>
    </row>
    <row r="412">
      <c r="A412" s="5">
        <v>9.587100401E9</v>
      </c>
      <c r="B412" s="5" t="s">
        <v>660</v>
      </c>
      <c r="C412" s="5" t="s">
        <v>1209</v>
      </c>
      <c r="D412" s="7">
        <v>1.0</v>
      </c>
      <c r="E412" s="6">
        <v>46018.46875</v>
      </c>
      <c r="F412" s="5" t="s">
        <v>1221</v>
      </c>
    </row>
    <row r="413">
      <c r="A413" s="5">
        <v>9.811339422E9</v>
      </c>
      <c r="B413" s="5" t="s">
        <v>661</v>
      </c>
      <c r="C413" s="5" t="s">
        <v>1209</v>
      </c>
      <c r="D413" s="7">
        <v>1.0</v>
      </c>
      <c r="E413" s="6">
        <v>46018.46875</v>
      </c>
      <c r="F413" s="5" t="s">
        <v>1221</v>
      </c>
    </row>
    <row r="414">
      <c r="A414" s="5">
        <v>9.953148227E9</v>
      </c>
      <c r="B414" s="5" t="s">
        <v>662</v>
      </c>
      <c r="C414" s="5" t="s">
        <v>1209</v>
      </c>
      <c r="D414" s="7">
        <v>1.0</v>
      </c>
      <c r="E414" s="6">
        <v>46018.46875</v>
      </c>
      <c r="F414" s="5" t="s">
        <v>1221</v>
      </c>
    </row>
    <row r="415">
      <c r="A415" s="5">
        <v>7.01185442E9</v>
      </c>
      <c r="B415" s="5" t="s">
        <v>663</v>
      </c>
      <c r="C415" s="5" t="s">
        <v>1209</v>
      </c>
      <c r="D415" s="7">
        <v>1.0</v>
      </c>
      <c r="E415" s="6">
        <v>46018.46875</v>
      </c>
      <c r="F415" s="5" t="s">
        <v>1221</v>
      </c>
    </row>
    <row r="416">
      <c r="A416" s="5">
        <v>9.811086725E9</v>
      </c>
      <c r="B416" s="5" t="s">
        <v>664</v>
      </c>
      <c r="C416" s="5" t="s">
        <v>1209</v>
      </c>
      <c r="D416" s="7">
        <v>1.0</v>
      </c>
      <c r="E416" s="6">
        <v>46018.46875</v>
      </c>
      <c r="F416" s="5" t="s">
        <v>1221</v>
      </c>
    </row>
    <row r="417">
      <c r="A417" s="5">
        <v>7.838020076E9</v>
      </c>
      <c r="B417" s="5" t="s">
        <v>520</v>
      </c>
      <c r="C417" s="5" t="s">
        <v>1209</v>
      </c>
      <c r="D417" s="7">
        <v>1.0</v>
      </c>
      <c r="E417" s="6">
        <v>46018.46875</v>
      </c>
      <c r="F417" s="5" t="s">
        <v>1221</v>
      </c>
    </row>
    <row r="418">
      <c r="A418" s="5">
        <v>8.082078372E9</v>
      </c>
      <c r="B418" s="5" t="s">
        <v>665</v>
      </c>
      <c r="C418" s="5" t="s">
        <v>1209</v>
      </c>
      <c r="D418" s="7">
        <v>1.0</v>
      </c>
      <c r="E418" s="6">
        <v>46018.46875</v>
      </c>
      <c r="F418" s="5" t="s">
        <v>1221</v>
      </c>
    </row>
    <row r="419">
      <c r="A419" s="5">
        <v>9.999853555E9</v>
      </c>
      <c r="B419" s="5" t="s">
        <v>547</v>
      </c>
      <c r="C419" s="5" t="s">
        <v>1209</v>
      </c>
      <c r="D419" s="7">
        <v>1.0</v>
      </c>
      <c r="E419" s="6">
        <v>46018.46875</v>
      </c>
      <c r="F419" s="5" t="s">
        <v>1221</v>
      </c>
    </row>
    <row r="420">
      <c r="A420" s="5">
        <v>9.910389061E9</v>
      </c>
      <c r="B420" s="5" t="s">
        <v>666</v>
      </c>
      <c r="C420" s="5" t="s">
        <v>1209</v>
      </c>
      <c r="D420" s="7">
        <v>1.0</v>
      </c>
      <c r="E420" s="6">
        <v>46018.46875</v>
      </c>
      <c r="F420" s="5" t="s">
        <v>1221</v>
      </c>
    </row>
    <row r="421">
      <c r="A421" s="5">
        <v>9.310530559E9</v>
      </c>
      <c r="B421" s="5" t="s">
        <v>151</v>
      </c>
      <c r="C421" s="5" t="s">
        <v>1209</v>
      </c>
      <c r="D421" s="7">
        <v>1.0</v>
      </c>
      <c r="E421" s="6">
        <v>46018.46875</v>
      </c>
      <c r="F421" s="5" t="s">
        <v>1221</v>
      </c>
    </row>
    <row r="422">
      <c r="A422" s="5">
        <v>7.006979404E9</v>
      </c>
      <c r="B422" s="5" t="s">
        <v>667</v>
      </c>
      <c r="C422" s="5" t="s">
        <v>1209</v>
      </c>
      <c r="D422" s="7">
        <v>1.0</v>
      </c>
      <c r="E422" s="6">
        <v>46018.46875</v>
      </c>
      <c r="F422" s="5" t="s">
        <v>1221</v>
      </c>
    </row>
    <row r="423">
      <c r="A423" s="5">
        <v>9.811575161E9</v>
      </c>
      <c r="B423" s="5" t="s">
        <v>668</v>
      </c>
      <c r="C423" s="5" t="s">
        <v>1209</v>
      </c>
      <c r="D423" s="7">
        <v>1.0</v>
      </c>
      <c r="E423" s="6">
        <v>46018.46875</v>
      </c>
      <c r="F423" s="5" t="s">
        <v>1221</v>
      </c>
    </row>
    <row r="424">
      <c r="A424" s="5">
        <v>9.810345791E9</v>
      </c>
      <c r="B424" s="5" t="s">
        <v>669</v>
      </c>
      <c r="C424" s="5" t="s">
        <v>1209</v>
      </c>
      <c r="D424" s="7">
        <v>1.0</v>
      </c>
      <c r="E424" s="6">
        <v>46018.46875</v>
      </c>
      <c r="F424" s="5" t="s">
        <v>1221</v>
      </c>
    </row>
    <row r="425">
      <c r="A425" s="5">
        <v>8.800650505E9</v>
      </c>
      <c r="B425" s="5" t="s">
        <v>670</v>
      </c>
      <c r="C425" s="5" t="s">
        <v>1209</v>
      </c>
      <c r="D425" s="7">
        <v>1.0</v>
      </c>
      <c r="E425" s="6">
        <v>46018.46875</v>
      </c>
      <c r="F425" s="5" t="s">
        <v>1221</v>
      </c>
    </row>
    <row r="426">
      <c r="A426" s="5">
        <v>9.811292152E9</v>
      </c>
      <c r="B426" s="5" t="s">
        <v>1261</v>
      </c>
      <c r="C426" s="5" t="s">
        <v>1209</v>
      </c>
      <c r="D426" s="7">
        <v>1.0</v>
      </c>
      <c r="E426" s="6">
        <v>46018.46875</v>
      </c>
      <c r="F426" s="5" t="s">
        <v>1221</v>
      </c>
    </row>
    <row r="427">
      <c r="A427" s="5">
        <v>8.287868503E9</v>
      </c>
      <c r="B427" s="5" t="s">
        <v>1224</v>
      </c>
      <c r="C427" s="5" t="s">
        <v>1209</v>
      </c>
      <c r="D427" s="7">
        <v>1.0</v>
      </c>
      <c r="E427" s="6">
        <v>46018.46875</v>
      </c>
      <c r="F427" s="5" t="s">
        <v>1221</v>
      </c>
    </row>
    <row r="428">
      <c r="A428" s="5">
        <v>9.891338462E9</v>
      </c>
      <c r="B428" s="5" t="s">
        <v>495</v>
      </c>
      <c r="C428" s="5" t="s">
        <v>1209</v>
      </c>
      <c r="D428" s="7">
        <v>1.0</v>
      </c>
      <c r="E428" s="6">
        <v>46018.46875</v>
      </c>
      <c r="F428" s="5" t="s">
        <v>1221</v>
      </c>
    </row>
    <row r="429">
      <c r="A429" s="5">
        <v>9.891300076E9</v>
      </c>
      <c r="B429" s="5" t="s">
        <v>1262</v>
      </c>
      <c r="C429" s="5" t="s">
        <v>1209</v>
      </c>
      <c r="D429" s="7">
        <v>1.0</v>
      </c>
      <c r="E429" s="6">
        <v>46018.46875</v>
      </c>
      <c r="F429" s="5" t="s">
        <v>1221</v>
      </c>
    </row>
    <row r="430">
      <c r="A430" s="5">
        <v>9.899497509E9</v>
      </c>
      <c r="B430" s="5" t="s">
        <v>672</v>
      </c>
      <c r="C430" s="5" t="s">
        <v>1209</v>
      </c>
      <c r="D430" s="7">
        <v>1.0</v>
      </c>
      <c r="E430" s="6">
        <v>46018.46875</v>
      </c>
      <c r="F430" s="5" t="s">
        <v>1221</v>
      </c>
    </row>
    <row r="431">
      <c r="A431" s="5">
        <v>8.447816333E9</v>
      </c>
      <c r="B431" s="5" t="s">
        <v>673</v>
      </c>
      <c r="C431" s="5" t="s">
        <v>1209</v>
      </c>
      <c r="D431" s="7">
        <v>1.0</v>
      </c>
      <c r="E431" s="6">
        <v>46018.46875</v>
      </c>
      <c r="F431" s="5" t="s">
        <v>1221</v>
      </c>
    </row>
    <row r="432">
      <c r="A432" s="5">
        <v>8.826436055E9</v>
      </c>
      <c r="B432" s="5" t="s">
        <v>169</v>
      </c>
      <c r="C432" s="5" t="s">
        <v>1209</v>
      </c>
      <c r="D432" s="7">
        <v>1.0</v>
      </c>
      <c r="E432" s="6">
        <v>46018.46875</v>
      </c>
      <c r="F432" s="5" t="s">
        <v>1221</v>
      </c>
    </row>
    <row r="433">
      <c r="A433" s="5">
        <v>9.990586907E9</v>
      </c>
      <c r="B433" s="5" t="s">
        <v>674</v>
      </c>
      <c r="C433" s="5" t="s">
        <v>1209</v>
      </c>
      <c r="D433" s="7">
        <v>1.0</v>
      </c>
      <c r="E433" s="6">
        <v>46018.46875</v>
      </c>
      <c r="F433" s="5" t="s">
        <v>1221</v>
      </c>
    </row>
    <row r="434">
      <c r="A434" s="5">
        <v>8.527917332E9</v>
      </c>
      <c r="B434" s="5" t="s">
        <v>675</v>
      </c>
      <c r="C434" s="5" t="s">
        <v>1209</v>
      </c>
      <c r="D434" s="7">
        <v>1.0</v>
      </c>
      <c r="E434" s="6">
        <v>46018.46875</v>
      </c>
      <c r="F434" s="5" t="s">
        <v>1221</v>
      </c>
    </row>
    <row r="435">
      <c r="A435" s="5">
        <v>7.834954915E9</v>
      </c>
      <c r="B435" s="5" t="s">
        <v>676</v>
      </c>
      <c r="C435" s="5" t="s">
        <v>1209</v>
      </c>
      <c r="D435" s="7">
        <v>1.0</v>
      </c>
      <c r="E435" s="6">
        <v>46018.46875</v>
      </c>
      <c r="F435" s="5" t="s">
        <v>1221</v>
      </c>
    </row>
    <row r="436">
      <c r="A436" s="5">
        <v>9.582142278E9</v>
      </c>
      <c r="B436" s="5" t="s">
        <v>87</v>
      </c>
      <c r="C436" s="5" t="s">
        <v>1209</v>
      </c>
      <c r="D436" s="7">
        <v>1.0</v>
      </c>
      <c r="E436" s="6">
        <v>46018.46875</v>
      </c>
      <c r="F436" s="5" t="s">
        <v>1221</v>
      </c>
    </row>
    <row r="437">
      <c r="A437" s="5">
        <v>9.810795881E9</v>
      </c>
      <c r="B437" s="5" t="s">
        <v>153</v>
      </c>
      <c r="C437" s="5" t="s">
        <v>1209</v>
      </c>
      <c r="D437" s="7">
        <v>1.0</v>
      </c>
      <c r="E437" s="6">
        <v>46018.46875</v>
      </c>
      <c r="F437" s="5" t="s">
        <v>1221</v>
      </c>
    </row>
    <row r="438">
      <c r="A438" s="5">
        <v>9.953161016E9</v>
      </c>
      <c r="B438" s="5" t="s">
        <v>677</v>
      </c>
      <c r="C438" s="5" t="s">
        <v>1209</v>
      </c>
      <c r="D438" s="7">
        <v>1.0</v>
      </c>
      <c r="E438" s="6">
        <v>46018.46875</v>
      </c>
      <c r="F438" s="5" t="s">
        <v>1221</v>
      </c>
    </row>
    <row r="439">
      <c r="A439" s="5">
        <v>9.792691959E9</v>
      </c>
      <c r="B439" s="5" t="s">
        <v>678</v>
      </c>
      <c r="C439" s="5" t="s">
        <v>1209</v>
      </c>
      <c r="D439" s="7">
        <v>1.0</v>
      </c>
      <c r="E439" s="6">
        <v>46018.46875</v>
      </c>
      <c r="F439" s="5" t="s">
        <v>1221</v>
      </c>
    </row>
    <row r="440">
      <c r="A440" s="5">
        <v>8.700269637E9</v>
      </c>
      <c r="B440" s="5" t="s">
        <v>1263</v>
      </c>
      <c r="C440" s="5" t="s">
        <v>1209</v>
      </c>
      <c r="D440" s="7">
        <v>1.0</v>
      </c>
      <c r="E440" s="6">
        <v>46018.46875</v>
      </c>
      <c r="F440" s="5" t="s">
        <v>1221</v>
      </c>
    </row>
    <row r="441">
      <c r="A441" s="5">
        <v>9.818132387E9</v>
      </c>
      <c r="B441" s="5" t="s">
        <v>680</v>
      </c>
      <c r="C441" s="5" t="s">
        <v>1209</v>
      </c>
      <c r="D441" s="7">
        <v>1.0</v>
      </c>
      <c r="E441" s="6">
        <v>46018.46875</v>
      </c>
      <c r="F441" s="5" t="s">
        <v>1221</v>
      </c>
    </row>
    <row r="442">
      <c r="A442" s="5">
        <v>7.86974689E9</v>
      </c>
      <c r="B442" s="5" t="s">
        <v>681</v>
      </c>
      <c r="C442" s="5" t="s">
        <v>1209</v>
      </c>
      <c r="D442" s="7">
        <v>1.0</v>
      </c>
      <c r="E442" s="6">
        <v>46018.46875</v>
      </c>
      <c r="F442" s="5" t="s">
        <v>1221</v>
      </c>
    </row>
    <row r="443">
      <c r="A443" s="5">
        <v>7.428116648E9</v>
      </c>
      <c r="B443" s="5" t="s">
        <v>682</v>
      </c>
      <c r="C443" s="5" t="s">
        <v>1209</v>
      </c>
      <c r="D443" s="7">
        <v>1.0</v>
      </c>
      <c r="E443" s="6">
        <v>46018.46875</v>
      </c>
      <c r="F443" s="5" t="s">
        <v>1221</v>
      </c>
    </row>
    <row r="444">
      <c r="A444" s="5">
        <v>7.903137711E9</v>
      </c>
      <c r="B444" s="5" t="s">
        <v>1264</v>
      </c>
      <c r="C444" s="5" t="s">
        <v>1209</v>
      </c>
      <c r="D444" s="7">
        <v>1.0</v>
      </c>
      <c r="E444" s="6">
        <v>46018.46875</v>
      </c>
      <c r="F444" s="5" t="s">
        <v>1221</v>
      </c>
    </row>
    <row r="445">
      <c r="A445" s="5">
        <v>9.817943109E9</v>
      </c>
      <c r="B445" s="5" t="s">
        <v>155</v>
      </c>
      <c r="C445" s="5" t="s">
        <v>1209</v>
      </c>
      <c r="D445" s="7">
        <v>1.0</v>
      </c>
      <c r="E445" s="6">
        <v>46018.46875</v>
      </c>
      <c r="F445" s="5" t="s">
        <v>1221</v>
      </c>
    </row>
    <row r="446">
      <c r="A446" s="5">
        <v>9.8103561E9</v>
      </c>
      <c r="B446" s="5" t="s">
        <v>6</v>
      </c>
      <c r="C446" s="5" t="s">
        <v>1209</v>
      </c>
      <c r="D446" s="7">
        <v>1.0</v>
      </c>
      <c r="E446" s="6">
        <v>46018.46875</v>
      </c>
      <c r="F446" s="5" t="s">
        <v>1221</v>
      </c>
    </row>
    <row r="447">
      <c r="A447" s="5">
        <v>9.811252128E9</v>
      </c>
      <c r="B447" s="5" t="s">
        <v>157</v>
      </c>
      <c r="C447" s="5" t="s">
        <v>1209</v>
      </c>
      <c r="D447" s="7">
        <v>1.0</v>
      </c>
      <c r="E447" s="6">
        <v>46018.46875</v>
      </c>
      <c r="F447" s="5" t="s">
        <v>1221</v>
      </c>
    </row>
    <row r="448">
      <c r="A448" s="5">
        <v>9.540244322E9</v>
      </c>
      <c r="B448" s="5" t="s">
        <v>683</v>
      </c>
      <c r="C448" s="5" t="s">
        <v>1209</v>
      </c>
      <c r="D448" s="7">
        <v>1.0</v>
      </c>
      <c r="E448" s="6">
        <v>46018.46875</v>
      </c>
      <c r="F448" s="5" t="s">
        <v>1221</v>
      </c>
    </row>
    <row r="449">
      <c r="A449" s="5">
        <v>6.473251266E9</v>
      </c>
      <c r="B449" s="5" t="s">
        <v>684</v>
      </c>
      <c r="C449" s="5" t="s">
        <v>1209</v>
      </c>
      <c r="D449" s="7">
        <v>1.0</v>
      </c>
      <c r="E449" s="6">
        <v>46018.46875</v>
      </c>
      <c r="F449" s="5" t="s">
        <v>1221</v>
      </c>
    </row>
    <row r="450">
      <c r="A450" s="5">
        <v>9.312672555E9</v>
      </c>
      <c r="B450" s="5" t="s">
        <v>685</v>
      </c>
      <c r="C450" s="5" t="s">
        <v>1209</v>
      </c>
      <c r="D450" s="7">
        <v>1.0</v>
      </c>
      <c r="E450" s="6">
        <v>46018.46875</v>
      </c>
      <c r="F450" s="5" t="s">
        <v>1221</v>
      </c>
    </row>
    <row r="451">
      <c r="A451" s="5">
        <v>9.971700776E9</v>
      </c>
      <c r="B451" s="5" t="s">
        <v>159</v>
      </c>
      <c r="C451" s="5" t="s">
        <v>1209</v>
      </c>
      <c r="D451" s="7">
        <v>1.0</v>
      </c>
      <c r="E451" s="6">
        <v>46018.46875</v>
      </c>
      <c r="F451" s="5" t="s">
        <v>1221</v>
      </c>
    </row>
    <row r="452">
      <c r="A452" s="5">
        <v>7.217745458E9</v>
      </c>
      <c r="B452" s="5" t="s">
        <v>686</v>
      </c>
      <c r="C452" s="5" t="s">
        <v>1209</v>
      </c>
      <c r="D452" s="7">
        <v>1.0</v>
      </c>
      <c r="E452" s="6">
        <v>46018.46875</v>
      </c>
      <c r="F452" s="5" t="s">
        <v>1221</v>
      </c>
    </row>
    <row r="453">
      <c r="A453" s="5">
        <v>9.87190605E9</v>
      </c>
      <c r="B453" s="5" t="s">
        <v>1265</v>
      </c>
      <c r="C453" s="5" t="s">
        <v>1209</v>
      </c>
      <c r="D453" s="7">
        <v>1.0</v>
      </c>
      <c r="E453" s="6">
        <v>46018.46875</v>
      </c>
      <c r="F453" s="5" t="s">
        <v>1221</v>
      </c>
    </row>
    <row r="454">
      <c r="A454" s="5">
        <v>9.354332992E9</v>
      </c>
      <c r="B454" s="5" t="s">
        <v>688</v>
      </c>
      <c r="C454" s="5" t="s">
        <v>1209</v>
      </c>
      <c r="D454" s="7">
        <v>1.0</v>
      </c>
      <c r="E454" s="6">
        <v>46018.46875</v>
      </c>
      <c r="F454" s="5" t="s">
        <v>1221</v>
      </c>
    </row>
    <row r="455">
      <c r="A455" s="5">
        <v>9.310074389E9</v>
      </c>
      <c r="B455" s="5" t="s">
        <v>689</v>
      </c>
      <c r="C455" s="5" t="s">
        <v>1209</v>
      </c>
      <c r="D455" s="7">
        <v>1.0</v>
      </c>
      <c r="E455" s="6">
        <v>46018.46875</v>
      </c>
      <c r="F455" s="5" t="s">
        <v>1221</v>
      </c>
    </row>
    <row r="456">
      <c r="A456" s="5">
        <v>9.911072166E9</v>
      </c>
      <c r="B456" s="5" t="s">
        <v>690</v>
      </c>
      <c r="C456" s="5" t="s">
        <v>1209</v>
      </c>
      <c r="D456" s="7">
        <v>1.0</v>
      </c>
      <c r="E456" s="6">
        <v>46018.46875</v>
      </c>
      <c r="F456" s="5" t="s">
        <v>1221</v>
      </c>
    </row>
    <row r="457">
      <c r="A457" s="5">
        <v>9.868149982E9</v>
      </c>
      <c r="B457" s="5" t="s">
        <v>1266</v>
      </c>
      <c r="C457" s="5" t="s">
        <v>1209</v>
      </c>
      <c r="D457" s="7">
        <v>1.0</v>
      </c>
      <c r="E457" s="6">
        <v>46018.46875</v>
      </c>
      <c r="F457" s="5" t="s">
        <v>1221</v>
      </c>
    </row>
    <row r="458">
      <c r="A458" s="5">
        <v>8.172962386E9</v>
      </c>
      <c r="B458" s="5" t="s">
        <v>465</v>
      </c>
      <c r="C458" s="5" t="s">
        <v>1209</v>
      </c>
      <c r="D458" s="7">
        <v>1.0</v>
      </c>
      <c r="E458" s="6">
        <v>46018.46875</v>
      </c>
      <c r="F458" s="5" t="s">
        <v>1221</v>
      </c>
    </row>
    <row r="459">
      <c r="A459" s="5">
        <v>9.015152292E9</v>
      </c>
      <c r="B459" s="5" t="s">
        <v>691</v>
      </c>
      <c r="C459" s="5" t="s">
        <v>1209</v>
      </c>
      <c r="D459" s="7">
        <v>1.0</v>
      </c>
      <c r="E459" s="6">
        <v>46018.46875</v>
      </c>
      <c r="F459" s="5" t="s">
        <v>1221</v>
      </c>
    </row>
    <row r="460">
      <c r="A460" s="5">
        <v>9.811120718E9</v>
      </c>
      <c r="B460" s="5" t="s">
        <v>692</v>
      </c>
      <c r="C460" s="5" t="s">
        <v>1209</v>
      </c>
      <c r="D460" s="7">
        <v>1.0</v>
      </c>
      <c r="E460" s="6">
        <v>46018.46875</v>
      </c>
      <c r="F460" s="5" t="s">
        <v>1221</v>
      </c>
    </row>
    <row r="461">
      <c r="A461" s="5">
        <v>7.02720659E9</v>
      </c>
      <c r="B461" s="5" t="s">
        <v>1267</v>
      </c>
      <c r="C461" s="5" t="s">
        <v>1209</v>
      </c>
      <c r="D461" s="7">
        <v>1.0</v>
      </c>
      <c r="E461" s="6">
        <v>46018.46875</v>
      </c>
      <c r="F461" s="5" t="s">
        <v>1221</v>
      </c>
    </row>
    <row r="462">
      <c r="A462" s="5">
        <v>8.377847975E9</v>
      </c>
      <c r="B462" s="5" t="s">
        <v>1268</v>
      </c>
      <c r="C462" s="5" t="s">
        <v>1209</v>
      </c>
      <c r="D462" s="7">
        <v>1.0</v>
      </c>
      <c r="E462" s="6">
        <v>46018.46875</v>
      </c>
      <c r="F462" s="5" t="s">
        <v>1221</v>
      </c>
    </row>
    <row r="463">
      <c r="A463" s="5">
        <v>9.555872873E9</v>
      </c>
      <c r="B463" s="5" t="s">
        <v>119</v>
      </c>
      <c r="C463" s="5" t="s">
        <v>1209</v>
      </c>
      <c r="D463" s="7">
        <v>1.0</v>
      </c>
      <c r="E463" s="6">
        <v>46018.46875</v>
      </c>
      <c r="F463" s="5" t="s">
        <v>1221</v>
      </c>
    </row>
    <row r="464">
      <c r="A464" s="5">
        <v>9.71743474E9</v>
      </c>
      <c r="B464" s="5" t="s">
        <v>694</v>
      </c>
      <c r="C464" s="5" t="s">
        <v>1209</v>
      </c>
      <c r="D464" s="7">
        <v>1.0</v>
      </c>
      <c r="E464" s="6">
        <v>46018.46875</v>
      </c>
      <c r="F464" s="5" t="s">
        <v>1221</v>
      </c>
    </row>
    <row r="465">
      <c r="A465" s="5">
        <v>8.860067564E9</v>
      </c>
      <c r="B465" s="5" t="s">
        <v>678</v>
      </c>
      <c r="C465" s="5" t="s">
        <v>1209</v>
      </c>
      <c r="D465" s="7">
        <v>1.0</v>
      </c>
      <c r="E465" s="6">
        <v>46018.46875</v>
      </c>
      <c r="F465" s="5" t="s">
        <v>1221</v>
      </c>
    </row>
    <row r="466">
      <c r="A466" s="5">
        <v>9.810747419E9</v>
      </c>
      <c r="B466" s="5" t="s">
        <v>695</v>
      </c>
      <c r="C466" s="5" t="s">
        <v>1209</v>
      </c>
      <c r="D466" s="7">
        <v>1.0</v>
      </c>
      <c r="E466" s="6">
        <v>46018.46875</v>
      </c>
      <c r="F466" s="5" t="s">
        <v>1221</v>
      </c>
    </row>
    <row r="467">
      <c r="A467" s="5">
        <v>8.368373104E9</v>
      </c>
      <c r="B467" s="5" t="s">
        <v>205</v>
      </c>
      <c r="C467" s="5" t="s">
        <v>1209</v>
      </c>
      <c r="D467" s="7">
        <v>1.0</v>
      </c>
      <c r="E467" s="6">
        <v>46018.46875</v>
      </c>
      <c r="F467" s="5" t="s">
        <v>1221</v>
      </c>
    </row>
    <row r="468">
      <c r="A468" s="5">
        <v>9.871052175E9</v>
      </c>
      <c r="B468" s="5" t="s">
        <v>696</v>
      </c>
      <c r="C468" s="5" t="s">
        <v>1209</v>
      </c>
      <c r="D468" s="7">
        <v>1.0</v>
      </c>
      <c r="E468" s="6">
        <v>46018.46875</v>
      </c>
      <c r="F468" s="5" t="s">
        <v>1221</v>
      </c>
    </row>
    <row r="469">
      <c r="A469" s="5">
        <v>7.011743682E9</v>
      </c>
      <c r="B469" s="5" t="s">
        <v>697</v>
      </c>
      <c r="C469" s="5" t="s">
        <v>1209</v>
      </c>
      <c r="D469" s="7">
        <v>1.0</v>
      </c>
      <c r="E469" s="6">
        <v>46018.46875</v>
      </c>
      <c r="F469" s="5" t="s">
        <v>1221</v>
      </c>
    </row>
    <row r="470">
      <c r="A470" s="5">
        <v>9.0681122E9</v>
      </c>
      <c r="B470" s="5" t="s">
        <v>1269</v>
      </c>
      <c r="C470" s="5" t="s">
        <v>1209</v>
      </c>
      <c r="D470" s="7">
        <v>1.0</v>
      </c>
      <c r="E470" s="6">
        <v>46018.46875</v>
      </c>
      <c r="F470" s="5" t="s">
        <v>1221</v>
      </c>
    </row>
    <row r="471">
      <c r="A471" s="5">
        <v>9.340254051E9</v>
      </c>
      <c r="B471" s="5" t="s">
        <v>699</v>
      </c>
      <c r="C471" s="5" t="s">
        <v>1209</v>
      </c>
      <c r="D471" s="7">
        <v>1.0</v>
      </c>
      <c r="E471" s="6">
        <v>46018.46875</v>
      </c>
      <c r="F471" s="5" t="s">
        <v>1221</v>
      </c>
    </row>
    <row r="472">
      <c r="A472" s="5">
        <v>9.999976925E9</v>
      </c>
      <c r="B472" s="5" t="s">
        <v>163</v>
      </c>
      <c r="C472" s="5" t="s">
        <v>1209</v>
      </c>
      <c r="D472" s="7">
        <v>1.0</v>
      </c>
      <c r="E472" s="6">
        <v>46018.46875</v>
      </c>
      <c r="F472" s="5" t="s">
        <v>1221</v>
      </c>
    </row>
    <row r="473">
      <c r="A473" s="5">
        <v>9.829237868E9</v>
      </c>
      <c r="B473" s="5" t="s">
        <v>700</v>
      </c>
      <c r="C473" s="5" t="s">
        <v>1209</v>
      </c>
      <c r="D473" s="7">
        <v>1.0</v>
      </c>
      <c r="E473" s="6">
        <v>46018.46875</v>
      </c>
      <c r="F473" s="5" t="s">
        <v>1221</v>
      </c>
    </row>
    <row r="474">
      <c r="A474" s="5">
        <v>9.013201919E9</v>
      </c>
      <c r="B474" s="5" t="s">
        <v>701</v>
      </c>
      <c r="C474" s="5" t="s">
        <v>1209</v>
      </c>
      <c r="D474" s="7">
        <v>1.0</v>
      </c>
      <c r="E474" s="6">
        <v>46018.46875</v>
      </c>
      <c r="F474" s="5" t="s">
        <v>1221</v>
      </c>
    </row>
    <row r="475">
      <c r="A475" s="5">
        <v>9.891203082E9</v>
      </c>
      <c r="B475" s="5" t="s">
        <v>165</v>
      </c>
      <c r="C475" s="5" t="s">
        <v>1209</v>
      </c>
      <c r="D475" s="7">
        <v>1.0</v>
      </c>
      <c r="E475" s="6">
        <v>46018.46875</v>
      </c>
      <c r="F475" s="5" t="s">
        <v>1221</v>
      </c>
    </row>
    <row r="476">
      <c r="A476" s="5">
        <v>9.999796925E9</v>
      </c>
      <c r="B476" s="5" t="s">
        <v>167</v>
      </c>
      <c r="C476" s="5" t="s">
        <v>1209</v>
      </c>
      <c r="D476" s="7">
        <v>1.0</v>
      </c>
      <c r="E476" s="6">
        <v>46018.46875</v>
      </c>
      <c r="F476" s="5" t="s">
        <v>1221</v>
      </c>
    </row>
    <row r="477">
      <c r="A477" s="5">
        <v>9.873284859E9</v>
      </c>
      <c r="B477" s="5" t="s">
        <v>702</v>
      </c>
      <c r="C477" s="5" t="s">
        <v>1209</v>
      </c>
      <c r="D477" s="7">
        <v>1.0</v>
      </c>
      <c r="E477" s="6">
        <v>46018.46875</v>
      </c>
      <c r="F477" s="5" t="s">
        <v>1221</v>
      </c>
    </row>
    <row r="478">
      <c r="A478" s="5">
        <v>9.87144661E9</v>
      </c>
      <c r="B478" s="5" t="s">
        <v>1270</v>
      </c>
      <c r="C478" s="5" t="s">
        <v>1209</v>
      </c>
      <c r="D478" s="7">
        <v>1.0</v>
      </c>
      <c r="E478" s="6">
        <v>46018.46875</v>
      </c>
      <c r="F478" s="5" t="s">
        <v>1221</v>
      </c>
    </row>
    <row r="479">
      <c r="A479" s="5">
        <v>9.582159548E9</v>
      </c>
      <c r="B479" s="5" t="s">
        <v>169</v>
      </c>
      <c r="C479" s="5" t="s">
        <v>1209</v>
      </c>
      <c r="D479" s="7">
        <v>1.0</v>
      </c>
      <c r="E479" s="6">
        <v>46018.46875</v>
      </c>
      <c r="F479" s="5" t="s">
        <v>1221</v>
      </c>
    </row>
    <row r="480">
      <c r="A480" s="5">
        <v>9.015110185E9</v>
      </c>
      <c r="B480" s="5" t="s">
        <v>704</v>
      </c>
      <c r="C480" s="5" t="s">
        <v>1209</v>
      </c>
      <c r="D480" s="7">
        <v>1.0</v>
      </c>
      <c r="E480" s="6">
        <v>46018.46875</v>
      </c>
      <c r="F480" s="5" t="s">
        <v>1221</v>
      </c>
    </row>
    <row r="481">
      <c r="A481" s="5">
        <v>8.447847772E9</v>
      </c>
      <c r="B481" s="5" t="s">
        <v>705</v>
      </c>
      <c r="C481" s="5" t="s">
        <v>1209</v>
      </c>
      <c r="D481" s="7">
        <v>1.0</v>
      </c>
      <c r="E481" s="6">
        <v>46018.46875</v>
      </c>
      <c r="F481" s="5" t="s">
        <v>1221</v>
      </c>
    </row>
    <row r="482">
      <c r="A482" s="5">
        <v>8.448829871E9</v>
      </c>
      <c r="B482" s="5" t="s">
        <v>706</v>
      </c>
      <c r="C482" s="5" t="s">
        <v>1209</v>
      </c>
      <c r="D482" s="7">
        <v>1.0</v>
      </c>
      <c r="E482" s="6">
        <v>46018.46875</v>
      </c>
      <c r="F482" s="5" t="s">
        <v>1221</v>
      </c>
    </row>
    <row r="483">
      <c r="A483" s="5">
        <v>9.871405086E9</v>
      </c>
      <c r="B483" s="5" t="s">
        <v>410</v>
      </c>
      <c r="C483" s="5" t="s">
        <v>1209</v>
      </c>
      <c r="D483" s="7">
        <v>1.0</v>
      </c>
      <c r="E483" s="6">
        <v>46018.46875</v>
      </c>
      <c r="F483" s="5" t="s">
        <v>1221</v>
      </c>
    </row>
    <row r="484">
      <c r="A484" s="5">
        <v>9.05680675E9</v>
      </c>
      <c r="B484" s="5" t="s">
        <v>707</v>
      </c>
      <c r="C484" s="5" t="s">
        <v>1209</v>
      </c>
      <c r="D484" s="7">
        <v>1.0</v>
      </c>
      <c r="E484" s="6">
        <v>46018.46875</v>
      </c>
      <c r="F484" s="5" t="s">
        <v>1221</v>
      </c>
    </row>
    <row r="485">
      <c r="A485" s="5">
        <v>8.368911898E9</v>
      </c>
      <c r="B485" s="5" t="s">
        <v>708</v>
      </c>
      <c r="C485" s="5" t="s">
        <v>1209</v>
      </c>
      <c r="D485" s="7">
        <v>1.0</v>
      </c>
      <c r="E485" s="6">
        <v>46018.46875</v>
      </c>
      <c r="F485" s="5" t="s">
        <v>1221</v>
      </c>
    </row>
    <row r="486">
      <c r="A486" s="5">
        <v>9.811543555E9</v>
      </c>
      <c r="B486" s="5" t="s">
        <v>709</v>
      </c>
      <c r="C486" s="5" t="s">
        <v>1209</v>
      </c>
      <c r="D486" s="7">
        <v>1.0</v>
      </c>
      <c r="E486" s="6">
        <v>46018.46875</v>
      </c>
      <c r="F486" s="5" t="s">
        <v>1221</v>
      </c>
    </row>
    <row r="487">
      <c r="A487" s="5">
        <v>9.643980196E9</v>
      </c>
      <c r="B487" s="5" t="s">
        <v>710</v>
      </c>
      <c r="C487" s="5" t="s">
        <v>1209</v>
      </c>
      <c r="D487" s="7">
        <v>1.0</v>
      </c>
      <c r="E487" s="6">
        <v>46018.46875</v>
      </c>
      <c r="F487" s="5" t="s">
        <v>1221</v>
      </c>
    </row>
    <row r="488">
      <c r="A488" s="5">
        <v>9.818104442E9</v>
      </c>
      <c r="B488" s="5" t="s">
        <v>629</v>
      </c>
      <c r="C488" s="5" t="s">
        <v>1209</v>
      </c>
      <c r="D488" s="7">
        <v>1.0</v>
      </c>
      <c r="E488" s="6">
        <v>46018.46875</v>
      </c>
      <c r="F488" s="5" t="s">
        <v>1221</v>
      </c>
    </row>
    <row r="489">
      <c r="A489" s="5">
        <v>9.550515549E9</v>
      </c>
      <c r="B489" s="5" t="s">
        <v>711</v>
      </c>
      <c r="C489" s="5" t="s">
        <v>1209</v>
      </c>
      <c r="D489" s="7">
        <v>1.0</v>
      </c>
      <c r="E489" s="6">
        <v>46018.46875</v>
      </c>
      <c r="F489" s="5" t="s">
        <v>1221</v>
      </c>
    </row>
    <row r="490">
      <c r="A490" s="5">
        <v>8.375019908E9</v>
      </c>
      <c r="B490" s="5" t="s">
        <v>712</v>
      </c>
      <c r="C490" s="5" t="s">
        <v>1209</v>
      </c>
      <c r="D490" s="7">
        <v>1.0</v>
      </c>
      <c r="E490" s="6">
        <v>46018.46875</v>
      </c>
      <c r="F490" s="5" t="s">
        <v>1221</v>
      </c>
    </row>
    <row r="491">
      <c r="A491" s="5">
        <v>9.810438688E9</v>
      </c>
      <c r="B491" s="5" t="s">
        <v>713</v>
      </c>
      <c r="C491" s="5" t="s">
        <v>1209</v>
      </c>
      <c r="D491" s="7">
        <v>1.0</v>
      </c>
      <c r="E491" s="6">
        <v>46018.46875</v>
      </c>
      <c r="F491" s="5" t="s">
        <v>1221</v>
      </c>
    </row>
    <row r="492">
      <c r="A492" s="5">
        <v>9.711367631E9</v>
      </c>
      <c r="B492" s="5" t="s">
        <v>171</v>
      </c>
      <c r="C492" s="5" t="s">
        <v>1209</v>
      </c>
      <c r="D492" s="7">
        <v>1.0</v>
      </c>
      <c r="E492" s="6">
        <v>46018.46875</v>
      </c>
      <c r="F492" s="5" t="s">
        <v>1221</v>
      </c>
    </row>
    <row r="493">
      <c r="A493" s="5">
        <v>9.711073257E9</v>
      </c>
      <c r="B493" s="5" t="s">
        <v>11</v>
      </c>
      <c r="C493" s="5" t="s">
        <v>1209</v>
      </c>
      <c r="D493" s="7">
        <v>1.0</v>
      </c>
      <c r="E493" s="6">
        <v>46018.46875</v>
      </c>
      <c r="F493" s="5" t="s">
        <v>1221</v>
      </c>
    </row>
    <row r="494">
      <c r="A494" s="5">
        <v>9.872767275E9</v>
      </c>
      <c r="B494" s="5" t="s">
        <v>225</v>
      </c>
      <c r="C494" s="5" t="s">
        <v>1209</v>
      </c>
      <c r="D494" s="7">
        <v>1.0</v>
      </c>
      <c r="E494" s="6">
        <v>46018.46875</v>
      </c>
      <c r="F494" s="5" t="s">
        <v>1221</v>
      </c>
    </row>
    <row r="495">
      <c r="A495" s="5">
        <v>9.81160027E9</v>
      </c>
      <c r="B495" s="5" t="s">
        <v>714</v>
      </c>
      <c r="C495" s="5" t="s">
        <v>1209</v>
      </c>
      <c r="D495" s="7">
        <v>1.0</v>
      </c>
      <c r="E495" s="6">
        <v>46018.46875</v>
      </c>
      <c r="F495" s="5" t="s">
        <v>1221</v>
      </c>
    </row>
    <row r="496">
      <c r="A496" s="5">
        <v>9.867684009E9</v>
      </c>
      <c r="B496" s="5" t="s">
        <v>715</v>
      </c>
      <c r="C496" s="5" t="s">
        <v>1209</v>
      </c>
      <c r="D496" s="7">
        <v>1.0</v>
      </c>
      <c r="E496" s="6">
        <v>46018.46875</v>
      </c>
      <c r="F496" s="5" t="s">
        <v>1221</v>
      </c>
    </row>
    <row r="497">
      <c r="A497" s="5">
        <v>9.811679671E9</v>
      </c>
      <c r="B497" s="5" t="s">
        <v>716</v>
      </c>
      <c r="C497" s="5" t="s">
        <v>1209</v>
      </c>
      <c r="D497" s="7">
        <v>1.0</v>
      </c>
      <c r="E497" s="6">
        <v>46018.46875</v>
      </c>
      <c r="F497" s="5" t="s">
        <v>1221</v>
      </c>
    </row>
    <row r="498">
      <c r="A498" s="5">
        <v>9.560960946E9</v>
      </c>
      <c r="B498" s="5" t="s">
        <v>593</v>
      </c>
      <c r="C498" s="5" t="s">
        <v>1209</v>
      </c>
      <c r="D498" s="7">
        <v>1.0</v>
      </c>
      <c r="E498" s="6">
        <v>46018.46875</v>
      </c>
      <c r="F498" s="5" t="s">
        <v>1221</v>
      </c>
    </row>
    <row r="499">
      <c r="A499" s="5">
        <v>8.750640078E9</v>
      </c>
      <c r="B499" s="5" t="s">
        <v>1271</v>
      </c>
      <c r="C499" s="5" t="s">
        <v>1209</v>
      </c>
      <c r="D499" s="7">
        <v>1.0</v>
      </c>
      <c r="E499" s="6">
        <v>46018.46875</v>
      </c>
      <c r="F499" s="5" t="s">
        <v>1221</v>
      </c>
    </row>
    <row r="500">
      <c r="A500" s="5">
        <v>9.971035373E9</v>
      </c>
      <c r="B500" s="5" t="s">
        <v>717</v>
      </c>
      <c r="C500" s="5" t="s">
        <v>1209</v>
      </c>
      <c r="D500" s="7">
        <v>1.0</v>
      </c>
      <c r="E500" s="6">
        <v>46018.46875</v>
      </c>
      <c r="F500" s="5" t="s">
        <v>1221</v>
      </c>
    </row>
    <row r="501">
      <c r="A501" s="5">
        <v>9.311065176E9</v>
      </c>
      <c r="B501" s="5" t="s">
        <v>173</v>
      </c>
      <c r="C501" s="5" t="s">
        <v>1209</v>
      </c>
      <c r="D501" s="7">
        <v>1.0</v>
      </c>
      <c r="E501" s="6">
        <v>46018.46875</v>
      </c>
      <c r="F501" s="5" t="s">
        <v>1221</v>
      </c>
    </row>
    <row r="502">
      <c r="A502" s="5">
        <v>8.44745154E9</v>
      </c>
      <c r="B502" s="5" t="s">
        <v>175</v>
      </c>
      <c r="C502" s="5" t="s">
        <v>1209</v>
      </c>
      <c r="D502" s="7">
        <v>1.0</v>
      </c>
      <c r="E502" s="6">
        <v>46018.46875</v>
      </c>
      <c r="F502" s="5" t="s">
        <v>1221</v>
      </c>
    </row>
    <row r="503">
      <c r="A503" s="5">
        <v>7.83884982E9</v>
      </c>
      <c r="B503" s="5" t="s">
        <v>718</v>
      </c>
      <c r="C503" s="5" t="s">
        <v>1209</v>
      </c>
      <c r="D503" s="7">
        <v>1.0</v>
      </c>
      <c r="E503" s="6">
        <v>46018.46875</v>
      </c>
      <c r="F503" s="5" t="s">
        <v>1221</v>
      </c>
    </row>
    <row r="504">
      <c r="A504" s="5">
        <v>9.266546477E9</v>
      </c>
      <c r="B504" s="5" t="s">
        <v>719</v>
      </c>
      <c r="C504" s="5" t="s">
        <v>1209</v>
      </c>
      <c r="D504" s="7">
        <v>1.0</v>
      </c>
      <c r="E504" s="6">
        <v>46018.46875</v>
      </c>
      <c r="F504" s="5" t="s">
        <v>1221</v>
      </c>
    </row>
    <row r="505">
      <c r="A505" s="5">
        <v>9.456284878E9</v>
      </c>
      <c r="B505" s="5" t="s">
        <v>175</v>
      </c>
      <c r="C505" s="5" t="s">
        <v>1209</v>
      </c>
      <c r="D505" s="7">
        <v>1.0</v>
      </c>
      <c r="E505" s="6">
        <v>46018.46875</v>
      </c>
      <c r="F505" s="5" t="s">
        <v>1221</v>
      </c>
    </row>
    <row r="506">
      <c r="A506" s="5">
        <v>8.839885774E9</v>
      </c>
      <c r="B506" s="5" t="s">
        <v>625</v>
      </c>
      <c r="C506" s="5" t="s">
        <v>1209</v>
      </c>
      <c r="D506" s="7">
        <v>1.0</v>
      </c>
      <c r="E506" s="6">
        <v>46018.46875</v>
      </c>
      <c r="F506" s="5" t="s">
        <v>1221</v>
      </c>
    </row>
    <row r="507">
      <c r="A507" s="5">
        <v>9.313961881E9</v>
      </c>
      <c r="B507" s="5" t="s">
        <v>720</v>
      </c>
      <c r="C507" s="5" t="s">
        <v>1209</v>
      </c>
      <c r="D507" s="7">
        <v>1.0</v>
      </c>
      <c r="E507" s="6">
        <v>46018.46875</v>
      </c>
      <c r="F507" s="5" t="s">
        <v>1221</v>
      </c>
    </row>
    <row r="508">
      <c r="A508" s="5">
        <v>9.999406451E9</v>
      </c>
      <c r="B508" s="5" t="s">
        <v>195</v>
      </c>
      <c r="C508" s="5" t="s">
        <v>1209</v>
      </c>
      <c r="D508" s="7">
        <v>1.0</v>
      </c>
      <c r="E508" s="6">
        <v>46018.46875</v>
      </c>
      <c r="F508" s="5" t="s">
        <v>1221</v>
      </c>
    </row>
    <row r="509">
      <c r="A509" s="5">
        <v>9.810414043E9</v>
      </c>
      <c r="B509" s="5" t="s">
        <v>721</v>
      </c>
      <c r="C509" s="5" t="s">
        <v>1209</v>
      </c>
      <c r="D509" s="7">
        <v>1.0</v>
      </c>
      <c r="E509" s="6">
        <v>46018.46875</v>
      </c>
      <c r="F509" s="5" t="s">
        <v>1221</v>
      </c>
    </row>
    <row r="510">
      <c r="A510" s="5">
        <v>9.810629311E9</v>
      </c>
      <c r="B510" s="5" t="s">
        <v>178</v>
      </c>
      <c r="C510" s="5" t="s">
        <v>1209</v>
      </c>
      <c r="D510" s="7">
        <v>1.0</v>
      </c>
      <c r="E510" s="6">
        <v>46018.46875</v>
      </c>
      <c r="F510" s="5" t="s">
        <v>1221</v>
      </c>
    </row>
    <row r="511">
      <c r="A511" s="5">
        <v>9.899978327E9</v>
      </c>
      <c r="B511" s="5" t="s">
        <v>722</v>
      </c>
      <c r="C511" s="5" t="s">
        <v>1209</v>
      </c>
      <c r="D511" s="7">
        <v>1.0</v>
      </c>
      <c r="E511" s="6">
        <v>46018.46875</v>
      </c>
      <c r="F511" s="5" t="s">
        <v>1221</v>
      </c>
    </row>
    <row r="512">
      <c r="A512" s="5">
        <v>9.419116616E9</v>
      </c>
      <c r="B512" s="5" t="s">
        <v>252</v>
      </c>
      <c r="C512" s="5" t="s">
        <v>1209</v>
      </c>
      <c r="D512" s="7">
        <v>1.0</v>
      </c>
      <c r="E512" s="6">
        <v>46018.46875</v>
      </c>
      <c r="F512" s="5" t="s">
        <v>1221</v>
      </c>
    </row>
    <row r="513">
      <c r="A513" s="5">
        <v>9.811526877E9</v>
      </c>
      <c r="B513" s="5" t="s">
        <v>723</v>
      </c>
      <c r="C513" s="5" t="s">
        <v>1209</v>
      </c>
      <c r="D513" s="7">
        <v>1.0</v>
      </c>
      <c r="E513" s="6">
        <v>46018.46875</v>
      </c>
      <c r="F513" s="5" t="s">
        <v>1221</v>
      </c>
    </row>
    <row r="514">
      <c r="A514" s="5">
        <v>9.312886562E9</v>
      </c>
      <c r="B514" s="5" t="s">
        <v>724</v>
      </c>
      <c r="C514" s="5" t="s">
        <v>1209</v>
      </c>
      <c r="D514" s="7">
        <v>1.0</v>
      </c>
      <c r="E514" s="6">
        <v>46018.46875</v>
      </c>
      <c r="F514" s="5" t="s">
        <v>1221</v>
      </c>
    </row>
    <row r="515">
      <c r="A515" s="5">
        <v>9.811451013E9</v>
      </c>
      <c r="B515" s="5" t="s">
        <v>725</v>
      </c>
      <c r="C515" s="5" t="s">
        <v>1209</v>
      </c>
      <c r="D515" s="7">
        <v>1.0</v>
      </c>
      <c r="E515" s="6">
        <v>46018.46875</v>
      </c>
      <c r="F515" s="5" t="s">
        <v>1221</v>
      </c>
    </row>
    <row r="516">
      <c r="A516" s="5">
        <v>9.555184701E9</v>
      </c>
      <c r="B516" s="5" t="s">
        <v>1272</v>
      </c>
      <c r="C516" s="5" t="s">
        <v>1209</v>
      </c>
      <c r="D516" s="7">
        <v>1.0</v>
      </c>
      <c r="E516" s="6">
        <v>46018.46875</v>
      </c>
      <c r="F516" s="5" t="s">
        <v>1221</v>
      </c>
    </row>
    <row r="517">
      <c r="A517" s="5">
        <v>7.303158154E9</v>
      </c>
      <c r="B517" s="5" t="s">
        <v>726</v>
      </c>
      <c r="C517" s="5" t="s">
        <v>1209</v>
      </c>
      <c r="D517" s="7">
        <v>1.0</v>
      </c>
      <c r="E517" s="6">
        <v>46018.46875</v>
      </c>
      <c r="F517" s="5" t="s">
        <v>1221</v>
      </c>
    </row>
    <row r="518">
      <c r="A518" s="5">
        <v>9.582724231E9</v>
      </c>
      <c r="B518" s="5" t="s">
        <v>727</v>
      </c>
      <c r="C518" s="5" t="s">
        <v>1209</v>
      </c>
      <c r="D518" s="7">
        <v>1.0</v>
      </c>
      <c r="E518" s="6">
        <v>46018.46875</v>
      </c>
      <c r="F518" s="5" t="s">
        <v>1221</v>
      </c>
    </row>
    <row r="519">
      <c r="A519" s="5">
        <v>8.588956935E9</v>
      </c>
      <c r="B519" s="5" t="s">
        <v>175</v>
      </c>
      <c r="C519" s="5" t="s">
        <v>1209</v>
      </c>
      <c r="D519" s="7">
        <v>1.0</v>
      </c>
      <c r="E519" s="6">
        <v>46018.46875</v>
      </c>
      <c r="F519" s="5" t="s">
        <v>1221</v>
      </c>
    </row>
    <row r="520">
      <c r="A520" s="5">
        <v>9.971744837E9</v>
      </c>
      <c r="B520" s="5" t="s">
        <v>1273</v>
      </c>
      <c r="C520" s="5" t="s">
        <v>1209</v>
      </c>
      <c r="D520" s="7">
        <v>1.0</v>
      </c>
      <c r="E520" s="6">
        <v>46018.46875</v>
      </c>
      <c r="F520" s="5" t="s">
        <v>1221</v>
      </c>
    </row>
    <row r="521">
      <c r="A521" s="5">
        <v>9.811575861E9</v>
      </c>
      <c r="B521" s="5" t="s">
        <v>182</v>
      </c>
      <c r="C521" s="5" t="s">
        <v>1209</v>
      </c>
      <c r="D521" s="7">
        <v>1.0</v>
      </c>
      <c r="E521" s="6">
        <v>46018.46875</v>
      </c>
      <c r="F521" s="5" t="s">
        <v>1221</v>
      </c>
    </row>
    <row r="522">
      <c r="A522" s="5">
        <v>9.810795882E9</v>
      </c>
      <c r="B522" s="5" t="s">
        <v>729</v>
      </c>
      <c r="C522" s="5" t="s">
        <v>1209</v>
      </c>
      <c r="D522" s="7">
        <v>1.0</v>
      </c>
      <c r="E522" s="6">
        <v>46018.46875</v>
      </c>
      <c r="F522" s="5" t="s">
        <v>1221</v>
      </c>
    </row>
    <row r="523">
      <c r="A523" s="5">
        <v>8.278802684E9</v>
      </c>
      <c r="B523" s="5" t="s">
        <v>408</v>
      </c>
      <c r="C523" s="5" t="s">
        <v>1209</v>
      </c>
      <c r="D523" s="7">
        <v>1.0</v>
      </c>
      <c r="E523" s="6">
        <v>46018.46875</v>
      </c>
      <c r="F523" s="5" t="s">
        <v>1221</v>
      </c>
    </row>
    <row r="524">
      <c r="A524" s="5">
        <v>9.818104462E9</v>
      </c>
      <c r="B524" s="5" t="s">
        <v>421</v>
      </c>
      <c r="C524" s="5" t="s">
        <v>1209</v>
      </c>
      <c r="D524" s="7">
        <v>1.0</v>
      </c>
      <c r="E524" s="6">
        <v>46018.46875</v>
      </c>
      <c r="F524" s="5" t="s">
        <v>1221</v>
      </c>
    </row>
    <row r="525">
      <c r="A525" s="5">
        <v>9.799497509E9</v>
      </c>
      <c r="B525" s="5" t="s">
        <v>672</v>
      </c>
      <c r="C525" s="5" t="s">
        <v>1209</v>
      </c>
      <c r="D525" s="7">
        <v>1.0</v>
      </c>
      <c r="E525" s="6">
        <v>46018.46875</v>
      </c>
      <c r="F525" s="5" t="s">
        <v>1221</v>
      </c>
    </row>
    <row r="526">
      <c r="A526" s="5">
        <v>8.807648771E9</v>
      </c>
      <c r="B526" s="5" t="s">
        <v>730</v>
      </c>
      <c r="C526" s="5" t="s">
        <v>1209</v>
      </c>
      <c r="D526" s="7">
        <v>1.0</v>
      </c>
      <c r="E526" s="6">
        <v>46018.46875</v>
      </c>
      <c r="F526" s="5" t="s">
        <v>1221</v>
      </c>
    </row>
    <row r="527">
      <c r="A527" s="5">
        <v>8.368002854E9</v>
      </c>
      <c r="B527" s="5" t="s">
        <v>731</v>
      </c>
      <c r="C527" s="5" t="s">
        <v>1209</v>
      </c>
      <c r="D527" s="7">
        <v>1.0</v>
      </c>
      <c r="E527" s="6">
        <v>46018.46875</v>
      </c>
      <c r="F527" s="5" t="s">
        <v>1221</v>
      </c>
    </row>
    <row r="528">
      <c r="A528" s="5">
        <v>7.982560879E9</v>
      </c>
      <c r="B528" s="5" t="s">
        <v>732</v>
      </c>
      <c r="C528" s="5" t="s">
        <v>1209</v>
      </c>
      <c r="D528" s="7">
        <v>1.0</v>
      </c>
      <c r="E528" s="6">
        <v>46018.46875</v>
      </c>
      <c r="F528" s="5" t="s">
        <v>1221</v>
      </c>
    </row>
    <row r="529">
      <c r="A529" s="5">
        <v>9.811011258E9</v>
      </c>
      <c r="B529" s="5" t="s">
        <v>385</v>
      </c>
      <c r="C529" s="5" t="s">
        <v>1209</v>
      </c>
      <c r="D529" s="7">
        <v>1.0</v>
      </c>
      <c r="E529" s="6">
        <v>46018.46875</v>
      </c>
      <c r="F529" s="5" t="s">
        <v>1221</v>
      </c>
    </row>
    <row r="530">
      <c r="A530" s="5">
        <v>9.717201147E9</v>
      </c>
      <c r="B530" s="5" t="s">
        <v>733</v>
      </c>
      <c r="C530" s="5" t="s">
        <v>1209</v>
      </c>
      <c r="D530" s="7">
        <v>1.0</v>
      </c>
      <c r="E530" s="6">
        <v>46018.46875</v>
      </c>
      <c r="F530" s="5" t="s">
        <v>1221</v>
      </c>
    </row>
    <row r="531">
      <c r="A531" s="5">
        <v>9.953950419E9</v>
      </c>
      <c r="B531" s="5" t="s">
        <v>184</v>
      </c>
      <c r="C531" s="5" t="s">
        <v>1209</v>
      </c>
      <c r="D531" s="7">
        <v>1.0</v>
      </c>
      <c r="E531" s="6">
        <v>46018.46875</v>
      </c>
      <c r="F531" s="5" t="s">
        <v>1221</v>
      </c>
    </row>
    <row r="532">
      <c r="A532" s="5">
        <v>9.711027972E9</v>
      </c>
      <c r="B532" s="5" t="s">
        <v>734</v>
      </c>
      <c r="C532" s="5" t="s">
        <v>1209</v>
      </c>
      <c r="D532" s="7">
        <v>1.0</v>
      </c>
      <c r="E532" s="6">
        <v>46018.46875</v>
      </c>
      <c r="F532" s="5" t="s">
        <v>1221</v>
      </c>
    </row>
    <row r="533">
      <c r="A533" s="5">
        <v>7.022026702E9</v>
      </c>
      <c r="B533" s="5" t="s">
        <v>735</v>
      </c>
      <c r="C533" s="5" t="s">
        <v>1209</v>
      </c>
      <c r="D533" s="7">
        <v>1.0</v>
      </c>
      <c r="E533" s="6">
        <v>46018.46875</v>
      </c>
      <c r="F533" s="5" t="s">
        <v>1221</v>
      </c>
    </row>
    <row r="534">
      <c r="A534" s="5">
        <v>9.65191327E9</v>
      </c>
      <c r="B534" s="5" t="s">
        <v>444</v>
      </c>
      <c r="C534" s="5" t="s">
        <v>1209</v>
      </c>
      <c r="D534" s="7">
        <v>1.0</v>
      </c>
      <c r="E534" s="6">
        <v>46018.46875</v>
      </c>
      <c r="F534" s="5" t="s">
        <v>1221</v>
      </c>
    </row>
    <row r="535">
      <c r="A535" s="5">
        <v>9.873224748E9</v>
      </c>
      <c r="B535" s="5" t="s">
        <v>736</v>
      </c>
      <c r="C535" s="5" t="s">
        <v>1209</v>
      </c>
      <c r="D535" s="7">
        <v>1.0</v>
      </c>
      <c r="E535" s="6">
        <v>46018.46875</v>
      </c>
      <c r="F535" s="5" t="s">
        <v>1221</v>
      </c>
    </row>
    <row r="536">
      <c r="A536" s="5">
        <v>9.1367814E9</v>
      </c>
      <c r="B536" s="5" t="s">
        <v>737</v>
      </c>
      <c r="C536" s="5" t="s">
        <v>1209</v>
      </c>
      <c r="D536" s="7">
        <v>1.0</v>
      </c>
      <c r="E536" s="6">
        <v>46018.46875</v>
      </c>
      <c r="F536" s="5" t="s">
        <v>1221</v>
      </c>
    </row>
    <row r="537">
      <c r="A537" s="5">
        <v>9.643403539E9</v>
      </c>
      <c r="B537" s="5" t="s">
        <v>738</v>
      </c>
      <c r="C537" s="5" t="s">
        <v>1209</v>
      </c>
      <c r="D537" s="7">
        <v>1.0</v>
      </c>
      <c r="E537" s="6">
        <v>46018.46875</v>
      </c>
      <c r="F537" s="5" t="s">
        <v>1221</v>
      </c>
    </row>
    <row r="538">
      <c r="A538" s="5">
        <v>9.205750464E9</v>
      </c>
      <c r="B538" s="5" t="s">
        <v>217</v>
      </c>
      <c r="C538" s="5" t="s">
        <v>1209</v>
      </c>
      <c r="D538" s="7">
        <v>1.0</v>
      </c>
      <c r="E538" s="6">
        <v>46018.46875</v>
      </c>
      <c r="F538" s="5" t="s">
        <v>1221</v>
      </c>
    </row>
    <row r="539">
      <c r="A539" s="5">
        <v>9.211144183E9</v>
      </c>
      <c r="B539" s="5" t="s">
        <v>739</v>
      </c>
      <c r="C539" s="5" t="s">
        <v>1209</v>
      </c>
      <c r="D539" s="7">
        <v>1.0</v>
      </c>
      <c r="E539" s="6">
        <v>46018.46875</v>
      </c>
      <c r="F539" s="5" t="s">
        <v>1221</v>
      </c>
    </row>
    <row r="540">
      <c r="A540" s="5">
        <v>9.541084376E9</v>
      </c>
      <c r="B540" s="5" t="s">
        <v>740</v>
      </c>
      <c r="C540" s="5" t="s">
        <v>1209</v>
      </c>
      <c r="D540" s="7">
        <v>1.0</v>
      </c>
      <c r="E540" s="6">
        <v>46018.46875</v>
      </c>
      <c r="F540" s="5" t="s">
        <v>1221</v>
      </c>
    </row>
    <row r="541">
      <c r="A541" s="5">
        <v>9.312515414E9</v>
      </c>
      <c r="B541" s="5" t="s">
        <v>741</v>
      </c>
      <c r="C541" s="5" t="s">
        <v>1209</v>
      </c>
      <c r="D541" s="7">
        <v>1.0</v>
      </c>
      <c r="E541" s="6">
        <v>46018.46875</v>
      </c>
      <c r="F541" s="5" t="s">
        <v>1221</v>
      </c>
    </row>
    <row r="542">
      <c r="A542" s="5">
        <v>9.999242584E9</v>
      </c>
      <c r="B542" s="5" t="s">
        <v>742</v>
      </c>
      <c r="C542" s="5" t="s">
        <v>1209</v>
      </c>
      <c r="D542" s="7">
        <v>1.0</v>
      </c>
      <c r="E542" s="6">
        <v>46018.46875</v>
      </c>
      <c r="F542" s="5" t="s">
        <v>1221</v>
      </c>
    </row>
    <row r="543">
      <c r="A543" s="5">
        <v>8.383004492E9</v>
      </c>
      <c r="B543" s="5" t="s">
        <v>743</v>
      </c>
      <c r="C543" s="5" t="s">
        <v>1209</v>
      </c>
      <c r="D543" s="7">
        <v>1.0</v>
      </c>
      <c r="E543" s="6">
        <v>46018.46875</v>
      </c>
      <c r="F543" s="5" t="s">
        <v>1221</v>
      </c>
    </row>
    <row r="544">
      <c r="A544" s="5">
        <v>7.071463534E9</v>
      </c>
      <c r="B544" s="5" t="s">
        <v>437</v>
      </c>
      <c r="C544" s="5" t="s">
        <v>1209</v>
      </c>
      <c r="D544" s="7">
        <v>1.0</v>
      </c>
      <c r="E544" s="6">
        <v>46018.46875</v>
      </c>
      <c r="F544" s="5" t="s">
        <v>1221</v>
      </c>
    </row>
    <row r="545">
      <c r="A545" s="5">
        <v>7.982443155E9</v>
      </c>
      <c r="B545" s="5" t="s">
        <v>744</v>
      </c>
      <c r="C545" s="5" t="s">
        <v>1209</v>
      </c>
      <c r="D545" s="7">
        <v>1.0</v>
      </c>
      <c r="E545" s="6">
        <v>46018.46875</v>
      </c>
      <c r="F545" s="5" t="s">
        <v>1221</v>
      </c>
    </row>
    <row r="546">
      <c r="A546" s="5">
        <v>9.899973808E9</v>
      </c>
      <c r="B546" s="5" t="s">
        <v>458</v>
      </c>
      <c r="C546" s="5" t="s">
        <v>1209</v>
      </c>
      <c r="D546" s="7">
        <v>1.0</v>
      </c>
      <c r="E546" s="6">
        <v>46018.46875</v>
      </c>
      <c r="F546" s="5" t="s">
        <v>1221</v>
      </c>
    </row>
    <row r="547">
      <c r="A547" s="5">
        <v>9.31268844E9</v>
      </c>
      <c r="B547" s="5" t="s">
        <v>745</v>
      </c>
      <c r="C547" s="5" t="s">
        <v>1209</v>
      </c>
      <c r="D547" s="7">
        <v>1.0</v>
      </c>
      <c r="E547" s="6">
        <v>46018.46875</v>
      </c>
      <c r="F547" s="5" t="s">
        <v>1221</v>
      </c>
    </row>
    <row r="548">
      <c r="A548" s="5">
        <v>9.971250049E9</v>
      </c>
      <c r="B548" s="5" t="s">
        <v>746</v>
      </c>
      <c r="C548" s="5" t="s">
        <v>1209</v>
      </c>
      <c r="D548" s="7">
        <v>1.0</v>
      </c>
      <c r="E548" s="6">
        <v>46018.46875</v>
      </c>
      <c r="F548" s="5" t="s">
        <v>1221</v>
      </c>
    </row>
    <row r="549">
      <c r="A549" s="5">
        <v>9.99966365E9</v>
      </c>
      <c r="B549" s="5" t="s">
        <v>747</v>
      </c>
      <c r="C549" s="5" t="s">
        <v>1209</v>
      </c>
      <c r="D549" s="7">
        <v>1.0</v>
      </c>
      <c r="E549" s="6">
        <v>46018.46875</v>
      </c>
      <c r="F549" s="5" t="s">
        <v>1221</v>
      </c>
    </row>
    <row r="550">
      <c r="A550" s="5">
        <v>8.287915548E9</v>
      </c>
      <c r="B550" s="5" t="s">
        <v>495</v>
      </c>
      <c r="C550" s="5" t="s">
        <v>1209</v>
      </c>
      <c r="D550" s="7">
        <v>1.0</v>
      </c>
      <c r="E550" s="6">
        <v>46018.46875</v>
      </c>
      <c r="F550" s="5" t="s">
        <v>1221</v>
      </c>
    </row>
    <row r="551">
      <c r="A551" s="5">
        <v>9.89999281E9</v>
      </c>
      <c r="B551" s="5" t="s">
        <v>748</v>
      </c>
      <c r="C551" s="5" t="s">
        <v>1209</v>
      </c>
      <c r="D551" s="7">
        <v>1.0</v>
      </c>
      <c r="E551" s="6">
        <v>46018.46875</v>
      </c>
      <c r="F551" s="5" t="s">
        <v>1221</v>
      </c>
    </row>
    <row r="552">
      <c r="A552" s="5">
        <v>9.350934841E9</v>
      </c>
      <c r="B552" s="5" t="s">
        <v>749</v>
      </c>
      <c r="C552" s="5" t="s">
        <v>1209</v>
      </c>
      <c r="D552" s="7">
        <v>1.0</v>
      </c>
      <c r="E552" s="6">
        <v>46018.46875</v>
      </c>
      <c r="F552" s="5" t="s">
        <v>1221</v>
      </c>
    </row>
    <row r="553">
      <c r="A553" s="5">
        <v>9.911070398E9</v>
      </c>
      <c r="B553" s="5" t="s">
        <v>750</v>
      </c>
      <c r="C553" s="5" t="s">
        <v>1209</v>
      </c>
      <c r="D553" s="7">
        <v>1.0</v>
      </c>
      <c r="E553" s="6">
        <v>46018.46875</v>
      </c>
      <c r="F553" s="5" t="s">
        <v>1221</v>
      </c>
    </row>
    <row r="554">
      <c r="A554" s="5">
        <v>8.368494008E9</v>
      </c>
      <c r="B554" s="5" t="s">
        <v>186</v>
      </c>
      <c r="C554" s="5" t="s">
        <v>1209</v>
      </c>
      <c r="D554" s="7">
        <v>1.0</v>
      </c>
      <c r="E554" s="6">
        <v>46018.46875</v>
      </c>
      <c r="F554" s="5" t="s">
        <v>1221</v>
      </c>
    </row>
    <row r="555">
      <c r="A555" s="5">
        <v>9.650513789E9</v>
      </c>
      <c r="B555" s="5" t="s">
        <v>385</v>
      </c>
      <c r="C555" s="5" t="s">
        <v>1209</v>
      </c>
      <c r="D555" s="7">
        <v>1.0</v>
      </c>
      <c r="E555" s="6">
        <v>46018.46875</v>
      </c>
      <c r="F555" s="5" t="s">
        <v>1221</v>
      </c>
    </row>
    <row r="556">
      <c r="A556" s="5">
        <v>9.868164348E9</v>
      </c>
      <c r="B556" s="5" t="s">
        <v>135</v>
      </c>
      <c r="C556" s="5" t="s">
        <v>1209</v>
      </c>
      <c r="D556" s="7">
        <v>1.0</v>
      </c>
      <c r="E556" s="6">
        <v>46018.46875</v>
      </c>
      <c r="F556" s="5" t="s">
        <v>1221</v>
      </c>
    </row>
    <row r="557">
      <c r="A557" s="5">
        <v>9.814811848E9</v>
      </c>
      <c r="B557" s="5" t="s">
        <v>217</v>
      </c>
      <c r="C557" s="5" t="s">
        <v>1209</v>
      </c>
      <c r="D557" s="7">
        <v>1.0</v>
      </c>
      <c r="E557" s="6">
        <v>46018.46875</v>
      </c>
      <c r="F557" s="5" t="s">
        <v>1221</v>
      </c>
    </row>
    <row r="558">
      <c r="A558" s="5">
        <v>9.818333029E9</v>
      </c>
      <c r="B558" s="5" t="s">
        <v>538</v>
      </c>
      <c r="C558" s="5" t="s">
        <v>1209</v>
      </c>
      <c r="D558" s="7">
        <v>1.0</v>
      </c>
      <c r="E558" s="6">
        <v>46018.46875</v>
      </c>
      <c r="F558" s="5" t="s">
        <v>1221</v>
      </c>
    </row>
    <row r="559">
      <c r="A559" s="5">
        <v>9.873127884E9</v>
      </c>
      <c r="B559" s="5" t="s">
        <v>751</v>
      </c>
      <c r="C559" s="5" t="s">
        <v>1209</v>
      </c>
      <c r="D559" s="7">
        <v>1.0</v>
      </c>
      <c r="E559" s="6">
        <v>46018.46875</v>
      </c>
      <c r="F559" s="5" t="s">
        <v>1221</v>
      </c>
    </row>
    <row r="560">
      <c r="A560" s="5">
        <v>9.891283408E9</v>
      </c>
      <c r="B560" s="5" t="s">
        <v>1274</v>
      </c>
      <c r="C560" s="5" t="s">
        <v>1209</v>
      </c>
      <c r="D560" s="7">
        <v>1.0</v>
      </c>
      <c r="E560" s="6">
        <v>46018.46875</v>
      </c>
      <c r="F560" s="5" t="s">
        <v>1221</v>
      </c>
    </row>
    <row r="561">
      <c r="A561" s="5">
        <v>8.860980806E9</v>
      </c>
      <c r="B561" s="5" t="s">
        <v>188</v>
      </c>
      <c r="C561" s="5" t="s">
        <v>1209</v>
      </c>
      <c r="D561" s="7">
        <v>1.0</v>
      </c>
      <c r="E561" s="6">
        <v>46018.46875</v>
      </c>
      <c r="F561" s="5" t="s">
        <v>1221</v>
      </c>
    </row>
    <row r="562">
      <c r="A562" s="5">
        <v>9.810262026E9</v>
      </c>
      <c r="B562" s="5" t="s">
        <v>753</v>
      </c>
      <c r="C562" s="5" t="s">
        <v>1209</v>
      </c>
      <c r="D562" s="7">
        <v>1.0</v>
      </c>
      <c r="E562" s="6">
        <v>46018.46875</v>
      </c>
      <c r="F562" s="5" t="s">
        <v>1221</v>
      </c>
    </row>
    <row r="563">
      <c r="A563" s="5">
        <v>9.911338801E9</v>
      </c>
      <c r="B563" s="5" t="s">
        <v>754</v>
      </c>
      <c r="C563" s="5" t="s">
        <v>1209</v>
      </c>
      <c r="D563" s="7">
        <v>1.0</v>
      </c>
      <c r="E563" s="6">
        <v>46018.46875</v>
      </c>
      <c r="F563" s="5" t="s">
        <v>1221</v>
      </c>
    </row>
    <row r="564">
      <c r="A564" s="5">
        <v>8.287813542E9</v>
      </c>
      <c r="B564" s="5" t="s">
        <v>123</v>
      </c>
      <c r="C564" s="5" t="s">
        <v>1209</v>
      </c>
      <c r="D564" s="7">
        <v>1.0</v>
      </c>
      <c r="E564" s="6">
        <v>46018.46875</v>
      </c>
      <c r="F564" s="5" t="s">
        <v>1221</v>
      </c>
    </row>
    <row r="565">
      <c r="A565" s="5">
        <v>6.289926452E9</v>
      </c>
      <c r="B565" s="5" t="s">
        <v>755</v>
      </c>
      <c r="C565" s="5" t="s">
        <v>1209</v>
      </c>
      <c r="D565" s="7">
        <v>1.0</v>
      </c>
      <c r="E565" s="6">
        <v>46018.46875</v>
      </c>
      <c r="F565" s="5" t="s">
        <v>1221</v>
      </c>
    </row>
    <row r="566">
      <c r="A566" s="5">
        <v>9.999855519E9</v>
      </c>
      <c r="B566" s="5" t="s">
        <v>437</v>
      </c>
      <c r="C566" s="5" t="s">
        <v>1209</v>
      </c>
      <c r="D566" s="7">
        <v>1.0</v>
      </c>
      <c r="E566" s="6">
        <v>46018.46875</v>
      </c>
      <c r="F566" s="5" t="s">
        <v>1221</v>
      </c>
    </row>
    <row r="567">
      <c r="A567" s="5">
        <v>8.85169017E9</v>
      </c>
      <c r="B567" s="5" t="s">
        <v>756</v>
      </c>
      <c r="C567" s="5" t="s">
        <v>1209</v>
      </c>
      <c r="D567" s="7">
        <v>1.0</v>
      </c>
      <c r="E567" s="6">
        <v>46018.46875</v>
      </c>
      <c r="F567" s="5" t="s">
        <v>1221</v>
      </c>
    </row>
    <row r="568">
      <c r="A568" s="5">
        <v>9.871810855E9</v>
      </c>
      <c r="B568" s="5" t="s">
        <v>757</v>
      </c>
      <c r="C568" s="5" t="s">
        <v>1209</v>
      </c>
      <c r="D568" s="7">
        <v>1.0</v>
      </c>
      <c r="E568" s="6">
        <v>46018.46875</v>
      </c>
      <c r="F568" s="5" t="s">
        <v>1221</v>
      </c>
    </row>
    <row r="569">
      <c r="A569" s="5">
        <v>9.810798532E9</v>
      </c>
      <c r="B569" s="5" t="s">
        <v>758</v>
      </c>
      <c r="C569" s="5" t="s">
        <v>1209</v>
      </c>
      <c r="D569" s="7">
        <v>1.0</v>
      </c>
      <c r="E569" s="6">
        <v>46018.46875</v>
      </c>
      <c r="F569" s="5" t="s">
        <v>1221</v>
      </c>
    </row>
    <row r="570">
      <c r="A570" s="5">
        <v>9.911181366E9</v>
      </c>
      <c r="B570" s="5" t="s">
        <v>661</v>
      </c>
      <c r="C570" s="5" t="s">
        <v>1209</v>
      </c>
      <c r="D570" s="7">
        <v>1.0</v>
      </c>
      <c r="E570" s="6">
        <v>46018.46875</v>
      </c>
      <c r="F570" s="5" t="s">
        <v>1221</v>
      </c>
    </row>
    <row r="571">
      <c r="A571" s="5">
        <v>7.982855589E9</v>
      </c>
      <c r="B571" s="5" t="s">
        <v>1234</v>
      </c>
      <c r="C571" s="5" t="s">
        <v>1209</v>
      </c>
      <c r="D571" s="7">
        <v>1.0</v>
      </c>
      <c r="E571" s="6">
        <v>46018.46875</v>
      </c>
      <c r="F571" s="5" t="s">
        <v>1221</v>
      </c>
    </row>
    <row r="572">
      <c r="A572" s="5">
        <v>9.818247342E9</v>
      </c>
      <c r="B572" s="5" t="s">
        <v>759</v>
      </c>
      <c r="C572" s="5" t="s">
        <v>1209</v>
      </c>
      <c r="D572" s="7">
        <v>1.0</v>
      </c>
      <c r="E572" s="6">
        <v>46018.46875</v>
      </c>
      <c r="F572" s="5" t="s">
        <v>1221</v>
      </c>
    </row>
    <row r="573">
      <c r="A573" s="5">
        <v>9.999901385E9</v>
      </c>
      <c r="B573" s="5" t="s">
        <v>760</v>
      </c>
      <c r="C573" s="5" t="s">
        <v>1209</v>
      </c>
      <c r="D573" s="7">
        <v>1.0</v>
      </c>
      <c r="E573" s="6">
        <v>46018.46875</v>
      </c>
      <c r="F573" s="5" t="s">
        <v>1221</v>
      </c>
    </row>
    <row r="574">
      <c r="A574" s="5">
        <v>8.077147351E9</v>
      </c>
      <c r="B574" s="5" t="s">
        <v>761</v>
      </c>
      <c r="C574" s="5" t="s">
        <v>1209</v>
      </c>
      <c r="D574" s="7">
        <v>1.0</v>
      </c>
      <c r="E574" s="6">
        <v>46018.46875</v>
      </c>
      <c r="F574" s="5" t="s">
        <v>1221</v>
      </c>
    </row>
    <row r="575">
      <c r="A575" s="5">
        <v>9.350978264E9</v>
      </c>
      <c r="B575" s="5" t="s">
        <v>762</v>
      </c>
      <c r="C575" s="5" t="s">
        <v>1209</v>
      </c>
      <c r="D575" s="7">
        <v>1.0</v>
      </c>
      <c r="E575" s="6">
        <v>46018.46875</v>
      </c>
      <c r="F575" s="5" t="s">
        <v>1221</v>
      </c>
    </row>
    <row r="576">
      <c r="A576" s="5">
        <v>9.667905486E9</v>
      </c>
      <c r="B576" s="5" t="s">
        <v>763</v>
      </c>
      <c r="C576" s="5" t="s">
        <v>1209</v>
      </c>
      <c r="D576" s="7">
        <v>1.0</v>
      </c>
      <c r="E576" s="6">
        <v>46018.46875</v>
      </c>
      <c r="F576" s="5" t="s">
        <v>1221</v>
      </c>
    </row>
    <row r="577">
      <c r="A577" s="5">
        <v>8.285907668E9</v>
      </c>
      <c r="B577" s="5" t="s">
        <v>764</v>
      </c>
      <c r="C577" s="5" t="s">
        <v>1209</v>
      </c>
      <c r="D577" s="7">
        <v>1.0</v>
      </c>
      <c r="E577" s="6">
        <v>46018.46875</v>
      </c>
      <c r="F577" s="5" t="s">
        <v>1221</v>
      </c>
    </row>
    <row r="578">
      <c r="A578" s="5">
        <v>9.310530559E9</v>
      </c>
      <c r="B578" s="5" t="s">
        <v>190</v>
      </c>
      <c r="C578" s="5" t="s">
        <v>1213</v>
      </c>
      <c r="D578" s="7">
        <v>1.0</v>
      </c>
      <c r="E578" s="6">
        <v>46018.46875</v>
      </c>
      <c r="F578" s="5" t="s">
        <v>1275</v>
      </c>
    </row>
    <row r="579">
      <c r="A579" s="5">
        <v>9.810629311E9</v>
      </c>
      <c r="B579" s="5" t="s">
        <v>1276</v>
      </c>
      <c r="C579" s="5" t="s">
        <v>1213</v>
      </c>
      <c r="D579" s="7">
        <v>1.0</v>
      </c>
      <c r="E579" s="6">
        <v>46018.46875</v>
      </c>
      <c r="F579" s="5" t="s">
        <v>1275</v>
      </c>
    </row>
    <row r="580">
      <c r="A580" s="5">
        <v>7.00289264E9</v>
      </c>
      <c r="B580" s="5" t="s">
        <v>765</v>
      </c>
      <c r="C580" s="5" t="s">
        <v>1209</v>
      </c>
      <c r="D580" s="7">
        <v>1.0</v>
      </c>
      <c r="E580" s="6">
        <v>46018.46875</v>
      </c>
      <c r="F580" s="5" t="s">
        <v>1221</v>
      </c>
    </row>
    <row r="581">
      <c r="A581" s="5">
        <v>9.810413274E9</v>
      </c>
      <c r="B581" s="5" t="s">
        <v>83</v>
      </c>
      <c r="C581" s="5" t="s">
        <v>1213</v>
      </c>
      <c r="D581" s="7">
        <v>1.0</v>
      </c>
      <c r="E581" s="6">
        <v>46018.46875</v>
      </c>
      <c r="F581" s="5" t="s">
        <v>1275</v>
      </c>
    </row>
    <row r="582">
      <c r="A582" s="5">
        <v>9.991108888E9</v>
      </c>
      <c r="B582" s="5" t="s">
        <v>766</v>
      </c>
      <c r="C582" s="5" t="s">
        <v>1209</v>
      </c>
      <c r="D582" s="7">
        <v>1.0</v>
      </c>
      <c r="E582" s="6">
        <v>46018.46875</v>
      </c>
      <c r="F582" s="5" t="s">
        <v>1221</v>
      </c>
    </row>
    <row r="583">
      <c r="A583" s="5">
        <v>8.882799877E9</v>
      </c>
      <c r="B583" s="5" t="s">
        <v>541</v>
      </c>
      <c r="C583" s="5" t="s">
        <v>1213</v>
      </c>
      <c r="D583" s="7">
        <v>1.0</v>
      </c>
      <c r="E583" s="6">
        <v>46018.46875</v>
      </c>
      <c r="F583" s="5" t="s">
        <v>1275</v>
      </c>
    </row>
    <row r="584">
      <c r="A584" s="5">
        <v>8.448413913E9</v>
      </c>
      <c r="B584" s="5" t="s">
        <v>767</v>
      </c>
      <c r="C584" s="5" t="s">
        <v>1209</v>
      </c>
      <c r="D584" s="7">
        <v>1.0</v>
      </c>
      <c r="E584" s="6">
        <v>46018.46875</v>
      </c>
      <c r="F584" s="5" t="s">
        <v>1221</v>
      </c>
    </row>
    <row r="585">
      <c r="A585" s="5">
        <v>9.871687051E9</v>
      </c>
      <c r="B585" s="5" t="s">
        <v>768</v>
      </c>
      <c r="C585" s="5" t="s">
        <v>1209</v>
      </c>
      <c r="D585" s="7">
        <v>1.0</v>
      </c>
      <c r="E585" s="6">
        <v>46018.46875</v>
      </c>
      <c r="F585" s="5" t="s">
        <v>1221</v>
      </c>
    </row>
    <row r="586">
      <c r="A586" s="5">
        <v>9.891959187E9</v>
      </c>
      <c r="B586" s="5" t="s">
        <v>1277</v>
      </c>
      <c r="C586" s="5" t="s">
        <v>1209</v>
      </c>
      <c r="D586" s="7">
        <v>1.0</v>
      </c>
      <c r="E586" s="6">
        <v>46018.46875</v>
      </c>
      <c r="F586" s="5" t="s">
        <v>1221</v>
      </c>
    </row>
    <row r="587">
      <c r="A587" s="5">
        <v>9.810705924E9</v>
      </c>
      <c r="B587" s="5" t="s">
        <v>770</v>
      </c>
      <c r="C587" s="5" t="s">
        <v>1209</v>
      </c>
      <c r="D587" s="7">
        <v>1.0</v>
      </c>
      <c r="E587" s="6">
        <v>46018.46875</v>
      </c>
      <c r="F587" s="5" t="s">
        <v>1221</v>
      </c>
    </row>
    <row r="588">
      <c r="A588" s="5">
        <v>9.871150346E9</v>
      </c>
      <c r="B588" s="5" t="s">
        <v>771</v>
      </c>
      <c r="C588" s="5" t="s">
        <v>1213</v>
      </c>
      <c r="D588" s="7">
        <v>1.0</v>
      </c>
      <c r="E588" s="6">
        <v>46018.46875</v>
      </c>
      <c r="F588" s="5" t="s">
        <v>1275</v>
      </c>
    </row>
    <row r="589">
      <c r="A589" s="5">
        <v>6.30609941E9</v>
      </c>
      <c r="B589" s="5" t="s">
        <v>745</v>
      </c>
      <c r="C589" s="5" t="s">
        <v>1213</v>
      </c>
      <c r="D589" s="7">
        <v>1.0</v>
      </c>
      <c r="E589" s="6">
        <v>46018.46875</v>
      </c>
      <c r="F589" s="5" t="s">
        <v>1275</v>
      </c>
    </row>
    <row r="590">
      <c r="A590" s="5">
        <v>9.910950251E9</v>
      </c>
      <c r="B590" s="5" t="s">
        <v>1278</v>
      </c>
      <c r="C590" s="5" t="s">
        <v>1213</v>
      </c>
      <c r="D590" s="7">
        <v>1.0</v>
      </c>
      <c r="E590" s="6">
        <v>46018.46875</v>
      </c>
      <c r="F590" s="5" t="s">
        <v>1275</v>
      </c>
    </row>
    <row r="591">
      <c r="A591" s="5">
        <v>9.069461111E9</v>
      </c>
      <c r="B591" s="5" t="s">
        <v>631</v>
      </c>
      <c r="C591" s="5" t="s">
        <v>1213</v>
      </c>
      <c r="D591" s="7">
        <v>1.0</v>
      </c>
      <c r="E591" s="6">
        <v>46018.46875</v>
      </c>
      <c r="F591" s="5" t="s">
        <v>1275</v>
      </c>
    </row>
    <row r="592">
      <c r="A592" s="5">
        <v>9.999788778E9</v>
      </c>
      <c r="B592" s="5" t="s">
        <v>765</v>
      </c>
      <c r="C592" s="5" t="s">
        <v>1209</v>
      </c>
      <c r="D592" s="7">
        <v>1.0</v>
      </c>
      <c r="E592" s="6">
        <v>46018.46875</v>
      </c>
      <c r="F592" s="5" t="s">
        <v>1221</v>
      </c>
    </row>
    <row r="593">
      <c r="A593" s="5">
        <v>9.971543232E9</v>
      </c>
      <c r="B593" s="5" t="s">
        <v>773</v>
      </c>
      <c r="C593" s="5" t="s">
        <v>1209</v>
      </c>
      <c r="D593" s="7">
        <v>1.0</v>
      </c>
      <c r="E593" s="6">
        <v>46018.46875</v>
      </c>
      <c r="F593" s="5" t="s">
        <v>1221</v>
      </c>
    </row>
    <row r="594">
      <c r="A594" s="5">
        <v>9.91139729E9</v>
      </c>
      <c r="B594" s="5" t="s">
        <v>774</v>
      </c>
      <c r="C594" s="5" t="s">
        <v>1209</v>
      </c>
      <c r="D594" s="7">
        <v>1.0</v>
      </c>
      <c r="E594" s="6">
        <v>46018.46875</v>
      </c>
      <c r="F594" s="5" t="s">
        <v>1221</v>
      </c>
    </row>
    <row r="595">
      <c r="A595" s="5">
        <v>9.872758037E9</v>
      </c>
      <c r="B595" s="5" t="s">
        <v>123</v>
      </c>
      <c r="C595" s="5" t="s">
        <v>1213</v>
      </c>
      <c r="D595" s="7">
        <v>1.0</v>
      </c>
      <c r="E595" s="6">
        <v>46018.46875</v>
      </c>
      <c r="F595" s="5" t="s">
        <v>1275</v>
      </c>
    </row>
    <row r="596">
      <c r="A596" s="5">
        <v>9.555683585E9</v>
      </c>
      <c r="B596" s="5" t="s">
        <v>751</v>
      </c>
      <c r="C596" s="5" t="s">
        <v>1213</v>
      </c>
      <c r="D596" s="7">
        <v>1.0</v>
      </c>
      <c r="E596" s="6">
        <v>46018.46875</v>
      </c>
      <c r="F596" s="5" t="s">
        <v>1275</v>
      </c>
    </row>
    <row r="597">
      <c r="A597" s="5">
        <v>9.996156841E9</v>
      </c>
      <c r="B597" s="5" t="s">
        <v>775</v>
      </c>
      <c r="C597" s="5" t="s">
        <v>1209</v>
      </c>
      <c r="D597" s="7">
        <v>1.0</v>
      </c>
      <c r="E597" s="6">
        <v>46018.46875</v>
      </c>
      <c r="F597" s="5" t="s">
        <v>1221</v>
      </c>
    </row>
    <row r="598">
      <c r="A598" s="5">
        <v>9.999008756E9</v>
      </c>
      <c r="B598" s="5" t="s">
        <v>1279</v>
      </c>
      <c r="C598" s="5" t="s">
        <v>1209</v>
      </c>
      <c r="D598" s="7">
        <v>1.0</v>
      </c>
      <c r="E598" s="6">
        <v>46018.46875</v>
      </c>
      <c r="F598" s="5" t="s">
        <v>1221</v>
      </c>
    </row>
    <row r="599">
      <c r="A599" s="5">
        <v>9.810239602E9</v>
      </c>
      <c r="B599" s="5" t="s">
        <v>776</v>
      </c>
      <c r="C599" s="5" t="s">
        <v>1213</v>
      </c>
      <c r="D599" s="7">
        <v>1.0</v>
      </c>
      <c r="E599" s="6">
        <v>46018.46875</v>
      </c>
      <c r="F599" s="5" t="s">
        <v>1275</v>
      </c>
    </row>
    <row r="600">
      <c r="A600" s="5">
        <v>9.667903853E9</v>
      </c>
      <c r="B600" s="5" t="s">
        <v>777</v>
      </c>
      <c r="C600" s="5" t="s">
        <v>1209</v>
      </c>
      <c r="D600" s="7">
        <v>1.0</v>
      </c>
      <c r="E600" s="6">
        <v>46018.46875</v>
      </c>
      <c r="F600" s="5" t="s">
        <v>1221</v>
      </c>
    </row>
    <row r="601">
      <c r="A601" s="5">
        <v>9.899383939E9</v>
      </c>
      <c r="B601" s="5" t="s">
        <v>193</v>
      </c>
      <c r="C601" s="5" t="s">
        <v>1209</v>
      </c>
      <c r="D601" s="7">
        <v>1.0</v>
      </c>
      <c r="E601" s="6">
        <v>46018.46875</v>
      </c>
      <c r="F601" s="5" t="s">
        <v>1221</v>
      </c>
    </row>
    <row r="602">
      <c r="A602" s="5">
        <v>9.958520241E9</v>
      </c>
      <c r="B602" s="5" t="s">
        <v>778</v>
      </c>
      <c r="C602" s="5" t="s">
        <v>1209</v>
      </c>
      <c r="D602" s="7">
        <v>1.0</v>
      </c>
      <c r="E602" s="6">
        <v>46018.46875</v>
      </c>
      <c r="F602" s="5" t="s">
        <v>1221</v>
      </c>
    </row>
    <row r="603">
      <c r="A603" s="5">
        <v>9.540632121E9</v>
      </c>
      <c r="B603" s="5" t="s">
        <v>779</v>
      </c>
      <c r="C603" s="5" t="s">
        <v>1213</v>
      </c>
      <c r="D603" s="7">
        <v>1.0</v>
      </c>
      <c r="E603" s="6">
        <v>46018.46875</v>
      </c>
      <c r="F603" s="5" t="s">
        <v>1275</v>
      </c>
    </row>
    <row r="604">
      <c r="A604" s="5">
        <v>9.717661915E9</v>
      </c>
      <c r="B604" s="5" t="s">
        <v>729</v>
      </c>
      <c r="C604" s="5" t="s">
        <v>1213</v>
      </c>
      <c r="D604" s="7">
        <v>1.0</v>
      </c>
      <c r="E604" s="6">
        <v>46018.46875</v>
      </c>
      <c r="F604" s="5" t="s">
        <v>1275</v>
      </c>
    </row>
    <row r="605">
      <c r="A605" s="5">
        <v>9.871141433E9</v>
      </c>
      <c r="B605" s="5" t="s">
        <v>195</v>
      </c>
      <c r="C605" s="5" t="s">
        <v>1213</v>
      </c>
      <c r="D605" s="7">
        <v>1.0</v>
      </c>
      <c r="E605" s="6">
        <v>46018.46875</v>
      </c>
      <c r="F605" s="5" t="s">
        <v>1275</v>
      </c>
    </row>
    <row r="606">
      <c r="A606" s="5">
        <v>9.871320285E9</v>
      </c>
      <c r="B606" s="5" t="s">
        <v>780</v>
      </c>
      <c r="C606" s="5" t="s">
        <v>1209</v>
      </c>
      <c r="D606" s="7">
        <v>1.0</v>
      </c>
      <c r="E606" s="6">
        <v>46018.46875</v>
      </c>
      <c r="F606" s="5" t="s">
        <v>1221</v>
      </c>
    </row>
    <row r="607">
      <c r="A607" s="5">
        <v>8.866013116E9</v>
      </c>
      <c r="B607" s="5" t="s">
        <v>781</v>
      </c>
      <c r="C607" s="5" t="s">
        <v>1209</v>
      </c>
      <c r="D607" s="7">
        <v>1.0</v>
      </c>
      <c r="E607" s="6">
        <v>46018.46875</v>
      </c>
      <c r="F607" s="5" t="s">
        <v>1221</v>
      </c>
    </row>
    <row r="608">
      <c r="A608" s="5">
        <v>9.953937777E9</v>
      </c>
      <c r="B608" s="5" t="s">
        <v>197</v>
      </c>
      <c r="C608" s="5" t="s">
        <v>1209</v>
      </c>
      <c r="D608" s="7">
        <v>1.0</v>
      </c>
      <c r="E608" s="6">
        <v>46018.46875</v>
      </c>
      <c r="F608" s="5" t="s">
        <v>1221</v>
      </c>
    </row>
    <row r="609">
      <c r="A609" s="5">
        <v>9.868649591E9</v>
      </c>
      <c r="B609" s="5" t="s">
        <v>1280</v>
      </c>
      <c r="C609" s="5" t="s">
        <v>1209</v>
      </c>
      <c r="D609" s="7">
        <v>1.0</v>
      </c>
      <c r="E609" s="6">
        <v>46018.46875</v>
      </c>
      <c r="F609" s="5" t="s">
        <v>1221</v>
      </c>
    </row>
    <row r="610">
      <c r="A610" s="5">
        <v>9.871871546E9</v>
      </c>
      <c r="B610" s="5" t="s">
        <v>444</v>
      </c>
      <c r="C610" s="5" t="s">
        <v>1209</v>
      </c>
      <c r="D610" s="7">
        <v>1.0</v>
      </c>
      <c r="E610" s="6">
        <v>46018.46875</v>
      </c>
      <c r="F610" s="5" t="s">
        <v>1221</v>
      </c>
    </row>
    <row r="611">
      <c r="A611" s="5">
        <v>8.686901313E9</v>
      </c>
      <c r="B611" s="5" t="s">
        <v>783</v>
      </c>
      <c r="C611" s="5" t="s">
        <v>1209</v>
      </c>
      <c r="D611" s="7">
        <v>1.0</v>
      </c>
      <c r="E611" s="6">
        <v>46018.46875</v>
      </c>
      <c r="F611" s="5" t="s">
        <v>1221</v>
      </c>
    </row>
    <row r="612">
      <c r="A612" s="5">
        <v>9.810822945E9</v>
      </c>
      <c r="B612" s="5" t="s">
        <v>437</v>
      </c>
      <c r="C612" s="5" t="s">
        <v>1209</v>
      </c>
      <c r="D612" s="7">
        <v>1.0</v>
      </c>
      <c r="E612" s="6">
        <v>46018.46875</v>
      </c>
      <c r="F612" s="5" t="s">
        <v>1221</v>
      </c>
    </row>
    <row r="613">
      <c r="A613" s="5">
        <v>9.999744896E9</v>
      </c>
      <c r="B613" s="5" t="s">
        <v>1281</v>
      </c>
      <c r="C613" s="5" t="s">
        <v>1213</v>
      </c>
      <c r="D613" s="7">
        <v>1.0</v>
      </c>
      <c r="E613" s="6">
        <v>46018.46875</v>
      </c>
      <c r="F613" s="5" t="s">
        <v>1275</v>
      </c>
    </row>
    <row r="614">
      <c r="A614" s="5">
        <v>8.70033597E9</v>
      </c>
      <c r="B614" s="5" t="s">
        <v>437</v>
      </c>
      <c r="C614" s="5" t="s">
        <v>1213</v>
      </c>
      <c r="D614" s="7">
        <v>1.0</v>
      </c>
      <c r="E614" s="6">
        <v>46018.46875</v>
      </c>
      <c r="F614" s="5" t="s">
        <v>1275</v>
      </c>
    </row>
    <row r="615">
      <c r="A615" s="5">
        <v>9.773504855E9</v>
      </c>
      <c r="B615" s="5" t="s">
        <v>785</v>
      </c>
      <c r="C615" s="5" t="s">
        <v>1209</v>
      </c>
      <c r="D615" s="7">
        <v>1.0</v>
      </c>
      <c r="E615" s="6">
        <v>46018.46875</v>
      </c>
      <c r="F615" s="5" t="s">
        <v>1221</v>
      </c>
    </row>
    <row r="616">
      <c r="A616" s="5">
        <v>9.811451013E9</v>
      </c>
      <c r="B616" s="5" t="s">
        <v>725</v>
      </c>
      <c r="C616" s="5" t="s">
        <v>1213</v>
      </c>
      <c r="D616" s="7">
        <v>1.0</v>
      </c>
      <c r="E616" s="6">
        <v>46018.46875</v>
      </c>
      <c r="F616" s="5" t="s">
        <v>1275</v>
      </c>
    </row>
    <row r="617">
      <c r="A617" s="5">
        <v>9.899988552E9</v>
      </c>
      <c r="B617" s="5" t="s">
        <v>1282</v>
      </c>
      <c r="C617" s="5" t="s">
        <v>1209</v>
      </c>
      <c r="D617" s="7">
        <v>1.0</v>
      </c>
      <c r="E617" s="6">
        <v>46018.46875</v>
      </c>
      <c r="F617" s="5" t="s">
        <v>1221</v>
      </c>
    </row>
    <row r="618">
      <c r="A618" s="5">
        <v>8.108557725E9</v>
      </c>
      <c r="B618" s="5" t="s">
        <v>787</v>
      </c>
      <c r="C618" s="5" t="s">
        <v>1209</v>
      </c>
      <c r="D618" s="7">
        <v>1.0</v>
      </c>
      <c r="E618" s="6">
        <v>46018.46875</v>
      </c>
      <c r="F618" s="5" t="s">
        <v>1221</v>
      </c>
    </row>
    <row r="619">
      <c r="A619" s="5">
        <v>9.953677855E9</v>
      </c>
      <c r="B619" s="5" t="s">
        <v>683</v>
      </c>
      <c r="C619" s="5" t="s">
        <v>1209</v>
      </c>
      <c r="D619" s="7">
        <v>1.0</v>
      </c>
      <c r="E619" s="6">
        <v>46018.46875</v>
      </c>
      <c r="F619" s="5" t="s">
        <v>1221</v>
      </c>
    </row>
    <row r="620">
      <c r="A620" s="5">
        <v>9.999347116E9</v>
      </c>
      <c r="B620" s="5" t="s">
        <v>788</v>
      </c>
      <c r="C620" s="5" t="s">
        <v>1213</v>
      </c>
      <c r="D620" s="7">
        <v>1.0</v>
      </c>
      <c r="E620" s="6">
        <v>46018.46875</v>
      </c>
      <c r="F620" s="5" t="s">
        <v>1275</v>
      </c>
    </row>
    <row r="621">
      <c r="A621" s="5">
        <v>9.873596247E9</v>
      </c>
      <c r="B621" s="5" t="s">
        <v>789</v>
      </c>
      <c r="C621" s="5" t="s">
        <v>1209</v>
      </c>
      <c r="D621" s="7">
        <v>1.0</v>
      </c>
      <c r="E621" s="6">
        <v>46018.46875</v>
      </c>
      <c r="F621" s="5" t="s">
        <v>1221</v>
      </c>
    </row>
    <row r="622">
      <c r="A622" s="5">
        <v>9.599882233E9</v>
      </c>
      <c r="B622" s="5" t="s">
        <v>199</v>
      </c>
      <c r="C622" s="5" t="s">
        <v>1209</v>
      </c>
      <c r="D622" s="7">
        <v>1.0</v>
      </c>
      <c r="E622" s="6">
        <v>46018.46875</v>
      </c>
      <c r="F622" s="5" t="s">
        <v>1221</v>
      </c>
    </row>
    <row r="623">
      <c r="A623" s="5">
        <v>9.810250602E9</v>
      </c>
      <c r="B623" s="5" t="s">
        <v>790</v>
      </c>
      <c r="C623" s="5" t="s">
        <v>1209</v>
      </c>
      <c r="D623" s="7">
        <v>1.0</v>
      </c>
      <c r="E623" s="6">
        <v>46018.46875</v>
      </c>
      <c r="F623" s="5" t="s">
        <v>1221</v>
      </c>
    </row>
    <row r="624">
      <c r="A624" s="5">
        <v>9.868857378E9</v>
      </c>
      <c r="B624" s="5" t="s">
        <v>791</v>
      </c>
      <c r="C624" s="5" t="s">
        <v>1213</v>
      </c>
      <c r="D624" s="7">
        <v>1.0</v>
      </c>
      <c r="E624" s="6">
        <v>46018.46875</v>
      </c>
      <c r="F624" s="5" t="s">
        <v>1275</v>
      </c>
    </row>
    <row r="625">
      <c r="A625" s="5">
        <v>9.810092819E9</v>
      </c>
      <c r="B625" s="5" t="s">
        <v>792</v>
      </c>
      <c r="C625" s="5" t="s">
        <v>1213</v>
      </c>
      <c r="D625" s="7">
        <v>1.0</v>
      </c>
      <c r="E625" s="6">
        <v>46018.46875</v>
      </c>
      <c r="F625" s="5" t="s">
        <v>1275</v>
      </c>
    </row>
    <row r="626">
      <c r="A626" s="5">
        <v>9.643715157E9</v>
      </c>
      <c r="B626" s="5" t="s">
        <v>793</v>
      </c>
      <c r="C626" s="5" t="s">
        <v>1213</v>
      </c>
      <c r="D626" s="7">
        <v>1.0</v>
      </c>
      <c r="E626" s="6">
        <v>46018.46875</v>
      </c>
      <c r="F626" s="5" t="s">
        <v>1275</v>
      </c>
    </row>
    <row r="627">
      <c r="A627" s="5">
        <v>9.999928834E9</v>
      </c>
      <c r="B627" s="5" t="s">
        <v>794</v>
      </c>
      <c r="C627" s="5" t="s">
        <v>1209</v>
      </c>
      <c r="D627" s="7">
        <v>1.0</v>
      </c>
      <c r="E627" s="6">
        <v>46018.46875</v>
      </c>
      <c r="F627" s="5" t="s">
        <v>1221</v>
      </c>
    </row>
    <row r="628">
      <c r="A628" s="5">
        <v>8.95024306E9</v>
      </c>
      <c r="B628" s="5" t="s">
        <v>572</v>
      </c>
      <c r="C628" s="5" t="s">
        <v>1209</v>
      </c>
      <c r="D628" s="7">
        <v>1.0</v>
      </c>
      <c r="E628" s="6">
        <v>46018.46875</v>
      </c>
      <c r="F628" s="5" t="s">
        <v>1221</v>
      </c>
    </row>
    <row r="629">
      <c r="A629" s="5">
        <v>9.958853781E9</v>
      </c>
      <c r="B629" s="5" t="s">
        <v>795</v>
      </c>
      <c r="C629" s="5" t="s">
        <v>1209</v>
      </c>
      <c r="D629" s="7">
        <v>1.0</v>
      </c>
      <c r="E629" s="6">
        <v>46018.46875</v>
      </c>
      <c r="F629" s="5" t="s">
        <v>1221</v>
      </c>
    </row>
    <row r="630">
      <c r="A630" s="5">
        <v>7.982275693E9</v>
      </c>
      <c r="B630" s="5" t="s">
        <v>796</v>
      </c>
      <c r="C630" s="5" t="s">
        <v>1213</v>
      </c>
      <c r="D630" s="7">
        <v>1.0</v>
      </c>
      <c r="E630" s="6">
        <v>46018.46875</v>
      </c>
      <c r="F630" s="5" t="s">
        <v>1275</v>
      </c>
    </row>
    <row r="631">
      <c r="A631" s="5">
        <v>8.882646525E9</v>
      </c>
      <c r="B631" s="5" t="s">
        <v>797</v>
      </c>
      <c r="C631" s="5" t="s">
        <v>1209</v>
      </c>
      <c r="D631" s="7">
        <v>1.0</v>
      </c>
      <c r="E631" s="6">
        <v>46018.46875</v>
      </c>
      <c r="F631" s="5" t="s">
        <v>1221</v>
      </c>
    </row>
    <row r="632">
      <c r="A632" s="5">
        <v>9.868506683E9</v>
      </c>
      <c r="B632" s="5" t="s">
        <v>798</v>
      </c>
      <c r="C632" s="5" t="s">
        <v>1209</v>
      </c>
      <c r="D632" s="7">
        <v>1.0</v>
      </c>
      <c r="E632" s="6">
        <v>46018.46875</v>
      </c>
      <c r="F632" s="5" t="s">
        <v>1221</v>
      </c>
    </row>
    <row r="633">
      <c r="A633" s="5">
        <v>9.857862957E9</v>
      </c>
      <c r="B633" s="5" t="s">
        <v>799</v>
      </c>
      <c r="C633" s="5" t="s">
        <v>1213</v>
      </c>
      <c r="D633" s="7">
        <v>1.0</v>
      </c>
      <c r="E633" s="6">
        <v>46018.46875</v>
      </c>
      <c r="F633" s="5" t="s">
        <v>1275</v>
      </c>
    </row>
    <row r="634">
      <c r="A634" s="5">
        <v>9.891181272E9</v>
      </c>
      <c r="B634" s="5" t="s">
        <v>201</v>
      </c>
      <c r="C634" s="5" t="s">
        <v>1213</v>
      </c>
      <c r="D634" s="7">
        <v>1.0</v>
      </c>
      <c r="E634" s="6">
        <v>46018.46875</v>
      </c>
      <c r="F634" s="5" t="s">
        <v>1275</v>
      </c>
    </row>
    <row r="635">
      <c r="A635" s="5">
        <v>8.13097101E9</v>
      </c>
      <c r="B635" s="5" t="s">
        <v>510</v>
      </c>
      <c r="C635" s="5" t="s">
        <v>1209</v>
      </c>
      <c r="D635" s="7">
        <v>1.0</v>
      </c>
      <c r="E635" s="6">
        <v>46018.46875</v>
      </c>
      <c r="F635" s="5" t="s">
        <v>1221</v>
      </c>
    </row>
    <row r="636">
      <c r="A636" s="5">
        <v>9.728543318E9</v>
      </c>
      <c r="B636" s="5" t="s">
        <v>800</v>
      </c>
      <c r="C636" s="5" t="s">
        <v>1213</v>
      </c>
      <c r="D636" s="7">
        <v>1.0</v>
      </c>
      <c r="E636" s="6">
        <v>46018.46875</v>
      </c>
      <c r="F636" s="5" t="s">
        <v>1275</v>
      </c>
    </row>
    <row r="637">
      <c r="A637" s="5">
        <v>9.899559925E9</v>
      </c>
      <c r="B637" s="5" t="s">
        <v>436</v>
      </c>
      <c r="C637" s="5" t="s">
        <v>1209</v>
      </c>
      <c r="D637" s="7">
        <v>1.0</v>
      </c>
      <c r="E637" s="6">
        <v>46018.46875</v>
      </c>
      <c r="F637" s="5" t="s">
        <v>1221</v>
      </c>
    </row>
    <row r="638">
      <c r="A638" s="5">
        <v>9.818711033E9</v>
      </c>
      <c r="B638" s="5" t="s">
        <v>203</v>
      </c>
      <c r="C638" s="5" t="s">
        <v>1213</v>
      </c>
      <c r="D638" s="7">
        <v>1.0</v>
      </c>
      <c r="E638" s="6">
        <v>46018.46875</v>
      </c>
      <c r="F638" s="5" t="s">
        <v>1275</v>
      </c>
    </row>
    <row r="639">
      <c r="A639" s="5">
        <v>9.65405999E9</v>
      </c>
      <c r="B639" s="5" t="s">
        <v>205</v>
      </c>
      <c r="C639" s="5" t="s">
        <v>1213</v>
      </c>
      <c r="D639" s="7">
        <v>1.0</v>
      </c>
      <c r="E639" s="6">
        <v>46018.46875</v>
      </c>
      <c r="F639" s="5" t="s">
        <v>1275</v>
      </c>
    </row>
    <row r="640">
      <c r="A640" s="5">
        <v>6.381747507E9</v>
      </c>
      <c r="B640" s="5" t="s">
        <v>801</v>
      </c>
      <c r="C640" s="5" t="s">
        <v>1209</v>
      </c>
      <c r="D640" s="7">
        <v>1.0</v>
      </c>
      <c r="E640" s="6">
        <v>46018.46875</v>
      </c>
      <c r="F640" s="5" t="s">
        <v>1221</v>
      </c>
    </row>
    <row r="641">
      <c r="A641" s="5">
        <v>9.818752857E9</v>
      </c>
      <c r="B641" s="5" t="s">
        <v>802</v>
      </c>
      <c r="C641" s="5" t="s">
        <v>1213</v>
      </c>
      <c r="D641" s="7">
        <v>1.0</v>
      </c>
      <c r="E641" s="6">
        <v>46018.46875</v>
      </c>
      <c r="F641" s="5" t="s">
        <v>1275</v>
      </c>
    </row>
    <row r="642">
      <c r="A642" s="5">
        <v>9.140083501E9</v>
      </c>
      <c r="B642" s="5" t="s">
        <v>742</v>
      </c>
      <c r="C642" s="5" t="s">
        <v>1209</v>
      </c>
      <c r="D642" s="7">
        <v>1.0</v>
      </c>
      <c r="E642" s="6">
        <v>46018.46875</v>
      </c>
      <c r="F642" s="5" t="s">
        <v>1221</v>
      </c>
    </row>
    <row r="643">
      <c r="A643" s="5">
        <v>9.212222888E9</v>
      </c>
      <c r="B643" s="5" t="s">
        <v>803</v>
      </c>
      <c r="C643" s="5" t="s">
        <v>1213</v>
      </c>
      <c r="D643" s="7">
        <v>1.0</v>
      </c>
      <c r="E643" s="6">
        <v>46018.46875</v>
      </c>
      <c r="F643" s="5" t="s">
        <v>1275</v>
      </c>
    </row>
    <row r="644">
      <c r="A644" s="5">
        <v>8.275382687E9</v>
      </c>
      <c r="B644" s="5" t="s">
        <v>481</v>
      </c>
      <c r="C644" s="5" t="s">
        <v>1209</v>
      </c>
      <c r="D644" s="7">
        <v>1.0</v>
      </c>
      <c r="E644" s="6">
        <v>46018.46875</v>
      </c>
      <c r="F644" s="5" t="s">
        <v>1221</v>
      </c>
    </row>
    <row r="645">
      <c r="A645" s="5">
        <v>8.178240939E9</v>
      </c>
      <c r="B645" s="5" t="s">
        <v>661</v>
      </c>
      <c r="C645" s="5" t="s">
        <v>1209</v>
      </c>
      <c r="D645" s="7">
        <v>1.0</v>
      </c>
      <c r="E645" s="6">
        <v>46018.46875</v>
      </c>
      <c r="F645" s="5" t="s">
        <v>1221</v>
      </c>
    </row>
    <row r="646">
      <c r="A646" s="5">
        <v>9.711778646E9</v>
      </c>
      <c r="B646" s="5" t="s">
        <v>804</v>
      </c>
      <c r="C646" s="5" t="s">
        <v>1209</v>
      </c>
      <c r="D646" s="7">
        <v>1.0</v>
      </c>
      <c r="E646" s="6">
        <v>46018.46875</v>
      </c>
      <c r="F646" s="5" t="s">
        <v>1221</v>
      </c>
    </row>
    <row r="647">
      <c r="A647" s="5">
        <v>9.650852037E9</v>
      </c>
      <c r="B647" s="5" t="s">
        <v>805</v>
      </c>
      <c r="C647" s="5" t="s">
        <v>1213</v>
      </c>
      <c r="D647" s="7">
        <v>1.0</v>
      </c>
      <c r="E647" s="6">
        <v>46018.46875</v>
      </c>
      <c r="F647" s="5" t="s">
        <v>1275</v>
      </c>
    </row>
    <row r="648">
      <c r="A648" s="5">
        <v>9.711063633E9</v>
      </c>
      <c r="B648" s="5" t="s">
        <v>207</v>
      </c>
      <c r="C648" s="5" t="s">
        <v>1213</v>
      </c>
      <c r="D648" s="7">
        <v>1.0</v>
      </c>
      <c r="E648" s="6">
        <v>46018.46875</v>
      </c>
      <c r="F648" s="5" t="s">
        <v>1275</v>
      </c>
    </row>
    <row r="649">
      <c r="A649" s="5">
        <v>9.99932322E9</v>
      </c>
      <c r="B649" s="5" t="s">
        <v>251</v>
      </c>
      <c r="C649" s="5" t="s">
        <v>1213</v>
      </c>
      <c r="D649" s="7">
        <v>1.0</v>
      </c>
      <c r="E649" s="6">
        <v>46018.46875</v>
      </c>
      <c r="F649" s="5" t="s">
        <v>1275</v>
      </c>
    </row>
    <row r="650">
      <c r="A650" s="5">
        <v>9.867585898E9</v>
      </c>
      <c r="B650" s="5" t="s">
        <v>806</v>
      </c>
      <c r="C650" s="5" t="s">
        <v>1209</v>
      </c>
      <c r="D650" s="7">
        <v>1.0</v>
      </c>
      <c r="E650" s="6">
        <v>46018.46875</v>
      </c>
      <c r="F650" s="5" t="s">
        <v>1221</v>
      </c>
    </row>
    <row r="651">
      <c r="A651" s="5">
        <v>7.042775899E9</v>
      </c>
      <c r="B651" s="5" t="s">
        <v>807</v>
      </c>
      <c r="C651" s="5" t="s">
        <v>1213</v>
      </c>
      <c r="D651" s="7">
        <v>1.0</v>
      </c>
      <c r="E651" s="6">
        <v>46018.46875</v>
      </c>
      <c r="F651" s="5" t="s">
        <v>1275</v>
      </c>
    </row>
    <row r="652">
      <c r="A652" s="5">
        <v>7.503982731E9</v>
      </c>
      <c r="B652" s="5" t="s">
        <v>572</v>
      </c>
      <c r="C652" s="5" t="s">
        <v>1209</v>
      </c>
      <c r="D652" s="7">
        <v>1.0</v>
      </c>
      <c r="E652" s="6">
        <v>46018.46875</v>
      </c>
      <c r="F652" s="5" t="s">
        <v>1221</v>
      </c>
    </row>
    <row r="653">
      <c r="A653" s="5">
        <v>8.13098475E9</v>
      </c>
      <c r="B653" s="5" t="s">
        <v>808</v>
      </c>
      <c r="C653" s="5" t="s">
        <v>1209</v>
      </c>
      <c r="D653" s="7">
        <v>1.0</v>
      </c>
      <c r="E653" s="6">
        <v>46018.46875</v>
      </c>
      <c r="F653" s="5" t="s">
        <v>1221</v>
      </c>
    </row>
    <row r="654">
      <c r="A654" s="5">
        <v>7.982125833E9</v>
      </c>
      <c r="B654" s="5" t="s">
        <v>208</v>
      </c>
      <c r="C654" s="5" t="s">
        <v>1213</v>
      </c>
      <c r="D654" s="7">
        <v>1.0</v>
      </c>
      <c r="E654" s="6">
        <v>46018.46875</v>
      </c>
      <c r="F654" s="5" t="s">
        <v>1275</v>
      </c>
    </row>
    <row r="655">
      <c r="A655" s="5">
        <v>8.860647524E9</v>
      </c>
      <c r="B655" s="5" t="s">
        <v>623</v>
      </c>
      <c r="C655" s="5" t="s">
        <v>1209</v>
      </c>
      <c r="D655" s="7">
        <v>1.0</v>
      </c>
      <c r="E655" s="6">
        <v>46018.46875</v>
      </c>
      <c r="F655" s="5" t="s">
        <v>1221</v>
      </c>
    </row>
    <row r="656">
      <c r="A656" s="5">
        <v>9.810287478E9</v>
      </c>
      <c r="B656" s="5" t="s">
        <v>210</v>
      </c>
      <c r="C656" s="5" t="s">
        <v>1213</v>
      </c>
      <c r="D656" s="7">
        <v>1.0</v>
      </c>
      <c r="E656" s="6">
        <v>46018.46875</v>
      </c>
      <c r="F656" s="5" t="s">
        <v>1275</v>
      </c>
    </row>
    <row r="657">
      <c r="A657" s="5">
        <v>8.010768209E9</v>
      </c>
      <c r="B657" s="5" t="s">
        <v>809</v>
      </c>
      <c r="C657" s="5" t="s">
        <v>1209</v>
      </c>
      <c r="D657" s="7">
        <v>1.0</v>
      </c>
      <c r="E657" s="6">
        <v>46018.46875</v>
      </c>
      <c r="F657" s="5" t="s">
        <v>1221</v>
      </c>
    </row>
    <row r="658">
      <c r="A658" s="5">
        <v>9.212399066E9</v>
      </c>
      <c r="B658" s="5" t="s">
        <v>211</v>
      </c>
      <c r="C658" s="5" t="s">
        <v>1209</v>
      </c>
      <c r="D658" s="7">
        <v>1.0</v>
      </c>
      <c r="E658" s="6">
        <v>46018.46875</v>
      </c>
      <c r="F658" s="5" t="s">
        <v>1221</v>
      </c>
    </row>
    <row r="659">
      <c r="A659" s="5">
        <v>9.650798068E9</v>
      </c>
      <c r="B659" s="5" t="s">
        <v>213</v>
      </c>
      <c r="C659" s="5" t="s">
        <v>1213</v>
      </c>
      <c r="D659" s="7">
        <v>1.0</v>
      </c>
      <c r="E659" s="6">
        <v>46018.46875</v>
      </c>
      <c r="F659" s="5" t="s">
        <v>1275</v>
      </c>
    </row>
    <row r="660">
      <c r="A660" s="5">
        <v>9.312263494E9</v>
      </c>
      <c r="B660" s="5" t="s">
        <v>215</v>
      </c>
      <c r="C660" s="5" t="s">
        <v>1213</v>
      </c>
      <c r="D660" s="7">
        <v>1.0</v>
      </c>
      <c r="E660" s="6">
        <v>46018.46875</v>
      </c>
      <c r="F660" s="5" t="s">
        <v>1275</v>
      </c>
    </row>
    <row r="661">
      <c r="A661" s="5">
        <v>9.810413272E9</v>
      </c>
      <c r="B661" s="5" t="s">
        <v>217</v>
      </c>
      <c r="C661" s="5" t="s">
        <v>1213</v>
      </c>
      <c r="D661" s="7">
        <v>1.0</v>
      </c>
      <c r="E661" s="6">
        <v>46018.46875</v>
      </c>
      <c r="F661" s="5" t="s">
        <v>1275</v>
      </c>
    </row>
    <row r="662">
      <c r="A662" s="5">
        <v>9.419190227E9</v>
      </c>
      <c r="B662" s="5" t="s">
        <v>810</v>
      </c>
      <c r="C662" s="5" t="s">
        <v>1213</v>
      </c>
      <c r="D662" s="7">
        <v>1.0</v>
      </c>
      <c r="E662" s="6">
        <v>46018.46875</v>
      </c>
      <c r="F662" s="5" t="s">
        <v>1275</v>
      </c>
    </row>
    <row r="663">
      <c r="A663" s="5">
        <v>9.013329595E9</v>
      </c>
      <c r="B663" s="5" t="s">
        <v>218</v>
      </c>
      <c r="C663" s="5" t="s">
        <v>1209</v>
      </c>
      <c r="D663" s="7">
        <v>1.0</v>
      </c>
      <c r="E663" s="6">
        <v>46018.46875</v>
      </c>
      <c r="F663" s="5" t="s">
        <v>1221</v>
      </c>
    </row>
    <row r="664">
      <c r="A664" s="5">
        <v>8.29923193E9</v>
      </c>
      <c r="B664" s="5" t="s">
        <v>220</v>
      </c>
      <c r="C664" s="5" t="s">
        <v>1213</v>
      </c>
      <c r="D664" s="7">
        <v>1.0</v>
      </c>
      <c r="E664" s="6">
        <v>46018.46875</v>
      </c>
      <c r="F664" s="5" t="s">
        <v>1275</v>
      </c>
    </row>
    <row r="665">
      <c r="A665" s="5">
        <v>8.368117424E9</v>
      </c>
      <c r="B665" s="5" t="s">
        <v>543</v>
      </c>
      <c r="C665" s="5" t="s">
        <v>1213</v>
      </c>
      <c r="D665" s="7">
        <v>1.0</v>
      </c>
      <c r="E665" s="6">
        <v>46018.46875</v>
      </c>
      <c r="F665" s="5" t="s">
        <v>1275</v>
      </c>
    </row>
    <row r="666">
      <c r="A666" s="5">
        <v>9.162963605E9</v>
      </c>
      <c r="B666" s="5" t="s">
        <v>811</v>
      </c>
      <c r="C666" s="5" t="s">
        <v>1213</v>
      </c>
      <c r="D666" s="7">
        <v>1.0</v>
      </c>
      <c r="E666" s="6">
        <v>46018.46875</v>
      </c>
      <c r="F666" s="5" t="s">
        <v>1275</v>
      </c>
    </row>
    <row r="667">
      <c r="A667" s="5">
        <v>9.368877011E9</v>
      </c>
      <c r="B667" s="5" t="s">
        <v>222</v>
      </c>
      <c r="C667" s="5" t="s">
        <v>1213</v>
      </c>
      <c r="D667" s="7">
        <v>1.0</v>
      </c>
      <c r="E667" s="6">
        <v>46018.46875</v>
      </c>
      <c r="F667" s="5" t="s">
        <v>1275</v>
      </c>
    </row>
    <row r="668">
      <c r="A668" s="5">
        <v>9.31105226E9</v>
      </c>
      <c r="B668" s="5" t="s">
        <v>619</v>
      </c>
      <c r="C668" s="5" t="s">
        <v>1213</v>
      </c>
      <c r="D668" s="7">
        <v>1.0</v>
      </c>
      <c r="E668" s="6">
        <v>46018.46875</v>
      </c>
      <c r="F668" s="5" t="s">
        <v>1275</v>
      </c>
    </row>
    <row r="669">
      <c r="A669" s="5">
        <v>8.130477446E9</v>
      </c>
      <c r="B669" s="5" t="s">
        <v>224</v>
      </c>
      <c r="C669" s="5" t="s">
        <v>1213</v>
      </c>
      <c r="D669" s="7">
        <v>1.0</v>
      </c>
      <c r="E669" s="6">
        <v>46018.46875</v>
      </c>
      <c r="F669" s="5" t="s">
        <v>1275</v>
      </c>
    </row>
    <row r="670">
      <c r="A670" s="5">
        <v>8.187961053E9</v>
      </c>
      <c r="B670" s="5" t="s">
        <v>812</v>
      </c>
      <c r="C670" s="5" t="s">
        <v>1213</v>
      </c>
      <c r="D670" s="7">
        <v>1.0</v>
      </c>
      <c r="E670" s="6">
        <v>46018.46875</v>
      </c>
      <c r="F670" s="5" t="s">
        <v>1275</v>
      </c>
    </row>
    <row r="671">
      <c r="A671" s="5">
        <v>7.006511249E9</v>
      </c>
      <c r="B671" s="5" t="s">
        <v>813</v>
      </c>
      <c r="C671" s="5" t="s">
        <v>1213</v>
      </c>
      <c r="D671" s="7">
        <v>1.0</v>
      </c>
      <c r="E671" s="6">
        <v>46018.46875</v>
      </c>
      <c r="F671" s="5" t="s">
        <v>1275</v>
      </c>
    </row>
    <row r="672">
      <c r="A672" s="5">
        <v>9.62532792E9</v>
      </c>
      <c r="B672" s="5" t="s">
        <v>814</v>
      </c>
      <c r="C672" s="5" t="s">
        <v>1209</v>
      </c>
      <c r="D672" s="7">
        <v>1.0</v>
      </c>
      <c r="E672" s="6">
        <v>46018.46875</v>
      </c>
      <c r="F672" s="5" t="s">
        <v>1221</v>
      </c>
    </row>
    <row r="673">
      <c r="A673" s="5">
        <v>7.838042351E9</v>
      </c>
      <c r="B673" s="5" t="s">
        <v>169</v>
      </c>
      <c r="C673" s="5" t="s">
        <v>1213</v>
      </c>
      <c r="D673" s="7">
        <v>1.0</v>
      </c>
      <c r="E673" s="6">
        <v>46018.46875</v>
      </c>
      <c r="F673" s="5" t="s">
        <v>1275</v>
      </c>
    </row>
    <row r="674">
      <c r="A674" s="5">
        <v>8.269328532E9</v>
      </c>
      <c r="B674" s="5" t="s">
        <v>815</v>
      </c>
      <c r="C674" s="5" t="s">
        <v>1209</v>
      </c>
      <c r="D674" s="7">
        <v>1.0</v>
      </c>
      <c r="E674" s="6">
        <v>46018.46875</v>
      </c>
      <c r="F674" s="5" t="s">
        <v>1221</v>
      </c>
    </row>
    <row r="675">
      <c r="A675" s="5">
        <v>9.810113462E9</v>
      </c>
      <c r="B675" s="5" t="s">
        <v>1283</v>
      </c>
      <c r="C675" s="5" t="s">
        <v>1213</v>
      </c>
      <c r="D675" s="7">
        <v>1.0</v>
      </c>
      <c r="E675" s="6">
        <v>46018.46875</v>
      </c>
      <c r="F675" s="5" t="s">
        <v>1275</v>
      </c>
    </row>
    <row r="676">
      <c r="A676" s="5">
        <v>9.919674399E9</v>
      </c>
      <c r="B676" s="5" t="s">
        <v>817</v>
      </c>
      <c r="C676" s="5" t="s">
        <v>1213</v>
      </c>
      <c r="D676" s="7">
        <v>1.0</v>
      </c>
      <c r="E676" s="6">
        <v>46018.46875</v>
      </c>
      <c r="F676" s="5" t="s">
        <v>1275</v>
      </c>
    </row>
    <row r="677">
      <c r="A677" s="5">
        <v>9.871973908E9</v>
      </c>
      <c r="B677" s="5" t="s">
        <v>818</v>
      </c>
      <c r="C677" s="5" t="s">
        <v>1213</v>
      </c>
      <c r="D677" s="7">
        <v>1.0</v>
      </c>
      <c r="E677" s="6">
        <v>46018.46875</v>
      </c>
      <c r="F677" s="5" t="s">
        <v>1275</v>
      </c>
    </row>
    <row r="678">
      <c r="A678" s="5">
        <v>9.899200043E9</v>
      </c>
      <c r="B678" s="5" t="s">
        <v>1274</v>
      </c>
      <c r="C678" s="5" t="s">
        <v>1209</v>
      </c>
      <c r="D678" s="7">
        <v>1.0</v>
      </c>
      <c r="E678" s="6">
        <v>46018.46875</v>
      </c>
      <c r="F678" s="5" t="s">
        <v>1221</v>
      </c>
    </row>
    <row r="679">
      <c r="A679" s="5">
        <v>9.99978954E9</v>
      </c>
      <c r="B679" s="5" t="s">
        <v>819</v>
      </c>
      <c r="C679" s="5" t="s">
        <v>1213</v>
      </c>
      <c r="D679" s="7">
        <v>1.0</v>
      </c>
      <c r="E679" s="6">
        <v>46018.46875</v>
      </c>
      <c r="F679" s="5" t="s">
        <v>1275</v>
      </c>
    </row>
    <row r="680">
      <c r="A680" s="5">
        <v>9.971001415E9</v>
      </c>
      <c r="B680" s="5" t="s">
        <v>1284</v>
      </c>
      <c r="C680" s="5" t="s">
        <v>1213</v>
      </c>
      <c r="D680" s="7">
        <v>1.0</v>
      </c>
      <c r="E680" s="6">
        <v>46018.46875</v>
      </c>
      <c r="F680" s="5" t="s">
        <v>1275</v>
      </c>
    </row>
    <row r="681">
      <c r="A681" s="5">
        <v>9.910100011E9</v>
      </c>
      <c r="B681" s="5" t="s">
        <v>821</v>
      </c>
      <c r="C681" s="5" t="s">
        <v>1213</v>
      </c>
      <c r="D681" s="7">
        <v>1.0</v>
      </c>
      <c r="E681" s="6">
        <v>46018.46875</v>
      </c>
      <c r="F681" s="5" t="s">
        <v>1275</v>
      </c>
    </row>
    <row r="682">
      <c r="A682" s="5">
        <v>7.060482036E9</v>
      </c>
      <c r="B682" s="5" t="s">
        <v>822</v>
      </c>
      <c r="C682" s="5" t="s">
        <v>1209</v>
      </c>
      <c r="D682" s="7">
        <v>1.0</v>
      </c>
      <c r="E682" s="6">
        <v>46018.46875</v>
      </c>
      <c r="F682" s="5" t="s">
        <v>1221</v>
      </c>
    </row>
    <row r="683">
      <c r="A683" s="5">
        <v>8.860339734E9</v>
      </c>
      <c r="B683" s="5" t="s">
        <v>1285</v>
      </c>
      <c r="C683" s="5" t="s">
        <v>1213</v>
      </c>
      <c r="D683" s="7">
        <v>1.0</v>
      </c>
      <c r="E683" s="6">
        <v>46018.46875</v>
      </c>
      <c r="F683" s="5" t="s">
        <v>1275</v>
      </c>
    </row>
    <row r="684">
      <c r="A684" s="5">
        <v>6.397181896E9</v>
      </c>
      <c r="B684" s="5" t="s">
        <v>629</v>
      </c>
      <c r="C684" s="5" t="s">
        <v>1213</v>
      </c>
      <c r="D684" s="7">
        <v>1.0</v>
      </c>
      <c r="E684" s="6">
        <v>46018.46875</v>
      </c>
      <c r="F684" s="5" t="s">
        <v>1275</v>
      </c>
    </row>
    <row r="685">
      <c r="A685" s="5">
        <v>8.882231502E9</v>
      </c>
      <c r="B685" s="5" t="s">
        <v>650</v>
      </c>
      <c r="C685" s="5" t="s">
        <v>1213</v>
      </c>
      <c r="D685" s="7">
        <v>1.0</v>
      </c>
      <c r="E685" s="6">
        <v>46018.46875</v>
      </c>
      <c r="F685" s="5" t="s">
        <v>1275</v>
      </c>
    </row>
    <row r="686">
      <c r="A686" s="5">
        <v>9.89920709E9</v>
      </c>
      <c r="B686" s="5" t="s">
        <v>824</v>
      </c>
      <c r="C686" s="5" t="s">
        <v>1209</v>
      </c>
      <c r="D686" s="7">
        <v>1.0</v>
      </c>
      <c r="E686" s="6">
        <v>46018.46875</v>
      </c>
      <c r="F686" s="5" t="s">
        <v>1221</v>
      </c>
    </row>
    <row r="687">
      <c r="A687" s="5">
        <v>8.750564968E9</v>
      </c>
      <c r="B687" s="5" t="s">
        <v>825</v>
      </c>
      <c r="C687" s="5" t="s">
        <v>1213</v>
      </c>
      <c r="D687" s="7">
        <v>1.0</v>
      </c>
      <c r="E687" s="6">
        <v>46018.46875</v>
      </c>
      <c r="F687" s="5" t="s">
        <v>1275</v>
      </c>
    </row>
    <row r="688">
      <c r="A688" s="5">
        <v>8.750949393E9</v>
      </c>
      <c r="B688" s="5" t="s">
        <v>826</v>
      </c>
      <c r="C688" s="5" t="s">
        <v>1213</v>
      </c>
      <c r="D688" s="7">
        <v>1.0</v>
      </c>
      <c r="E688" s="6">
        <v>46018.46875</v>
      </c>
      <c r="F688" s="5" t="s">
        <v>1275</v>
      </c>
    </row>
    <row r="689">
      <c r="A689" s="5">
        <v>9.810040357E9</v>
      </c>
      <c r="B689" s="5" t="s">
        <v>827</v>
      </c>
      <c r="C689" s="5" t="s">
        <v>1213</v>
      </c>
      <c r="D689" s="7">
        <v>1.0</v>
      </c>
      <c r="E689" s="6">
        <v>46018.46875</v>
      </c>
      <c r="F689" s="5" t="s">
        <v>1275</v>
      </c>
    </row>
    <row r="690">
      <c r="A690" s="5">
        <v>9.871767175E9</v>
      </c>
      <c r="B690" s="5" t="s">
        <v>225</v>
      </c>
      <c r="C690" s="5" t="s">
        <v>1213</v>
      </c>
      <c r="D690" s="7">
        <v>1.0</v>
      </c>
      <c r="E690" s="6">
        <v>46018.46875</v>
      </c>
      <c r="F690" s="5" t="s">
        <v>1275</v>
      </c>
    </row>
    <row r="691">
      <c r="A691" s="5">
        <v>7.997588888E9</v>
      </c>
      <c r="B691" s="5" t="s">
        <v>828</v>
      </c>
      <c r="C691" s="5" t="s">
        <v>1209</v>
      </c>
      <c r="D691" s="7">
        <v>1.0</v>
      </c>
      <c r="E691" s="6">
        <v>46018.46875</v>
      </c>
      <c r="F691" s="5" t="s">
        <v>1221</v>
      </c>
    </row>
    <row r="692">
      <c r="A692" s="5">
        <v>8.800440222E9</v>
      </c>
      <c r="B692" s="5" t="s">
        <v>829</v>
      </c>
      <c r="C692" s="5" t="s">
        <v>1209</v>
      </c>
      <c r="D692" s="7">
        <v>1.0</v>
      </c>
      <c r="E692" s="6">
        <v>46018.46875</v>
      </c>
      <c r="F692" s="5" t="s">
        <v>1221</v>
      </c>
    </row>
    <row r="693">
      <c r="A693" s="5">
        <v>9.87037422E9</v>
      </c>
      <c r="B693" s="5" t="s">
        <v>830</v>
      </c>
      <c r="C693" s="5" t="s">
        <v>1209</v>
      </c>
      <c r="D693" s="7">
        <v>1.0</v>
      </c>
      <c r="E693" s="6">
        <v>46018.46875</v>
      </c>
      <c r="F693" s="5" t="s">
        <v>1221</v>
      </c>
    </row>
    <row r="694">
      <c r="A694" s="5">
        <v>9.810764341E9</v>
      </c>
      <c r="B694" s="5" t="s">
        <v>831</v>
      </c>
      <c r="C694" s="5" t="s">
        <v>1209</v>
      </c>
      <c r="D694" s="7">
        <v>1.0</v>
      </c>
      <c r="E694" s="6">
        <v>46018.46875</v>
      </c>
      <c r="F694" s="5" t="s">
        <v>1221</v>
      </c>
    </row>
    <row r="695">
      <c r="A695" s="5">
        <v>9.315387153E9</v>
      </c>
      <c r="B695" s="5" t="s">
        <v>832</v>
      </c>
      <c r="C695" s="5" t="s">
        <v>1209</v>
      </c>
      <c r="D695" s="7">
        <v>1.0</v>
      </c>
      <c r="E695" s="6">
        <v>46018.46875</v>
      </c>
      <c r="F695" s="5" t="s">
        <v>1221</v>
      </c>
    </row>
    <row r="696">
      <c r="A696" s="5">
        <v>9.694947447E9</v>
      </c>
      <c r="B696" s="5" t="s">
        <v>833</v>
      </c>
      <c r="C696" s="5" t="s">
        <v>1209</v>
      </c>
      <c r="D696" s="7">
        <v>1.0</v>
      </c>
      <c r="E696" s="6">
        <v>46018.46875</v>
      </c>
      <c r="F696" s="5" t="s">
        <v>1221</v>
      </c>
    </row>
    <row r="697">
      <c r="A697" s="5">
        <v>9.810658206E9</v>
      </c>
      <c r="B697" s="5" t="s">
        <v>226</v>
      </c>
      <c r="C697" s="5" t="s">
        <v>1213</v>
      </c>
      <c r="D697" s="7">
        <v>1.0</v>
      </c>
      <c r="E697" s="6">
        <v>46018.46875</v>
      </c>
      <c r="F697" s="5" t="s">
        <v>1275</v>
      </c>
    </row>
    <row r="698">
      <c r="A698" s="5">
        <v>8.860339733E9</v>
      </c>
      <c r="B698" s="5" t="s">
        <v>823</v>
      </c>
      <c r="C698" s="5" t="s">
        <v>1213</v>
      </c>
      <c r="D698" s="7">
        <v>1.0</v>
      </c>
      <c r="E698" s="6">
        <v>46018.46875</v>
      </c>
      <c r="F698" s="5" t="s">
        <v>1275</v>
      </c>
    </row>
    <row r="699">
      <c r="A699" s="5">
        <v>8.384049838E9</v>
      </c>
      <c r="B699" s="5" t="s">
        <v>228</v>
      </c>
      <c r="C699" s="5" t="s">
        <v>1213</v>
      </c>
      <c r="D699" s="7">
        <v>1.0</v>
      </c>
      <c r="E699" s="6">
        <v>46018.46875</v>
      </c>
      <c r="F699" s="5" t="s">
        <v>1275</v>
      </c>
    </row>
    <row r="700">
      <c r="A700" s="5">
        <v>9.811557564E9</v>
      </c>
      <c r="B700" s="5" t="s">
        <v>834</v>
      </c>
      <c r="C700" s="5" t="s">
        <v>1209</v>
      </c>
      <c r="D700" s="7">
        <v>1.0</v>
      </c>
      <c r="E700" s="6">
        <v>46018.46875</v>
      </c>
      <c r="F700" s="5" t="s">
        <v>1221</v>
      </c>
    </row>
    <row r="701">
      <c r="A701" s="5">
        <v>9.311193547E9</v>
      </c>
      <c r="B701" s="5" t="s">
        <v>835</v>
      </c>
      <c r="C701" s="5" t="s">
        <v>1209</v>
      </c>
      <c r="D701" s="7">
        <v>1.0</v>
      </c>
      <c r="E701" s="6">
        <v>46018.46875</v>
      </c>
      <c r="F701" s="5" t="s">
        <v>1221</v>
      </c>
    </row>
    <row r="702">
      <c r="A702" s="5">
        <v>9.811557564E9</v>
      </c>
      <c r="B702" s="5" t="s">
        <v>834</v>
      </c>
      <c r="C702" s="5" t="s">
        <v>1213</v>
      </c>
      <c r="D702" s="7">
        <v>1.0</v>
      </c>
      <c r="E702" s="6">
        <v>46018.46875</v>
      </c>
      <c r="F702" s="5" t="s">
        <v>1275</v>
      </c>
    </row>
    <row r="703">
      <c r="A703" s="5">
        <v>9.910544267E9</v>
      </c>
      <c r="B703" s="5" t="s">
        <v>1286</v>
      </c>
      <c r="C703" s="5" t="s">
        <v>1213</v>
      </c>
      <c r="D703" s="7">
        <v>1.0</v>
      </c>
      <c r="E703" s="6">
        <v>46018.46875</v>
      </c>
      <c r="F703" s="5" t="s">
        <v>1275</v>
      </c>
    </row>
    <row r="704">
      <c r="A704" s="5">
        <v>9.810100576E9</v>
      </c>
      <c r="B704" s="5" t="s">
        <v>836</v>
      </c>
      <c r="C704" s="5" t="s">
        <v>1213</v>
      </c>
      <c r="D704" s="7">
        <v>1.0</v>
      </c>
      <c r="E704" s="6">
        <v>46018.46875</v>
      </c>
      <c r="F704" s="5" t="s">
        <v>1275</v>
      </c>
    </row>
    <row r="705">
      <c r="A705" s="5">
        <v>7.087868187E9</v>
      </c>
      <c r="B705" s="5" t="s">
        <v>837</v>
      </c>
      <c r="C705" s="5" t="s">
        <v>1213</v>
      </c>
      <c r="D705" s="7">
        <v>1.0</v>
      </c>
      <c r="E705" s="6">
        <v>46018.46875</v>
      </c>
      <c r="F705" s="5" t="s">
        <v>1275</v>
      </c>
    </row>
    <row r="706">
      <c r="A706" s="5">
        <v>9.910797272E9</v>
      </c>
      <c r="B706" s="5" t="s">
        <v>230</v>
      </c>
      <c r="C706" s="5" t="s">
        <v>1209</v>
      </c>
      <c r="D706" s="7">
        <v>1.0</v>
      </c>
      <c r="E706" s="6">
        <v>46018.46875</v>
      </c>
      <c r="F706" s="5" t="s">
        <v>1221</v>
      </c>
    </row>
    <row r="707">
      <c r="A707" s="5">
        <v>9.999966187E9</v>
      </c>
      <c r="B707" s="5" t="s">
        <v>37</v>
      </c>
      <c r="C707" s="5" t="s">
        <v>1209</v>
      </c>
      <c r="D707" s="7">
        <v>1.0</v>
      </c>
      <c r="E707" s="6">
        <v>46018.46875</v>
      </c>
      <c r="F707" s="5" t="s">
        <v>1221</v>
      </c>
    </row>
    <row r="708">
      <c r="A708" s="5">
        <v>9.582929727E9</v>
      </c>
      <c r="B708" s="5" t="s">
        <v>838</v>
      </c>
      <c r="C708" s="5" t="s">
        <v>1213</v>
      </c>
      <c r="D708" s="7">
        <v>1.0</v>
      </c>
      <c r="E708" s="6">
        <v>46018.46875</v>
      </c>
      <c r="F708" s="5" t="s">
        <v>1275</v>
      </c>
    </row>
    <row r="709">
      <c r="A709" s="5">
        <v>9.312401235E9</v>
      </c>
      <c r="B709" s="5" t="s">
        <v>839</v>
      </c>
      <c r="C709" s="5" t="s">
        <v>1213</v>
      </c>
      <c r="D709" s="7">
        <v>1.0</v>
      </c>
      <c r="E709" s="6">
        <v>46018.46875</v>
      </c>
      <c r="F709" s="5" t="s">
        <v>1275</v>
      </c>
    </row>
    <row r="710">
      <c r="A710" s="5">
        <v>9.310338843E9</v>
      </c>
      <c r="B710" s="5" t="s">
        <v>1287</v>
      </c>
      <c r="C710" s="5" t="s">
        <v>1209</v>
      </c>
      <c r="D710" s="7">
        <v>1.0</v>
      </c>
      <c r="E710" s="6">
        <v>46018.46875</v>
      </c>
      <c r="F710" s="5" t="s">
        <v>1221</v>
      </c>
    </row>
    <row r="711">
      <c r="A711" s="5">
        <v>9.355031025E9</v>
      </c>
      <c r="B711" s="5" t="s">
        <v>232</v>
      </c>
      <c r="C711" s="5" t="s">
        <v>1213</v>
      </c>
      <c r="D711" s="7">
        <v>1.0</v>
      </c>
      <c r="E711" s="6">
        <v>46018.46875</v>
      </c>
      <c r="F711" s="5" t="s">
        <v>1275</v>
      </c>
    </row>
    <row r="712">
      <c r="A712" s="5">
        <v>7.726868778E9</v>
      </c>
      <c r="B712" s="5" t="s">
        <v>841</v>
      </c>
      <c r="C712" s="5" t="s">
        <v>1213</v>
      </c>
      <c r="D712" s="7">
        <v>1.0</v>
      </c>
      <c r="E712" s="6">
        <v>46018.46875</v>
      </c>
      <c r="F712" s="5" t="s">
        <v>1275</v>
      </c>
    </row>
    <row r="713">
      <c r="A713" s="5">
        <v>9.717700546E9</v>
      </c>
      <c r="B713" s="5" t="s">
        <v>234</v>
      </c>
      <c r="C713" s="5" t="s">
        <v>1213</v>
      </c>
      <c r="D713" s="7">
        <v>1.0</v>
      </c>
      <c r="E713" s="6">
        <v>46018.46875</v>
      </c>
      <c r="F713" s="5" t="s">
        <v>1275</v>
      </c>
    </row>
    <row r="714">
      <c r="A714" s="5">
        <v>9.460907696E9</v>
      </c>
      <c r="B714" s="5" t="s">
        <v>235</v>
      </c>
      <c r="C714" s="5" t="s">
        <v>1209</v>
      </c>
      <c r="D714" s="7">
        <v>1.0</v>
      </c>
      <c r="E714" s="6">
        <v>46018.46875</v>
      </c>
      <c r="F714" s="5" t="s">
        <v>1221</v>
      </c>
    </row>
    <row r="715">
      <c r="A715" s="5">
        <v>9.953533153E9</v>
      </c>
      <c r="B715" s="5" t="s">
        <v>697</v>
      </c>
      <c r="C715" s="5" t="s">
        <v>1209</v>
      </c>
      <c r="D715" s="7">
        <v>1.0</v>
      </c>
      <c r="E715" s="6">
        <v>46018.46875</v>
      </c>
      <c r="F715" s="5" t="s">
        <v>1221</v>
      </c>
    </row>
    <row r="716">
      <c r="A716" s="5">
        <v>9.926096416E9</v>
      </c>
      <c r="B716" s="5" t="s">
        <v>842</v>
      </c>
      <c r="C716" s="5" t="s">
        <v>1209</v>
      </c>
      <c r="D716" s="7">
        <v>1.0</v>
      </c>
      <c r="E716" s="6">
        <v>46018.46875</v>
      </c>
      <c r="F716" s="5" t="s">
        <v>1221</v>
      </c>
    </row>
    <row r="717">
      <c r="A717" s="5">
        <v>9.582843222E9</v>
      </c>
      <c r="B717" s="5" t="s">
        <v>843</v>
      </c>
      <c r="C717" s="5" t="s">
        <v>1213</v>
      </c>
      <c r="D717" s="7">
        <v>1.0</v>
      </c>
      <c r="E717" s="6">
        <v>46018.46875</v>
      </c>
      <c r="F717" s="5" t="s">
        <v>1275</v>
      </c>
    </row>
    <row r="718">
      <c r="A718" s="5">
        <v>8.860435565E9</v>
      </c>
      <c r="B718" s="5" t="s">
        <v>237</v>
      </c>
      <c r="C718" s="5" t="s">
        <v>1213</v>
      </c>
      <c r="D718" s="7">
        <v>1.0</v>
      </c>
      <c r="E718" s="6">
        <v>46018.46875</v>
      </c>
      <c r="F718" s="5" t="s">
        <v>1275</v>
      </c>
    </row>
    <row r="719">
      <c r="A719" s="5">
        <v>9.896804072E9</v>
      </c>
      <c r="B719" s="5" t="s">
        <v>1288</v>
      </c>
      <c r="C719" s="5" t="s">
        <v>1209</v>
      </c>
      <c r="D719" s="7">
        <v>1.0</v>
      </c>
      <c r="E719" s="6">
        <v>46018.46875</v>
      </c>
      <c r="F719" s="5" t="s">
        <v>1221</v>
      </c>
    </row>
    <row r="720">
      <c r="A720" s="5">
        <v>9.811101399E9</v>
      </c>
      <c r="B720" s="5" t="s">
        <v>845</v>
      </c>
      <c r="C720" s="5" t="s">
        <v>1209</v>
      </c>
      <c r="D720" s="7">
        <v>1.0</v>
      </c>
      <c r="E720" s="6">
        <v>46018.46875</v>
      </c>
      <c r="F720" s="5" t="s">
        <v>1221</v>
      </c>
    </row>
    <row r="721">
      <c r="A721" s="5">
        <v>9.87392801E9</v>
      </c>
      <c r="B721" s="5" t="s">
        <v>846</v>
      </c>
      <c r="C721" s="5" t="s">
        <v>1209</v>
      </c>
      <c r="D721" s="7">
        <v>1.0</v>
      </c>
      <c r="E721" s="6">
        <v>46018.46875</v>
      </c>
      <c r="F721" s="5" t="s">
        <v>1221</v>
      </c>
    </row>
    <row r="722">
      <c r="A722" s="5">
        <v>8.816867365E9</v>
      </c>
      <c r="B722" s="5" t="s">
        <v>847</v>
      </c>
      <c r="C722" s="5" t="s">
        <v>1209</v>
      </c>
      <c r="D722" s="7">
        <v>1.0</v>
      </c>
      <c r="E722" s="6">
        <v>46018.46875</v>
      </c>
      <c r="F722" s="5" t="s">
        <v>1221</v>
      </c>
    </row>
    <row r="723">
      <c r="A723" s="5">
        <v>8.700819298E9</v>
      </c>
      <c r="B723" s="5" t="s">
        <v>477</v>
      </c>
      <c r="C723" s="5" t="s">
        <v>1209</v>
      </c>
      <c r="D723" s="7">
        <v>1.0</v>
      </c>
      <c r="E723" s="6">
        <v>46018.46875</v>
      </c>
      <c r="F723" s="5" t="s">
        <v>1221</v>
      </c>
    </row>
    <row r="724">
      <c r="A724" s="5">
        <v>9.99979166E9</v>
      </c>
      <c r="B724" s="5" t="s">
        <v>848</v>
      </c>
      <c r="C724" s="5" t="s">
        <v>1209</v>
      </c>
      <c r="D724" s="7">
        <v>1.0</v>
      </c>
      <c r="E724" s="6">
        <v>46018.46875</v>
      </c>
      <c r="F724" s="5" t="s">
        <v>1221</v>
      </c>
    </row>
    <row r="725">
      <c r="A725" s="5">
        <v>7.015427856E9</v>
      </c>
      <c r="B725" s="5" t="s">
        <v>1289</v>
      </c>
      <c r="C725" s="5" t="s">
        <v>1213</v>
      </c>
      <c r="D725" s="7">
        <v>1.0</v>
      </c>
      <c r="E725" s="6">
        <v>46018.46875</v>
      </c>
      <c r="F725" s="5" t="s">
        <v>1275</v>
      </c>
    </row>
    <row r="726">
      <c r="A726" s="5">
        <v>9.870383056E9</v>
      </c>
      <c r="B726" s="5" t="s">
        <v>239</v>
      </c>
      <c r="C726" s="5" t="s">
        <v>1213</v>
      </c>
      <c r="D726" s="7">
        <v>1.0</v>
      </c>
      <c r="E726" s="6">
        <v>46018.46875</v>
      </c>
      <c r="F726" s="5" t="s">
        <v>1275</v>
      </c>
    </row>
    <row r="727">
      <c r="A727" s="5">
        <v>9.81197911E9</v>
      </c>
      <c r="B727" s="5" t="s">
        <v>849</v>
      </c>
      <c r="C727" s="5" t="s">
        <v>1209</v>
      </c>
      <c r="D727" s="7">
        <v>1.0</v>
      </c>
      <c r="E727" s="6">
        <v>46018.46875</v>
      </c>
      <c r="F727" s="5" t="s">
        <v>1221</v>
      </c>
    </row>
    <row r="728">
      <c r="A728" s="5">
        <v>9.311163494E9</v>
      </c>
      <c r="B728" s="5" t="s">
        <v>241</v>
      </c>
      <c r="C728" s="5" t="s">
        <v>1209</v>
      </c>
      <c r="D728" s="7">
        <v>1.0</v>
      </c>
      <c r="E728" s="6">
        <v>46018.46875</v>
      </c>
      <c r="F728" s="5" t="s">
        <v>1221</v>
      </c>
    </row>
    <row r="729">
      <c r="A729" s="5">
        <v>7.674984154E9</v>
      </c>
      <c r="B729" s="5" t="s">
        <v>385</v>
      </c>
      <c r="C729" s="5" t="s">
        <v>1213</v>
      </c>
      <c r="D729" s="7">
        <v>1.0</v>
      </c>
      <c r="E729" s="6">
        <v>46018.46875</v>
      </c>
      <c r="F729" s="5" t="s">
        <v>1275</v>
      </c>
    </row>
    <row r="730">
      <c r="A730" s="5">
        <v>9.871037317E9</v>
      </c>
      <c r="B730" s="5" t="s">
        <v>850</v>
      </c>
      <c r="C730" s="5" t="s">
        <v>1213</v>
      </c>
      <c r="D730" s="7">
        <v>1.0</v>
      </c>
      <c r="E730" s="6">
        <v>46018.46875</v>
      </c>
      <c r="F730" s="5" t="s">
        <v>1290</v>
      </c>
    </row>
    <row r="731">
      <c r="A731" s="5">
        <v>7.535022621E9</v>
      </c>
      <c r="B731" s="5" t="s">
        <v>851</v>
      </c>
      <c r="C731" s="5" t="s">
        <v>1209</v>
      </c>
      <c r="D731" s="7">
        <v>1.0</v>
      </c>
      <c r="E731" s="6">
        <v>46018.46875</v>
      </c>
      <c r="F731" s="5" t="s">
        <v>1221</v>
      </c>
    </row>
    <row r="732">
      <c r="A732" s="5">
        <v>9.650464021E9</v>
      </c>
      <c r="B732" s="5" t="s">
        <v>852</v>
      </c>
      <c r="C732" s="5" t="s">
        <v>1209</v>
      </c>
      <c r="D732" s="7">
        <v>1.0</v>
      </c>
      <c r="E732" s="6">
        <v>46018.46875</v>
      </c>
      <c r="F732" s="5" t="s">
        <v>1221</v>
      </c>
    </row>
    <row r="733">
      <c r="A733" s="5">
        <v>9.161114007E9</v>
      </c>
      <c r="B733" s="5" t="s">
        <v>243</v>
      </c>
      <c r="C733" s="5" t="s">
        <v>1213</v>
      </c>
      <c r="D733" s="7">
        <v>1.0</v>
      </c>
      <c r="E733" s="6">
        <v>46018.46875</v>
      </c>
      <c r="F733" s="5" t="s">
        <v>1290</v>
      </c>
    </row>
    <row r="734">
      <c r="A734" s="5">
        <v>9.811113272E9</v>
      </c>
      <c r="B734" s="5" t="s">
        <v>853</v>
      </c>
      <c r="C734" s="5" t="s">
        <v>1209</v>
      </c>
      <c r="D734" s="7">
        <v>1.0</v>
      </c>
      <c r="E734" s="6">
        <v>46018.46875</v>
      </c>
      <c r="F734" s="5" t="s">
        <v>1221</v>
      </c>
    </row>
    <row r="735">
      <c r="A735" s="5">
        <v>9.999110696E9</v>
      </c>
      <c r="B735" s="5" t="s">
        <v>854</v>
      </c>
      <c r="C735" s="5" t="s">
        <v>1213</v>
      </c>
      <c r="D735" s="7">
        <v>1.0</v>
      </c>
      <c r="E735" s="6">
        <v>46018.46875</v>
      </c>
      <c r="F735" s="5" t="s">
        <v>1290</v>
      </c>
    </row>
    <row r="736">
      <c r="A736" s="5">
        <v>9.394161005E9</v>
      </c>
      <c r="B736" s="5" t="s">
        <v>855</v>
      </c>
      <c r="C736" s="5" t="s">
        <v>1213</v>
      </c>
      <c r="D736" s="7">
        <v>1.0</v>
      </c>
      <c r="E736" s="6">
        <v>46018.46875</v>
      </c>
      <c r="F736" s="5" t="s">
        <v>1290</v>
      </c>
    </row>
    <row r="737">
      <c r="A737" s="5">
        <v>8.368117429E9</v>
      </c>
      <c r="B737" s="5" t="s">
        <v>543</v>
      </c>
      <c r="C737" s="5" t="s">
        <v>1213</v>
      </c>
      <c r="D737" s="7">
        <v>1.0</v>
      </c>
      <c r="E737" s="6">
        <v>46018.46875</v>
      </c>
      <c r="F737" s="5" t="s">
        <v>1290</v>
      </c>
    </row>
    <row r="738">
      <c r="A738" s="5">
        <v>7.83829005E9</v>
      </c>
      <c r="B738" s="5" t="s">
        <v>245</v>
      </c>
      <c r="C738" s="5" t="s">
        <v>1213</v>
      </c>
      <c r="D738" s="7">
        <v>1.0</v>
      </c>
      <c r="E738" s="6">
        <v>46018.46875</v>
      </c>
      <c r="F738" s="5" t="s">
        <v>1290</v>
      </c>
    </row>
    <row r="739">
      <c r="A739" s="5">
        <v>8.368953488E9</v>
      </c>
      <c r="B739" s="5" t="s">
        <v>247</v>
      </c>
      <c r="C739" s="5" t="s">
        <v>1209</v>
      </c>
      <c r="D739" s="7">
        <v>1.0</v>
      </c>
      <c r="E739" s="6">
        <v>46018.46875</v>
      </c>
      <c r="F739" s="5" t="s">
        <v>1221</v>
      </c>
    </row>
    <row r="740">
      <c r="A740" s="5">
        <v>8.384071504E9</v>
      </c>
      <c r="B740" s="5" t="s">
        <v>796</v>
      </c>
      <c r="C740" s="5" t="s">
        <v>1209</v>
      </c>
      <c r="D740" s="7">
        <v>1.0</v>
      </c>
      <c r="E740" s="6">
        <v>46018.46875</v>
      </c>
      <c r="F740" s="5" t="s">
        <v>1221</v>
      </c>
    </row>
    <row r="741">
      <c r="A741" s="5">
        <v>9.953690284E9</v>
      </c>
      <c r="B741" s="5" t="s">
        <v>1291</v>
      </c>
      <c r="C741" s="5" t="s">
        <v>1209</v>
      </c>
      <c r="D741" s="7">
        <v>1.0</v>
      </c>
      <c r="E741" s="6">
        <v>46018.46875</v>
      </c>
      <c r="F741" s="5" t="s">
        <v>1221</v>
      </c>
    </row>
    <row r="742">
      <c r="A742" s="5">
        <v>9.811983134E9</v>
      </c>
      <c r="B742" s="5" t="s">
        <v>857</v>
      </c>
      <c r="C742" s="5" t="s">
        <v>1213</v>
      </c>
      <c r="D742" s="7">
        <v>1.0</v>
      </c>
      <c r="E742" s="6">
        <v>46018.46875</v>
      </c>
      <c r="F742" s="5" t="s">
        <v>1290</v>
      </c>
    </row>
    <row r="743">
      <c r="A743" s="5">
        <v>8.920910811E9</v>
      </c>
      <c r="B743" s="5" t="s">
        <v>808</v>
      </c>
      <c r="C743" s="5" t="s">
        <v>1209</v>
      </c>
      <c r="D743" s="7">
        <v>1.0</v>
      </c>
      <c r="E743" s="6">
        <v>46018.46875</v>
      </c>
      <c r="F743" s="5" t="s">
        <v>1221</v>
      </c>
    </row>
    <row r="744">
      <c r="A744" s="5">
        <v>8.045123222E9</v>
      </c>
      <c r="B744" s="5" t="s">
        <v>858</v>
      </c>
      <c r="C744" s="5" t="s">
        <v>1213</v>
      </c>
      <c r="D744" s="7">
        <v>1.0</v>
      </c>
      <c r="E744" s="6">
        <v>46018.46875</v>
      </c>
      <c r="F744" s="5" t="s">
        <v>1290</v>
      </c>
    </row>
    <row r="745">
      <c r="A745" s="5">
        <v>8.920332096E9</v>
      </c>
      <c r="B745" s="5" t="s">
        <v>859</v>
      </c>
      <c r="C745" s="5" t="s">
        <v>1209</v>
      </c>
      <c r="D745" s="7">
        <v>1.0</v>
      </c>
      <c r="E745" s="6">
        <v>46018.46875</v>
      </c>
      <c r="F745" s="5" t="s">
        <v>1221</v>
      </c>
    </row>
    <row r="746">
      <c r="A746" s="5">
        <v>9.910930162E9</v>
      </c>
      <c r="B746" s="5" t="s">
        <v>249</v>
      </c>
      <c r="C746" s="5" t="s">
        <v>1213</v>
      </c>
      <c r="D746" s="7">
        <v>1.0</v>
      </c>
      <c r="E746" s="6">
        <v>46018.46875</v>
      </c>
      <c r="F746" s="5" t="s">
        <v>1290</v>
      </c>
    </row>
    <row r="747">
      <c r="A747" s="5">
        <v>8.700386691E9</v>
      </c>
      <c r="B747" s="5" t="s">
        <v>175</v>
      </c>
      <c r="C747" s="5" t="s">
        <v>1213</v>
      </c>
      <c r="D747" s="7">
        <v>1.0</v>
      </c>
      <c r="E747" s="6">
        <v>46018.46875</v>
      </c>
      <c r="F747" s="5" t="s">
        <v>1221</v>
      </c>
    </row>
    <row r="748">
      <c r="A748" s="5">
        <v>9.8991E9</v>
      </c>
      <c r="B748" s="5" t="s">
        <v>860</v>
      </c>
      <c r="C748" s="5" t="s">
        <v>1214</v>
      </c>
      <c r="D748" s="7">
        <v>1.0</v>
      </c>
      <c r="E748" s="6">
        <v>46018.46875</v>
      </c>
      <c r="F748" s="5" t="s">
        <v>1221</v>
      </c>
    </row>
    <row r="749">
      <c r="A749" s="5">
        <v>9.654141505E9</v>
      </c>
      <c r="B749" s="5" t="s">
        <v>427</v>
      </c>
      <c r="C749" s="5" t="s">
        <v>1214</v>
      </c>
      <c r="D749" s="7">
        <v>1.0</v>
      </c>
      <c r="E749" s="6">
        <v>46018.46875</v>
      </c>
      <c r="F749" s="5" t="s">
        <v>1221</v>
      </c>
    </row>
    <row r="750">
      <c r="A750" s="5">
        <v>8.076545582E9</v>
      </c>
      <c r="B750" s="5" t="s">
        <v>826</v>
      </c>
      <c r="C750" s="5" t="s">
        <v>1214</v>
      </c>
      <c r="D750" s="7">
        <v>1.0</v>
      </c>
      <c r="E750" s="6">
        <v>46018.46875</v>
      </c>
      <c r="F750" s="5" t="s">
        <v>1221</v>
      </c>
    </row>
    <row r="751">
      <c r="A751" s="5">
        <v>7.06588257E9</v>
      </c>
      <c r="B751" s="5" t="s">
        <v>1292</v>
      </c>
      <c r="C751" s="5" t="s">
        <v>1213</v>
      </c>
      <c r="D751" s="7">
        <v>1.0</v>
      </c>
      <c r="E751" s="6">
        <v>46018.46875</v>
      </c>
      <c r="F751" s="5" t="s">
        <v>1221</v>
      </c>
    </row>
    <row r="752">
      <c r="A752" s="5">
        <v>9.654141505E9</v>
      </c>
      <c r="B752" s="5" t="s">
        <v>427</v>
      </c>
      <c r="C752" s="5" t="s">
        <v>1213</v>
      </c>
      <c r="D752" s="7">
        <v>1.0</v>
      </c>
      <c r="E752" s="6">
        <v>46018.46875</v>
      </c>
      <c r="F752" s="5" t="s">
        <v>1221</v>
      </c>
    </row>
    <row r="753">
      <c r="A753" s="5">
        <v>7.827405346E9</v>
      </c>
      <c r="B753" s="5" t="s">
        <v>826</v>
      </c>
      <c r="C753" s="5" t="s">
        <v>1213</v>
      </c>
      <c r="D753" s="7">
        <v>1.0</v>
      </c>
      <c r="E753" s="6">
        <v>46018.46875</v>
      </c>
      <c r="F753" s="5" t="s">
        <v>1221</v>
      </c>
    </row>
    <row r="754">
      <c r="A754" s="5">
        <v>8.800939462E9</v>
      </c>
      <c r="B754" s="5" t="s">
        <v>251</v>
      </c>
      <c r="C754" s="5" t="s">
        <v>1214</v>
      </c>
      <c r="D754" s="7">
        <v>1.0</v>
      </c>
      <c r="E754" s="6">
        <v>46018.46875</v>
      </c>
      <c r="F754" s="5" t="s">
        <v>1221</v>
      </c>
    </row>
    <row r="755">
      <c r="A755" s="5">
        <v>9.958535411E9</v>
      </c>
      <c r="B755" s="5" t="s">
        <v>25</v>
      </c>
      <c r="C755" s="5" t="s">
        <v>1213</v>
      </c>
      <c r="D755" s="7">
        <v>1.0</v>
      </c>
      <c r="E755" s="6">
        <v>46018.46875</v>
      </c>
      <c r="F755" s="5" t="s">
        <v>1221</v>
      </c>
    </row>
    <row r="756">
      <c r="A756" s="5">
        <v>8.920910811E9</v>
      </c>
      <c r="B756" s="5" t="s">
        <v>808</v>
      </c>
      <c r="C756" s="5" t="s">
        <v>1214</v>
      </c>
      <c r="D756" s="7">
        <v>1.0</v>
      </c>
      <c r="E756" s="6">
        <v>46018.46875</v>
      </c>
      <c r="F756" s="5" t="s">
        <v>1221</v>
      </c>
    </row>
    <row r="757">
      <c r="A757" s="5">
        <v>9.029845655E9</v>
      </c>
      <c r="B757" s="5" t="s">
        <v>862</v>
      </c>
      <c r="C757" s="5" t="s">
        <v>1214</v>
      </c>
      <c r="D757" s="7">
        <v>1.0</v>
      </c>
      <c r="E757" s="6">
        <v>46018.46875</v>
      </c>
      <c r="F757" s="5" t="s">
        <v>1221</v>
      </c>
    </row>
    <row r="758">
      <c r="A758" s="5">
        <v>9.31155707E9</v>
      </c>
      <c r="B758" s="5" t="s">
        <v>252</v>
      </c>
      <c r="C758" s="5" t="s">
        <v>1214</v>
      </c>
      <c r="D758" s="7">
        <v>1.0</v>
      </c>
      <c r="E758" s="6">
        <v>46018.46875</v>
      </c>
      <c r="F758" s="5" t="s">
        <v>1221</v>
      </c>
    </row>
    <row r="759">
      <c r="A759" s="5">
        <v>8.283935445E9</v>
      </c>
      <c r="B759" s="5" t="s">
        <v>1293</v>
      </c>
      <c r="C759" s="5" t="s">
        <v>1213</v>
      </c>
      <c r="D759" s="7">
        <v>1.0</v>
      </c>
      <c r="E759" s="6">
        <v>46018.46875</v>
      </c>
      <c r="F759" s="5" t="s">
        <v>1221</v>
      </c>
    </row>
    <row r="760">
      <c r="A760" s="5">
        <v>9.31155707E9</v>
      </c>
      <c r="B760" s="5" t="s">
        <v>1224</v>
      </c>
      <c r="C760" s="5" t="s">
        <v>1213</v>
      </c>
      <c r="D760" s="7">
        <v>1.0</v>
      </c>
      <c r="E760" s="6">
        <v>46018.46875</v>
      </c>
      <c r="F760" s="5" t="s">
        <v>1221</v>
      </c>
    </row>
    <row r="761">
      <c r="A761" s="5">
        <v>8.076242906E9</v>
      </c>
      <c r="B761" s="5" t="s">
        <v>255</v>
      </c>
      <c r="C761" s="5" t="s">
        <v>1213</v>
      </c>
      <c r="D761" s="7">
        <v>1.0</v>
      </c>
      <c r="E761" s="6">
        <v>46018.46875</v>
      </c>
      <c r="F761" s="5" t="s">
        <v>1221</v>
      </c>
    </row>
    <row r="762">
      <c r="A762" s="5">
        <v>9.013687215E9</v>
      </c>
      <c r="B762" s="5" t="s">
        <v>863</v>
      </c>
      <c r="C762" s="5" t="s">
        <v>1214</v>
      </c>
      <c r="D762" s="7">
        <v>1.0</v>
      </c>
      <c r="E762" s="6">
        <v>46018.46875</v>
      </c>
      <c r="F762" s="5" t="s">
        <v>1221</v>
      </c>
    </row>
    <row r="763">
      <c r="A763" s="5">
        <v>9.810799668E9</v>
      </c>
      <c r="B763" s="5" t="s">
        <v>1294</v>
      </c>
      <c r="C763" s="5" t="s">
        <v>1213</v>
      </c>
      <c r="D763" s="7">
        <v>1.0</v>
      </c>
      <c r="E763" s="6">
        <v>46018.46875</v>
      </c>
      <c r="F763" s="5" t="s">
        <v>1221</v>
      </c>
    </row>
    <row r="764">
      <c r="A764" s="5">
        <v>8.700335998E9</v>
      </c>
      <c r="B764" s="5" t="s">
        <v>681</v>
      </c>
      <c r="C764" s="5" t="s">
        <v>1213</v>
      </c>
      <c r="D764" s="7">
        <v>1.0</v>
      </c>
      <c r="E764" s="6">
        <v>46018.46875</v>
      </c>
      <c r="F764" s="5" t="s">
        <v>1221</v>
      </c>
    </row>
    <row r="765">
      <c r="A765" s="5">
        <v>8.851927982E9</v>
      </c>
      <c r="B765" s="5" t="s">
        <v>1295</v>
      </c>
      <c r="C765" s="5" t="s">
        <v>1214</v>
      </c>
      <c r="D765" s="7">
        <v>1.0</v>
      </c>
      <c r="E765" s="6">
        <v>46018.46875</v>
      </c>
      <c r="F765" s="5" t="s">
        <v>1221</v>
      </c>
    </row>
    <row r="766">
      <c r="A766" s="5">
        <v>9.911958928E9</v>
      </c>
      <c r="B766" s="5" t="s">
        <v>1296</v>
      </c>
      <c r="C766" s="5" t="s">
        <v>1214</v>
      </c>
      <c r="D766" s="7">
        <v>1.0</v>
      </c>
      <c r="E766" s="6">
        <v>46018.46875</v>
      </c>
      <c r="F766" s="5" t="s">
        <v>1221</v>
      </c>
    </row>
    <row r="767">
      <c r="A767" s="5">
        <v>9.311193547E9</v>
      </c>
      <c r="B767" s="5" t="s">
        <v>1297</v>
      </c>
      <c r="C767" s="5" t="s">
        <v>1213</v>
      </c>
      <c r="D767" s="7">
        <v>1.0</v>
      </c>
      <c r="E767" s="6">
        <v>46018.46875</v>
      </c>
      <c r="F767" s="5" t="s">
        <v>1221</v>
      </c>
    </row>
    <row r="768">
      <c r="A768" s="5">
        <v>9.667760028E9</v>
      </c>
      <c r="B768" s="5" t="s">
        <v>260</v>
      </c>
      <c r="C768" s="5" t="s">
        <v>1213</v>
      </c>
      <c r="D768" s="7">
        <v>1.0</v>
      </c>
      <c r="E768" s="6">
        <v>46018.46875</v>
      </c>
      <c r="F768" s="5" t="s">
        <v>1221</v>
      </c>
    </row>
    <row r="769">
      <c r="A769" s="5">
        <v>9.069172299E9</v>
      </c>
      <c r="B769" s="5" t="s">
        <v>807</v>
      </c>
      <c r="C769" s="5" t="s">
        <v>1214</v>
      </c>
      <c r="D769" s="7">
        <v>1.0</v>
      </c>
      <c r="E769" s="6">
        <v>46018.46875</v>
      </c>
      <c r="F769" s="5" t="s">
        <v>1221</v>
      </c>
    </row>
    <row r="770">
      <c r="A770" s="5">
        <v>9.999094345E9</v>
      </c>
      <c r="B770" s="5" t="s">
        <v>865</v>
      </c>
      <c r="C770" s="5" t="s">
        <v>1213</v>
      </c>
      <c r="D770" s="7">
        <v>1.0</v>
      </c>
      <c r="E770" s="6">
        <v>46018.46875</v>
      </c>
      <c r="F770" s="5" t="s">
        <v>1221</v>
      </c>
    </row>
    <row r="771">
      <c r="A771" s="5">
        <v>9.205822759E9</v>
      </c>
      <c r="B771" s="5" t="s">
        <v>866</v>
      </c>
      <c r="C771" s="5" t="s">
        <v>1214</v>
      </c>
      <c r="D771" s="7">
        <v>1.0</v>
      </c>
      <c r="E771" s="6">
        <v>46018.46875</v>
      </c>
      <c r="F771" s="5" t="s">
        <v>1221</v>
      </c>
    </row>
    <row r="772">
      <c r="A772" s="5">
        <v>9.899236225E9</v>
      </c>
      <c r="B772" s="5" t="s">
        <v>562</v>
      </c>
      <c r="C772" s="5" t="s">
        <v>1213</v>
      </c>
      <c r="D772" s="7">
        <v>1.0</v>
      </c>
      <c r="E772" s="6">
        <v>46018.46875</v>
      </c>
      <c r="F772" s="5" t="s">
        <v>1221</v>
      </c>
    </row>
    <row r="773">
      <c r="A773" s="5">
        <v>9.871089414E9</v>
      </c>
      <c r="B773" s="5" t="s">
        <v>61</v>
      </c>
      <c r="C773" s="5" t="s">
        <v>1213</v>
      </c>
      <c r="D773" s="7">
        <v>1.0</v>
      </c>
      <c r="E773" s="6">
        <v>46018.46875</v>
      </c>
      <c r="F773" s="5" t="s">
        <v>1221</v>
      </c>
    </row>
    <row r="774">
      <c r="A774" s="5">
        <v>8.920910811E9</v>
      </c>
      <c r="B774" s="5" t="s">
        <v>808</v>
      </c>
      <c r="C774" s="5" t="s">
        <v>1213</v>
      </c>
      <c r="D774" s="7">
        <v>1.0</v>
      </c>
      <c r="E774" s="6">
        <v>46018.46875</v>
      </c>
      <c r="F774" s="5" t="s">
        <v>1221</v>
      </c>
    </row>
    <row r="775">
      <c r="A775" s="5">
        <v>9.899209967E9</v>
      </c>
      <c r="B775" s="5" t="s">
        <v>867</v>
      </c>
      <c r="C775" s="5" t="s">
        <v>1213</v>
      </c>
      <c r="D775" s="7">
        <v>1.0</v>
      </c>
      <c r="E775" s="6">
        <v>46018.46875</v>
      </c>
      <c r="F775" s="5" t="s">
        <v>1221</v>
      </c>
    </row>
    <row r="776">
      <c r="A776" s="5">
        <v>9.501926855E9</v>
      </c>
      <c r="B776" s="5" t="s">
        <v>868</v>
      </c>
      <c r="C776" s="5" t="s">
        <v>1213</v>
      </c>
      <c r="D776" s="7">
        <v>1.0</v>
      </c>
      <c r="E776" s="6">
        <v>46018.46875</v>
      </c>
      <c r="F776" s="5" t="s">
        <v>1221</v>
      </c>
    </row>
    <row r="777">
      <c r="A777" s="5">
        <v>8.178415371E9</v>
      </c>
      <c r="B777" s="5" t="s">
        <v>869</v>
      </c>
      <c r="C777" s="5" t="s">
        <v>1213</v>
      </c>
      <c r="D777" s="7">
        <v>1.0</v>
      </c>
      <c r="E777" s="6">
        <v>46018.46875</v>
      </c>
      <c r="F777" s="5" t="s">
        <v>1221</v>
      </c>
    </row>
    <row r="778">
      <c r="A778" s="5">
        <v>9.213557105E9</v>
      </c>
      <c r="B778" s="5" t="s">
        <v>870</v>
      </c>
      <c r="C778" s="5" t="s">
        <v>1213</v>
      </c>
      <c r="D778" s="7">
        <v>1.0</v>
      </c>
      <c r="E778" s="6">
        <v>46018.46875</v>
      </c>
      <c r="F778" s="5" t="s">
        <v>1221</v>
      </c>
    </row>
    <row r="779">
      <c r="A779" s="5">
        <v>9.818325522E9</v>
      </c>
      <c r="B779" s="5" t="s">
        <v>262</v>
      </c>
      <c r="C779" s="5" t="s">
        <v>1214</v>
      </c>
      <c r="D779" s="7">
        <v>1.0</v>
      </c>
      <c r="E779" s="6">
        <v>46018.46875</v>
      </c>
      <c r="F779" s="5" t="s">
        <v>1221</v>
      </c>
    </row>
    <row r="780">
      <c r="A780" s="5">
        <v>9.810119786E9</v>
      </c>
      <c r="B780" s="5" t="s">
        <v>871</v>
      </c>
      <c r="C780" s="5" t="s">
        <v>1213</v>
      </c>
      <c r="D780" s="7">
        <v>1.0</v>
      </c>
      <c r="E780" s="6">
        <v>46018.46875</v>
      </c>
      <c r="F780" s="5" t="s">
        <v>1221</v>
      </c>
    </row>
    <row r="781">
      <c r="A781" s="5">
        <v>9.650581304E9</v>
      </c>
      <c r="B781" s="5" t="s">
        <v>195</v>
      </c>
      <c r="C781" s="5" t="s">
        <v>1213</v>
      </c>
      <c r="D781" s="7">
        <v>1.0</v>
      </c>
      <c r="E781" s="6">
        <v>46018.46875</v>
      </c>
      <c r="F781" s="5" t="s">
        <v>1221</v>
      </c>
    </row>
    <row r="782">
      <c r="A782" s="5">
        <v>9.899438638E9</v>
      </c>
      <c r="B782" s="5" t="s">
        <v>693</v>
      </c>
      <c r="C782" s="5" t="s">
        <v>1213</v>
      </c>
      <c r="D782" s="7">
        <v>1.0</v>
      </c>
      <c r="E782" s="6">
        <v>46018.46875</v>
      </c>
      <c r="F782" s="5" t="s">
        <v>1221</v>
      </c>
    </row>
    <row r="783">
      <c r="A783" s="5">
        <v>8.899540581E9</v>
      </c>
      <c r="B783" s="5" t="s">
        <v>872</v>
      </c>
      <c r="C783" s="5" t="s">
        <v>1213</v>
      </c>
      <c r="D783" s="7">
        <v>1.0</v>
      </c>
      <c r="E783" s="6">
        <v>46018.46875</v>
      </c>
      <c r="F783" s="5" t="s">
        <v>1221</v>
      </c>
    </row>
    <row r="784">
      <c r="A784" s="5">
        <v>9.811195679E9</v>
      </c>
      <c r="B784" s="5" t="s">
        <v>193</v>
      </c>
      <c r="C784" s="5" t="s">
        <v>1213</v>
      </c>
      <c r="D784" s="7">
        <v>1.0</v>
      </c>
      <c r="E784" s="6">
        <v>46018.46875</v>
      </c>
      <c r="F784" s="5" t="s">
        <v>1221</v>
      </c>
    </row>
    <row r="785">
      <c r="A785" s="5">
        <v>6.387534566E9</v>
      </c>
      <c r="B785" s="5" t="s">
        <v>873</v>
      </c>
      <c r="C785" s="5" t="s">
        <v>1213</v>
      </c>
      <c r="D785" s="7">
        <v>1.0</v>
      </c>
      <c r="E785" s="6">
        <v>46018.46875</v>
      </c>
      <c r="F785" s="5" t="s">
        <v>1221</v>
      </c>
    </row>
    <row r="786">
      <c r="A786" s="5">
        <v>9.958420574E9</v>
      </c>
      <c r="B786" s="5" t="s">
        <v>849</v>
      </c>
      <c r="C786" s="5" t="s">
        <v>1213</v>
      </c>
      <c r="D786" s="7">
        <v>1.0</v>
      </c>
      <c r="E786" s="6">
        <v>46018.46875</v>
      </c>
      <c r="F786" s="5" t="s">
        <v>1221</v>
      </c>
    </row>
    <row r="787">
      <c r="A787" s="5">
        <v>8.800939462E9</v>
      </c>
      <c r="B787" s="5" t="s">
        <v>251</v>
      </c>
      <c r="C787" s="5" t="s">
        <v>1213</v>
      </c>
      <c r="D787" s="7">
        <v>1.0</v>
      </c>
      <c r="E787" s="6">
        <v>46018.46875</v>
      </c>
      <c r="F787" s="5" t="s">
        <v>1221</v>
      </c>
    </row>
    <row r="788">
      <c r="A788" s="5">
        <v>9.540074634E9</v>
      </c>
      <c r="B788" s="5" t="s">
        <v>1298</v>
      </c>
      <c r="C788" s="5" t="s">
        <v>1213</v>
      </c>
      <c r="D788" s="7">
        <v>1.0</v>
      </c>
      <c r="E788" s="6">
        <v>46018.46875</v>
      </c>
      <c r="F788" s="5" t="s">
        <v>1221</v>
      </c>
    </row>
    <row r="789">
      <c r="A789" s="5">
        <v>9.811904046E9</v>
      </c>
      <c r="B789" s="5" t="s">
        <v>264</v>
      </c>
      <c r="C789" s="5" t="s">
        <v>1213</v>
      </c>
      <c r="D789" s="7">
        <v>1.0</v>
      </c>
      <c r="E789" s="6">
        <v>46018.46875</v>
      </c>
      <c r="F789" s="5" t="s">
        <v>1221</v>
      </c>
    </row>
    <row r="790">
      <c r="A790" s="5">
        <v>9.818304747E9</v>
      </c>
      <c r="B790" s="5" t="s">
        <v>496</v>
      </c>
      <c r="C790" s="5" t="s">
        <v>1214</v>
      </c>
      <c r="D790" s="7">
        <v>1.0</v>
      </c>
      <c r="E790" s="6">
        <v>46018.46875</v>
      </c>
      <c r="F790" s="5" t="s">
        <v>1221</v>
      </c>
    </row>
    <row r="791">
      <c r="A791" s="5">
        <v>9.971828177E9</v>
      </c>
      <c r="B791" s="5" t="s">
        <v>266</v>
      </c>
      <c r="C791" s="5" t="s">
        <v>1214</v>
      </c>
      <c r="D791" s="7">
        <v>1.0</v>
      </c>
      <c r="E791" s="6">
        <v>46018.46875</v>
      </c>
      <c r="F791" s="5" t="s">
        <v>1221</v>
      </c>
    </row>
    <row r="792">
      <c r="A792" s="5">
        <v>8.992995405E9</v>
      </c>
      <c r="B792" s="5" t="s">
        <v>875</v>
      </c>
      <c r="C792" s="5" t="s">
        <v>1214</v>
      </c>
      <c r="D792" s="7">
        <v>1.0</v>
      </c>
      <c r="E792" s="6">
        <v>46018.46875</v>
      </c>
      <c r="F792" s="5" t="s">
        <v>1221</v>
      </c>
    </row>
    <row r="793">
      <c r="A793" s="5">
        <v>9.977451684E9</v>
      </c>
      <c r="B793" s="5" t="s">
        <v>745</v>
      </c>
      <c r="C793" s="5" t="s">
        <v>1214</v>
      </c>
      <c r="D793" s="7">
        <v>1.0</v>
      </c>
      <c r="E793" s="6">
        <v>46018.46875</v>
      </c>
      <c r="F793" s="5" t="s">
        <v>1221</v>
      </c>
    </row>
    <row r="794">
      <c r="A794" s="5">
        <v>8.800440272E9</v>
      </c>
      <c r="B794" s="5" t="s">
        <v>876</v>
      </c>
      <c r="C794" s="5" t="s">
        <v>1214</v>
      </c>
      <c r="D794" s="7">
        <v>1.0</v>
      </c>
      <c r="E794" s="6">
        <v>46018.46875</v>
      </c>
      <c r="F794" s="5" t="s">
        <v>1221</v>
      </c>
    </row>
    <row r="795">
      <c r="A795" s="5">
        <v>8.51001003E9</v>
      </c>
      <c r="B795" s="5" t="s">
        <v>747</v>
      </c>
      <c r="C795" s="5" t="s">
        <v>1213</v>
      </c>
      <c r="D795" s="7">
        <v>1.0</v>
      </c>
      <c r="E795" s="6">
        <v>46018.46875</v>
      </c>
      <c r="F795" s="5" t="s">
        <v>1221</v>
      </c>
    </row>
    <row r="796">
      <c r="A796" s="5">
        <v>9.811506976E9</v>
      </c>
      <c r="B796" s="5" t="s">
        <v>877</v>
      </c>
      <c r="C796" s="5" t="s">
        <v>1213</v>
      </c>
      <c r="D796" s="7">
        <v>1.0</v>
      </c>
      <c r="E796" s="6">
        <v>46018.46875</v>
      </c>
      <c r="F796" s="5" t="s">
        <v>1221</v>
      </c>
    </row>
    <row r="797">
      <c r="A797" s="5">
        <v>7.210655101E9</v>
      </c>
      <c r="B797" s="5" t="s">
        <v>878</v>
      </c>
      <c r="C797" s="5" t="s">
        <v>1213</v>
      </c>
      <c r="D797" s="7">
        <v>1.0</v>
      </c>
      <c r="E797" s="6">
        <v>46018.46875</v>
      </c>
      <c r="F797" s="5" t="s">
        <v>1221</v>
      </c>
    </row>
    <row r="798">
      <c r="A798" s="5">
        <v>9.606025531E9</v>
      </c>
      <c r="B798" s="5" t="s">
        <v>879</v>
      </c>
      <c r="C798" s="5" t="s">
        <v>1213</v>
      </c>
      <c r="D798" s="7">
        <v>1.0</v>
      </c>
      <c r="E798" s="6">
        <v>46018.46875</v>
      </c>
      <c r="F798" s="5" t="s">
        <v>1221</v>
      </c>
    </row>
    <row r="799">
      <c r="A799" s="5">
        <v>9.65416037E9</v>
      </c>
      <c r="B799" s="5" t="s">
        <v>268</v>
      </c>
      <c r="C799" s="5" t="s">
        <v>1214</v>
      </c>
      <c r="D799" s="7">
        <v>1.0</v>
      </c>
      <c r="E799" s="6">
        <v>46018.46875</v>
      </c>
      <c r="F799" s="5" t="s">
        <v>1221</v>
      </c>
    </row>
    <row r="800">
      <c r="A800" s="5">
        <v>8.851788997E9</v>
      </c>
      <c r="B800" s="5" t="s">
        <v>880</v>
      </c>
      <c r="C800" s="5" t="s">
        <v>1214</v>
      </c>
      <c r="D800" s="7">
        <v>1.0</v>
      </c>
      <c r="E800" s="6">
        <v>46018.46875</v>
      </c>
      <c r="F800" s="5" t="s">
        <v>1221</v>
      </c>
    </row>
    <row r="801">
      <c r="A801" s="5">
        <v>9.99915008E9</v>
      </c>
      <c r="B801" s="5" t="s">
        <v>1299</v>
      </c>
      <c r="C801" s="5" t="s">
        <v>1214</v>
      </c>
      <c r="D801" s="7">
        <v>1.0</v>
      </c>
      <c r="E801" s="6">
        <v>46018.46875</v>
      </c>
      <c r="F801" s="5" t="s">
        <v>1221</v>
      </c>
    </row>
    <row r="802">
      <c r="A802" s="5">
        <v>9.810836303E9</v>
      </c>
      <c r="B802" s="5" t="s">
        <v>881</v>
      </c>
      <c r="C802" s="5" t="s">
        <v>1214</v>
      </c>
      <c r="D802" s="7">
        <v>1.0</v>
      </c>
      <c r="E802" s="6">
        <v>46018.46875</v>
      </c>
      <c r="F802" s="5" t="s">
        <v>1221</v>
      </c>
    </row>
    <row r="803">
      <c r="A803" s="5">
        <v>9.871024292E9</v>
      </c>
      <c r="B803" s="5" t="s">
        <v>270</v>
      </c>
      <c r="C803" s="5" t="s">
        <v>1213</v>
      </c>
      <c r="D803" s="7">
        <v>1.0</v>
      </c>
      <c r="E803" s="6">
        <v>46018.46875</v>
      </c>
      <c r="F803" s="5" t="s">
        <v>1221</v>
      </c>
    </row>
    <row r="804">
      <c r="A804" s="5">
        <v>9.810020669E9</v>
      </c>
      <c r="B804" s="5" t="s">
        <v>882</v>
      </c>
      <c r="C804" s="5" t="s">
        <v>1213</v>
      </c>
      <c r="D804" s="7">
        <v>1.0</v>
      </c>
      <c r="E804" s="6">
        <v>46018.46875</v>
      </c>
      <c r="F804" s="5" t="s">
        <v>1221</v>
      </c>
    </row>
    <row r="805">
      <c r="A805" s="5">
        <v>9.818285017E9</v>
      </c>
      <c r="B805" s="5" t="s">
        <v>1300</v>
      </c>
      <c r="C805" s="5" t="s">
        <v>1213</v>
      </c>
      <c r="D805" s="7">
        <v>1.0</v>
      </c>
      <c r="E805" s="6">
        <v>46018.46875</v>
      </c>
      <c r="F805" s="5" t="s">
        <v>1221</v>
      </c>
    </row>
    <row r="806">
      <c r="A806" s="5">
        <v>9.599882233E9</v>
      </c>
      <c r="B806" s="5" t="s">
        <v>271</v>
      </c>
      <c r="C806" s="5" t="s">
        <v>1213</v>
      </c>
      <c r="D806" s="7">
        <v>1.0</v>
      </c>
      <c r="E806" s="6">
        <v>46018.46875</v>
      </c>
      <c r="F806" s="5" t="s">
        <v>1221</v>
      </c>
    </row>
    <row r="807">
      <c r="A807" s="5">
        <v>9.582731986E9</v>
      </c>
      <c r="B807" s="5" t="s">
        <v>195</v>
      </c>
      <c r="C807" s="5" t="s">
        <v>1213</v>
      </c>
      <c r="D807" s="7">
        <v>1.0</v>
      </c>
      <c r="E807" s="6">
        <v>46018.46875</v>
      </c>
      <c r="F807" s="5" t="s">
        <v>1221</v>
      </c>
    </row>
    <row r="808">
      <c r="A808" s="5">
        <v>7.303324435E9</v>
      </c>
      <c r="B808" s="5" t="s">
        <v>609</v>
      </c>
      <c r="C808" s="5" t="s">
        <v>1214</v>
      </c>
      <c r="D808" s="7">
        <v>1.0</v>
      </c>
      <c r="E808" s="6">
        <v>46018.46875</v>
      </c>
      <c r="F808" s="5" t="s">
        <v>1221</v>
      </c>
    </row>
    <row r="809">
      <c r="A809" s="5">
        <v>9.999987268E9</v>
      </c>
      <c r="B809" s="5" t="s">
        <v>89</v>
      </c>
      <c r="C809" s="5" t="s">
        <v>1213</v>
      </c>
      <c r="D809" s="7">
        <v>1.0</v>
      </c>
      <c r="E809" s="6">
        <v>46018.46875</v>
      </c>
      <c r="F809" s="5" t="s">
        <v>1221</v>
      </c>
    </row>
    <row r="810">
      <c r="A810" s="5">
        <v>9.868879407E9</v>
      </c>
      <c r="B810" s="5" t="s">
        <v>884</v>
      </c>
      <c r="C810" s="5" t="s">
        <v>1213</v>
      </c>
      <c r="D810" s="7">
        <v>1.0</v>
      </c>
      <c r="E810" s="6">
        <v>46018.46875</v>
      </c>
      <c r="F810" s="5" t="s">
        <v>1221</v>
      </c>
    </row>
    <row r="811">
      <c r="A811" s="5">
        <v>9.873449727E9</v>
      </c>
      <c r="B811" s="5" t="s">
        <v>885</v>
      </c>
      <c r="C811" s="5" t="s">
        <v>1213</v>
      </c>
      <c r="D811" s="7">
        <v>1.0</v>
      </c>
      <c r="E811" s="6">
        <v>46018.46875</v>
      </c>
      <c r="F811" s="5" t="s">
        <v>1221</v>
      </c>
    </row>
    <row r="812">
      <c r="A812" s="5">
        <v>8.700996353E9</v>
      </c>
      <c r="B812" s="5" t="s">
        <v>1227</v>
      </c>
      <c r="C812" s="5" t="s">
        <v>1214</v>
      </c>
      <c r="D812" s="7">
        <v>1.0</v>
      </c>
      <c r="E812" s="6">
        <v>46018.46875</v>
      </c>
      <c r="F812" s="5" t="s">
        <v>1221</v>
      </c>
    </row>
    <row r="813">
      <c r="A813" s="5">
        <v>9.999209489E9</v>
      </c>
      <c r="B813" s="5" t="s">
        <v>886</v>
      </c>
      <c r="C813" s="5" t="s">
        <v>1214</v>
      </c>
      <c r="D813" s="7">
        <v>1.0</v>
      </c>
      <c r="E813" s="6">
        <v>46018.46875</v>
      </c>
      <c r="F813" s="5" t="s">
        <v>1221</v>
      </c>
    </row>
    <row r="814">
      <c r="A814" s="5">
        <v>9.999399577E9</v>
      </c>
      <c r="B814" s="5" t="s">
        <v>272</v>
      </c>
      <c r="C814" s="5" t="s">
        <v>1214</v>
      </c>
      <c r="D814" s="7">
        <v>1.0</v>
      </c>
      <c r="E814" s="6">
        <v>46018.46875</v>
      </c>
      <c r="F814" s="5" t="s">
        <v>1221</v>
      </c>
    </row>
    <row r="815">
      <c r="A815" s="5">
        <v>9.818777145E9</v>
      </c>
      <c r="B815" s="5" t="s">
        <v>887</v>
      </c>
      <c r="C815" s="5" t="s">
        <v>1213</v>
      </c>
      <c r="D815" s="7">
        <v>1.0</v>
      </c>
      <c r="E815" s="6">
        <v>46018.46875</v>
      </c>
      <c r="F815" s="5" t="s">
        <v>1221</v>
      </c>
    </row>
    <row r="816">
      <c r="A816" s="5">
        <v>9.250340928E9</v>
      </c>
      <c r="B816" s="5" t="s">
        <v>888</v>
      </c>
      <c r="C816" s="5" t="s">
        <v>1214</v>
      </c>
      <c r="D816" s="7">
        <v>1.0</v>
      </c>
      <c r="E816" s="6">
        <v>46018.46875</v>
      </c>
      <c r="F816" s="5" t="s">
        <v>1221</v>
      </c>
    </row>
    <row r="817">
      <c r="A817" s="5">
        <v>9.873041853E9</v>
      </c>
      <c r="B817" s="5" t="s">
        <v>274</v>
      </c>
      <c r="C817" s="5" t="s">
        <v>1213</v>
      </c>
      <c r="D817" s="7">
        <v>1.0</v>
      </c>
      <c r="E817" s="6">
        <v>46018.46875</v>
      </c>
      <c r="F817" s="5" t="s">
        <v>1221</v>
      </c>
    </row>
    <row r="818">
      <c r="A818" s="5">
        <v>7.5037E9</v>
      </c>
      <c r="B818" s="5" t="s">
        <v>889</v>
      </c>
      <c r="C818" s="5" t="s">
        <v>1213</v>
      </c>
      <c r="D818" s="7">
        <v>1.0</v>
      </c>
      <c r="E818" s="6">
        <v>46018.46875</v>
      </c>
      <c r="F818" s="5" t="s">
        <v>1221</v>
      </c>
    </row>
    <row r="819">
      <c r="A819" s="5">
        <v>8.999504724E9</v>
      </c>
      <c r="B819" s="5" t="s">
        <v>890</v>
      </c>
      <c r="C819" s="5" t="s">
        <v>1213</v>
      </c>
      <c r="D819" s="7">
        <v>1.0</v>
      </c>
      <c r="E819" s="6">
        <v>46018.46875</v>
      </c>
      <c r="F819" s="5" t="s">
        <v>1221</v>
      </c>
    </row>
    <row r="820">
      <c r="A820" s="5">
        <v>9.899226225E9</v>
      </c>
      <c r="B820" s="5" t="s">
        <v>252</v>
      </c>
      <c r="C820" s="5" t="s">
        <v>1214</v>
      </c>
      <c r="D820" s="7">
        <v>1.0</v>
      </c>
      <c r="E820" s="6">
        <v>46018.46875</v>
      </c>
      <c r="F820" s="5" t="s">
        <v>1221</v>
      </c>
    </row>
    <row r="821">
      <c r="A821" s="5">
        <v>9.213077935E9</v>
      </c>
      <c r="B821" s="5" t="s">
        <v>891</v>
      </c>
      <c r="C821" s="5" t="s">
        <v>1213</v>
      </c>
      <c r="D821" s="7">
        <v>1.0</v>
      </c>
      <c r="E821" s="6">
        <v>46018.46875</v>
      </c>
      <c r="F821" s="5" t="s">
        <v>1221</v>
      </c>
    </row>
    <row r="822">
      <c r="A822" s="5">
        <v>9.81002191E9</v>
      </c>
      <c r="B822" s="5" t="s">
        <v>892</v>
      </c>
      <c r="C822" s="5" t="s">
        <v>1214</v>
      </c>
      <c r="D822" s="7">
        <v>1.0</v>
      </c>
      <c r="E822" s="6">
        <v>46018.46875</v>
      </c>
      <c r="F822" s="5" t="s">
        <v>1221</v>
      </c>
    </row>
    <row r="823">
      <c r="A823" s="5">
        <v>9.819496621E9</v>
      </c>
      <c r="B823" s="5" t="s">
        <v>893</v>
      </c>
      <c r="C823" s="5" t="s">
        <v>1214</v>
      </c>
      <c r="D823" s="7">
        <v>1.0</v>
      </c>
      <c r="E823" s="6">
        <v>46018.46875</v>
      </c>
      <c r="F823" s="5" t="s">
        <v>1221</v>
      </c>
    </row>
    <row r="824">
      <c r="A824" s="5">
        <v>9.101950248E9</v>
      </c>
      <c r="B824" s="5" t="s">
        <v>1224</v>
      </c>
      <c r="C824" s="5" t="s">
        <v>1213</v>
      </c>
      <c r="D824" s="7">
        <v>1.0</v>
      </c>
      <c r="E824" s="6">
        <v>46018.46875</v>
      </c>
      <c r="F824" s="5" t="s">
        <v>1221</v>
      </c>
    </row>
    <row r="825">
      <c r="A825" s="5">
        <v>8.432506282E9</v>
      </c>
      <c r="B825" s="5" t="s">
        <v>894</v>
      </c>
      <c r="C825" s="5" t="s">
        <v>1213</v>
      </c>
      <c r="D825" s="7">
        <v>1.0</v>
      </c>
      <c r="E825" s="6">
        <v>46018.46875</v>
      </c>
      <c r="F825" s="5" t="s">
        <v>1221</v>
      </c>
    </row>
    <row r="826">
      <c r="A826" s="5">
        <v>9.818304741E9</v>
      </c>
      <c r="B826" s="5" t="s">
        <v>496</v>
      </c>
      <c r="C826" s="5" t="s">
        <v>1214</v>
      </c>
      <c r="D826" s="7">
        <v>1.0</v>
      </c>
      <c r="E826" s="6">
        <v>46018.46875</v>
      </c>
      <c r="F826" s="5" t="s">
        <v>1221</v>
      </c>
    </row>
    <row r="827">
      <c r="A827" s="5">
        <v>9.828594616E9</v>
      </c>
      <c r="B827" s="5" t="s">
        <v>107</v>
      </c>
      <c r="C827" s="5" t="s">
        <v>1214</v>
      </c>
      <c r="D827" s="7">
        <v>1.0</v>
      </c>
      <c r="E827" s="6">
        <v>46018.46875</v>
      </c>
      <c r="F827" s="5" t="s">
        <v>1221</v>
      </c>
    </row>
    <row r="828">
      <c r="A828" s="5">
        <v>9.811380088E9</v>
      </c>
      <c r="B828" s="5" t="s">
        <v>1301</v>
      </c>
      <c r="C828" s="5" t="s">
        <v>1214</v>
      </c>
      <c r="D828" s="7">
        <v>1.0</v>
      </c>
      <c r="E828" s="6">
        <v>46018.46875</v>
      </c>
      <c r="F828" s="5" t="s">
        <v>1221</v>
      </c>
    </row>
    <row r="829">
      <c r="A829" s="5">
        <v>9.013329595E9</v>
      </c>
      <c r="B829" s="5" t="s">
        <v>275</v>
      </c>
      <c r="C829" s="5" t="s">
        <v>1213</v>
      </c>
      <c r="D829" s="7">
        <v>1.0</v>
      </c>
      <c r="E829" s="6">
        <v>46018.46875</v>
      </c>
      <c r="F829" s="5" t="s">
        <v>1221</v>
      </c>
    </row>
    <row r="830">
      <c r="A830" s="5">
        <v>8.368953488E9</v>
      </c>
      <c r="B830" s="5" t="s">
        <v>276</v>
      </c>
      <c r="C830" s="5" t="s">
        <v>1214</v>
      </c>
      <c r="D830" s="7">
        <v>1.0</v>
      </c>
      <c r="E830" s="6">
        <v>46018.46875</v>
      </c>
      <c r="F830" s="5" t="s">
        <v>1221</v>
      </c>
    </row>
    <row r="831">
      <c r="A831" s="5">
        <v>8.447610764E9</v>
      </c>
      <c r="B831" s="5" t="s">
        <v>1302</v>
      </c>
      <c r="C831" s="5" t="s">
        <v>1213</v>
      </c>
      <c r="D831" s="7">
        <v>1.0</v>
      </c>
      <c r="E831" s="6">
        <v>46018.46875</v>
      </c>
      <c r="F831" s="5" t="s">
        <v>1221</v>
      </c>
    </row>
    <row r="832">
      <c r="A832" s="5">
        <v>9.810085139E9</v>
      </c>
      <c r="B832" s="5" t="s">
        <v>897</v>
      </c>
      <c r="C832" s="5" t="s">
        <v>1213</v>
      </c>
      <c r="D832" s="7">
        <v>1.0</v>
      </c>
      <c r="E832" s="6">
        <v>46018.46875</v>
      </c>
      <c r="F832" s="5" t="s">
        <v>1221</v>
      </c>
    </row>
    <row r="833">
      <c r="A833" s="5">
        <v>9.65416037E9</v>
      </c>
      <c r="B833" s="5" t="s">
        <v>1303</v>
      </c>
      <c r="C833" s="5" t="s">
        <v>1213</v>
      </c>
      <c r="D833" s="7">
        <v>1.0</v>
      </c>
      <c r="E833" s="6">
        <v>46018.46875</v>
      </c>
      <c r="F833" s="5" t="s">
        <v>1221</v>
      </c>
    </row>
    <row r="834">
      <c r="A834" s="5">
        <v>9.310337017E9</v>
      </c>
      <c r="B834" s="5" t="s">
        <v>898</v>
      </c>
      <c r="C834" s="5" t="s">
        <v>1213</v>
      </c>
      <c r="D834" s="7">
        <v>1.0</v>
      </c>
      <c r="E834" s="6">
        <v>46018.46875</v>
      </c>
      <c r="F834" s="5" t="s">
        <v>1221</v>
      </c>
    </row>
    <row r="835">
      <c r="A835" s="5">
        <v>9.818720209E9</v>
      </c>
      <c r="B835" s="5" t="s">
        <v>784</v>
      </c>
      <c r="C835" s="5" t="s">
        <v>1214</v>
      </c>
      <c r="D835" s="7">
        <v>1.0</v>
      </c>
      <c r="E835" s="6">
        <v>46018.46875</v>
      </c>
      <c r="F835" s="5" t="s">
        <v>1221</v>
      </c>
    </row>
    <row r="836">
      <c r="A836" s="5">
        <v>8.368114066E9</v>
      </c>
      <c r="B836" s="5" t="s">
        <v>899</v>
      </c>
      <c r="C836" s="5" t="s">
        <v>1214</v>
      </c>
      <c r="D836" s="7">
        <v>1.0</v>
      </c>
      <c r="E836" s="6">
        <v>46018.46875</v>
      </c>
      <c r="F836" s="5" t="s">
        <v>1221</v>
      </c>
    </row>
    <row r="837">
      <c r="A837" s="5">
        <v>9.999887268E9</v>
      </c>
      <c r="B837" s="5" t="s">
        <v>1304</v>
      </c>
      <c r="C837" s="5" t="s">
        <v>1214</v>
      </c>
      <c r="D837" s="7">
        <v>1.0</v>
      </c>
      <c r="E837" s="6">
        <v>46018.46875</v>
      </c>
      <c r="F837" s="5" t="s">
        <v>1221</v>
      </c>
    </row>
    <row r="838">
      <c r="A838" s="5">
        <v>9.654951709E9</v>
      </c>
      <c r="B838" s="5" t="s">
        <v>901</v>
      </c>
      <c r="C838" s="5" t="s">
        <v>1214</v>
      </c>
      <c r="D838" s="7">
        <v>1.0</v>
      </c>
      <c r="E838" s="6">
        <v>46018.46875</v>
      </c>
      <c r="F838" s="5" t="s">
        <v>1221</v>
      </c>
    </row>
    <row r="839">
      <c r="A839" s="5">
        <v>9.4784954E9</v>
      </c>
      <c r="B839" s="5" t="s">
        <v>1305</v>
      </c>
      <c r="C839" s="5" t="s">
        <v>1213</v>
      </c>
      <c r="D839" s="7">
        <v>1.0</v>
      </c>
      <c r="E839" s="6">
        <v>46018.46875</v>
      </c>
      <c r="F839" s="5" t="s">
        <v>1221</v>
      </c>
    </row>
    <row r="840">
      <c r="A840" s="5">
        <v>9.910488907E9</v>
      </c>
      <c r="B840" s="5" t="s">
        <v>902</v>
      </c>
      <c r="C840" s="5" t="s">
        <v>1213</v>
      </c>
      <c r="D840" s="7">
        <v>1.0</v>
      </c>
      <c r="E840" s="6">
        <v>46018.46875</v>
      </c>
      <c r="F840" s="5" t="s">
        <v>1221</v>
      </c>
    </row>
    <row r="841">
      <c r="A841" s="5">
        <v>9.953318887E9</v>
      </c>
      <c r="B841" s="5" t="s">
        <v>903</v>
      </c>
      <c r="C841" s="5" t="s">
        <v>1214</v>
      </c>
      <c r="D841" s="7">
        <v>1.0</v>
      </c>
      <c r="E841" s="6">
        <v>46018.46875</v>
      </c>
      <c r="F841" s="5" t="s">
        <v>1221</v>
      </c>
    </row>
    <row r="842">
      <c r="A842" s="5">
        <v>9.953063597E9</v>
      </c>
      <c r="B842" s="5" t="s">
        <v>1306</v>
      </c>
      <c r="C842" s="5" t="s">
        <v>1213</v>
      </c>
      <c r="D842" s="7">
        <v>1.0</v>
      </c>
      <c r="E842" s="6">
        <v>46018.46875</v>
      </c>
      <c r="F842" s="5" t="s">
        <v>1221</v>
      </c>
    </row>
    <row r="843">
      <c r="A843" s="5">
        <v>7.982756328E9</v>
      </c>
      <c r="B843" s="5" t="s">
        <v>1307</v>
      </c>
      <c r="C843" s="5" t="s">
        <v>1214</v>
      </c>
      <c r="D843" s="7">
        <v>1.0</v>
      </c>
      <c r="E843" s="6">
        <v>46018.46875</v>
      </c>
      <c r="F843" s="5" t="s">
        <v>1221</v>
      </c>
    </row>
    <row r="844">
      <c r="A844" s="5">
        <v>8.448100127E9</v>
      </c>
      <c r="B844" s="5" t="s">
        <v>906</v>
      </c>
      <c r="C844" s="5" t="s">
        <v>1213</v>
      </c>
      <c r="D844" s="7">
        <v>1.0</v>
      </c>
      <c r="E844" s="6">
        <v>46018.46875</v>
      </c>
      <c r="F844" s="5" t="s">
        <v>1221</v>
      </c>
    </row>
    <row r="845">
      <c r="A845" s="5">
        <v>7.082809197E9</v>
      </c>
      <c r="B845" s="5" t="s">
        <v>907</v>
      </c>
      <c r="C845" s="5" t="s">
        <v>1214</v>
      </c>
      <c r="D845" s="7">
        <v>1.0</v>
      </c>
      <c r="E845" s="6">
        <v>46018.46875</v>
      </c>
      <c r="F845" s="5" t="s">
        <v>1221</v>
      </c>
    </row>
    <row r="846">
      <c r="A846" s="5">
        <v>9.914703643E9</v>
      </c>
      <c r="B846" s="5" t="s">
        <v>1308</v>
      </c>
      <c r="C846" s="5" t="s">
        <v>1213</v>
      </c>
      <c r="D846" s="7">
        <v>1.0</v>
      </c>
      <c r="E846" s="6">
        <v>46018.46875</v>
      </c>
      <c r="F846" s="5" t="s">
        <v>1221</v>
      </c>
    </row>
    <row r="847">
      <c r="A847" s="5">
        <v>9.555343053E9</v>
      </c>
      <c r="B847" s="5" t="s">
        <v>908</v>
      </c>
      <c r="C847" s="5" t="s">
        <v>1214</v>
      </c>
      <c r="D847" s="7">
        <v>1.0</v>
      </c>
      <c r="E847" s="6">
        <v>46018.46875</v>
      </c>
      <c r="F847" s="5" t="s">
        <v>1221</v>
      </c>
    </row>
    <row r="848">
      <c r="A848" s="5">
        <v>9.871231215E9</v>
      </c>
      <c r="B848" s="5" t="s">
        <v>1224</v>
      </c>
      <c r="C848" s="5" t="s">
        <v>1213</v>
      </c>
      <c r="D848" s="7">
        <v>1.0</v>
      </c>
      <c r="E848" s="6">
        <v>46018.46875</v>
      </c>
      <c r="F848" s="5" t="s">
        <v>1221</v>
      </c>
    </row>
    <row r="849">
      <c r="A849" s="5">
        <v>9.990256379E9</v>
      </c>
      <c r="B849" s="5" t="s">
        <v>281</v>
      </c>
      <c r="C849" s="5" t="s">
        <v>1214</v>
      </c>
      <c r="D849" s="7">
        <v>1.0</v>
      </c>
      <c r="E849" s="6">
        <v>46018.46875</v>
      </c>
      <c r="F849" s="5" t="s">
        <v>1221</v>
      </c>
    </row>
    <row r="850">
      <c r="A850" s="5">
        <v>8.375019908E9</v>
      </c>
      <c r="B850" s="5" t="s">
        <v>712</v>
      </c>
      <c r="C850" s="5" t="s">
        <v>1213</v>
      </c>
      <c r="D850" s="7">
        <v>1.0</v>
      </c>
      <c r="E850" s="6">
        <v>46018.46875</v>
      </c>
      <c r="F850" s="5" t="s">
        <v>1221</v>
      </c>
    </row>
    <row r="851">
      <c r="A851" s="5">
        <v>9.015802726E9</v>
      </c>
      <c r="B851" s="5" t="s">
        <v>1309</v>
      </c>
      <c r="C851" s="5" t="s">
        <v>1214</v>
      </c>
      <c r="D851" s="7">
        <v>1.0</v>
      </c>
      <c r="E851" s="6">
        <v>46018.46875</v>
      </c>
      <c r="F851" s="5" t="s">
        <v>1221</v>
      </c>
    </row>
    <row r="852">
      <c r="A852" s="5">
        <v>9.999373896E9</v>
      </c>
      <c r="B852" s="5" t="s">
        <v>205</v>
      </c>
      <c r="C852" s="5" t="s">
        <v>1213</v>
      </c>
      <c r="D852" s="7">
        <v>1.0</v>
      </c>
      <c r="E852" s="6">
        <v>46018.46875</v>
      </c>
      <c r="F852" s="5" t="s">
        <v>1221</v>
      </c>
    </row>
    <row r="853">
      <c r="A853" s="5">
        <v>9.205726956E9</v>
      </c>
      <c r="B853" s="5" t="s">
        <v>909</v>
      </c>
      <c r="C853" s="5" t="s">
        <v>1213</v>
      </c>
      <c r="D853" s="7">
        <v>1.0</v>
      </c>
      <c r="E853" s="6">
        <v>46018.46875</v>
      </c>
      <c r="F853" s="5" t="s">
        <v>1221</v>
      </c>
    </row>
    <row r="854">
      <c r="A854" s="5">
        <v>9.826419725E9</v>
      </c>
      <c r="B854" s="5" t="s">
        <v>1310</v>
      </c>
      <c r="C854" s="5" t="s">
        <v>1213</v>
      </c>
      <c r="D854" s="7">
        <v>1.0</v>
      </c>
      <c r="E854" s="6">
        <v>46018.46875</v>
      </c>
      <c r="F854" s="5" t="s">
        <v>1221</v>
      </c>
    </row>
    <row r="855">
      <c r="A855" s="5">
        <v>9.999399577E9</v>
      </c>
      <c r="B855" s="5" t="s">
        <v>283</v>
      </c>
      <c r="C855" s="5" t="s">
        <v>1213</v>
      </c>
      <c r="D855" s="7">
        <v>1.0</v>
      </c>
      <c r="E855" s="6">
        <v>46018.46875</v>
      </c>
      <c r="F855" s="5" t="s">
        <v>1221</v>
      </c>
    </row>
    <row r="856">
      <c r="A856" s="5">
        <v>8.447166487E9</v>
      </c>
      <c r="B856" s="5" t="s">
        <v>910</v>
      </c>
      <c r="C856" s="5" t="s">
        <v>1213</v>
      </c>
      <c r="D856" s="7">
        <v>1.0</v>
      </c>
      <c r="E856" s="6">
        <v>46018.46875</v>
      </c>
      <c r="F856" s="5" t="s">
        <v>1221</v>
      </c>
    </row>
    <row r="857">
      <c r="A857" s="5">
        <v>9.811311747E9</v>
      </c>
      <c r="B857" s="5" t="s">
        <v>911</v>
      </c>
      <c r="C857" s="5" t="s">
        <v>1213</v>
      </c>
      <c r="D857" s="7">
        <v>1.0</v>
      </c>
      <c r="E857" s="6">
        <v>46018.46875</v>
      </c>
      <c r="F857" s="5" t="s">
        <v>1221</v>
      </c>
    </row>
    <row r="858">
      <c r="A858" s="5">
        <v>9.899459402E9</v>
      </c>
      <c r="B858" s="5" t="s">
        <v>1311</v>
      </c>
      <c r="C858" s="5" t="s">
        <v>1213</v>
      </c>
      <c r="D858" s="7">
        <v>1.0</v>
      </c>
      <c r="E858" s="6">
        <v>46018.46875</v>
      </c>
      <c r="F858" s="5" t="s">
        <v>1221</v>
      </c>
    </row>
    <row r="859">
      <c r="A859" s="5">
        <v>9.891102336E9</v>
      </c>
      <c r="B859" s="5" t="s">
        <v>1312</v>
      </c>
      <c r="C859" s="5" t="s">
        <v>1213</v>
      </c>
      <c r="D859" s="7">
        <v>1.0</v>
      </c>
      <c r="E859" s="6">
        <v>46018.46875</v>
      </c>
      <c r="F859" s="5" t="s">
        <v>1221</v>
      </c>
    </row>
    <row r="860">
      <c r="A860" s="5">
        <v>9.81116777E9</v>
      </c>
      <c r="B860" s="5" t="s">
        <v>1313</v>
      </c>
      <c r="C860" s="5" t="s">
        <v>1214</v>
      </c>
      <c r="D860" s="7">
        <v>1.0</v>
      </c>
      <c r="E860" s="6">
        <v>46018.46875</v>
      </c>
      <c r="F860" s="5" t="s">
        <v>1221</v>
      </c>
    </row>
    <row r="861">
      <c r="A861" s="5">
        <v>9.289317137E9</v>
      </c>
      <c r="B861" s="5" t="s">
        <v>1314</v>
      </c>
      <c r="C861" s="5" t="s">
        <v>1213</v>
      </c>
      <c r="D861" s="7">
        <v>1.0</v>
      </c>
      <c r="E861" s="6">
        <v>46018.46875</v>
      </c>
      <c r="F861" s="5" t="s">
        <v>1221</v>
      </c>
    </row>
    <row r="862">
      <c r="A862" s="5">
        <v>9.811900815E9</v>
      </c>
      <c r="B862" s="5" t="s">
        <v>285</v>
      </c>
      <c r="C862" s="5" t="s">
        <v>1214</v>
      </c>
      <c r="D862" s="7">
        <v>1.0</v>
      </c>
      <c r="E862" s="6">
        <v>46018.46875</v>
      </c>
      <c r="F862" s="5" t="s">
        <v>1221</v>
      </c>
    </row>
    <row r="863">
      <c r="A863" s="5">
        <v>9.323726535E9</v>
      </c>
      <c r="B863" s="5" t="s">
        <v>912</v>
      </c>
      <c r="C863" s="5" t="s">
        <v>1214</v>
      </c>
      <c r="D863" s="7">
        <v>1.0</v>
      </c>
      <c r="E863" s="6">
        <v>46018.46875</v>
      </c>
      <c r="F863" s="5" t="s">
        <v>1221</v>
      </c>
    </row>
    <row r="864">
      <c r="A864" s="5">
        <v>9.015802726E9</v>
      </c>
      <c r="B864" s="5" t="s">
        <v>286</v>
      </c>
      <c r="C864" s="5" t="s">
        <v>1213</v>
      </c>
      <c r="D864" s="7">
        <v>1.0</v>
      </c>
      <c r="E864" s="6">
        <v>46018.46875</v>
      </c>
      <c r="F864" s="5" t="s">
        <v>1221</v>
      </c>
    </row>
    <row r="865">
      <c r="A865" s="5">
        <v>9.811233455E9</v>
      </c>
      <c r="B865" s="5" t="s">
        <v>913</v>
      </c>
      <c r="C865" s="5" t="s">
        <v>1213</v>
      </c>
      <c r="D865" s="7">
        <v>1.0</v>
      </c>
      <c r="E865" s="6">
        <v>46018.46875</v>
      </c>
      <c r="F865" s="5" t="s">
        <v>1221</v>
      </c>
    </row>
    <row r="866">
      <c r="A866" s="5">
        <v>9.650060991E9</v>
      </c>
      <c r="B866" s="5" t="s">
        <v>562</v>
      </c>
      <c r="C866" s="5" t="s">
        <v>1214</v>
      </c>
      <c r="D866" s="7">
        <v>1.0</v>
      </c>
      <c r="E866" s="6">
        <v>46018.46875</v>
      </c>
      <c r="F866" s="5" t="s">
        <v>1221</v>
      </c>
    </row>
    <row r="867">
      <c r="A867" s="5">
        <v>8.860741616E9</v>
      </c>
      <c r="B867" s="5" t="s">
        <v>287</v>
      </c>
      <c r="C867" s="5" t="s">
        <v>1213</v>
      </c>
      <c r="D867" s="7">
        <v>1.0</v>
      </c>
      <c r="E867" s="6">
        <v>46018.46875</v>
      </c>
      <c r="F867" s="5" t="s">
        <v>1221</v>
      </c>
    </row>
    <row r="868">
      <c r="A868" s="5">
        <v>9.818345009E9</v>
      </c>
      <c r="B868" s="5" t="s">
        <v>101</v>
      </c>
      <c r="C868" s="5" t="s">
        <v>1214</v>
      </c>
      <c r="D868" s="7">
        <v>1.0</v>
      </c>
      <c r="E868" s="6">
        <v>46018.46875</v>
      </c>
      <c r="F868" s="5" t="s">
        <v>1221</v>
      </c>
    </row>
    <row r="869">
      <c r="A869" s="5">
        <v>9.860483319E9</v>
      </c>
      <c r="B869" s="5" t="s">
        <v>1315</v>
      </c>
      <c r="C869" s="5" t="s">
        <v>1214</v>
      </c>
      <c r="D869" s="7">
        <v>1.0</v>
      </c>
      <c r="E869" s="6">
        <v>46018.46875</v>
      </c>
      <c r="F869" s="5" t="s">
        <v>1221</v>
      </c>
    </row>
    <row r="870">
      <c r="A870" s="5">
        <v>9.079826701E9</v>
      </c>
      <c r="B870" s="5" t="s">
        <v>915</v>
      </c>
      <c r="C870" s="5" t="s">
        <v>1213</v>
      </c>
      <c r="D870" s="7">
        <v>1.0</v>
      </c>
      <c r="E870" s="6">
        <v>46018.46875</v>
      </c>
      <c r="F870" s="5" t="s">
        <v>1221</v>
      </c>
    </row>
    <row r="871">
      <c r="A871" s="5">
        <v>9.667337279E9</v>
      </c>
      <c r="B871" s="5" t="s">
        <v>286</v>
      </c>
      <c r="C871" s="5" t="s">
        <v>1213</v>
      </c>
      <c r="D871" s="7">
        <v>1.0</v>
      </c>
      <c r="E871" s="6">
        <v>46018.46875</v>
      </c>
      <c r="F871" s="5" t="s">
        <v>1221</v>
      </c>
    </row>
    <row r="872">
      <c r="A872" s="5">
        <v>7.827677772E9</v>
      </c>
      <c r="B872" s="5" t="s">
        <v>916</v>
      </c>
      <c r="C872" s="5" t="s">
        <v>1214</v>
      </c>
      <c r="D872" s="7">
        <v>1.0</v>
      </c>
      <c r="E872" s="6">
        <v>46018.46875</v>
      </c>
      <c r="F872" s="5" t="s">
        <v>1221</v>
      </c>
    </row>
    <row r="873">
      <c r="A873" s="5">
        <v>9.95311425E9</v>
      </c>
      <c r="B873" s="5" t="s">
        <v>521</v>
      </c>
      <c r="C873" s="5" t="s">
        <v>1214</v>
      </c>
      <c r="D873" s="7">
        <v>1.0</v>
      </c>
      <c r="E873" s="6">
        <v>46018.46875</v>
      </c>
      <c r="F873" s="5" t="s">
        <v>1221</v>
      </c>
    </row>
    <row r="874">
      <c r="A874" s="5">
        <v>9.81182022E9</v>
      </c>
      <c r="B874" s="5" t="s">
        <v>917</v>
      </c>
      <c r="C874" s="5" t="s">
        <v>1214</v>
      </c>
      <c r="D874" s="7">
        <v>1.0</v>
      </c>
      <c r="E874" s="6">
        <v>46018.46875</v>
      </c>
      <c r="F874" s="5" t="s">
        <v>1221</v>
      </c>
    </row>
    <row r="875">
      <c r="A875" s="5">
        <v>9.810548661E9</v>
      </c>
      <c r="B875" s="5" t="s">
        <v>918</v>
      </c>
      <c r="C875" s="5" t="s">
        <v>1214</v>
      </c>
      <c r="D875" s="7">
        <v>1.0</v>
      </c>
      <c r="E875" s="6">
        <v>46018.46875</v>
      </c>
      <c r="F875" s="5" t="s">
        <v>1221</v>
      </c>
    </row>
    <row r="876">
      <c r="A876" s="5">
        <v>8.860015116E9</v>
      </c>
      <c r="B876" s="5" t="s">
        <v>919</v>
      </c>
      <c r="C876" s="5" t="s">
        <v>1214</v>
      </c>
      <c r="D876" s="7">
        <v>1.0</v>
      </c>
      <c r="E876" s="6">
        <v>46018.46875</v>
      </c>
      <c r="F876" s="5" t="s">
        <v>1221</v>
      </c>
    </row>
    <row r="877">
      <c r="A877" s="5">
        <v>8.527162516E9</v>
      </c>
      <c r="B877" s="5" t="s">
        <v>119</v>
      </c>
      <c r="C877" s="5" t="s">
        <v>1213</v>
      </c>
      <c r="D877" s="7">
        <v>1.0</v>
      </c>
      <c r="E877" s="6">
        <v>46018.46875</v>
      </c>
      <c r="F877" s="5" t="s">
        <v>1221</v>
      </c>
    </row>
    <row r="878">
      <c r="A878" s="5">
        <v>8.860015116E9</v>
      </c>
      <c r="B878" s="5" t="s">
        <v>919</v>
      </c>
      <c r="C878" s="5" t="s">
        <v>1213</v>
      </c>
      <c r="D878" s="7">
        <v>1.0</v>
      </c>
      <c r="E878" s="6">
        <v>46018.46875</v>
      </c>
      <c r="F878" s="5" t="s">
        <v>1221</v>
      </c>
    </row>
    <row r="879">
      <c r="A879" s="5">
        <v>9.996528515E9</v>
      </c>
      <c r="B879" s="5" t="s">
        <v>920</v>
      </c>
      <c r="C879" s="5" t="s">
        <v>1214</v>
      </c>
      <c r="D879" s="7">
        <v>1.0</v>
      </c>
      <c r="E879" s="6">
        <v>46018.46875</v>
      </c>
      <c r="F879" s="5" t="s">
        <v>1221</v>
      </c>
    </row>
    <row r="880">
      <c r="A880" s="5">
        <v>8.432506262E9</v>
      </c>
      <c r="B880" s="5" t="s">
        <v>921</v>
      </c>
      <c r="C880" s="5" t="s">
        <v>1214</v>
      </c>
      <c r="D880" s="7">
        <v>1.0</v>
      </c>
      <c r="E880" s="6">
        <v>46018.46875</v>
      </c>
      <c r="F880" s="5" t="s">
        <v>1221</v>
      </c>
    </row>
    <row r="881">
      <c r="A881" s="5">
        <v>9.625570997E9</v>
      </c>
      <c r="B881" s="5" t="s">
        <v>922</v>
      </c>
      <c r="C881" s="5" t="s">
        <v>1213</v>
      </c>
      <c r="D881" s="7">
        <v>1.0</v>
      </c>
      <c r="E881" s="6">
        <v>46018.46875</v>
      </c>
      <c r="F881" s="5" t="s">
        <v>1221</v>
      </c>
    </row>
    <row r="882">
      <c r="A882" s="5">
        <v>9.708351987E9</v>
      </c>
      <c r="B882" s="5" t="s">
        <v>923</v>
      </c>
      <c r="C882" s="5" t="s">
        <v>1213</v>
      </c>
      <c r="D882" s="7">
        <v>1.0</v>
      </c>
      <c r="E882" s="6">
        <v>46018.46875</v>
      </c>
      <c r="F882" s="5" t="s">
        <v>1221</v>
      </c>
    </row>
    <row r="883">
      <c r="A883" s="5">
        <v>9.211910401E9</v>
      </c>
      <c r="B883" s="5" t="s">
        <v>288</v>
      </c>
      <c r="C883" s="5" t="s">
        <v>1214</v>
      </c>
      <c r="D883" s="7">
        <v>1.0</v>
      </c>
      <c r="E883" s="6">
        <v>46018.46875</v>
      </c>
      <c r="F883" s="5" t="s">
        <v>1221</v>
      </c>
    </row>
    <row r="884">
      <c r="A884" s="5">
        <v>9.811224638E9</v>
      </c>
      <c r="B884" s="5" t="s">
        <v>290</v>
      </c>
      <c r="C884" s="5" t="s">
        <v>1214</v>
      </c>
      <c r="D884" s="7">
        <v>1.0</v>
      </c>
      <c r="E884" s="6">
        <v>46018.46875</v>
      </c>
      <c r="F884" s="5" t="s">
        <v>1221</v>
      </c>
    </row>
    <row r="885">
      <c r="A885" s="5">
        <v>9.311409596E9</v>
      </c>
      <c r="B885" s="5" t="s">
        <v>924</v>
      </c>
      <c r="C885" s="5" t="s">
        <v>1213</v>
      </c>
      <c r="D885" s="7">
        <v>1.0</v>
      </c>
      <c r="E885" s="6">
        <v>46018.46875</v>
      </c>
      <c r="F885" s="5" t="s">
        <v>1221</v>
      </c>
    </row>
    <row r="886">
      <c r="A886" s="5">
        <v>8.882916844E9</v>
      </c>
      <c r="B886" s="5" t="s">
        <v>925</v>
      </c>
      <c r="C886" s="5" t="s">
        <v>1214</v>
      </c>
      <c r="D886" s="7">
        <v>1.0</v>
      </c>
      <c r="E886" s="6">
        <v>46018.46875</v>
      </c>
      <c r="F886" s="5" t="s">
        <v>1221</v>
      </c>
    </row>
    <row r="887">
      <c r="A887" s="5">
        <v>9.891567166E9</v>
      </c>
      <c r="B887" s="5" t="s">
        <v>926</v>
      </c>
      <c r="C887" s="5" t="s">
        <v>1214</v>
      </c>
      <c r="D887" s="7">
        <v>1.0</v>
      </c>
      <c r="E887" s="6">
        <v>46018.46875</v>
      </c>
      <c r="F887" s="5" t="s">
        <v>1221</v>
      </c>
    </row>
    <row r="888">
      <c r="A888" s="5">
        <v>9.811084741E9</v>
      </c>
      <c r="B888" s="5" t="s">
        <v>927</v>
      </c>
      <c r="C888" s="5" t="s">
        <v>1213</v>
      </c>
      <c r="D888" s="7">
        <v>1.0</v>
      </c>
      <c r="E888" s="6">
        <v>46018.46875</v>
      </c>
      <c r="F888" s="5" t="s">
        <v>1221</v>
      </c>
    </row>
    <row r="889">
      <c r="A889" s="5">
        <v>9.811072827E9</v>
      </c>
      <c r="B889" s="5" t="s">
        <v>928</v>
      </c>
      <c r="C889" s="5" t="s">
        <v>1213</v>
      </c>
      <c r="D889" s="7">
        <v>1.0</v>
      </c>
      <c r="E889" s="6">
        <v>46018.46875</v>
      </c>
      <c r="F889" s="5" t="s">
        <v>1221</v>
      </c>
    </row>
    <row r="890">
      <c r="A890" s="5">
        <v>9.811505962E9</v>
      </c>
      <c r="B890" s="5" t="s">
        <v>929</v>
      </c>
      <c r="C890" s="5" t="s">
        <v>1213</v>
      </c>
      <c r="D890" s="7">
        <v>1.0</v>
      </c>
      <c r="E890" s="6">
        <v>46018.46875</v>
      </c>
      <c r="F890" s="5" t="s">
        <v>1221</v>
      </c>
    </row>
    <row r="891">
      <c r="A891" s="5">
        <v>9.4192007E9</v>
      </c>
      <c r="B891" s="5" t="s">
        <v>930</v>
      </c>
      <c r="C891" s="5" t="s">
        <v>1214</v>
      </c>
      <c r="D891" s="7">
        <v>1.0</v>
      </c>
      <c r="E891" s="6">
        <v>46018.46875</v>
      </c>
      <c r="F891" s="5" t="s">
        <v>1221</v>
      </c>
    </row>
    <row r="892">
      <c r="A892" s="5">
        <v>7.417489778E9</v>
      </c>
      <c r="B892" s="5" t="s">
        <v>931</v>
      </c>
      <c r="C892" s="5" t="s">
        <v>1213</v>
      </c>
      <c r="D892" s="7">
        <v>1.0</v>
      </c>
      <c r="E892" s="6">
        <v>46018.46875</v>
      </c>
      <c r="F892" s="5" t="s">
        <v>1221</v>
      </c>
    </row>
    <row r="893">
      <c r="A893" s="5">
        <v>9.650778004E9</v>
      </c>
      <c r="B893" s="5" t="s">
        <v>932</v>
      </c>
      <c r="C893" s="5" t="s">
        <v>1213</v>
      </c>
      <c r="D893" s="7">
        <v>1.0</v>
      </c>
      <c r="E893" s="6">
        <v>46018.46875</v>
      </c>
      <c r="F893" s="5" t="s">
        <v>1221</v>
      </c>
    </row>
    <row r="894">
      <c r="A894" s="5">
        <v>9.999488996E9</v>
      </c>
      <c r="B894" s="5" t="s">
        <v>433</v>
      </c>
      <c r="C894" s="5" t="s">
        <v>1214</v>
      </c>
      <c r="D894" s="7">
        <v>1.0</v>
      </c>
      <c r="E894" s="6">
        <v>46018.46875</v>
      </c>
      <c r="F894" s="5" t="s">
        <v>1221</v>
      </c>
    </row>
    <row r="895">
      <c r="A895" s="5">
        <v>9.999942122E9</v>
      </c>
      <c r="B895" s="5" t="s">
        <v>478</v>
      </c>
      <c r="C895" s="5" t="s">
        <v>1214</v>
      </c>
      <c r="D895" s="7">
        <v>1.0</v>
      </c>
      <c r="E895" s="6">
        <v>46018.46875</v>
      </c>
      <c r="F895" s="5" t="s">
        <v>1221</v>
      </c>
    </row>
    <row r="896">
      <c r="A896" s="5">
        <v>9.711100748E9</v>
      </c>
      <c r="B896" s="5" t="s">
        <v>1224</v>
      </c>
      <c r="C896" s="5" t="s">
        <v>1213</v>
      </c>
      <c r="D896" s="7">
        <v>1.0</v>
      </c>
      <c r="E896" s="6">
        <v>46018.46875</v>
      </c>
      <c r="F896" s="5" t="s">
        <v>1221</v>
      </c>
    </row>
    <row r="897">
      <c r="A897" s="5">
        <v>7.846882641E9</v>
      </c>
      <c r="B897" s="5" t="s">
        <v>1316</v>
      </c>
      <c r="C897" s="5" t="s">
        <v>1213</v>
      </c>
      <c r="D897" s="7">
        <v>1.0</v>
      </c>
      <c r="E897" s="6">
        <v>46018.46875</v>
      </c>
      <c r="F897" s="5" t="s">
        <v>1221</v>
      </c>
    </row>
    <row r="898">
      <c r="A898" s="5">
        <v>7.806897981E9</v>
      </c>
      <c r="B898" s="5" t="s">
        <v>752</v>
      </c>
      <c r="C898" s="5" t="s">
        <v>1214</v>
      </c>
      <c r="D898" s="7">
        <v>1.0</v>
      </c>
      <c r="E898" s="6">
        <v>46018.46875</v>
      </c>
      <c r="F898" s="5" t="s">
        <v>1221</v>
      </c>
    </row>
    <row r="899">
      <c r="A899" s="5">
        <v>8.8603534E9</v>
      </c>
      <c r="B899" s="5" t="s">
        <v>934</v>
      </c>
      <c r="C899" s="5" t="s">
        <v>1213</v>
      </c>
      <c r="D899" s="7">
        <v>1.0</v>
      </c>
      <c r="E899" s="6">
        <v>46018.46875</v>
      </c>
      <c r="F899" s="5" t="s">
        <v>1221</v>
      </c>
    </row>
    <row r="900">
      <c r="A900" s="5">
        <v>9.211910401E9</v>
      </c>
      <c r="B900" s="5" t="s">
        <v>292</v>
      </c>
      <c r="C900" s="5" t="s">
        <v>1213</v>
      </c>
      <c r="D900" s="7">
        <v>1.0</v>
      </c>
      <c r="E900" s="6">
        <v>46018.46875</v>
      </c>
      <c r="F900" s="5" t="s">
        <v>1221</v>
      </c>
    </row>
    <row r="901">
      <c r="A901" s="5">
        <v>9.818260067E9</v>
      </c>
      <c r="B901" s="5" t="s">
        <v>935</v>
      </c>
      <c r="C901" s="5" t="s">
        <v>1214</v>
      </c>
      <c r="D901" s="7">
        <v>1.0</v>
      </c>
      <c r="E901" s="6">
        <v>46018.46875</v>
      </c>
      <c r="F901" s="5" t="s">
        <v>1221</v>
      </c>
    </row>
    <row r="902">
      <c r="A902" s="5">
        <v>9.212157824E9</v>
      </c>
      <c r="B902" s="5" t="s">
        <v>123</v>
      </c>
      <c r="C902" s="5" t="s">
        <v>1213</v>
      </c>
      <c r="D902" s="7">
        <v>1.0</v>
      </c>
      <c r="E902" s="6">
        <v>46018.46875</v>
      </c>
      <c r="F902" s="5" t="s">
        <v>1221</v>
      </c>
    </row>
    <row r="903">
      <c r="A903" s="5">
        <v>8.744042452E9</v>
      </c>
      <c r="B903" s="5" t="s">
        <v>1317</v>
      </c>
      <c r="C903" s="5" t="s">
        <v>1213</v>
      </c>
      <c r="D903" s="7">
        <v>1.0</v>
      </c>
      <c r="E903" s="6">
        <v>46018.46875</v>
      </c>
      <c r="F903" s="5" t="s">
        <v>1221</v>
      </c>
    </row>
    <row r="904">
      <c r="A904" s="5">
        <v>8.920731234E9</v>
      </c>
      <c r="B904" s="5" t="s">
        <v>1318</v>
      </c>
      <c r="C904" s="5" t="s">
        <v>1213</v>
      </c>
      <c r="D904" s="7">
        <v>1.0</v>
      </c>
      <c r="E904" s="6">
        <v>46018.46875</v>
      </c>
      <c r="F904" s="5" t="s">
        <v>1221</v>
      </c>
    </row>
    <row r="905">
      <c r="A905" s="5">
        <v>9.868203875E9</v>
      </c>
      <c r="B905" s="5" t="s">
        <v>293</v>
      </c>
      <c r="C905" s="5" t="s">
        <v>1213</v>
      </c>
      <c r="D905" s="7">
        <v>1.0</v>
      </c>
      <c r="E905" s="6">
        <v>46018.46875</v>
      </c>
      <c r="F905" s="5" t="s">
        <v>1221</v>
      </c>
    </row>
    <row r="906">
      <c r="A906" s="5">
        <v>9.013927456E9</v>
      </c>
      <c r="B906" s="5" t="s">
        <v>294</v>
      </c>
      <c r="C906" s="5" t="s">
        <v>1213</v>
      </c>
      <c r="D906" s="7">
        <v>1.0</v>
      </c>
      <c r="E906" s="6">
        <v>46018.46875</v>
      </c>
      <c r="F906" s="5" t="s">
        <v>1221</v>
      </c>
    </row>
    <row r="907">
      <c r="A907" s="5">
        <v>8.802798023E9</v>
      </c>
      <c r="B907" s="5" t="s">
        <v>610</v>
      </c>
      <c r="C907" s="5" t="s">
        <v>1213</v>
      </c>
      <c r="D907" s="7">
        <v>1.0</v>
      </c>
      <c r="E907" s="6">
        <v>46018.46875</v>
      </c>
      <c r="F907" s="5" t="s">
        <v>1221</v>
      </c>
    </row>
    <row r="908">
      <c r="A908" s="5">
        <v>9.654195544E9</v>
      </c>
      <c r="B908" s="5" t="s">
        <v>1319</v>
      </c>
      <c r="C908" s="5" t="s">
        <v>1213</v>
      </c>
      <c r="D908" s="7">
        <v>1.0</v>
      </c>
      <c r="E908" s="6">
        <v>46018.46875</v>
      </c>
      <c r="F908" s="5" t="s">
        <v>1221</v>
      </c>
    </row>
    <row r="909">
      <c r="A909" s="5">
        <v>9.21273974E9</v>
      </c>
      <c r="B909" s="5" t="s">
        <v>937</v>
      </c>
      <c r="C909" s="5" t="s">
        <v>1213</v>
      </c>
      <c r="D909" s="7">
        <v>1.0</v>
      </c>
      <c r="E909" s="6">
        <v>46018.46875</v>
      </c>
      <c r="F909" s="5" t="s">
        <v>1221</v>
      </c>
    </row>
    <row r="910">
      <c r="A910" s="5">
        <v>8.076175003E9</v>
      </c>
      <c r="B910" s="5" t="s">
        <v>296</v>
      </c>
      <c r="C910" s="5" t="s">
        <v>1214</v>
      </c>
      <c r="D910" s="7">
        <v>1.0</v>
      </c>
      <c r="E910" s="6">
        <v>46018.46875</v>
      </c>
      <c r="F910" s="5" t="s">
        <v>1221</v>
      </c>
    </row>
    <row r="911">
      <c r="A911" s="5">
        <v>9.899993041E9</v>
      </c>
      <c r="B911" s="5" t="s">
        <v>938</v>
      </c>
      <c r="C911" s="5" t="s">
        <v>1214</v>
      </c>
      <c r="D911" s="7">
        <v>1.0</v>
      </c>
      <c r="E911" s="6">
        <v>46018.46875</v>
      </c>
      <c r="F911" s="5" t="s">
        <v>1221</v>
      </c>
    </row>
    <row r="912">
      <c r="A912" s="5">
        <v>9.999728283E9</v>
      </c>
      <c r="B912" s="5" t="s">
        <v>298</v>
      </c>
      <c r="C912" s="5" t="s">
        <v>1214</v>
      </c>
      <c r="D912" s="7">
        <v>1.0</v>
      </c>
      <c r="E912" s="6">
        <v>46018.46875</v>
      </c>
      <c r="F912" s="5" t="s">
        <v>1221</v>
      </c>
    </row>
    <row r="913">
      <c r="A913" s="5">
        <v>9.920524024E9</v>
      </c>
      <c r="B913" s="5" t="s">
        <v>491</v>
      </c>
      <c r="C913" s="5" t="s">
        <v>1213</v>
      </c>
      <c r="D913" s="7">
        <v>1.0</v>
      </c>
      <c r="E913" s="6">
        <v>46018.46875</v>
      </c>
      <c r="F913" s="5" t="s">
        <v>1221</v>
      </c>
    </row>
    <row r="914">
      <c r="A914" s="5">
        <v>8.700173741E9</v>
      </c>
      <c r="B914" s="5" t="s">
        <v>397</v>
      </c>
      <c r="C914" s="5" t="s">
        <v>1214</v>
      </c>
      <c r="D914" s="7">
        <v>1.0</v>
      </c>
      <c r="E914" s="6">
        <v>46018.46875</v>
      </c>
      <c r="F914" s="5" t="s">
        <v>1221</v>
      </c>
    </row>
    <row r="915">
      <c r="A915" s="5">
        <v>9.717998888E9</v>
      </c>
      <c r="B915" s="5" t="s">
        <v>1320</v>
      </c>
      <c r="C915" s="5" t="s">
        <v>1214</v>
      </c>
      <c r="D915" s="7">
        <v>1.0</v>
      </c>
      <c r="E915" s="6">
        <v>46018.46875</v>
      </c>
      <c r="F915" s="5" t="s">
        <v>1221</v>
      </c>
    </row>
    <row r="916">
      <c r="A916" s="5">
        <v>9.311163494E9</v>
      </c>
      <c r="B916" s="5" t="s">
        <v>299</v>
      </c>
      <c r="C916" s="5" t="s">
        <v>1214</v>
      </c>
      <c r="D916" s="7">
        <v>1.0</v>
      </c>
      <c r="E916" s="6">
        <v>46018.46875</v>
      </c>
      <c r="F916" s="5" t="s">
        <v>1221</v>
      </c>
    </row>
    <row r="917">
      <c r="A917" s="5">
        <v>9.013967456E9</v>
      </c>
      <c r="B917" s="5" t="s">
        <v>294</v>
      </c>
      <c r="C917" s="5" t="s">
        <v>1213</v>
      </c>
      <c r="D917" s="7">
        <v>1.0</v>
      </c>
      <c r="E917" s="6">
        <v>46018.46875</v>
      </c>
      <c r="F917" s="5" t="s">
        <v>1221</v>
      </c>
    </row>
    <row r="918">
      <c r="A918" s="5">
        <v>9.899655488E9</v>
      </c>
      <c r="B918" s="5" t="s">
        <v>1321</v>
      </c>
      <c r="C918" s="5" t="s">
        <v>1213</v>
      </c>
      <c r="D918" s="7">
        <v>1.0</v>
      </c>
      <c r="E918" s="6">
        <v>46018.46875</v>
      </c>
      <c r="F918" s="5" t="s">
        <v>1221</v>
      </c>
    </row>
    <row r="919">
      <c r="A919" s="5">
        <v>9.555930963E9</v>
      </c>
      <c r="B919" s="5" t="s">
        <v>941</v>
      </c>
      <c r="C919" s="5" t="s">
        <v>1213</v>
      </c>
      <c r="D919" s="7">
        <v>1.0</v>
      </c>
      <c r="E919" s="6">
        <v>46018.46875</v>
      </c>
      <c r="F919" s="5" t="s">
        <v>1221</v>
      </c>
    </row>
    <row r="920">
      <c r="A920" s="5">
        <v>9.81807272E9</v>
      </c>
      <c r="B920" s="5" t="s">
        <v>300</v>
      </c>
      <c r="C920" s="5" t="s">
        <v>1214</v>
      </c>
      <c r="D920" s="7">
        <v>1.0</v>
      </c>
      <c r="E920" s="6">
        <v>46018.46875</v>
      </c>
      <c r="F920" s="5" t="s">
        <v>1221</v>
      </c>
    </row>
    <row r="921">
      <c r="A921" s="5">
        <v>9.818611586E9</v>
      </c>
      <c r="B921" s="5" t="s">
        <v>942</v>
      </c>
      <c r="C921" s="5" t="s">
        <v>1213</v>
      </c>
      <c r="D921" s="7">
        <v>1.0</v>
      </c>
      <c r="E921" s="6">
        <v>46018.46875</v>
      </c>
      <c r="F921" s="5" t="s">
        <v>1221</v>
      </c>
    </row>
    <row r="922">
      <c r="A922" s="5">
        <v>8.68606686E9</v>
      </c>
      <c r="B922" s="5" t="s">
        <v>943</v>
      </c>
      <c r="C922" s="5" t="s">
        <v>1213</v>
      </c>
      <c r="D922" s="7">
        <v>1.0</v>
      </c>
      <c r="E922" s="6">
        <v>46018.46875</v>
      </c>
      <c r="F922" s="5" t="s">
        <v>1221</v>
      </c>
    </row>
    <row r="923">
      <c r="A923" s="5">
        <v>9.811466448E9</v>
      </c>
      <c r="B923" s="5" t="s">
        <v>944</v>
      </c>
      <c r="C923" s="5" t="s">
        <v>1214</v>
      </c>
      <c r="D923" s="7">
        <v>1.0</v>
      </c>
      <c r="E923" s="6">
        <v>46018.46875</v>
      </c>
      <c r="F923" s="5" t="s">
        <v>1221</v>
      </c>
    </row>
    <row r="924">
      <c r="A924" s="5">
        <v>9.650947399E9</v>
      </c>
      <c r="B924" s="5" t="s">
        <v>1322</v>
      </c>
      <c r="C924" s="5" t="s">
        <v>1213</v>
      </c>
      <c r="D924" s="7">
        <v>1.0</v>
      </c>
      <c r="E924" s="6">
        <v>46018.46875</v>
      </c>
      <c r="F924" s="5" t="s">
        <v>1221</v>
      </c>
    </row>
    <row r="925">
      <c r="A925" s="5">
        <v>9.81807272E9</v>
      </c>
      <c r="B925" s="5" t="s">
        <v>302</v>
      </c>
      <c r="C925" s="5" t="s">
        <v>1213</v>
      </c>
      <c r="D925" s="7">
        <v>1.0</v>
      </c>
      <c r="E925" s="6">
        <v>46018.46875</v>
      </c>
      <c r="F925" s="5" t="s">
        <v>1221</v>
      </c>
    </row>
    <row r="926">
      <c r="A926" s="5">
        <v>9.62533502E9</v>
      </c>
      <c r="B926" s="5" t="s">
        <v>946</v>
      </c>
      <c r="C926" s="5" t="s">
        <v>1213</v>
      </c>
      <c r="D926" s="7">
        <v>1.0</v>
      </c>
      <c r="E926" s="6">
        <v>46018.46875</v>
      </c>
      <c r="F926" s="5" t="s">
        <v>1221</v>
      </c>
    </row>
    <row r="927">
      <c r="A927" s="5">
        <v>9.953950419E9</v>
      </c>
      <c r="B927" s="5" t="s">
        <v>303</v>
      </c>
      <c r="C927" s="5" t="s">
        <v>1213</v>
      </c>
      <c r="D927" s="7">
        <v>1.0</v>
      </c>
      <c r="E927" s="6">
        <v>46018.46875</v>
      </c>
      <c r="F927" s="5" t="s">
        <v>1221</v>
      </c>
    </row>
    <row r="928">
      <c r="A928" s="5">
        <v>9.891000073E9</v>
      </c>
      <c r="B928" s="5" t="s">
        <v>304</v>
      </c>
      <c r="C928" s="5" t="s">
        <v>1214</v>
      </c>
      <c r="D928" s="7">
        <v>1.0</v>
      </c>
      <c r="E928" s="6">
        <v>46018.46875</v>
      </c>
      <c r="F928" s="5" t="s">
        <v>1221</v>
      </c>
    </row>
    <row r="929">
      <c r="A929" s="5">
        <v>8.860855515E9</v>
      </c>
      <c r="B929" s="5" t="s">
        <v>947</v>
      </c>
      <c r="C929" s="5" t="s">
        <v>1213</v>
      </c>
      <c r="D929" s="7">
        <v>1.0</v>
      </c>
      <c r="E929" s="6">
        <v>46018.46875</v>
      </c>
      <c r="F929" s="5" t="s">
        <v>1221</v>
      </c>
    </row>
    <row r="930">
      <c r="A930" s="5">
        <v>9.8996911E9</v>
      </c>
      <c r="B930" s="5" t="s">
        <v>305</v>
      </c>
      <c r="C930" s="5" t="s">
        <v>1213</v>
      </c>
      <c r="D930" s="7">
        <v>1.0</v>
      </c>
      <c r="E930" s="6">
        <v>46018.46875</v>
      </c>
      <c r="F930" s="5" t="s">
        <v>1221</v>
      </c>
    </row>
    <row r="931">
      <c r="A931" s="5">
        <v>9.818881865E9</v>
      </c>
      <c r="B931" s="5" t="s">
        <v>948</v>
      </c>
      <c r="C931" s="5" t="s">
        <v>1214</v>
      </c>
      <c r="D931" s="7">
        <v>1.0</v>
      </c>
      <c r="E931" s="6">
        <v>46018.46875</v>
      </c>
      <c r="F931" s="5" t="s">
        <v>1221</v>
      </c>
    </row>
    <row r="932">
      <c r="A932" s="5">
        <v>9.350001947E9</v>
      </c>
      <c r="B932" s="5" t="s">
        <v>949</v>
      </c>
      <c r="C932" s="5" t="s">
        <v>1214</v>
      </c>
      <c r="D932" s="7">
        <v>1.0</v>
      </c>
      <c r="E932" s="6">
        <v>46018.46875</v>
      </c>
      <c r="F932" s="5" t="s">
        <v>1221</v>
      </c>
    </row>
    <row r="933">
      <c r="A933" s="5">
        <v>9.650461574E9</v>
      </c>
      <c r="B933" s="5" t="s">
        <v>950</v>
      </c>
      <c r="C933" s="5" t="s">
        <v>1213</v>
      </c>
      <c r="D933" s="7">
        <v>1.0</v>
      </c>
      <c r="E933" s="6">
        <v>46018.46875</v>
      </c>
      <c r="F933" s="5" t="s">
        <v>1221</v>
      </c>
    </row>
    <row r="934">
      <c r="A934" s="5">
        <v>9.999918304E9</v>
      </c>
      <c r="B934" s="5" t="s">
        <v>125</v>
      </c>
      <c r="C934" s="5" t="s">
        <v>1214</v>
      </c>
      <c r="D934" s="7">
        <v>1.0</v>
      </c>
      <c r="E934" s="6">
        <v>46018.46875</v>
      </c>
      <c r="F934" s="5" t="s">
        <v>1221</v>
      </c>
    </row>
    <row r="935">
      <c r="A935" s="5">
        <v>9.21242235E9</v>
      </c>
      <c r="B935" s="5" t="s">
        <v>951</v>
      </c>
      <c r="C935" s="5" t="s">
        <v>1213</v>
      </c>
      <c r="D935" s="7">
        <v>1.0</v>
      </c>
      <c r="E935" s="6">
        <v>46018.46875</v>
      </c>
      <c r="F935" s="5" t="s">
        <v>1221</v>
      </c>
    </row>
    <row r="936">
      <c r="A936" s="5">
        <v>8.105988005E9</v>
      </c>
      <c r="B936" s="5" t="s">
        <v>307</v>
      </c>
      <c r="C936" s="5" t="s">
        <v>1213</v>
      </c>
      <c r="D936" s="7">
        <v>1.0</v>
      </c>
      <c r="E936" s="6">
        <v>46018.46875</v>
      </c>
      <c r="F936" s="5" t="s">
        <v>1221</v>
      </c>
    </row>
    <row r="937">
      <c r="A937" s="5">
        <v>9.999728283E9</v>
      </c>
      <c r="B937" s="5" t="s">
        <v>309</v>
      </c>
      <c r="C937" s="5" t="s">
        <v>1213</v>
      </c>
      <c r="D937" s="7">
        <v>1.0</v>
      </c>
      <c r="E937" s="6">
        <v>46018.46875</v>
      </c>
      <c r="F937" s="5" t="s">
        <v>1221</v>
      </c>
    </row>
    <row r="938">
      <c r="A938" s="5">
        <v>9.873245333E9</v>
      </c>
      <c r="B938" s="5" t="s">
        <v>310</v>
      </c>
      <c r="C938" s="5" t="s">
        <v>1213</v>
      </c>
      <c r="D938" s="7">
        <v>1.0</v>
      </c>
      <c r="E938" s="6">
        <v>46018.46875</v>
      </c>
      <c r="F938" s="5" t="s">
        <v>1221</v>
      </c>
    </row>
    <row r="939">
      <c r="A939" s="5">
        <v>9.811224638E9</v>
      </c>
      <c r="B939" s="5" t="s">
        <v>311</v>
      </c>
      <c r="C939" s="5" t="s">
        <v>1213</v>
      </c>
      <c r="D939" s="7">
        <v>1.0</v>
      </c>
      <c r="E939" s="6">
        <v>46018.46875</v>
      </c>
      <c r="F939" s="5" t="s">
        <v>1221</v>
      </c>
    </row>
    <row r="940">
      <c r="A940" s="5">
        <v>9.818011805E9</v>
      </c>
      <c r="B940" s="5" t="s">
        <v>1323</v>
      </c>
      <c r="C940" s="5" t="s">
        <v>1214</v>
      </c>
      <c r="D940" s="7">
        <v>1.0</v>
      </c>
      <c r="E940" s="6">
        <v>46018.46875</v>
      </c>
      <c r="F940" s="5" t="s">
        <v>1221</v>
      </c>
    </row>
    <row r="941">
      <c r="A941" s="5">
        <v>9.81062888E9</v>
      </c>
      <c r="B941" s="5" t="s">
        <v>312</v>
      </c>
      <c r="C941" s="5" t="s">
        <v>1213</v>
      </c>
      <c r="D941" s="7">
        <v>1.0</v>
      </c>
      <c r="E941" s="6">
        <v>46018.46875</v>
      </c>
      <c r="F941" s="5" t="s">
        <v>1221</v>
      </c>
    </row>
    <row r="942">
      <c r="A942" s="5">
        <v>9.899199723E9</v>
      </c>
      <c r="B942" s="5" t="s">
        <v>953</v>
      </c>
      <c r="C942" s="5" t="s">
        <v>1213</v>
      </c>
      <c r="D942" s="7">
        <v>1.0</v>
      </c>
      <c r="E942" s="6">
        <v>46018.46875</v>
      </c>
      <c r="F942" s="5" t="s">
        <v>1221</v>
      </c>
    </row>
    <row r="943">
      <c r="A943" s="5">
        <v>9.796222585E9</v>
      </c>
      <c r="B943" s="5" t="s">
        <v>954</v>
      </c>
      <c r="C943" s="5" t="s">
        <v>1213</v>
      </c>
      <c r="D943" s="7">
        <v>1.0</v>
      </c>
      <c r="E943" s="6">
        <v>46018.46875</v>
      </c>
      <c r="F943" s="5" t="s">
        <v>1221</v>
      </c>
    </row>
    <row r="944">
      <c r="A944" s="5">
        <v>7.065703296E9</v>
      </c>
      <c r="B944" s="5" t="s">
        <v>955</v>
      </c>
      <c r="C944" s="5" t="s">
        <v>1213</v>
      </c>
      <c r="D944" s="7">
        <v>1.0</v>
      </c>
      <c r="E944" s="6">
        <v>46018.46875</v>
      </c>
      <c r="F944" s="5" t="s">
        <v>1221</v>
      </c>
    </row>
    <row r="945">
      <c r="A945" s="5">
        <v>9.650119669E9</v>
      </c>
      <c r="B945" s="5" t="s">
        <v>956</v>
      </c>
      <c r="C945" s="5" t="s">
        <v>1214</v>
      </c>
      <c r="D945" s="7">
        <v>1.0</v>
      </c>
      <c r="E945" s="6">
        <v>46018.46875</v>
      </c>
      <c r="F945" s="5" t="s">
        <v>1221</v>
      </c>
    </row>
    <row r="946">
      <c r="A946" s="5">
        <v>9.560540676E9</v>
      </c>
      <c r="B946" s="5" t="s">
        <v>313</v>
      </c>
      <c r="C946" s="5" t="s">
        <v>1213</v>
      </c>
      <c r="D946" s="7">
        <v>1.0</v>
      </c>
      <c r="E946" s="6">
        <v>46018.46875</v>
      </c>
      <c r="F946" s="5" t="s">
        <v>1221</v>
      </c>
    </row>
    <row r="947">
      <c r="A947" s="5">
        <v>9.711816444E9</v>
      </c>
      <c r="B947" s="5" t="s">
        <v>957</v>
      </c>
      <c r="C947" s="5" t="s">
        <v>1213</v>
      </c>
      <c r="D947" s="7">
        <v>1.0</v>
      </c>
      <c r="E947" s="6">
        <v>46018.46875</v>
      </c>
      <c r="F947" s="5" t="s">
        <v>1221</v>
      </c>
    </row>
    <row r="948">
      <c r="A948" s="5">
        <v>9.818293968E9</v>
      </c>
      <c r="B948" s="5" t="s">
        <v>958</v>
      </c>
      <c r="C948" s="5" t="s">
        <v>1213</v>
      </c>
      <c r="D948" s="7">
        <v>1.0</v>
      </c>
      <c r="E948" s="6">
        <v>46018.46875</v>
      </c>
      <c r="F948" s="5" t="s">
        <v>1221</v>
      </c>
    </row>
    <row r="949">
      <c r="A949" s="5">
        <v>9.555722786E9</v>
      </c>
      <c r="B949" s="5" t="s">
        <v>959</v>
      </c>
      <c r="C949" s="5" t="s">
        <v>1214</v>
      </c>
      <c r="D949" s="7">
        <v>1.0</v>
      </c>
      <c r="E949" s="6">
        <v>46018.46875</v>
      </c>
      <c r="F949" s="5" t="s">
        <v>1221</v>
      </c>
    </row>
    <row r="950">
      <c r="A950" s="5">
        <v>9.891201813E9</v>
      </c>
      <c r="B950" s="5" t="s">
        <v>960</v>
      </c>
      <c r="C950" s="5" t="s">
        <v>1213</v>
      </c>
      <c r="D950" s="7">
        <v>1.0</v>
      </c>
      <c r="E950" s="6">
        <v>46018.46875</v>
      </c>
      <c r="F950" s="5" t="s">
        <v>1221</v>
      </c>
    </row>
    <row r="951">
      <c r="A951" s="5">
        <v>7.01106595E9</v>
      </c>
      <c r="B951" s="5" t="s">
        <v>961</v>
      </c>
      <c r="C951" s="5" t="s">
        <v>1214</v>
      </c>
      <c r="D951" s="7">
        <v>1.0</v>
      </c>
      <c r="E951" s="6">
        <v>46018.46875</v>
      </c>
      <c r="F951" s="5" t="s">
        <v>1221</v>
      </c>
    </row>
    <row r="952">
      <c r="A952" s="5">
        <v>9.811071707E9</v>
      </c>
      <c r="B952" s="5" t="s">
        <v>962</v>
      </c>
      <c r="C952" s="5" t="s">
        <v>1214</v>
      </c>
      <c r="D952" s="7">
        <v>1.0</v>
      </c>
      <c r="E952" s="6">
        <v>46018.46875</v>
      </c>
      <c r="F952" s="5" t="s">
        <v>1221</v>
      </c>
    </row>
    <row r="953">
      <c r="A953" s="5">
        <v>9.999165123E9</v>
      </c>
      <c r="B953" s="5" t="s">
        <v>963</v>
      </c>
      <c r="C953" s="5" t="s">
        <v>1214</v>
      </c>
      <c r="D953" s="7">
        <v>1.0</v>
      </c>
      <c r="E953" s="6">
        <v>46018.46875</v>
      </c>
      <c r="F953" s="5" t="s">
        <v>1221</v>
      </c>
    </row>
    <row r="954">
      <c r="A954" s="5">
        <v>8.448661005E9</v>
      </c>
      <c r="B954" s="5" t="s">
        <v>964</v>
      </c>
      <c r="C954" s="5" t="s">
        <v>1214</v>
      </c>
      <c r="D954" s="7">
        <v>1.0</v>
      </c>
      <c r="E954" s="6">
        <v>46018.46875</v>
      </c>
      <c r="F954" s="5" t="s">
        <v>1221</v>
      </c>
    </row>
    <row r="955">
      <c r="A955" s="5">
        <v>8.826277795E9</v>
      </c>
      <c r="B955" s="5" t="s">
        <v>965</v>
      </c>
      <c r="C955" s="5" t="s">
        <v>1213</v>
      </c>
      <c r="D955" s="7">
        <v>1.0</v>
      </c>
      <c r="E955" s="6">
        <v>46018.46875</v>
      </c>
      <c r="F955" s="5" t="s">
        <v>1221</v>
      </c>
    </row>
    <row r="956">
      <c r="A956" s="5">
        <v>9.871417753E9</v>
      </c>
      <c r="B956" s="5" t="s">
        <v>966</v>
      </c>
      <c r="C956" s="5" t="s">
        <v>1214</v>
      </c>
      <c r="D956" s="7">
        <v>1.0</v>
      </c>
      <c r="E956" s="6">
        <v>46018.46875</v>
      </c>
      <c r="F956" s="5" t="s">
        <v>1221</v>
      </c>
    </row>
    <row r="957">
      <c r="A957" s="5">
        <v>8.076175003E9</v>
      </c>
      <c r="B957" s="5" t="s">
        <v>1324</v>
      </c>
      <c r="C957" s="5" t="s">
        <v>1213</v>
      </c>
      <c r="D957" s="7">
        <v>1.0</v>
      </c>
      <c r="E957" s="6">
        <v>46018.46875</v>
      </c>
      <c r="F957" s="5" t="s">
        <v>1221</v>
      </c>
    </row>
    <row r="958">
      <c r="A958" s="5">
        <v>8.07665406E9</v>
      </c>
      <c r="B958" s="5" t="s">
        <v>967</v>
      </c>
      <c r="C958" s="5" t="s">
        <v>1214</v>
      </c>
      <c r="D958" s="7">
        <v>1.0</v>
      </c>
      <c r="E958" s="6">
        <v>46018.46875</v>
      </c>
      <c r="F958" s="5" t="s">
        <v>1221</v>
      </c>
    </row>
    <row r="959">
      <c r="A959" s="5">
        <v>9.619078136E9</v>
      </c>
      <c r="B959" s="5" t="s">
        <v>968</v>
      </c>
      <c r="C959" s="5" t="s">
        <v>1214</v>
      </c>
      <c r="D959" s="7">
        <v>1.0</v>
      </c>
      <c r="E959" s="6">
        <v>46018.46875</v>
      </c>
      <c r="F959" s="5" t="s">
        <v>1221</v>
      </c>
    </row>
    <row r="960">
      <c r="A960" s="5">
        <v>9.870340842E9</v>
      </c>
      <c r="B960" s="5" t="s">
        <v>315</v>
      </c>
      <c r="C960" s="5" t="s">
        <v>1213</v>
      </c>
      <c r="D960" s="7">
        <v>1.0</v>
      </c>
      <c r="E960" s="6">
        <v>46018.46875</v>
      </c>
      <c r="F960" s="5" t="s">
        <v>1221</v>
      </c>
    </row>
    <row r="961">
      <c r="A961" s="5">
        <v>8.447309345E9</v>
      </c>
      <c r="B961" s="5" t="s">
        <v>317</v>
      </c>
      <c r="C961" s="5" t="s">
        <v>1213</v>
      </c>
      <c r="D961" s="7">
        <v>1.0</v>
      </c>
      <c r="E961" s="6">
        <v>46018.46875</v>
      </c>
      <c r="F961" s="5" t="s">
        <v>1221</v>
      </c>
    </row>
    <row r="962">
      <c r="A962" s="5">
        <v>8.595559063E9</v>
      </c>
      <c r="B962" s="5" t="s">
        <v>969</v>
      </c>
      <c r="C962" s="5" t="s">
        <v>1214</v>
      </c>
      <c r="D962" s="7">
        <v>1.0</v>
      </c>
      <c r="E962" s="6">
        <v>46018.46875</v>
      </c>
      <c r="F962" s="5" t="s">
        <v>1221</v>
      </c>
    </row>
    <row r="963">
      <c r="A963" s="5">
        <v>8.076243029E9</v>
      </c>
      <c r="B963" s="5" t="s">
        <v>319</v>
      </c>
      <c r="C963" s="5" t="s">
        <v>1214</v>
      </c>
      <c r="D963" s="7">
        <v>1.0</v>
      </c>
      <c r="E963" s="6">
        <v>46018.46875</v>
      </c>
      <c r="F963" s="5" t="s">
        <v>1221</v>
      </c>
    </row>
    <row r="964">
      <c r="A964" s="5">
        <v>8.010108099E9</v>
      </c>
      <c r="B964" s="5" t="s">
        <v>970</v>
      </c>
      <c r="C964" s="5" t="s">
        <v>1214</v>
      </c>
      <c r="D964" s="7">
        <v>1.0</v>
      </c>
      <c r="E964" s="6">
        <v>46018.46875</v>
      </c>
      <c r="F964" s="5" t="s">
        <v>1221</v>
      </c>
    </row>
    <row r="965">
      <c r="A965" s="5">
        <v>7.01198407E9</v>
      </c>
      <c r="B965" s="5" t="s">
        <v>971</v>
      </c>
      <c r="C965" s="5" t="s">
        <v>1213</v>
      </c>
      <c r="D965" s="7">
        <v>1.0</v>
      </c>
      <c r="E965" s="6">
        <v>46018.46875</v>
      </c>
      <c r="F965" s="5" t="s">
        <v>1221</v>
      </c>
    </row>
    <row r="966">
      <c r="A966" s="5">
        <v>9.971700776E9</v>
      </c>
      <c r="B966" s="5" t="s">
        <v>321</v>
      </c>
      <c r="C966" s="5" t="s">
        <v>1214</v>
      </c>
      <c r="D966" s="7">
        <v>1.0</v>
      </c>
      <c r="E966" s="6">
        <v>46018.46875</v>
      </c>
      <c r="F966" s="5" t="s">
        <v>1221</v>
      </c>
    </row>
    <row r="967">
      <c r="A967" s="5">
        <v>8.800503827E9</v>
      </c>
      <c r="B967" s="5" t="s">
        <v>972</v>
      </c>
      <c r="C967" s="5" t="s">
        <v>1214</v>
      </c>
      <c r="D967" s="7">
        <v>1.0</v>
      </c>
      <c r="E967" s="6">
        <v>46018.46875</v>
      </c>
      <c r="F967" s="5" t="s">
        <v>1221</v>
      </c>
    </row>
    <row r="968">
      <c r="A968" s="5">
        <v>8.178330055E9</v>
      </c>
      <c r="B968" s="5" t="s">
        <v>973</v>
      </c>
      <c r="C968" s="5" t="s">
        <v>1214</v>
      </c>
      <c r="D968" s="7">
        <v>1.0</v>
      </c>
      <c r="E968" s="6">
        <v>46018.46875</v>
      </c>
      <c r="F968" s="5" t="s">
        <v>1221</v>
      </c>
    </row>
    <row r="969">
      <c r="A969" s="5">
        <v>8.800471293E9</v>
      </c>
      <c r="B969" s="5" t="s">
        <v>974</v>
      </c>
      <c r="C969" s="5" t="s">
        <v>1214</v>
      </c>
      <c r="D969" s="7">
        <v>1.0</v>
      </c>
      <c r="E969" s="6">
        <v>46018.46875</v>
      </c>
      <c r="F969" s="5" t="s">
        <v>1221</v>
      </c>
    </row>
    <row r="970">
      <c r="A970" s="5">
        <v>9.313701872E9</v>
      </c>
      <c r="B970" s="5" t="s">
        <v>975</v>
      </c>
      <c r="C970" s="5" t="s">
        <v>1214</v>
      </c>
      <c r="D970" s="7">
        <v>1.0</v>
      </c>
      <c r="E970" s="6">
        <v>46018.46875</v>
      </c>
      <c r="F970" s="5" t="s">
        <v>1221</v>
      </c>
    </row>
    <row r="971">
      <c r="A971" s="5">
        <v>9.810140599E9</v>
      </c>
      <c r="B971" s="5" t="s">
        <v>976</v>
      </c>
      <c r="C971" s="5" t="s">
        <v>1214</v>
      </c>
      <c r="D971" s="7">
        <v>1.0</v>
      </c>
      <c r="E971" s="6">
        <v>46018.46875</v>
      </c>
      <c r="F971" s="5" t="s">
        <v>1221</v>
      </c>
    </row>
    <row r="972">
      <c r="A972" s="5">
        <v>8.076626167E9</v>
      </c>
      <c r="B972" s="5" t="s">
        <v>977</v>
      </c>
      <c r="C972" s="5" t="s">
        <v>1213</v>
      </c>
      <c r="D972" s="7">
        <v>1.0</v>
      </c>
      <c r="E972" s="6">
        <v>46018.46875</v>
      </c>
      <c r="F972" s="5" t="s">
        <v>1221</v>
      </c>
    </row>
    <row r="973">
      <c r="A973" s="5">
        <v>9.821329234E9</v>
      </c>
      <c r="B973" s="5" t="s">
        <v>978</v>
      </c>
      <c r="C973" s="5" t="s">
        <v>1213</v>
      </c>
      <c r="D973" s="7">
        <v>1.0</v>
      </c>
      <c r="E973" s="6">
        <v>46018.46875</v>
      </c>
      <c r="F973" s="5" t="s">
        <v>1221</v>
      </c>
    </row>
    <row r="974">
      <c r="A974" s="5">
        <v>8.826736892E9</v>
      </c>
      <c r="B974" s="5" t="s">
        <v>979</v>
      </c>
      <c r="C974" s="5" t="s">
        <v>1214</v>
      </c>
      <c r="D974" s="7">
        <v>1.0</v>
      </c>
      <c r="E974" s="6">
        <v>46018.46875</v>
      </c>
      <c r="F974" s="5" t="s">
        <v>1221</v>
      </c>
    </row>
    <row r="975">
      <c r="A975" s="5">
        <v>7.01182446E9</v>
      </c>
      <c r="B975" s="5" t="s">
        <v>322</v>
      </c>
      <c r="C975" s="5" t="s">
        <v>1213</v>
      </c>
      <c r="D975" s="7">
        <v>1.0</v>
      </c>
      <c r="E975" s="6">
        <v>46018.46875</v>
      </c>
      <c r="F975" s="5" t="s">
        <v>1221</v>
      </c>
    </row>
    <row r="976">
      <c r="A976" s="5">
        <v>7.827954385E9</v>
      </c>
      <c r="B976" s="5" t="s">
        <v>980</v>
      </c>
      <c r="C976" s="5" t="s">
        <v>1213</v>
      </c>
      <c r="D976" s="7">
        <v>1.0</v>
      </c>
      <c r="E976" s="6">
        <v>46018.46875</v>
      </c>
      <c r="F976" s="5" t="s">
        <v>1221</v>
      </c>
    </row>
    <row r="977">
      <c r="A977" s="5">
        <v>7.001907532E9</v>
      </c>
      <c r="B977" s="5" t="s">
        <v>981</v>
      </c>
      <c r="C977" s="5" t="s">
        <v>1214</v>
      </c>
      <c r="D977" s="7">
        <v>1.0</v>
      </c>
      <c r="E977" s="6">
        <v>46018.46875</v>
      </c>
      <c r="F977" s="5" t="s">
        <v>1221</v>
      </c>
    </row>
    <row r="978">
      <c r="A978" s="5">
        <v>9.811725515E9</v>
      </c>
      <c r="B978" s="5" t="s">
        <v>982</v>
      </c>
      <c r="C978" s="5" t="s">
        <v>1213</v>
      </c>
      <c r="D978" s="7">
        <v>1.0</v>
      </c>
      <c r="E978" s="6">
        <v>46018.46875</v>
      </c>
      <c r="F978" s="5" t="s">
        <v>1221</v>
      </c>
    </row>
    <row r="979">
      <c r="A979" s="5">
        <v>9.873313132E9</v>
      </c>
      <c r="B979" s="5" t="s">
        <v>983</v>
      </c>
      <c r="C979" s="5" t="s">
        <v>1214</v>
      </c>
      <c r="D979" s="7">
        <v>1.0</v>
      </c>
      <c r="E979" s="6">
        <v>46018.46875</v>
      </c>
      <c r="F979" s="5" t="s">
        <v>1221</v>
      </c>
    </row>
    <row r="980">
      <c r="A980" s="5">
        <v>9.71838553E9</v>
      </c>
      <c r="B980" s="5" t="s">
        <v>984</v>
      </c>
      <c r="C980" s="5" t="s">
        <v>1214</v>
      </c>
      <c r="D980" s="7">
        <v>1.0</v>
      </c>
      <c r="E980" s="6">
        <v>46018.46875</v>
      </c>
      <c r="F980" s="5" t="s">
        <v>1221</v>
      </c>
    </row>
    <row r="981">
      <c r="A981" s="5">
        <v>9.811675741E9</v>
      </c>
      <c r="B981" s="5" t="s">
        <v>322</v>
      </c>
      <c r="C981" s="5" t="s">
        <v>1213</v>
      </c>
      <c r="D981" s="7">
        <v>1.0</v>
      </c>
      <c r="E981" s="6">
        <v>46018.46875</v>
      </c>
      <c r="F981" s="5" t="s">
        <v>1221</v>
      </c>
    </row>
    <row r="982">
      <c r="A982" s="5">
        <v>9.266985894E9</v>
      </c>
      <c r="B982" s="5" t="s">
        <v>305</v>
      </c>
      <c r="C982" s="5" t="s">
        <v>1214</v>
      </c>
      <c r="D982" s="7">
        <v>1.0</v>
      </c>
      <c r="E982" s="6">
        <v>46018.46875</v>
      </c>
      <c r="F982" s="5" t="s">
        <v>1221</v>
      </c>
    </row>
    <row r="983">
      <c r="A983" s="5">
        <v>9.999481786E9</v>
      </c>
      <c r="B983" s="5" t="s">
        <v>323</v>
      </c>
      <c r="C983" s="5" t="s">
        <v>1213</v>
      </c>
      <c r="D983" s="7">
        <v>1.0</v>
      </c>
      <c r="E983" s="6">
        <v>46018.46875</v>
      </c>
      <c r="F983" s="5" t="s">
        <v>1221</v>
      </c>
    </row>
    <row r="984">
      <c r="A984" s="5">
        <v>9.312248882E9</v>
      </c>
      <c r="B984" s="5" t="s">
        <v>985</v>
      </c>
      <c r="C984" s="5" t="s">
        <v>1214</v>
      </c>
      <c r="D984" s="7">
        <v>1.0</v>
      </c>
      <c r="E984" s="6">
        <v>46018.46875</v>
      </c>
      <c r="F984" s="5" t="s">
        <v>1221</v>
      </c>
    </row>
    <row r="985">
      <c r="A985" s="5">
        <v>9.818997528E9</v>
      </c>
      <c r="B985" s="5" t="s">
        <v>986</v>
      </c>
      <c r="C985" s="5" t="s">
        <v>1213</v>
      </c>
      <c r="D985" s="7">
        <v>1.0</v>
      </c>
      <c r="E985" s="6">
        <v>46018.46875</v>
      </c>
      <c r="F985" s="5" t="s">
        <v>1221</v>
      </c>
    </row>
    <row r="986">
      <c r="A986" s="5">
        <v>9.568339368E9</v>
      </c>
      <c r="B986" s="5" t="s">
        <v>987</v>
      </c>
      <c r="C986" s="5" t="s">
        <v>1214</v>
      </c>
      <c r="D986" s="7">
        <v>1.0</v>
      </c>
      <c r="E986" s="6">
        <v>46018.46875</v>
      </c>
      <c r="F986" s="5" t="s">
        <v>1221</v>
      </c>
    </row>
    <row r="987">
      <c r="A987" s="5">
        <v>9.599444787E9</v>
      </c>
      <c r="B987" s="5" t="s">
        <v>988</v>
      </c>
      <c r="C987" s="5" t="s">
        <v>1213</v>
      </c>
      <c r="D987" s="7">
        <v>1.0</v>
      </c>
      <c r="E987" s="6">
        <v>46018.46875</v>
      </c>
      <c r="F987" s="5" t="s">
        <v>1221</v>
      </c>
    </row>
    <row r="988">
      <c r="A988" s="5">
        <v>9.2110257E9</v>
      </c>
      <c r="B988" s="5" t="s">
        <v>989</v>
      </c>
      <c r="C988" s="5" t="s">
        <v>1214</v>
      </c>
      <c r="D988" s="7">
        <v>1.0</v>
      </c>
      <c r="E988" s="6">
        <v>46018.46875</v>
      </c>
      <c r="F988" s="5" t="s">
        <v>1221</v>
      </c>
    </row>
    <row r="989">
      <c r="A989" s="5">
        <v>9.30989671E9</v>
      </c>
      <c r="B989" s="5" t="s">
        <v>990</v>
      </c>
      <c r="C989" s="5" t="s">
        <v>1213</v>
      </c>
      <c r="D989" s="7">
        <v>1.0</v>
      </c>
      <c r="E989" s="6">
        <v>46018.46875</v>
      </c>
      <c r="F989" s="5" t="s">
        <v>1221</v>
      </c>
    </row>
    <row r="990">
      <c r="A990" s="5">
        <v>9.958443938E9</v>
      </c>
      <c r="B990" s="5" t="s">
        <v>991</v>
      </c>
      <c r="C990" s="5" t="s">
        <v>1214</v>
      </c>
      <c r="D990" s="7">
        <v>1.0</v>
      </c>
      <c r="E990" s="6">
        <v>46018.46875</v>
      </c>
      <c r="F990" s="5" t="s">
        <v>1221</v>
      </c>
    </row>
    <row r="991">
      <c r="A991" s="5">
        <v>9.871122833E9</v>
      </c>
      <c r="B991" s="5" t="s">
        <v>992</v>
      </c>
      <c r="C991" s="5" t="s">
        <v>1214</v>
      </c>
      <c r="D991" s="7">
        <v>1.0</v>
      </c>
      <c r="E991" s="6">
        <v>46018.46875</v>
      </c>
      <c r="F991" s="5" t="s">
        <v>1221</v>
      </c>
    </row>
    <row r="992">
      <c r="A992" s="5">
        <v>9.8730251E9</v>
      </c>
      <c r="B992" s="5" t="s">
        <v>993</v>
      </c>
      <c r="C992" s="5" t="s">
        <v>1213</v>
      </c>
      <c r="D992" s="7">
        <v>1.0</v>
      </c>
      <c r="E992" s="6">
        <v>46018.46875</v>
      </c>
      <c r="F992" s="5" t="s">
        <v>1221</v>
      </c>
    </row>
    <row r="993">
      <c r="A993" s="5">
        <v>8.076374848E9</v>
      </c>
      <c r="B993" s="5" t="s">
        <v>325</v>
      </c>
      <c r="C993" s="5" t="s">
        <v>1213</v>
      </c>
      <c r="D993" s="7">
        <v>1.0</v>
      </c>
      <c r="E993" s="6">
        <v>46018.46875</v>
      </c>
      <c r="F993" s="5" t="s">
        <v>1221</v>
      </c>
    </row>
    <row r="994">
      <c r="A994" s="5">
        <v>9.868409966E9</v>
      </c>
      <c r="B994" s="5" t="s">
        <v>994</v>
      </c>
      <c r="C994" s="5" t="s">
        <v>1213</v>
      </c>
      <c r="D994" s="7">
        <v>1.0</v>
      </c>
      <c r="E994" s="6">
        <v>46018.46875</v>
      </c>
      <c r="F994" s="5" t="s">
        <v>1221</v>
      </c>
    </row>
    <row r="995">
      <c r="A995" s="5">
        <v>7.827230212E9</v>
      </c>
      <c r="B995" s="5" t="s">
        <v>995</v>
      </c>
      <c r="C995" s="5" t="s">
        <v>1214</v>
      </c>
      <c r="D995" s="7">
        <v>1.0</v>
      </c>
      <c r="E995" s="6">
        <v>46018.46875</v>
      </c>
      <c r="F995" s="5" t="s">
        <v>1221</v>
      </c>
    </row>
    <row r="996">
      <c r="A996" s="5">
        <v>7.827574738E9</v>
      </c>
      <c r="B996" s="5" t="s">
        <v>996</v>
      </c>
      <c r="C996" s="5" t="s">
        <v>1214</v>
      </c>
      <c r="D996" s="7">
        <v>1.0</v>
      </c>
      <c r="E996" s="6">
        <v>46018.46875</v>
      </c>
      <c r="F996" s="5" t="s">
        <v>1221</v>
      </c>
    </row>
    <row r="997">
      <c r="A997" s="5">
        <v>9.953994467E9</v>
      </c>
      <c r="B997" s="5" t="s">
        <v>997</v>
      </c>
      <c r="C997" s="5" t="s">
        <v>1214</v>
      </c>
      <c r="D997" s="7">
        <v>1.0</v>
      </c>
      <c r="E997" s="6">
        <v>46018.46875</v>
      </c>
      <c r="F997" s="5" t="s">
        <v>1221</v>
      </c>
    </row>
    <row r="998">
      <c r="A998" s="5">
        <v>9.911706427E9</v>
      </c>
      <c r="B998" s="5" t="s">
        <v>998</v>
      </c>
      <c r="C998" s="5" t="s">
        <v>1214</v>
      </c>
      <c r="D998" s="7">
        <v>1.0</v>
      </c>
      <c r="E998" s="6">
        <v>46018.46875</v>
      </c>
      <c r="F998" s="5" t="s">
        <v>1221</v>
      </c>
    </row>
    <row r="999">
      <c r="A999" s="5">
        <v>9.71875819E9</v>
      </c>
      <c r="B999" s="5" t="s">
        <v>999</v>
      </c>
      <c r="C999" s="5" t="s">
        <v>1213</v>
      </c>
      <c r="D999" s="7">
        <v>1.0</v>
      </c>
      <c r="E999" s="6">
        <v>46018.46875</v>
      </c>
      <c r="F999" s="5" t="s">
        <v>1221</v>
      </c>
    </row>
    <row r="1000">
      <c r="A1000" s="5">
        <v>9.840476111E9</v>
      </c>
      <c r="B1000" s="5" t="s">
        <v>1000</v>
      </c>
      <c r="C1000" s="5" t="s">
        <v>1213</v>
      </c>
      <c r="D1000" s="7">
        <v>1.0</v>
      </c>
      <c r="E1000" s="6">
        <v>46018.46875</v>
      </c>
      <c r="F1000" s="5" t="s">
        <v>1221</v>
      </c>
    </row>
    <row r="1001">
      <c r="A1001" s="5">
        <v>9.873903756E9</v>
      </c>
      <c r="B1001" s="5" t="s">
        <v>327</v>
      </c>
      <c r="C1001" s="5" t="s">
        <v>1213</v>
      </c>
      <c r="D1001" s="7">
        <v>1.0</v>
      </c>
      <c r="E1001" s="6">
        <v>46018.46875</v>
      </c>
      <c r="F1001" s="5" t="s">
        <v>1221</v>
      </c>
    </row>
    <row r="1002">
      <c r="A1002" s="5">
        <v>9.625808328E9</v>
      </c>
      <c r="B1002" s="5" t="s">
        <v>1001</v>
      </c>
      <c r="C1002" s="5" t="s">
        <v>1214</v>
      </c>
      <c r="D1002" s="7">
        <v>1.0</v>
      </c>
      <c r="E1002" s="6">
        <v>46018.46875</v>
      </c>
      <c r="F1002" s="5" t="s">
        <v>1221</v>
      </c>
    </row>
    <row r="1003">
      <c r="A1003" s="5">
        <v>9.6432393E9</v>
      </c>
      <c r="B1003" s="5" t="s">
        <v>1002</v>
      </c>
      <c r="C1003" s="5" t="s">
        <v>1214</v>
      </c>
      <c r="D1003" s="7">
        <v>1.0</v>
      </c>
      <c r="E1003" s="6">
        <v>46018.46875</v>
      </c>
      <c r="F1003" s="5" t="s">
        <v>1221</v>
      </c>
    </row>
    <row r="1004">
      <c r="A1004" s="5">
        <v>7.827312752E9</v>
      </c>
      <c r="B1004" s="5" t="s">
        <v>1003</v>
      </c>
      <c r="C1004" s="5" t="s">
        <v>1214</v>
      </c>
      <c r="D1004" s="7">
        <v>1.0</v>
      </c>
      <c r="E1004" s="6">
        <v>46018.46875</v>
      </c>
      <c r="F1004" s="5" t="s">
        <v>1221</v>
      </c>
    </row>
    <row r="1005">
      <c r="A1005" s="5">
        <v>9.818267218E9</v>
      </c>
      <c r="B1005" s="5" t="s">
        <v>1004</v>
      </c>
      <c r="C1005" s="5" t="s">
        <v>1214</v>
      </c>
      <c r="D1005" s="7">
        <v>1.0</v>
      </c>
      <c r="E1005" s="6">
        <v>46018.46875</v>
      </c>
      <c r="F1005" s="5" t="s">
        <v>1221</v>
      </c>
    </row>
    <row r="1006">
      <c r="A1006" s="5">
        <v>8.860980806E9</v>
      </c>
      <c r="B1006" s="5" t="s">
        <v>329</v>
      </c>
      <c r="C1006" s="5" t="s">
        <v>1213</v>
      </c>
      <c r="D1006" s="7">
        <v>1.0</v>
      </c>
      <c r="E1006" s="6">
        <v>46018.46875</v>
      </c>
      <c r="F1006" s="5" t="s">
        <v>1221</v>
      </c>
    </row>
    <row r="1007">
      <c r="A1007" s="5">
        <v>8.527616025E9</v>
      </c>
      <c r="B1007" s="5" t="s">
        <v>330</v>
      </c>
      <c r="C1007" s="5" t="s">
        <v>1213</v>
      </c>
      <c r="D1007" s="7">
        <v>1.0</v>
      </c>
      <c r="E1007" s="6">
        <v>46018.46875</v>
      </c>
      <c r="F1007" s="5" t="s">
        <v>1221</v>
      </c>
    </row>
    <row r="1008">
      <c r="A1008" s="5">
        <v>9.716946645E9</v>
      </c>
      <c r="B1008" s="5" t="s">
        <v>1005</v>
      </c>
      <c r="C1008" s="5" t="s">
        <v>1214</v>
      </c>
      <c r="D1008" s="7">
        <v>1.0</v>
      </c>
      <c r="E1008" s="6">
        <v>46018.46875</v>
      </c>
      <c r="F1008" s="5" t="s">
        <v>1221</v>
      </c>
    </row>
    <row r="1009">
      <c r="A1009" s="5">
        <v>9.953937777E9</v>
      </c>
      <c r="B1009" s="5" t="s">
        <v>331</v>
      </c>
      <c r="C1009" s="5" t="s">
        <v>1213</v>
      </c>
      <c r="D1009" s="7">
        <v>1.0</v>
      </c>
      <c r="E1009" s="6">
        <v>46018.46875</v>
      </c>
      <c r="F1009" s="5" t="s">
        <v>1221</v>
      </c>
    </row>
    <row r="1010">
      <c r="A1010" s="5">
        <v>7.993399128E9</v>
      </c>
      <c r="B1010" s="5" t="s">
        <v>1006</v>
      </c>
      <c r="C1010" s="5" t="s">
        <v>1213</v>
      </c>
      <c r="D1010" s="7">
        <v>1.0</v>
      </c>
      <c r="E1010" s="6">
        <v>46018.46875</v>
      </c>
      <c r="F1010" s="5" t="s">
        <v>1221</v>
      </c>
    </row>
    <row r="1011">
      <c r="A1011" s="5">
        <v>9.414250475E9</v>
      </c>
      <c r="B1011" s="5" t="s">
        <v>1007</v>
      </c>
      <c r="C1011" s="5" t="s">
        <v>1214</v>
      </c>
      <c r="D1011" s="7">
        <v>1.0</v>
      </c>
      <c r="E1011" s="6">
        <v>46018.46875</v>
      </c>
      <c r="F1011" s="5" t="s">
        <v>1221</v>
      </c>
    </row>
    <row r="1012">
      <c r="A1012" s="5">
        <v>9.419293588E9</v>
      </c>
      <c r="B1012" s="5" t="s">
        <v>1008</v>
      </c>
      <c r="C1012" s="5" t="s">
        <v>1214</v>
      </c>
      <c r="D1012" s="7">
        <v>1.0</v>
      </c>
      <c r="E1012" s="6">
        <v>46018.46875</v>
      </c>
      <c r="F1012" s="5" t="s">
        <v>1221</v>
      </c>
    </row>
    <row r="1013">
      <c r="A1013" s="5">
        <v>9.716946645E9</v>
      </c>
      <c r="B1013" s="5" t="s">
        <v>1005</v>
      </c>
      <c r="C1013" s="5" t="s">
        <v>1213</v>
      </c>
      <c r="D1013" s="7">
        <v>1.0</v>
      </c>
      <c r="E1013" s="6">
        <v>46018.46875</v>
      </c>
      <c r="F1013" s="5" t="s">
        <v>1221</v>
      </c>
    </row>
    <row r="1014">
      <c r="A1014" s="5">
        <v>8.920763366E9</v>
      </c>
      <c r="B1014" s="5" t="s">
        <v>1009</v>
      </c>
      <c r="C1014" s="5" t="s">
        <v>1213</v>
      </c>
      <c r="D1014" s="7">
        <v>1.0</v>
      </c>
      <c r="E1014" s="6">
        <v>46018.46875</v>
      </c>
      <c r="F1014" s="5" t="s">
        <v>1221</v>
      </c>
    </row>
    <row r="1015">
      <c r="A1015" s="5">
        <v>9.711411929E9</v>
      </c>
      <c r="B1015" s="5" t="s">
        <v>1010</v>
      </c>
      <c r="C1015" s="5" t="s">
        <v>1213</v>
      </c>
      <c r="D1015" s="7">
        <v>1.0</v>
      </c>
      <c r="E1015" s="6">
        <v>46018.46875</v>
      </c>
      <c r="F1015" s="5" t="s">
        <v>1221</v>
      </c>
    </row>
    <row r="1016">
      <c r="A1016" s="5">
        <v>9.654288686E9</v>
      </c>
      <c r="B1016" s="5" t="s">
        <v>1011</v>
      </c>
      <c r="C1016" s="5" t="s">
        <v>1214</v>
      </c>
      <c r="D1016" s="7">
        <v>1.0</v>
      </c>
      <c r="E1016" s="6">
        <v>46018.46875</v>
      </c>
      <c r="F1016" s="5" t="s">
        <v>1221</v>
      </c>
    </row>
    <row r="1017">
      <c r="A1017" s="5">
        <v>9.810552571E9</v>
      </c>
      <c r="B1017" s="5" t="s">
        <v>1012</v>
      </c>
      <c r="C1017" s="5" t="s">
        <v>1213</v>
      </c>
      <c r="D1017" s="7">
        <v>1.0</v>
      </c>
      <c r="E1017" s="6">
        <v>46018.46875</v>
      </c>
      <c r="F1017" s="5" t="s">
        <v>1221</v>
      </c>
    </row>
    <row r="1018">
      <c r="A1018" s="5">
        <v>9.310223776E9</v>
      </c>
      <c r="B1018" s="5" t="s">
        <v>1013</v>
      </c>
      <c r="C1018" s="5" t="s">
        <v>1213</v>
      </c>
      <c r="D1018" s="7">
        <v>1.0</v>
      </c>
      <c r="E1018" s="6">
        <v>46018.46875</v>
      </c>
      <c r="F1018" s="5" t="s">
        <v>1221</v>
      </c>
    </row>
    <row r="1019">
      <c r="A1019" s="5">
        <v>9.4151457E9</v>
      </c>
      <c r="B1019" s="5" t="s">
        <v>1014</v>
      </c>
      <c r="C1019" s="5" t="s">
        <v>1216</v>
      </c>
      <c r="D1019" s="7">
        <v>1.0</v>
      </c>
      <c r="E1019" s="6">
        <v>46018.46875</v>
      </c>
      <c r="F1019" s="5" t="s">
        <v>1221</v>
      </c>
    </row>
    <row r="1020">
      <c r="A1020" s="5">
        <v>8.800319246E9</v>
      </c>
      <c r="B1020" s="5" t="s">
        <v>1015</v>
      </c>
      <c r="C1020" s="5" t="s">
        <v>1216</v>
      </c>
      <c r="D1020" s="7">
        <v>1.0</v>
      </c>
      <c r="E1020" s="6">
        <v>46018.46875</v>
      </c>
      <c r="F1020" s="5" t="s">
        <v>1221</v>
      </c>
    </row>
    <row r="1021">
      <c r="A1021" s="5">
        <v>8.70039129E9</v>
      </c>
      <c r="B1021" s="5" t="s">
        <v>951</v>
      </c>
      <c r="C1021" s="5" t="s">
        <v>1216</v>
      </c>
      <c r="D1021" s="7">
        <v>1.0</v>
      </c>
      <c r="E1021" s="6">
        <v>46018.46875</v>
      </c>
      <c r="F1021" s="5" t="s">
        <v>1221</v>
      </c>
    </row>
    <row r="1022">
      <c r="A1022" s="5">
        <v>9.968016155E9</v>
      </c>
      <c r="B1022" s="5" t="s">
        <v>1016</v>
      </c>
      <c r="C1022" s="5" t="s">
        <v>1216</v>
      </c>
      <c r="D1022" s="7">
        <v>1.0</v>
      </c>
      <c r="E1022" s="6">
        <v>46018.46875</v>
      </c>
      <c r="F1022" s="5" t="s">
        <v>1221</v>
      </c>
    </row>
    <row r="1023">
      <c r="A1023" s="5">
        <v>9.899699432E9</v>
      </c>
      <c r="B1023" s="5" t="s">
        <v>1017</v>
      </c>
      <c r="C1023" s="5" t="s">
        <v>1216</v>
      </c>
      <c r="D1023" s="7">
        <v>1.0</v>
      </c>
      <c r="E1023" s="6">
        <v>46018.46875</v>
      </c>
      <c r="F1023" s="5" t="s">
        <v>1221</v>
      </c>
    </row>
    <row r="1024">
      <c r="A1024" s="5">
        <v>9.999949301E9</v>
      </c>
      <c r="B1024" s="5" t="s">
        <v>1018</v>
      </c>
      <c r="C1024" s="5" t="s">
        <v>1216</v>
      </c>
      <c r="D1024" s="7">
        <v>1.0</v>
      </c>
      <c r="E1024" s="6">
        <v>46018.46875</v>
      </c>
      <c r="F1024" s="5" t="s">
        <v>1221</v>
      </c>
    </row>
    <row r="1025">
      <c r="A1025" s="5">
        <v>9.310083603E9</v>
      </c>
      <c r="B1025" s="5" t="s">
        <v>1019</v>
      </c>
      <c r="C1025" s="5" t="s">
        <v>1216</v>
      </c>
      <c r="D1025" s="7">
        <v>1.0</v>
      </c>
      <c r="E1025" s="6">
        <v>46018.46875</v>
      </c>
      <c r="F1025" s="5" t="s">
        <v>1221</v>
      </c>
    </row>
    <row r="1026">
      <c r="A1026" s="5">
        <v>9.131080175E9</v>
      </c>
      <c r="B1026" s="5" t="s">
        <v>1020</v>
      </c>
      <c r="C1026" s="5" t="s">
        <v>1213</v>
      </c>
      <c r="D1026" s="7">
        <v>1.0</v>
      </c>
      <c r="E1026" s="6">
        <v>46018.46875</v>
      </c>
      <c r="F1026" s="5" t="s">
        <v>1221</v>
      </c>
    </row>
    <row r="1027">
      <c r="A1027" s="5">
        <v>6.305440302E9</v>
      </c>
      <c r="B1027" s="5" t="s">
        <v>1021</v>
      </c>
      <c r="C1027" s="5" t="s">
        <v>1216</v>
      </c>
      <c r="D1027" s="7">
        <v>1.0</v>
      </c>
      <c r="E1027" s="6">
        <v>46018.46875</v>
      </c>
      <c r="F1027" s="5" t="s">
        <v>1221</v>
      </c>
    </row>
    <row r="1028">
      <c r="A1028" s="5">
        <v>8.708014248E9</v>
      </c>
      <c r="B1028" s="5" t="s">
        <v>1325</v>
      </c>
      <c r="C1028" s="5" t="s">
        <v>1216</v>
      </c>
      <c r="D1028" s="7">
        <v>1.0</v>
      </c>
      <c r="E1028" s="6">
        <v>46018.46875</v>
      </c>
      <c r="F1028" s="5" t="s">
        <v>1221</v>
      </c>
    </row>
    <row r="1029">
      <c r="A1029" s="5">
        <v>9.871064699E9</v>
      </c>
      <c r="B1029" s="5" t="s">
        <v>1326</v>
      </c>
      <c r="C1029" s="5" t="s">
        <v>1213</v>
      </c>
      <c r="D1029" s="7">
        <v>1.0</v>
      </c>
      <c r="E1029" s="6">
        <v>46018.46875</v>
      </c>
      <c r="F1029" s="5" t="s">
        <v>1221</v>
      </c>
    </row>
    <row r="1030">
      <c r="A1030" s="5">
        <v>9.810746578E9</v>
      </c>
      <c r="B1030" s="5" t="s">
        <v>1024</v>
      </c>
      <c r="C1030" s="5" t="s">
        <v>1213</v>
      </c>
      <c r="D1030" s="7">
        <v>1.0</v>
      </c>
      <c r="E1030" s="6">
        <v>46018.46875</v>
      </c>
      <c r="F1030" s="5" t="s">
        <v>1221</v>
      </c>
    </row>
    <row r="1031">
      <c r="A1031" s="5">
        <v>8.459174388E9</v>
      </c>
      <c r="B1031" s="5" t="s">
        <v>1025</v>
      </c>
      <c r="C1031" s="5" t="s">
        <v>1213</v>
      </c>
      <c r="D1031" s="7">
        <v>1.0</v>
      </c>
      <c r="E1031" s="6">
        <v>46018.46875</v>
      </c>
      <c r="F1031" s="5" t="s">
        <v>1221</v>
      </c>
    </row>
    <row r="1032">
      <c r="A1032" s="5">
        <v>9.811159032E9</v>
      </c>
      <c r="B1032" s="5" t="s">
        <v>1327</v>
      </c>
      <c r="C1032" s="5" t="s">
        <v>1216</v>
      </c>
      <c r="D1032" s="7">
        <v>1.0</v>
      </c>
      <c r="E1032" s="6">
        <v>46018.46875</v>
      </c>
      <c r="F1032" s="5" t="s">
        <v>1221</v>
      </c>
    </row>
    <row r="1033">
      <c r="A1033" s="5">
        <v>8.756200282E9</v>
      </c>
      <c r="B1033" s="5" t="s">
        <v>1027</v>
      </c>
      <c r="C1033" s="5" t="s">
        <v>1213</v>
      </c>
      <c r="D1033" s="7">
        <v>1.0</v>
      </c>
      <c r="E1033" s="6">
        <v>46018.46875</v>
      </c>
      <c r="F1033" s="5" t="s">
        <v>1221</v>
      </c>
    </row>
    <row r="1034">
      <c r="A1034" s="5">
        <v>9.810104562E9</v>
      </c>
      <c r="B1034" s="5" t="s">
        <v>1028</v>
      </c>
      <c r="C1034" s="5" t="s">
        <v>1213</v>
      </c>
      <c r="D1034" s="7">
        <v>1.0</v>
      </c>
      <c r="E1034" s="6">
        <v>46018.46875</v>
      </c>
      <c r="F1034" s="5" t="s">
        <v>1221</v>
      </c>
    </row>
    <row r="1035">
      <c r="A1035" s="5">
        <v>9.250873439E9</v>
      </c>
      <c r="B1035" s="5" t="s">
        <v>1029</v>
      </c>
      <c r="C1035" s="5" t="s">
        <v>1216</v>
      </c>
      <c r="D1035" s="7">
        <v>1.0</v>
      </c>
      <c r="E1035" s="6">
        <v>46018.46875</v>
      </c>
      <c r="F1035" s="5" t="s">
        <v>1221</v>
      </c>
    </row>
    <row r="1036">
      <c r="A1036" s="5">
        <v>9.91095025E9</v>
      </c>
      <c r="B1036" s="5" t="s">
        <v>1328</v>
      </c>
      <c r="C1036" s="5" t="s">
        <v>1213</v>
      </c>
      <c r="D1036" s="7">
        <v>1.0</v>
      </c>
      <c r="E1036" s="6">
        <v>46018.46875</v>
      </c>
      <c r="F1036" s="5" t="s">
        <v>1221</v>
      </c>
    </row>
    <row r="1037">
      <c r="A1037" s="5">
        <v>8.700142855E9</v>
      </c>
      <c r="B1037" s="5" t="s">
        <v>1031</v>
      </c>
      <c r="C1037" s="5" t="s">
        <v>1216</v>
      </c>
      <c r="D1037" s="7">
        <v>1.0</v>
      </c>
      <c r="E1037" s="6">
        <v>46018.46875</v>
      </c>
      <c r="F1037" s="5" t="s">
        <v>1221</v>
      </c>
    </row>
    <row r="1038">
      <c r="A1038" s="5">
        <v>9.996042652E9</v>
      </c>
      <c r="B1038" s="5" t="s">
        <v>957</v>
      </c>
      <c r="C1038" s="5" t="s">
        <v>1216</v>
      </c>
      <c r="D1038" s="7">
        <v>1.0</v>
      </c>
      <c r="E1038" s="6">
        <v>46018.46875</v>
      </c>
      <c r="F1038" s="5" t="s">
        <v>1221</v>
      </c>
    </row>
    <row r="1039">
      <c r="A1039" s="5">
        <v>9.996042652E9</v>
      </c>
      <c r="B1039" s="5" t="s">
        <v>957</v>
      </c>
      <c r="C1039" s="5" t="s">
        <v>1213</v>
      </c>
      <c r="D1039" s="7">
        <v>1.0</v>
      </c>
      <c r="E1039" s="6">
        <v>46018.46875</v>
      </c>
      <c r="F1039" s="5" t="s">
        <v>1221</v>
      </c>
    </row>
    <row r="1040">
      <c r="A1040" s="5">
        <v>9.999675569E9</v>
      </c>
      <c r="B1040" s="5" t="s">
        <v>1032</v>
      </c>
      <c r="C1040" s="5" t="s">
        <v>1213</v>
      </c>
      <c r="D1040" s="7">
        <v>1.0</v>
      </c>
      <c r="E1040" s="6">
        <v>46018.46875</v>
      </c>
      <c r="F1040" s="5" t="s">
        <v>1221</v>
      </c>
    </row>
    <row r="1041">
      <c r="A1041" s="5">
        <v>9.99994563E9</v>
      </c>
      <c r="B1041" s="5" t="s">
        <v>1033</v>
      </c>
      <c r="C1041" s="5" t="s">
        <v>1213</v>
      </c>
      <c r="D1041" s="7">
        <v>1.0</v>
      </c>
      <c r="E1041" s="6">
        <v>46018.46875</v>
      </c>
      <c r="F1041" s="5" t="s">
        <v>1221</v>
      </c>
    </row>
    <row r="1042">
      <c r="A1042" s="5">
        <v>9.266041377E9</v>
      </c>
      <c r="B1042" s="5" t="s">
        <v>1034</v>
      </c>
      <c r="C1042" s="5" t="s">
        <v>1216</v>
      </c>
      <c r="D1042" s="7">
        <v>1.0</v>
      </c>
      <c r="E1042" s="6">
        <v>46018.46875</v>
      </c>
      <c r="F1042" s="5" t="s">
        <v>1221</v>
      </c>
    </row>
    <row r="1043">
      <c r="A1043" s="5">
        <v>9.810100011E9</v>
      </c>
      <c r="B1043" s="5" t="s">
        <v>332</v>
      </c>
      <c r="C1043" s="5" t="s">
        <v>1213</v>
      </c>
      <c r="D1043" s="7">
        <v>1.0</v>
      </c>
      <c r="E1043" s="6">
        <v>46018.46875</v>
      </c>
      <c r="F1043" s="5" t="s">
        <v>1221</v>
      </c>
    </row>
    <row r="1044">
      <c r="A1044" s="5">
        <v>7.065555029E9</v>
      </c>
      <c r="B1044" s="5" t="s">
        <v>1035</v>
      </c>
      <c r="C1044" s="5" t="s">
        <v>1216</v>
      </c>
      <c r="D1044" s="7">
        <v>1.0</v>
      </c>
      <c r="E1044" s="6">
        <v>46018.46875</v>
      </c>
      <c r="F1044" s="5" t="s">
        <v>1221</v>
      </c>
    </row>
    <row r="1045">
      <c r="A1045" s="5">
        <v>9.899383939E9</v>
      </c>
      <c r="B1045" s="5" t="s">
        <v>333</v>
      </c>
      <c r="C1045" s="5" t="s">
        <v>1213</v>
      </c>
      <c r="D1045" s="7">
        <v>1.0</v>
      </c>
      <c r="E1045" s="6">
        <v>46018.46875</v>
      </c>
      <c r="F1045" s="5" t="s">
        <v>1221</v>
      </c>
    </row>
    <row r="1046">
      <c r="A1046" s="5">
        <v>9.953308666E9</v>
      </c>
      <c r="B1046" s="5" t="s">
        <v>1036</v>
      </c>
      <c r="C1046" s="5" t="s">
        <v>1213</v>
      </c>
      <c r="D1046" s="7">
        <v>1.0</v>
      </c>
      <c r="E1046" s="6">
        <v>46018.46875</v>
      </c>
      <c r="F1046" s="5" t="s">
        <v>1221</v>
      </c>
    </row>
    <row r="1047">
      <c r="A1047" s="5">
        <v>9.87195766E9</v>
      </c>
      <c r="B1047" s="5" t="s">
        <v>334</v>
      </c>
      <c r="C1047" s="5" t="s">
        <v>1213</v>
      </c>
      <c r="D1047" s="7">
        <v>1.0</v>
      </c>
      <c r="E1047" s="6">
        <v>46018.46875</v>
      </c>
      <c r="F1047" s="5" t="s">
        <v>1221</v>
      </c>
    </row>
    <row r="1048">
      <c r="A1048" s="5">
        <v>9.811441464E9</v>
      </c>
      <c r="B1048" s="5" t="s">
        <v>1329</v>
      </c>
      <c r="C1048" s="5" t="s">
        <v>1213</v>
      </c>
      <c r="D1048" s="7">
        <v>1.0</v>
      </c>
      <c r="E1048" s="6">
        <v>46018.46875</v>
      </c>
      <c r="F1048" s="5" t="s">
        <v>1221</v>
      </c>
    </row>
    <row r="1049">
      <c r="A1049" s="5">
        <v>9.911002648E9</v>
      </c>
      <c r="B1049" s="5" t="s">
        <v>1038</v>
      </c>
      <c r="C1049" s="5" t="s">
        <v>1216</v>
      </c>
      <c r="D1049" s="7">
        <v>1.0</v>
      </c>
      <c r="E1049" s="6">
        <v>46018.46875</v>
      </c>
      <c r="F1049" s="5" t="s">
        <v>1221</v>
      </c>
    </row>
    <row r="1050">
      <c r="A1050" s="5">
        <v>9.911136081E9</v>
      </c>
      <c r="B1050" s="5" t="s">
        <v>1039</v>
      </c>
      <c r="C1050" s="5" t="s">
        <v>1213</v>
      </c>
      <c r="D1050" s="7">
        <v>1.0</v>
      </c>
      <c r="E1050" s="6">
        <v>46018.46875</v>
      </c>
      <c r="F1050" s="5" t="s">
        <v>1221</v>
      </c>
    </row>
    <row r="1051">
      <c r="A1051" s="5">
        <v>8.920966676E9</v>
      </c>
      <c r="B1051" s="5" t="s">
        <v>1040</v>
      </c>
      <c r="C1051" s="5" t="s">
        <v>1216</v>
      </c>
      <c r="D1051" s="7">
        <v>1.0</v>
      </c>
      <c r="E1051" s="6">
        <v>46018.46875</v>
      </c>
      <c r="F1051" s="5" t="s">
        <v>1221</v>
      </c>
    </row>
    <row r="1052">
      <c r="A1052" s="5">
        <v>8.448834015E9</v>
      </c>
      <c r="B1052" s="5" t="s">
        <v>1041</v>
      </c>
      <c r="C1052" s="5" t="s">
        <v>1216</v>
      </c>
      <c r="D1052" s="7">
        <v>1.0</v>
      </c>
      <c r="E1052" s="6">
        <v>46018.46875</v>
      </c>
      <c r="F1052" s="5" t="s">
        <v>1221</v>
      </c>
    </row>
    <row r="1053">
      <c r="A1053" s="5">
        <v>9.5551882E9</v>
      </c>
      <c r="B1053" s="5" t="s">
        <v>1042</v>
      </c>
      <c r="C1053" s="5" t="s">
        <v>1216</v>
      </c>
      <c r="D1053" s="7">
        <v>1.0</v>
      </c>
      <c r="E1053" s="6">
        <v>46018.46875</v>
      </c>
      <c r="F1053" s="5" t="s">
        <v>1221</v>
      </c>
    </row>
    <row r="1054">
      <c r="A1054" s="5">
        <v>7.985310225E9</v>
      </c>
      <c r="B1054" s="5" t="s">
        <v>1043</v>
      </c>
      <c r="C1054" s="5" t="s">
        <v>1213</v>
      </c>
      <c r="D1054" s="7">
        <v>1.0</v>
      </c>
      <c r="E1054" s="6">
        <v>46018.46875</v>
      </c>
      <c r="F1054" s="5" t="s">
        <v>1221</v>
      </c>
    </row>
    <row r="1055">
      <c r="A1055" s="5">
        <v>9.958059151E9</v>
      </c>
      <c r="B1055" s="5" t="s">
        <v>1044</v>
      </c>
      <c r="C1055" s="5" t="s">
        <v>1213</v>
      </c>
      <c r="D1055" s="7">
        <v>1.0</v>
      </c>
      <c r="E1055" s="6">
        <v>46018.46875</v>
      </c>
      <c r="F1055" s="5" t="s">
        <v>1221</v>
      </c>
    </row>
    <row r="1056">
      <c r="A1056" s="5">
        <v>8.586813226E9</v>
      </c>
      <c r="B1056" s="5" t="s">
        <v>1045</v>
      </c>
      <c r="C1056" s="5" t="s">
        <v>1213</v>
      </c>
      <c r="D1056" s="7">
        <v>1.0</v>
      </c>
      <c r="E1056" s="6">
        <v>46018.46875</v>
      </c>
      <c r="F1056" s="5" t="s">
        <v>1221</v>
      </c>
    </row>
    <row r="1057">
      <c r="A1057" s="5">
        <v>9.891715745E9</v>
      </c>
      <c r="B1057" s="5" t="s">
        <v>1046</v>
      </c>
      <c r="C1057" s="5" t="s">
        <v>1216</v>
      </c>
      <c r="D1057" s="7">
        <v>1.0</v>
      </c>
      <c r="E1057" s="6">
        <v>46018.46875</v>
      </c>
      <c r="F1057" s="5" t="s">
        <v>1221</v>
      </c>
    </row>
    <row r="1058">
      <c r="A1058" s="5">
        <v>9.999103109E9</v>
      </c>
      <c r="B1058" s="5" t="s">
        <v>1047</v>
      </c>
      <c r="C1058" s="5" t="s">
        <v>1216</v>
      </c>
      <c r="D1058" s="7">
        <v>1.0</v>
      </c>
      <c r="E1058" s="6">
        <v>46018.46875</v>
      </c>
      <c r="F1058" s="5" t="s">
        <v>1221</v>
      </c>
    </row>
    <row r="1059">
      <c r="A1059" s="5">
        <v>9.999796925E9</v>
      </c>
      <c r="B1059" s="5" t="s">
        <v>336</v>
      </c>
      <c r="C1059" s="5" t="s">
        <v>1216</v>
      </c>
      <c r="D1059" s="7">
        <v>1.0</v>
      </c>
      <c r="E1059" s="6">
        <v>46018.46875</v>
      </c>
      <c r="F1059" s="5" t="s">
        <v>1221</v>
      </c>
    </row>
    <row r="1060">
      <c r="A1060" s="5">
        <v>9.871282922E9</v>
      </c>
      <c r="B1060" s="5" t="s">
        <v>1048</v>
      </c>
      <c r="C1060" s="5" t="s">
        <v>1216</v>
      </c>
      <c r="D1060" s="7">
        <v>1.0</v>
      </c>
      <c r="E1060" s="6">
        <v>46018.46875</v>
      </c>
      <c r="F1060" s="5" t="s">
        <v>1221</v>
      </c>
    </row>
    <row r="1061">
      <c r="A1061" s="5">
        <v>7.827574738E9</v>
      </c>
      <c r="B1061" s="5" t="s">
        <v>996</v>
      </c>
      <c r="C1061" s="5" t="s">
        <v>1216</v>
      </c>
      <c r="D1061" s="7">
        <v>1.0</v>
      </c>
      <c r="E1061" s="6">
        <v>46018.46875</v>
      </c>
      <c r="F1061" s="5" t="s">
        <v>1221</v>
      </c>
    </row>
    <row r="1062">
      <c r="A1062" s="5">
        <v>9.555152166E9</v>
      </c>
      <c r="B1062" s="5" t="s">
        <v>337</v>
      </c>
      <c r="C1062" s="5" t="s">
        <v>1216</v>
      </c>
      <c r="D1062" s="7">
        <v>1.0</v>
      </c>
      <c r="E1062" s="6">
        <v>46018.46875</v>
      </c>
      <c r="F1062" s="5" t="s">
        <v>1221</v>
      </c>
    </row>
    <row r="1063">
      <c r="A1063" s="5">
        <v>9.871084213E9</v>
      </c>
      <c r="B1063" s="5" t="s">
        <v>1049</v>
      </c>
      <c r="C1063" s="5" t="s">
        <v>1213</v>
      </c>
      <c r="D1063" s="7">
        <v>1.0</v>
      </c>
      <c r="E1063" s="6">
        <v>46018.46875</v>
      </c>
      <c r="F1063" s="5" t="s">
        <v>1221</v>
      </c>
    </row>
    <row r="1064">
      <c r="A1064" s="5">
        <v>8.920524024E9</v>
      </c>
      <c r="B1064" s="5" t="s">
        <v>338</v>
      </c>
      <c r="C1064" s="5" t="s">
        <v>1213</v>
      </c>
      <c r="D1064" s="7">
        <v>1.0</v>
      </c>
      <c r="E1064" s="6">
        <v>46018.46875</v>
      </c>
      <c r="F1064" s="5" t="s">
        <v>1221</v>
      </c>
    </row>
    <row r="1065">
      <c r="A1065" s="5">
        <v>9.9585769E9</v>
      </c>
      <c r="B1065" s="5" t="s">
        <v>1050</v>
      </c>
      <c r="C1065" s="5" t="s">
        <v>1213</v>
      </c>
      <c r="D1065" s="7">
        <v>1.0</v>
      </c>
      <c r="E1065" s="6">
        <v>46018.46875</v>
      </c>
      <c r="F1065" s="5" t="s">
        <v>1221</v>
      </c>
    </row>
    <row r="1066">
      <c r="A1066" s="5">
        <v>9.086000431E9</v>
      </c>
      <c r="B1066" s="5" t="s">
        <v>1051</v>
      </c>
      <c r="C1066" s="5" t="s">
        <v>1213</v>
      </c>
      <c r="D1066" s="7">
        <v>1.0</v>
      </c>
      <c r="E1066" s="6">
        <v>46018.46875</v>
      </c>
      <c r="F1066" s="5" t="s">
        <v>1221</v>
      </c>
    </row>
    <row r="1067">
      <c r="A1067" s="5">
        <v>9.899155525E9</v>
      </c>
      <c r="B1067" s="5" t="s">
        <v>1025</v>
      </c>
      <c r="C1067" s="5" t="s">
        <v>1213</v>
      </c>
      <c r="D1067" s="7">
        <v>1.0</v>
      </c>
      <c r="E1067" s="6">
        <v>46018.46875</v>
      </c>
      <c r="F1067" s="5" t="s">
        <v>1221</v>
      </c>
    </row>
    <row r="1068">
      <c r="A1068" s="5">
        <v>9.885352979E9</v>
      </c>
      <c r="B1068" s="5" t="s">
        <v>1052</v>
      </c>
      <c r="C1068" s="5" t="s">
        <v>1213</v>
      </c>
      <c r="D1068" s="7">
        <v>1.0</v>
      </c>
      <c r="E1068" s="6">
        <v>46018.46875</v>
      </c>
      <c r="F1068" s="5" t="s">
        <v>1221</v>
      </c>
    </row>
    <row r="1069">
      <c r="A1069" s="5">
        <v>8.882799899E9</v>
      </c>
      <c r="B1069" s="5" t="s">
        <v>1053</v>
      </c>
      <c r="C1069" s="5" t="s">
        <v>1216</v>
      </c>
      <c r="D1069" s="7">
        <v>1.0</v>
      </c>
      <c r="E1069" s="6">
        <v>46018.46875</v>
      </c>
      <c r="F1069" s="5" t="s">
        <v>1221</v>
      </c>
    </row>
    <row r="1070">
      <c r="A1070" s="5">
        <v>9.899971113E9</v>
      </c>
      <c r="B1070" s="5" t="s">
        <v>1054</v>
      </c>
      <c r="C1070" s="5" t="s">
        <v>1213</v>
      </c>
      <c r="D1070" s="7">
        <v>1.0</v>
      </c>
      <c r="E1070" s="6">
        <v>46018.46875</v>
      </c>
      <c r="F1070" s="5" t="s">
        <v>1221</v>
      </c>
    </row>
    <row r="1071">
      <c r="A1071" s="5">
        <v>9.910230174E9</v>
      </c>
      <c r="B1071" s="5" t="s">
        <v>1055</v>
      </c>
      <c r="C1071" s="5" t="s">
        <v>1216</v>
      </c>
      <c r="D1071" s="7">
        <v>1.0</v>
      </c>
      <c r="E1071" s="6">
        <v>46018.46875</v>
      </c>
      <c r="F1071" s="5" t="s">
        <v>1221</v>
      </c>
    </row>
    <row r="1072">
      <c r="A1072" s="5">
        <v>9.899322201E9</v>
      </c>
      <c r="B1072" s="5" t="s">
        <v>340</v>
      </c>
      <c r="C1072" s="5" t="s">
        <v>1216</v>
      </c>
      <c r="D1072" s="7">
        <v>1.0</v>
      </c>
      <c r="E1072" s="6">
        <v>46018.46875</v>
      </c>
      <c r="F1072" s="5" t="s">
        <v>1221</v>
      </c>
    </row>
    <row r="1073">
      <c r="A1073" s="5">
        <v>8.010046101E9</v>
      </c>
      <c r="B1073" s="5" t="s">
        <v>341</v>
      </c>
      <c r="C1073" s="5" t="s">
        <v>1216</v>
      </c>
      <c r="D1073" s="7">
        <v>1.0</v>
      </c>
      <c r="E1073" s="6">
        <v>46018.46875</v>
      </c>
      <c r="F1073" s="5" t="s">
        <v>1221</v>
      </c>
    </row>
    <row r="1074">
      <c r="A1074" s="5">
        <v>9.54056787E9</v>
      </c>
      <c r="B1074" s="5" t="s">
        <v>1056</v>
      </c>
      <c r="C1074" s="5" t="s">
        <v>1216</v>
      </c>
      <c r="D1074" s="7">
        <v>1.0</v>
      </c>
      <c r="E1074" s="6">
        <v>46018.46875</v>
      </c>
      <c r="F1074" s="5" t="s">
        <v>1221</v>
      </c>
    </row>
    <row r="1075">
      <c r="A1075" s="5"/>
      <c r="B1075" s="5"/>
      <c r="C1075" s="5"/>
      <c r="D1075" s="7"/>
      <c r="E1075" s="6"/>
      <c r="F1075" s="5"/>
    </row>
    <row r="1076">
      <c r="A1076" s="5">
        <v>9.086000439E9</v>
      </c>
      <c r="B1076" s="5" t="s">
        <v>1059</v>
      </c>
      <c r="C1076" s="5" t="s">
        <v>1213</v>
      </c>
      <c r="D1076" s="7">
        <v>1.0</v>
      </c>
      <c r="E1076" s="6">
        <v>46018.46875</v>
      </c>
      <c r="F1076" s="5" t="s">
        <v>1221</v>
      </c>
    </row>
    <row r="1077">
      <c r="A1077" s="5">
        <v>9.716165322E9</v>
      </c>
      <c r="B1077" s="5" t="s">
        <v>1060</v>
      </c>
      <c r="C1077" s="5" t="s">
        <v>1213</v>
      </c>
      <c r="D1077" s="7">
        <v>1.0</v>
      </c>
      <c r="E1077" s="6">
        <v>46018.46875</v>
      </c>
      <c r="F1077" s="5" t="s">
        <v>1221</v>
      </c>
    </row>
    <row r="1078">
      <c r="A1078" s="5">
        <v>6.305440302E9</v>
      </c>
      <c r="B1078" s="5" t="s">
        <v>1021</v>
      </c>
      <c r="C1078" s="5" t="s">
        <v>1213</v>
      </c>
      <c r="D1078" s="7">
        <v>1.0</v>
      </c>
      <c r="E1078" s="6">
        <v>46018.46875</v>
      </c>
      <c r="F1078" s="5" t="s">
        <v>1221</v>
      </c>
    </row>
    <row r="1079">
      <c r="A1079" s="5">
        <v>6.544271814E9</v>
      </c>
      <c r="B1079" s="5" t="s">
        <v>1061</v>
      </c>
      <c r="C1079" s="5" t="s">
        <v>1213</v>
      </c>
      <c r="D1079" s="7">
        <v>1.0</v>
      </c>
      <c r="E1079" s="6">
        <v>46018.46875</v>
      </c>
      <c r="F1079" s="5" t="s">
        <v>1221</v>
      </c>
    </row>
    <row r="1080">
      <c r="A1080" s="5">
        <v>9.999822656E9</v>
      </c>
      <c r="B1080" s="5" t="s">
        <v>1062</v>
      </c>
      <c r="C1080" s="5" t="s">
        <v>1216</v>
      </c>
      <c r="D1080" s="7">
        <v>1.0</v>
      </c>
      <c r="E1080" s="6">
        <v>46018.46875</v>
      </c>
      <c r="F1080" s="5" t="s">
        <v>1221</v>
      </c>
    </row>
    <row r="1081">
      <c r="A1081" s="5">
        <v>9.81880272E9</v>
      </c>
      <c r="B1081" s="5" t="s">
        <v>342</v>
      </c>
      <c r="C1081" s="5" t="s">
        <v>1213</v>
      </c>
      <c r="D1081" s="7">
        <v>1.0</v>
      </c>
      <c r="E1081" s="6">
        <v>46018.46875</v>
      </c>
      <c r="F1081" s="5" t="s">
        <v>1221</v>
      </c>
    </row>
    <row r="1082">
      <c r="A1082" s="5">
        <v>9.004736864E9</v>
      </c>
      <c r="B1082" s="5" t="s">
        <v>1063</v>
      </c>
      <c r="C1082" s="5" t="s">
        <v>1213</v>
      </c>
      <c r="D1082" s="7">
        <v>1.0</v>
      </c>
      <c r="E1082" s="6">
        <v>46018.46875</v>
      </c>
      <c r="F1082" s="5" t="s">
        <v>1221</v>
      </c>
    </row>
    <row r="1083">
      <c r="A1083" s="5">
        <v>8.44745154E9</v>
      </c>
      <c r="B1083" s="5" t="s">
        <v>343</v>
      </c>
      <c r="C1083" s="5" t="s">
        <v>1213</v>
      </c>
      <c r="D1083" s="7">
        <v>1.0</v>
      </c>
      <c r="E1083" s="6">
        <v>46018.46875</v>
      </c>
      <c r="F1083" s="5" t="s">
        <v>1221</v>
      </c>
    </row>
    <row r="1084">
      <c r="A1084" s="5">
        <v>9.71108755E9</v>
      </c>
      <c r="B1084" s="5" t="s">
        <v>1064</v>
      </c>
      <c r="C1084" s="5" t="s">
        <v>1213</v>
      </c>
      <c r="D1084" s="7">
        <v>1.0</v>
      </c>
      <c r="E1084" s="6">
        <v>46018.46875</v>
      </c>
      <c r="F1084" s="5" t="s">
        <v>1221</v>
      </c>
    </row>
    <row r="1085">
      <c r="A1085" s="5">
        <v>9.728504564E9</v>
      </c>
      <c r="B1085" s="5" t="s">
        <v>1065</v>
      </c>
      <c r="C1085" s="5" t="s">
        <v>1213</v>
      </c>
      <c r="D1085" s="7">
        <v>1.0</v>
      </c>
      <c r="E1085" s="6">
        <v>46018.46875</v>
      </c>
      <c r="F1085" s="5" t="s">
        <v>1221</v>
      </c>
    </row>
    <row r="1086">
      <c r="A1086" s="5">
        <v>9.805880792E9</v>
      </c>
      <c r="B1086" s="5" t="s">
        <v>1066</v>
      </c>
      <c r="C1086" s="5" t="s">
        <v>1213</v>
      </c>
      <c r="D1086" s="7">
        <v>1.0</v>
      </c>
      <c r="E1086" s="6">
        <v>46018.46875</v>
      </c>
      <c r="F1086" s="5" t="s">
        <v>1221</v>
      </c>
    </row>
    <row r="1087">
      <c r="A1087" s="5">
        <v>9.3133147E9</v>
      </c>
      <c r="B1087" s="5" t="s">
        <v>1067</v>
      </c>
      <c r="C1087" s="5" t="s">
        <v>1213</v>
      </c>
      <c r="D1087" s="7">
        <v>1.0</v>
      </c>
      <c r="E1087" s="6">
        <v>46018.46875</v>
      </c>
      <c r="F1087" s="5" t="s">
        <v>1221</v>
      </c>
    </row>
    <row r="1088">
      <c r="A1088" s="5">
        <v>9.810007503E9</v>
      </c>
      <c r="B1088" s="5" t="s">
        <v>344</v>
      </c>
      <c r="C1088" s="5" t="s">
        <v>1213</v>
      </c>
      <c r="D1088" s="7">
        <v>1.0</v>
      </c>
      <c r="E1088" s="6">
        <v>46018.46875</v>
      </c>
      <c r="F1088" s="5" t="s">
        <v>1221</v>
      </c>
    </row>
    <row r="1089">
      <c r="A1089" s="5">
        <v>9.87146801E9</v>
      </c>
      <c r="B1089" s="5" t="s">
        <v>1068</v>
      </c>
      <c r="C1089" s="5" t="s">
        <v>1213</v>
      </c>
      <c r="D1089" s="7">
        <v>1.0</v>
      </c>
      <c r="E1089" s="6">
        <v>46018.46875</v>
      </c>
      <c r="F1089" s="5" t="s">
        <v>1221</v>
      </c>
    </row>
    <row r="1090">
      <c r="A1090" s="5">
        <v>9.811117709E9</v>
      </c>
      <c r="B1090" s="5" t="s">
        <v>1069</v>
      </c>
      <c r="C1090" s="5" t="s">
        <v>1213</v>
      </c>
      <c r="D1090" s="7">
        <v>1.0</v>
      </c>
      <c r="E1090" s="6">
        <v>46018.46875</v>
      </c>
      <c r="F1090" s="5" t="s">
        <v>1221</v>
      </c>
    </row>
    <row r="1091">
      <c r="A1091" s="5">
        <v>8.368040489E9</v>
      </c>
      <c r="B1091" s="5" t="s">
        <v>1070</v>
      </c>
      <c r="C1091" s="5" t="s">
        <v>1213</v>
      </c>
      <c r="D1091" s="7">
        <v>1.0</v>
      </c>
      <c r="E1091" s="6">
        <v>46018.46875</v>
      </c>
      <c r="F1091" s="5" t="s">
        <v>1221</v>
      </c>
    </row>
    <row r="1092">
      <c r="A1092" s="5">
        <v>9.212399066E9</v>
      </c>
      <c r="B1092" s="5" t="s">
        <v>343</v>
      </c>
      <c r="C1092" s="5" t="s">
        <v>1213</v>
      </c>
      <c r="D1092" s="7">
        <v>1.0</v>
      </c>
      <c r="E1092" s="6">
        <v>46018.46875</v>
      </c>
      <c r="F1092" s="5" t="s">
        <v>1221</v>
      </c>
    </row>
    <row r="1093">
      <c r="A1093" s="5">
        <v>9.999994422E9</v>
      </c>
      <c r="B1093" s="5" t="s">
        <v>1071</v>
      </c>
      <c r="C1093" s="5" t="s">
        <v>1213</v>
      </c>
      <c r="D1093" s="7">
        <v>1.0</v>
      </c>
      <c r="E1093" s="6">
        <v>46018.46875</v>
      </c>
      <c r="F1093" s="5" t="s">
        <v>1221</v>
      </c>
    </row>
    <row r="1094">
      <c r="A1094" s="5">
        <v>9.870622331E9</v>
      </c>
      <c r="B1094" s="5" t="s">
        <v>1072</v>
      </c>
      <c r="C1094" s="5" t="s">
        <v>1213</v>
      </c>
      <c r="D1094" s="7">
        <v>1.0</v>
      </c>
      <c r="E1094" s="6">
        <v>46018.46875</v>
      </c>
      <c r="F1094" s="5" t="s">
        <v>1221</v>
      </c>
    </row>
    <row r="1095">
      <c r="A1095" s="5">
        <v>9.873774443E9</v>
      </c>
      <c r="B1095" s="5" t="s">
        <v>1073</v>
      </c>
      <c r="C1095" s="5" t="s">
        <v>1213</v>
      </c>
      <c r="D1095" s="7">
        <v>1.0</v>
      </c>
      <c r="E1095" s="6">
        <v>46018.46875</v>
      </c>
      <c r="F1095" s="5" t="s">
        <v>1221</v>
      </c>
    </row>
    <row r="1096">
      <c r="A1096" s="5">
        <v>9.899155625E9</v>
      </c>
      <c r="B1096" s="5" t="s">
        <v>1074</v>
      </c>
      <c r="C1096" s="5" t="s">
        <v>1213</v>
      </c>
      <c r="D1096" s="7">
        <v>1.0</v>
      </c>
      <c r="E1096" s="6">
        <v>46018.46875</v>
      </c>
      <c r="F1096" s="5" t="s">
        <v>1221</v>
      </c>
    </row>
    <row r="1097">
      <c r="A1097" s="5">
        <v>9.212710152E9</v>
      </c>
      <c r="B1097" s="5" t="s">
        <v>1075</v>
      </c>
      <c r="C1097" s="5" t="s">
        <v>1213</v>
      </c>
      <c r="D1097" s="7">
        <v>1.0</v>
      </c>
      <c r="E1097" s="6">
        <v>46018.46875</v>
      </c>
      <c r="F1097" s="5" t="s">
        <v>1221</v>
      </c>
    </row>
    <row r="1098">
      <c r="A1098" s="5">
        <v>9.21216052E9</v>
      </c>
      <c r="B1098" s="5" t="s">
        <v>1076</v>
      </c>
      <c r="C1098" s="5" t="s">
        <v>1213</v>
      </c>
      <c r="D1098" s="7">
        <v>1.0</v>
      </c>
      <c r="E1098" s="6">
        <v>46018.46875</v>
      </c>
      <c r="F1098" s="5" t="s">
        <v>1221</v>
      </c>
    </row>
    <row r="1099">
      <c r="A1099" s="5">
        <v>9.582260719E9</v>
      </c>
      <c r="B1099" s="5" t="s">
        <v>1077</v>
      </c>
      <c r="C1099" s="5" t="s">
        <v>1213</v>
      </c>
      <c r="D1099" s="7">
        <v>1.0</v>
      </c>
      <c r="E1099" s="6">
        <v>46018.46875</v>
      </c>
      <c r="F1099" s="5" t="s">
        <v>1221</v>
      </c>
    </row>
    <row r="1100">
      <c r="A1100" s="5">
        <v>9.891583223E9</v>
      </c>
      <c r="B1100" s="5" t="s">
        <v>1078</v>
      </c>
      <c r="C1100" s="5" t="s">
        <v>1213</v>
      </c>
      <c r="D1100" s="7">
        <v>1.0</v>
      </c>
      <c r="E1100" s="6">
        <v>46018.46875</v>
      </c>
      <c r="F1100" s="5" t="s">
        <v>1221</v>
      </c>
    </row>
    <row r="1101">
      <c r="A1101" s="5">
        <v>8.826733366E9</v>
      </c>
      <c r="B1101" s="5" t="s">
        <v>1079</v>
      </c>
      <c r="C1101" s="5" t="s">
        <v>1213</v>
      </c>
      <c r="D1101" s="7">
        <v>1.0</v>
      </c>
      <c r="E1101" s="6">
        <v>46018.46875</v>
      </c>
      <c r="F1101" s="5" t="s">
        <v>1221</v>
      </c>
    </row>
    <row r="1102">
      <c r="A1102" s="5">
        <v>8.800792934E9</v>
      </c>
      <c r="B1102" s="5" t="s">
        <v>1080</v>
      </c>
      <c r="C1102" s="5" t="s">
        <v>1213</v>
      </c>
      <c r="D1102" s="7">
        <v>1.0</v>
      </c>
      <c r="E1102" s="6">
        <v>46018.46875</v>
      </c>
      <c r="F1102" s="5" t="s">
        <v>1221</v>
      </c>
    </row>
    <row r="1103">
      <c r="A1103" s="5">
        <v>9.35430439E9</v>
      </c>
      <c r="B1103" s="5" t="s">
        <v>1081</v>
      </c>
      <c r="C1103" s="5" t="s">
        <v>1216</v>
      </c>
      <c r="D1103" s="7">
        <v>1.0</v>
      </c>
      <c r="E1103" s="6">
        <v>46018.46875</v>
      </c>
      <c r="F1103" s="5" t="s">
        <v>1221</v>
      </c>
    </row>
    <row r="1104">
      <c r="A1104" s="5">
        <v>8.810668639E9</v>
      </c>
      <c r="B1104" s="5" t="s">
        <v>1082</v>
      </c>
      <c r="C1104" s="5" t="s">
        <v>1213</v>
      </c>
      <c r="D1104" s="7">
        <v>1.0</v>
      </c>
      <c r="E1104" s="6">
        <v>46018.46875</v>
      </c>
      <c r="F1104" s="5" t="s">
        <v>1221</v>
      </c>
    </row>
    <row r="1105">
      <c r="A1105" s="5">
        <v>7.428676583E9</v>
      </c>
      <c r="B1105" s="5" t="s">
        <v>1083</v>
      </c>
      <c r="C1105" s="5" t="s">
        <v>1213</v>
      </c>
      <c r="D1105" s="7">
        <v>1.0</v>
      </c>
      <c r="E1105" s="6">
        <v>46018.46875</v>
      </c>
      <c r="F1105" s="5" t="s">
        <v>1221</v>
      </c>
    </row>
    <row r="1106">
      <c r="A1106" s="5">
        <v>9.560193569E9</v>
      </c>
      <c r="B1106" s="5" t="s">
        <v>1065</v>
      </c>
      <c r="C1106" s="5" t="s">
        <v>1213</v>
      </c>
      <c r="D1106" s="7">
        <v>1.0</v>
      </c>
      <c r="E1106" s="6">
        <v>46018.46875</v>
      </c>
      <c r="F1106" s="5" t="s">
        <v>1221</v>
      </c>
    </row>
    <row r="1107">
      <c r="A1107" s="5">
        <v>8.826202484E9</v>
      </c>
      <c r="B1107" s="5" t="s">
        <v>1084</v>
      </c>
      <c r="C1107" s="5" t="s">
        <v>1213</v>
      </c>
      <c r="D1107" s="7">
        <v>1.0</v>
      </c>
      <c r="E1107" s="6">
        <v>46018.46875</v>
      </c>
      <c r="F1107" s="5" t="s">
        <v>1221</v>
      </c>
    </row>
    <row r="1108">
      <c r="A1108" s="5">
        <v>9.01324446E9</v>
      </c>
      <c r="B1108" s="5" t="s">
        <v>1085</v>
      </c>
      <c r="C1108" s="5" t="s">
        <v>1213</v>
      </c>
      <c r="D1108" s="7">
        <v>1.0</v>
      </c>
      <c r="E1108" s="6">
        <v>46018.46875</v>
      </c>
      <c r="F1108" s="5" t="s">
        <v>1221</v>
      </c>
    </row>
    <row r="1109">
      <c r="A1109" s="5">
        <v>8.010808615E9</v>
      </c>
      <c r="B1109" s="5" t="s">
        <v>1086</v>
      </c>
      <c r="C1109" s="5" t="s">
        <v>1213</v>
      </c>
      <c r="D1109" s="7">
        <v>1.0</v>
      </c>
      <c r="E1109" s="6">
        <v>46018.46875</v>
      </c>
      <c r="F1109" s="5" t="s">
        <v>1221</v>
      </c>
    </row>
    <row r="1110">
      <c r="A1110" s="5">
        <v>9.891999306E9</v>
      </c>
      <c r="B1110" s="5" t="s">
        <v>1087</v>
      </c>
      <c r="C1110" s="5" t="s">
        <v>1213</v>
      </c>
      <c r="D1110" s="7">
        <v>1.0</v>
      </c>
      <c r="E1110" s="6">
        <v>46018.46875</v>
      </c>
      <c r="F1110" s="5" t="s">
        <v>1221</v>
      </c>
    </row>
    <row r="1111">
      <c r="A1111" s="5">
        <v>9.717661183E9</v>
      </c>
      <c r="B1111" s="5" t="s">
        <v>1088</v>
      </c>
      <c r="C1111" s="5" t="s">
        <v>1213</v>
      </c>
      <c r="D1111" s="7">
        <v>1.0</v>
      </c>
      <c r="E1111" s="6">
        <v>46018.46875</v>
      </c>
      <c r="F1111" s="5" t="s">
        <v>1221</v>
      </c>
    </row>
    <row r="1112">
      <c r="A1112" s="5">
        <v>9.71743474E9</v>
      </c>
      <c r="B1112" s="5" t="s">
        <v>694</v>
      </c>
      <c r="C1112" s="5" t="s">
        <v>1213</v>
      </c>
      <c r="D1112" s="7">
        <v>1.0</v>
      </c>
      <c r="E1112" s="6">
        <v>46018.46875</v>
      </c>
      <c r="F1112" s="5" t="s">
        <v>1221</v>
      </c>
    </row>
    <row r="1113">
      <c r="A1113" s="5">
        <v>9.911815367E9</v>
      </c>
      <c r="B1113" s="5" t="s">
        <v>1089</v>
      </c>
      <c r="C1113" s="5" t="s">
        <v>1213</v>
      </c>
      <c r="D1113" s="7">
        <v>1.0</v>
      </c>
      <c r="E1113" s="6">
        <v>46018.46875</v>
      </c>
      <c r="F1113" s="5" t="s">
        <v>1221</v>
      </c>
    </row>
    <row r="1114">
      <c r="A1114" s="5">
        <v>9.654195549E9</v>
      </c>
      <c r="B1114" s="5" t="s">
        <v>1035</v>
      </c>
      <c r="C1114" s="5" t="s">
        <v>1213</v>
      </c>
      <c r="D1114" s="7">
        <v>1.0</v>
      </c>
      <c r="E1114" s="6">
        <v>46018.46875</v>
      </c>
      <c r="F1114" s="5" t="s">
        <v>1221</v>
      </c>
    </row>
    <row r="1115">
      <c r="A1115" s="5">
        <v>9.89999207E9</v>
      </c>
      <c r="B1115" s="5" t="s">
        <v>1090</v>
      </c>
      <c r="C1115" s="5" t="s">
        <v>1213</v>
      </c>
      <c r="D1115" s="7">
        <v>1.0</v>
      </c>
      <c r="E1115" s="6">
        <v>46018.46875</v>
      </c>
      <c r="F1115" s="5" t="s">
        <v>1221</v>
      </c>
    </row>
    <row r="1116">
      <c r="A1116" s="5">
        <v>9.818173312E9</v>
      </c>
      <c r="B1116" s="5" t="s">
        <v>1091</v>
      </c>
      <c r="C1116" s="5" t="s">
        <v>1213</v>
      </c>
      <c r="D1116" s="7">
        <v>1.0</v>
      </c>
      <c r="E1116" s="6">
        <v>46018.46875</v>
      </c>
      <c r="F1116" s="5" t="s">
        <v>1221</v>
      </c>
    </row>
    <row r="1117">
      <c r="A1117" s="5">
        <v>8.860285011E9</v>
      </c>
      <c r="B1117" s="5" t="s">
        <v>1092</v>
      </c>
      <c r="C1117" s="5" t="s">
        <v>1216</v>
      </c>
      <c r="D1117" s="7">
        <v>1.0</v>
      </c>
      <c r="E1117" s="6">
        <v>46018.46875</v>
      </c>
      <c r="F1117" s="5" t="s">
        <v>1221</v>
      </c>
    </row>
    <row r="1118">
      <c r="A1118" s="5">
        <v>7.757022573E9</v>
      </c>
      <c r="B1118" s="5" t="s">
        <v>1093</v>
      </c>
      <c r="C1118" s="5" t="s">
        <v>1213</v>
      </c>
      <c r="D1118" s="7">
        <v>1.0</v>
      </c>
      <c r="E1118" s="6">
        <v>46018.46875</v>
      </c>
      <c r="F1118" s="5" t="s">
        <v>1221</v>
      </c>
    </row>
    <row r="1119">
      <c r="A1119" s="5">
        <v>9.289831565E9</v>
      </c>
      <c r="B1119" s="5" t="s">
        <v>1094</v>
      </c>
      <c r="C1119" s="5" t="s">
        <v>1213</v>
      </c>
      <c r="D1119" s="7">
        <v>1.0</v>
      </c>
      <c r="E1119" s="6">
        <v>46018.46875</v>
      </c>
      <c r="F1119" s="5" t="s">
        <v>1221</v>
      </c>
    </row>
    <row r="1120">
      <c r="A1120" s="5">
        <v>8.081226476E9</v>
      </c>
      <c r="B1120" s="5" t="s">
        <v>1095</v>
      </c>
      <c r="C1120" s="5" t="s">
        <v>1216</v>
      </c>
      <c r="D1120" s="7">
        <v>1.0</v>
      </c>
      <c r="E1120" s="6">
        <v>46018.46875</v>
      </c>
      <c r="F1120" s="5" t="s">
        <v>1221</v>
      </c>
    </row>
    <row r="1121">
      <c r="A1121" s="5">
        <v>9.910925269E9</v>
      </c>
      <c r="B1121" s="5" t="s">
        <v>345</v>
      </c>
      <c r="C1121" s="5" t="s">
        <v>1213</v>
      </c>
      <c r="D1121" s="7">
        <v>1.0</v>
      </c>
      <c r="E1121" s="6">
        <v>46018.46875</v>
      </c>
      <c r="F1121" s="5" t="s">
        <v>1221</v>
      </c>
    </row>
    <row r="1122">
      <c r="A1122" s="5">
        <v>9.811646101E9</v>
      </c>
      <c r="B1122" s="5" t="s">
        <v>1096</v>
      </c>
      <c r="C1122" s="5" t="s">
        <v>1216</v>
      </c>
      <c r="D1122" s="7">
        <v>1.0</v>
      </c>
      <c r="E1122" s="6">
        <v>46018.46875</v>
      </c>
      <c r="F1122" s="5" t="s">
        <v>1221</v>
      </c>
    </row>
    <row r="1123">
      <c r="A1123" s="5">
        <v>8.000813156E9</v>
      </c>
      <c r="B1123" s="5" t="s">
        <v>1097</v>
      </c>
      <c r="C1123" s="5" t="s">
        <v>1213</v>
      </c>
      <c r="D1123" s="7">
        <v>1.0</v>
      </c>
      <c r="E1123" s="6">
        <v>46018.46875</v>
      </c>
      <c r="F1123" s="5" t="s">
        <v>1221</v>
      </c>
    </row>
    <row r="1124">
      <c r="A1124" s="5">
        <v>9.871140012E9</v>
      </c>
      <c r="B1124" s="5" t="s">
        <v>1057</v>
      </c>
      <c r="C1124" s="5" t="s">
        <v>1216</v>
      </c>
      <c r="D1124" s="7">
        <v>1.0</v>
      </c>
      <c r="E1124" s="6">
        <v>46018.46875</v>
      </c>
      <c r="F1124" s="5" t="s">
        <v>1221</v>
      </c>
    </row>
    <row r="1125">
      <c r="A1125" s="5">
        <v>9.555906133E9</v>
      </c>
      <c r="B1125" s="5" t="s">
        <v>1058</v>
      </c>
      <c r="C1125" s="5" t="s">
        <v>1213</v>
      </c>
      <c r="D1125" s="7">
        <v>1.0</v>
      </c>
      <c r="E1125" s="6">
        <v>46018.46875</v>
      </c>
      <c r="F1125" s="5" t="s">
        <v>1221</v>
      </c>
    </row>
    <row r="1126">
      <c r="A1126" s="5">
        <v>8.014541403E9</v>
      </c>
      <c r="B1126" s="5" t="s">
        <v>1098</v>
      </c>
      <c r="C1126" s="5" t="s">
        <v>1216</v>
      </c>
      <c r="D1126" s="7">
        <v>1.0</v>
      </c>
      <c r="E1126" s="6">
        <v>46018.46875</v>
      </c>
      <c r="F1126" s="5" t="s">
        <v>1221</v>
      </c>
    </row>
    <row r="1127">
      <c r="A1127" s="5">
        <v>9.958275105E9</v>
      </c>
      <c r="B1127" s="5" t="s">
        <v>1061</v>
      </c>
      <c r="C1127" s="5" t="s">
        <v>1216</v>
      </c>
      <c r="D1127" s="7">
        <v>1.0</v>
      </c>
      <c r="E1127" s="6">
        <v>46018.46875</v>
      </c>
      <c r="F1127" s="5" t="s">
        <v>1221</v>
      </c>
    </row>
    <row r="1128">
      <c r="A1128" s="5">
        <v>9.8102632E9</v>
      </c>
      <c r="B1128" s="5" t="s">
        <v>1099</v>
      </c>
      <c r="C1128" s="5" t="s">
        <v>1216</v>
      </c>
      <c r="D1128" s="7">
        <v>1.0</v>
      </c>
      <c r="E1128" s="6">
        <v>46018.46875</v>
      </c>
      <c r="F1128" s="5" t="s">
        <v>1221</v>
      </c>
    </row>
    <row r="1129">
      <c r="A1129" s="5">
        <v>9.582159548E9</v>
      </c>
      <c r="B1129" s="5" t="s">
        <v>346</v>
      </c>
      <c r="C1129" s="5" t="s">
        <v>1213</v>
      </c>
      <c r="D1129" s="7">
        <v>1.0</v>
      </c>
      <c r="E1129" s="6">
        <v>46018.46875</v>
      </c>
      <c r="F1129" s="5" t="s">
        <v>1221</v>
      </c>
    </row>
    <row r="1130">
      <c r="A1130" s="5">
        <v>9.311163493E9</v>
      </c>
      <c r="B1130" s="5" t="s">
        <v>995</v>
      </c>
      <c r="C1130" s="5" t="s">
        <v>1213</v>
      </c>
      <c r="D1130" s="7">
        <v>1.0</v>
      </c>
      <c r="E1130" s="6">
        <v>46018.46875</v>
      </c>
      <c r="F1130" s="5" t="s">
        <v>1221</v>
      </c>
    </row>
    <row r="1131">
      <c r="A1131" s="5">
        <v>9.336112838E9</v>
      </c>
      <c r="B1131" s="5" t="s">
        <v>1100</v>
      </c>
      <c r="C1131" s="5" t="s">
        <v>1213</v>
      </c>
      <c r="D1131" s="7">
        <v>1.0</v>
      </c>
      <c r="E1131" s="6">
        <v>46018.46875</v>
      </c>
      <c r="F1131" s="5" t="s">
        <v>1221</v>
      </c>
    </row>
    <row r="1132">
      <c r="A1132" s="5">
        <v>9.810080903E9</v>
      </c>
      <c r="B1132" s="5" t="s">
        <v>341</v>
      </c>
      <c r="C1132" s="5" t="s">
        <v>1216</v>
      </c>
      <c r="D1132" s="7">
        <v>1.0</v>
      </c>
      <c r="E1132" s="6">
        <v>46018.46875</v>
      </c>
      <c r="F1132" s="5" t="s">
        <v>1221</v>
      </c>
    </row>
    <row r="1133">
      <c r="A1133" s="5">
        <v>9.873944034E9</v>
      </c>
      <c r="B1133" s="5" t="s">
        <v>1101</v>
      </c>
      <c r="C1133" s="5" t="s">
        <v>1216</v>
      </c>
      <c r="D1133" s="7">
        <v>1.0</v>
      </c>
      <c r="E1133" s="6">
        <v>46018.46875</v>
      </c>
      <c r="F1133" s="5" t="s">
        <v>1221</v>
      </c>
    </row>
    <row r="1134">
      <c r="A1134" s="5">
        <v>8.851106251E9</v>
      </c>
      <c r="B1134" s="5" t="s">
        <v>1102</v>
      </c>
      <c r="C1134" s="5" t="s">
        <v>1213</v>
      </c>
      <c r="D1134" s="7">
        <v>1.0</v>
      </c>
      <c r="E1134" s="6">
        <v>46018.46875</v>
      </c>
      <c r="F1134" s="5" t="s">
        <v>1221</v>
      </c>
    </row>
    <row r="1135">
      <c r="A1135" s="5">
        <v>9.899019935E9</v>
      </c>
      <c r="B1135" s="5" t="s">
        <v>1103</v>
      </c>
      <c r="C1135" s="5" t="s">
        <v>1216</v>
      </c>
      <c r="D1135" s="7">
        <v>1.0</v>
      </c>
      <c r="E1135" s="6">
        <v>46018.46875</v>
      </c>
      <c r="F1135" s="5" t="s">
        <v>1221</v>
      </c>
    </row>
    <row r="1136">
      <c r="A1136" s="5">
        <v>9.810080903E9</v>
      </c>
      <c r="B1136" s="5" t="s">
        <v>341</v>
      </c>
      <c r="C1136" s="5" t="s">
        <v>1213</v>
      </c>
      <c r="D1136" s="7">
        <v>1.0</v>
      </c>
      <c r="E1136" s="6">
        <v>46018.46875</v>
      </c>
      <c r="F1136" s="5" t="s">
        <v>1221</v>
      </c>
    </row>
    <row r="1137">
      <c r="A1137" s="5">
        <v>9.899115887E9</v>
      </c>
      <c r="B1137" s="5" t="s">
        <v>1094</v>
      </c>
      <c r="C1137" s="5" t="s">
        <v>1213</v>
      </c>
      <c r="D1137" s="7">
        <v>1.0</v>
      </c>
      <c r="E1137" s="6">
        <v>46018.46875</v>
      </c>
      <c r="F1137" s="5" t="s">
        <v>1221</v>
      </c>
    </row>
    <row r="1138">
      <c r="A1138" s="5">
        <v>9.811181307E9</v>
      </c>
      <c r="B1138" s="5" t="s">
        <v>1104</v>
      </c>
      <c r="C1138" s="5" t="s">
        <v>1213</v>
      </c>
      <c r="D1138" s="7">
        <v>1.0</v>
      </c>
      <c r="E1138" s="6">
        <v>46018.46875</v>
      </c>
      <c r="F1138" s="5" t="s">
        <v>1221</v>
      </c>
    </row>
    <row r="1139">
      <c r="A1139" s="5">
        <v>9.41602465E9</v>
      </c>
      <c r="B1139" s="5" t="s">
        <v>1105</v>
      </c>
      <c r="C1139" s="5" t="s">
        <v>1213</v>
      </c>
      <c r="D1139" s="7">
        <v>1.0</v>
      </c>
      <c r="E1139" s="6">
        <v>46018.46875</v>
      </c>
      <c r="F1139" s="5" t="s">
        <v>1221</v>
      </c>
    </row>
    <row r="1140">
      <c r="A1140" s="5">
        <v>9.811891231E9</v>
      </c>
      <c r="B1140" s="5" t="s">
        <v>1106</v>
      </c>
      <c r="C1140" s="5" t="s">
        <v>1213</v>
      </c>
      <c r="D1140" s="7">
        <v>1.0</v>
      </c>
      <c r="E1140" s="6">
        <v>46018.46875</v>
      </c>
      <c r="F1140" s="5" t="s">
        <v>1221</v>
      </c>
    </row>
    <row r="1141">
      <c r="A1141" s="5">
        <v>9.314010771E9</v>
      </c>
      <c r="B1141" s="5" t="s">
        <v>1107</v>
      </c>
      <c r="C1141" s="5" t="s">
        <v>1216</v>
      </c>
      <c r="D1141" s="7">
        <v>1.0</v>
      </c>
      <c r="E1141" s="6">
        <v>46018.46875</v>
      </c>
      <c r="F1141" s="5" t="s">
        <v>1221</v>
      </c>
    </row>
    <row r="1142">
      <c r="A1142" s="5">
        <v>9.469473538E9</v>
      </c>
      <c r="B1142" s="5" t="s">
        <v>347</v>
      </c>
      <c r="C1142" s="5" t="s">
        <v>1216</v>
      </c>
      <c r="D1142" s="7">
        <v>1.0</v>
      </c>
      <c r="E1142" s="6">
        <v>46018.46875</v>
      </c>
      <c r="F1142" s="5" t="s">
        <v>1221</v>
      </c>
    </row>
    <row r="1143">
      <c r="A1143" s="5">
        <v>9.711336518E9</v>
      </c>
      <c r="B1143" s="5" t="s">
        <v>1108</v>
      </c>
      <c r="C1143" s="5" t="s">
        <v>1213</v>
      </c>
      <c r="D1143" s="7">
        <v>1.0</v>
      </c>
      <c r="E1143" s="6">
        <v>46018.46875</v>
      </c>
      <c r="F1143" s="5" t="s">
        <v>1221</v>
      </c>
    </row>
    <row r="1144">
      <c r="A1144" s="5">
        <v>9.21058852E9</v>
      </c>
      <c r="B1144" s="5" t="s">
        <v>1109</v>
      </c>
      <c r="C1144" s="5" t="s">
        <v>1216</v>
      </c>
      <c r="D1144" s="7">
        <v>1.0</v>
      </c>
      <c r="E1144" s="6">
        <v>46018.46875</v>
      </c>
      <c r="F1144" s="5" t="s">
        <v>1221</v>
      </c>
    </row>
    <row r="1145">
      <c r="A1145" s="5">
        <v>9.716335323E9</v>
      </c>
      <c r="B1145" s="5" t="s">
        <v>1110</v>
      </c>
      <c r="C1145" s="5" t="s">
        <v>1213</v>
      </c>
      <c r="D1145" s="7">
        <v>1.0</v>
      </c>
      <c r="E1145" s="6">
        <v>46018.46875</v>
      </c>
      <c r="F1145" s="5" t="s">
        <v>1221</v>
      </c>
    </row>
    <row r="1146">
      <c r="A1146" s="5">
        <v>8.920465183E9</v>
      </c>
      <c r="B1146" s="5" t="s">
        <v>387</v>
      </c>
      <c r="C1146" s="5" t="s">
        <v>1216</v>
      </c>
      <c r="D1146" s="7">
        <v>1.0</v>
      </c>
      <c r="E1146" s="6">
        <v>46018.46875</v>
      </c>
      <c r="F1146" s="5" t="s">
        <v>1221</v>
      </c>
    </row>
    <row r="1147">
      <c r="A1147" s="5">
        <v>9.319569354E9</v>
      </c>
      <c r="B1147" s="5" t="s">
        <v>1111</v>
      </c>
      <c r="C1147" s="5" t="s">
        <v>1216</v>
      </c>
      <c r="D1147" s="7">
        <v>1.0</v>
      </c>
      <c r="E1147" s="6">
        <v>46018.46875</v>
      </c>
      <c r="F1147" s="5" t="s">
        <v>1221</v>
      </c>
    </row>
    <row r="1148">
      <c r="A1148" s="5">
        <v>9.800816742E9</v>
      </c>
      <c r="B1148" s="5" t="s">
        <v>1112</v>
      </c>
      <c r="C1148" s="5" t="s">
        <v>1213</v>
      </c>
      <c r="D1148" s="7">
        <v>1.0</v>
      </c>
      <c r="E1148" s="6">
        <v>46018.46875</v>
      </c>
      <c r="F1148" s="5" t="s">
        <v>1221</v>
      </c>
    </row>
    <row r="1149">
      <c r="A1149" s="5">
        <v>9.953052536E9</v>
      </c>
      <c r="B1149" s="5" t="s">
        <v>1113</v>
      </c>
      <c r="C1149" s="5" t="s">
        <v>1213</v>
      </c>
      <c r="D1149" s="7">
        <v>1.0</v>
      </c>
      <c r="E1149" s="6">
        <v>46018.46875</v>
      </c>
      <c r="F1149" s="5" t="s">
        <v>1221</v>
      </c>
    </row>
    <row r="1150">
      <c r="A1150" s="5">
        <v>7.838389951E9</v>
      </c>
      <c r="B1150" s="5" t="s">
        <v>25</v>
      </c>
      <c r="C1150" s="5" t="s">
        <v>1216</v>
      </c>
      <c r="D1150" s="7">
        <v>1.0</v>
      </c>
      <c r="E1150" s="6">
        <v>46018.46875</v>
      </c>
      <c r="F1150" s="5" t="s">
        <v>1221</v>
      </c>
    </row>
    <row r="1151">
      <c r="A1151" s="5">
        <v>7.827407655E9</v>
      </c>
      <c r="B1151" s="5" t="s">
        <v>1114</v>
      </c>
      <c r="C1151" s="5" t="s">
        <v>1216</v>
      </c>
      <c r="D1151" s="7">
        <v>1.0</v>
      </c>
      <c r="E1151" s="6">
        <v>46018.46875</v>
      </c>
      <c r="F1151" s="5" t="s">
        <v>1221</v>
      </c>
    </row>
    <row r="1152">
      <c r="A1152" s="5">
        <v>9.75237098E9</v>
      </c>
      <c r="B1152" s="5" t="s">
        <v>1115</v>
      </c>
      <c r="C1152" s="5" t="s">
        <v>1213</v>
      </c>
      <c r="D1152" s="7">
        <v>1.0</v>
      </c>
      <c r="E1152" s="6">
        <v>46018.46875</v>
      </c>
      <c r="F1152" s="5" t="s">
        <v>1221</v>
      </c>
    </row>
    <row r="1153">
      <c r="A1153" s="5">
        <v>9.350104257E9</v>
      </c>
      <c r="B1153" s="5" t="s">
        <v>349</v>
      </c>
      <c r="C1153" s="5" t="s">
        <v>1216</v>
      </c>
      <c r="D1153" s="7">
        <v>1.0</v>
      </c>
      <c r="E1153" s="6">
        <v>46018.46875</v>
      </c>
      <c r="F1153" s="5" t="s">
        <v>1221</v>
      </c>
    </row>
    <row r="1154">
      <c r="A1154" s="5">
        <v>9.355611119E9</v>
      </c>
      <c r="B1154" s="5" t="s">
        <v>1116</v>
      </c>
      <c r="C1154" s="5" t="s">
        <v>1213</v>
      </c>
      <c r="D1154" s="7">
        <v>1.0</v>
      </c>
      <c r="E1154" s="6">
        <v>46018.46875</v>
      </c>
      <c r="F1154" s="5" t="s">
        <v>1221</v>
      </c>
    </row>
    <row r="1155">
      <c r="A1155" s="5">
        <v>9.910470144E9</v>
      </c>
      <c r="B1155" s="5" t="s">
        <v>1023</v>
      </c>
      <c r="C1155" s="5" t="s">
        <v>1216</v>
      </c>
      <c r="D1155" s="7">
        <v>1.0</v>
      </c>
      <c r="E1155" s="6">
        <v>46018.46875</v>
      </c>
      <c r="F1155" s="5" t="s">
        <v>1221</v>
      </c>
    </row>
    <row r="1156">
      <c r="A1156" s="5">
        <v>9.910378325E9</v>
      </c>
      <c r="B1156" s="5" t="s">
        <v>1117</v>
      </c>
      <c r="C1156" s="5" t="s">
        <v>1213</v>
      </c>
      <c r="D1156" s="7">
        <v>1.0</v>
      </c>
      <c r="E1156" s="6">
        <v>46018.46875</v>
      </c>
      <c r="F1156" s="5" t="s">
        <v>1221</v>
      </c>
    </row>
    <row r="1157">
      <c r="A1157" s="5">
        <v>9.810882842E9</v>
      </c>
      <c r="B1157" s="5" t="s">
        <v>1118</v>
      </c>
      <c r="C1157" s="5" t="s">
        <v>1213</v>
      </c>
      <c r="D1157" s="7">
        <v>1.0</v>
      </c>
      <c r="E1157" s="6">
        <v>46018.46875</v>
      </c>
      <c r="F1157" s="5" t="s">
        <v>1221</v>
      </c>
    </row>
    <row r="1158">
      <c r="A1158" s="5">
        <v>9.910797272E9</v>
      </c>
      <c r="B1158" s="5" t="s">
        <v>350</v>
      </c>
      <c r="C1158" s="5" t="s">
        <v>1213</v>
      </c>
      <c r="D1158" s="7">
        <v>1.0</v>
      </c>
      <c r="E1158" s="6">
        <v>46018.46875</v>
      </c>
      <c r="F1158" s="5" t="s">
        <v>1221</v>
      </c>
    </row>
    <row r="1159">
      <c r="A1159" s="5">
        <v>8.750212242E9</v>
      </c>
      <c r="B1159" s="5" t="s">
        <v>1119</v>
      </c>
      <c r="C1159" s="5" t="s">
        <v>1213</v>
      </c>
      <c r="D1159" s="7">
        <v>1.0</v>
      </c>
      <c r="E1159" s="6">
        <v>46018.46875</v>
      </c>
      <c r="F1159" s="5" t="s">
        <v>1221</v>
      </c>
    </row>
    <row r="1160">
      <c r="A1160" s="5">
        <v>8.368953488E9</v>
      </c>
      <c r="B1160" s="5" t="s">
        <v>351</v>
      </c>
      <c r="C1160" s="5" t="s">
        <v>1216</v>
      </c>
      <c r="D1160" s="7">
        <v>1.0</v>
      </c>
      <c r="E1160" s="6">
        <v>46018.46875</v>
      </c>
      <c r="F1160" s="5" t="s">
        <v>1221</v>
      </c>
    </row>
    <row r="1161">
      <c r="A1161" s="5">
        <v>9.873305151E9</v>
      </c>
      <c r="B1161" s="5" t="s">
        <v>1120</v>
      </c>
      <c r="C1161" s="5" t="s">
        <v>1213</v>
      </c>
      <c r="D1161" s="7">
        <v>1.0</v>
      </c>
      <c r="E1161" s="6">
        <v>46018.46875</v>
      </c>
      <c r="F1161" s="5" t="s">
        <v>1221</v>
      </c>
    </row>
    <row r="1162">
      <c r="A1162" s="5">
        <v>9.891306342E9</v>
      </c>
      <c r="B1162" s="5" t="s">
        <v>1121</v>
      </c>
      <c r="C1162" s="5" t="s">
        <v>1213</v>
      </c>
      <c r="D1162" s="7">
        <v>1.0</v>
      </c>
      <c r="E1162" s="6">
        <v>46018.46875</v>
      </c>
      <c r="F1162" s="5" t="s">
        <v>1221</v>
      </c>
    </row>
    <row r="1163">
      <c r="A1163" s="5">
        <v>9.873989789E9</v>
      </c>
      <c r="B1163" s="5" t="s">
        <v>1122</v>
      </c>
      <c r="C1163" s="5" t="s">
        <v>1216</v>
      </c>
      <c r="D1163" s="7">
        <v>1.0</v>
      </c>
      <c r="E1163" s="6">
        <v>46018.46875</v>
      </c>
      <c r="F1163" s="5" t="s">
        <v>1221</v>
      </c>
    </row>
    <row r="1164">
      <c r="A1164" s="5">
        <v>9.999341393E9</v>
      </c>
      <c r="B1164" s="5" t="s">
        <v>1123</v>
      </c>
      <c r="C1164" s="5" t="s">
        <v>1213</v>
      </c>
      <c r="D1164" s="7">
        <v>1.0</v>
      </c>
      <c r="E1164" s="6">
        <v>46018.46875</v>
      </c>
      <c r="F1164" s="5" t="s">
        <v>1221</v>
      </c>
    </row>
    <row r="1165">
      <c r="A1165" s="5">
        <v>8.287096447E9</v>
      </c>
      <c r="B1165" s="5" t="s">
        <v>1124</v>
      </c>
      <c r="C1165" s="5" t="s">
        <v>1216</v>
      </c>
      <c r="D1165" s="7">
        <v>1.0</v>
      </c>
      <c r="E1165" s="6">
        <v>46018.46875</v>
      </c>
      <c r="F1165" s="5" t="s">
        <v>1221</v>
      </c>
    </row>
    <row r="1166">
      <c r="A1166" s="5">
        <v>9.899882198E9</v>
      </c>
      <c r="B1166" s="5" t="s">
        <v>1125</v>
      </c>
      <c r="C1166" s="5" t="s">
        <v>1213</v>
      </c>
      <c r="D1166" s="7">
        <v>1.0</v>
      </c>
      <c r="E1166" s="6">
        <v>46018.46875</v>
      </c>
      <c r="F1166" s="5" t="s">
        <v>1221</v>
      </c>
    </row>
    <row r="1167">
      <c r="A1167" s="5">
        <v>8.52721345E9</v>
      </c>
      <c r="B1167" s="5" t="s">
        <v>352</v>
      </c>
      <c r="C1167" s="5" t="s">
        <v>1213</v>
      </c>
      <c r="D1167" s="7">
        <v>1.0</v>
      </c>
      <c r="E1167" s="6">
        <v>46018.46875</v>
      </c>
      <c r="F1167" s="5" t="s">
        <v>1221</v>
      </c>
    </row>
    <row r="1168">
      <c r="A1168" s="5">
        <v>9.871153696E9</v>
      </c>
      <c r="B1168" s="5" t="s">
        <v>354</v>
      </c>
      <c r="C1168" s="5" t="s">
        <v>1213</v>
      </c>
      <c r="D1168" s="7">
        <v>1.0</v>
      </c>
      <c r="E1168" s="6">
        <v>46018.46875</v>
      </c>
      <c r="F1168" s="5" t="s">
        <v>1221</v>
      </c>
    </row>
    <row r="1169">
      <c r="A1169" s="5">
        <v>9.654887826E9</v>
      </c>
      <c r="B1169" s="5" t="s">
        <v>1126</v>
      </c>
      <c r="C1169" s="5" t="s">
        <v>1213</v>
      </c>
      <c r="D1169" s="7">
        <v>1.0</v>
      </c>
      <c r="E1169" s="6">
        <v>46018.46875</v>
      </c>
      <c r="F1169" s="5" t="s">
        <v>1221</v>
      </c>
    </row>
    <row r="1170">
      <c r="A1170" s="5">
        <v>9.55591206E9</v>
      </c>
      <c r="B1170" s="5" t="s">
        <v>1127</v>
      </c>
      <c r="C1170" s="5" t="s">
        <v>1213</v>
      </c>
      <c r="D1170" s="7">
        <v>1.0</v>
      </c>
      <c r="E1170" s="6">
        <v>46018.46875</v>
      </c>
      <c r="F1170" s="5" t="s">
        <v>1221</v>
      </c>
    </row>
    <row r="1171">
      <c r="A1171" s="5">
        <v>8.285733143E9</v>
      </c>
      <c r="B1171" s="5" t="s">
        <v>1128</v>
      </c>
      <c r="C1171" s="5" t="s">
        <v>1213</v>
      </c>
      <c r="D1171" s="7">
        <v>1.0</v>
      </c>
      <c r="E1171" s="6">
        <v>46018.46875</v>
      </c>
      <c r="F1171" s="5" t="s">
        <v>1221</v>
      </c>
    </row>
    <row r="1172">
      <c r="A1172" s="5">
        <v>8.368135941E9</v>
      </c>
      <c r="B1172" s="5" t="s">
        <v>1129</v>
      </c>
      <c r="C1172" s="5" t="s">
        <v>1213</v>
      </c>
      <c r="D1172" s="7">
        <v>1.0</v>
      </c>
      <c r="E1172" s="6">
        <v>46018.46875</v>
      </c>
      <c r="F1172" s="5" t="s">
        <v>1221</v>
      </c>
    </row>
    <row r="1173">
      <c r="A1173" s="5">
        <v>8.447210689E9</v>
      </c>
      <c r="B1173" s="5" t="s">
        <v>1004</v>
      </c>
      <c r="C1173" s="5" t="s">
        <v>1213</v>
      </c>
      <c r="D1173" s="7">
        <v>1.0</v>
      </c>
      <c r="E1173" s="6">
        <v>46018.46875</v>
      </c>
      <c r="F1173" s="5" t="s">
        <v>1221</v>
      </c>
    </row>
    <row r="1174">
      <c r="A1174" s="5">
        <v>9.910043295E9</v>
      </c>
      <c r="B1174" s="5" t="s">
        <v>1130</v>
      </c>
      <c r="C1174" s="5" t="s">
        <v>1216</v>
      </c>
      <c r="D1174" s="7">
        <v>1.0</v>
      </c>
      <c r="E1174" s="6">
        <v>46018.46875</v>
      </c>
      <c r="F1174" s="5" t="s">
        <v>1221</v>
      </c>
    </row>
    <row r="1175">
      <c r="A1175" s="5">
        <v>8.12346781E9</v>
      </c>
      <c r="B1175" s="5" t="s">
        <v>1131</v>
      </c>
      <c r="C1175" s="5" t="s">
        <v>1216</v>
      </c>
      <c r="D1175" s="7">
        <v>1.0</v>
      </c>
      <c r="E1175" s="6">
        <v>46018.46875</v>
      </c>
      <c r="F1175" s="5" t="s">
        <v>1221</v>
      </c>
    </row>
    <row r="1176">
      <c r="A1176" s="5">
        <v>9.873438078E9</v>
      </c>
      <c r="B1176" s="5" t="s">
        <v>1132</v>
      </c>
      <c r="C1176" s="5" t="s">
        <v>1216</v>
      </c>
      <c r="D1176" s="7">
        <v>1.0</v>
      </c>
      <c r="E1176" s="6">
        <v>46018.46875</v>
      </c>
      <c r="F1176" s="5" t="s">
        <v>1221</v>
      </c>
    </row>
    <row r="1177">
      <c r="A1177" s="5">
        <v>9.654195545E9</v>
      </c>
      <c r="B1177" s="5" t="s">
        <v>1035</v>
      </c>
      <c r="C1177" s="5" t="s">
        <v>1213</v>
      </c>
      <c r="D1177" s="7">
        <v>1.0</v>
      </c>
      <c r="E1177" s="6">
        <v>46018.46875</v>
      </c>
      <c r="F1177" s="5" t="s">
        <v>1221</v>
      </c>
    </row>
    <row r="1178">
      <c r="A1178" s="5">
        <v>9.810133082E9</v>
      </c>
      <c r="B1178" s="5" t="s">
        <v>1133</v>
      </c>
      <c r="C1178" s="5" t="s">
        <v>1216</v>
      </c>
      <c r="D1178" s="7">
        <v>1.0</v>
      </c>
      <c r="E1178" s="6">
        <v>46018.46875</v>
      </c>
      <c r="F1178" s="5" t="s">
        <v>1221</v>
      </c>
    </row>
    <row r="1179">
      <c r="A1179" s="5">
        <v>9.871394198E9</v>
      </c>
      <c r="B1179" s="5" t="s">
        <v>1134</v>
      </c>
      <c r="C1179" s="5" t="s">
        <v>1213</v>
      </c>
      <c r="D1179" s="7">
        <v>1.0</v>
      </c>
      <c r="E1179" s="6">
        <v>46018.46875</v>
      </c>
      <c r="F1179" s="5" t="s">
        <v>1221</v>
      </c>
    </row>
    <row r="1180">
      <c r="A1180" s="5">
        <v>9.350290331E9</v>
      </c>
      <c r="B1180" s="5" t="s">
        <v>1135</v>
      </c>
      <c r="C1180" s="5" t="s">
        <v>1213</v>
      </c>
      <c r="D1180" s="7">
        <v>1.0</v>
      </c>
      <c r="E1180" s="6">
        <v>46018.46875</v>
      </c>
      <c r="F1180" s="5" t="s">
        <v>1221</v>
      </c>
    </row>
    <row r="1181">
      <c r="A1181" s="5">
        <v>9.81857007E9</v>
      </c>
      <c r="B1181" s="5" t="s">
        <v>1136</v>
      </c>
      <c r="C1181" s="5" t="s">
        <v>1213</v>
      </c>
      <c r="D1181" s="7">
        <v>1.0</v>
      </c>
      <c r="E1181" s="6">
        <v>46018.46875</v>
      </c>
      <c r="F1181" s="5" t="s">
        <v>1221</v>
      </c>
    </row>
    <row r="1182">
      <c r="A1182" s="5">
        <v>9.310348015E9</v>
      </c>
      <c r="B1182" s="5" t="s">
        <v>1137</v>
      </c>
      <c r="C1182" s="5" t="s">
        <v>1216</v>
      </c>
      <c r="D1182" s="7">
        <v>1.0</v>
      </c>
      <c r="E1182" s="6">
        <v>46018.46875</v>
      </c>
      <c r="F1182" s="5" t="s">
        <v>1221</v>
      </c>
    </row>
    <row r="1183">
      <c r="A1183" s="5">
        <v>7.351923465E9</v>
      </c>
      <c r="B1183" s="5" t="s">
        <v>1138</v>
      </c>
      <c r="C1183" s="5" t="s">
        <v>1216</v>
      </c>
      <c r="D1183" s="7">
        <v>1.0</v>
      </c>
      <c r="E1183" s="6">
        <v>46018.46875</v>
      </c>
      <c r="F1183" s="5" t="s">
        <v>1221</v>
      </c>
    </row>
    <row r="1184">
      <c r="A1184" s="5">
        <v>9.818223853E9</v>
      </c>
      <c r="B1184" s="5" t="s">
        <v>963</v>
      </c>
      <c r="C1184" s="5" t="s">
        <v>1216</v>
      </c>
      <c r="D1184" s="7">
        <v>1.0</v>
      </c>
      <c r="E1184" s="6">
        <v>46018.46875</v>
      </c>
      <c r="F1184" s="5" t="s">
        <v>1221</v>
      </c>
    </row>
    <row r="1185">
      <c r="A1185" s="5">
        <v>9.871501384E9</v>
      </c>
      <c r="B1185" s="5" t="s">
        <v>1139</v>
      </c>
      <c r="C1185" s="5" t="s">
        <v>1216</v>
      </c>
      <c r="D1185" s="7">
        <v>1.0</v>
      </c>
      <c r="E1185" s="6">
        <v>46018.46875</v>
      </c>
      <c r="F1185" s="5" t="s">
        <v>1221</v>
      </c>
    </row>
    <row r="1186">
      <c r="A1186" s="5">
        <v>9.310698129E9</v>
      </c>
      <c r="B1186" s="5" t="s">
        <v>355</v>
      </c>
      <c r="C1186" s="5" t="s">
        <v>1213</v>
      </c>
      <c r="D1186" s="7">
        <v>1.0</v>
      </c>
      <c r="E1186" s="6">
        <v>46018.46875</v>
      </c>
      <c r="F1186" s="5" t="s">
        <v>1221</v>
      </c>
    </row>
    <row r="1187">
      <c r="A1187" s="5">
        <v>9.818864604E9</v>
      </c>
      <c r="B1187" s="5" t="s">
        <v>1140</v>
      </c>
      <c r="C1187" s="5" t="s">
        <v>1216</v>
      </c>
      <c r="D1187" s="7">
        <v>1.0</v>
      </c>
      <c r="E1187" s="6">
        <v>46018.46875</v>
      </c>
      <c r="F1187" s="5" t="s">
        <v>1221</v>
      </c>
    </row>
    <row r="1188">
      <c r="A1188" s="5">
        <v>7.827056315E9</v>
      </c>
      <c r="B1188" s="5" t="s">
        <v>1141</v>
      </c>
      <c r="C1188" s="5" t="s">
        <v>1213</v>
      </c>
      <c r="D1188" s="7">
        <v>1.0</v>
      </c>
      <c r="E1188" s="6">
        <v>46018.46875</v>
      </c>
      <c r="F1188" s="5" t="s">
        <v>1221</v>
      </c>
    </row>
    <row r="1189">
      <c r="A1189" s="5">
        <v>8.971503665E9</v>
      </c>
      <c r="B1189" s="5" t="s">
        <v>1142</v>
      </c>
      <c r="C1189" s="5" t="s">
        <v>1213</v>
      </c>
      <c r="D1189" s="7">
        <v>1.0</v>
      </c>
      <c r="E1189" s="6">
        <v>46018.46875</v>
      </c>
      <c r="F1189" s="5" t="s">
        <v>1221</v>
      </c>
    </row>
    <row r="1190">
      <c r="A1190" s="5">
        <v>9.711699689E9</v>
      </c>
      <c r="B1190" s="5" t="s">
        <v>1143</v>
      </c>
      <c r="C1190" s="5" t="s">
        <v>1216</v>
      </c>
      <c r="D1190" s="7">
        <v>1.0</v>
      </c>
      <c r="E1190" s="6">
        <v>46018.46875</v>
      </c>
      <c r="F1190" s="5" t="s">
        <v>1221</v>
      </c>
    </row>
    <row r="1191">
      <c r="A1191" s="5">
        <v>8.822252225E9</v>
      </c>
      <c r="B1191" s="5" t="s">
        <v>1144</v>
      </c>
      <c r="C1191" s="5" t="s">
        <v>1213</v>
      </c>
      <c r="D1191" s="7">
        <v>1.0</v>
      </c>
      <c r="E1191" s="6">
        <v>46018.46875</v>
      </c>
      <c r="F1191" s="5" t="s">
        <v>1221</v>
      </c>
    </row>
    <row r="1192">
      <c r="A1192" s="5">
        <v>8.504863131E9</v>
      </c>
      <c r="B1192" s="5" t="s">
        <v>357</v>
      </c>
      <c r="C1192" s="5" t="s">
        <v>1216</v>
      </c>
      <c r="D1192" s="7">
        <v>1.0</v>
      </c>
      <c r="E1192" s="6">
        <v>46018.46875</v>
      </c>
      <c r="F1192" s="5" t="s">
        <v>1221</v>
      </c>
    </row>
    <row r="1193">
      <c r="A1193" s="5">
        <v>9.899988844E9</v>
      </c>
      <c r="B1193" s="5" t="s">
        <v>1145</v>
      </c>
      <c r="C1193" s="5" t="s">
        <v>1216</v>
      </c>
      <c r="D1193" s="7">
        <v>1.0</v>
      </c>
      <c r="E1193" s="6">
        <v>46018.46875</v>
      </c>
      <c r="F1193" s="5" t="s">
        <v>1221</v>
      </c>
    </row>
    <row r="1194">
      <c r="A1194" s="5">
        <v>9.896918939E9</v>
      </c>
      <c r="B1194" s="5" t="s">
        <v>1146</v>
      </c>
      <c r="C1194" s="5" t="s">
        <v>1213</v>
      </c>
      <c r="D1194" s="7">
        <v>1.0</v>
      </c>
      <c r="E1194" s="6">
        <v>46018.46875</v>
      </c>
      <c r="F1194" s="5" t="s">
        <v>1221</v>
      </c>
    </row>
    <row r="1195">
      <c r="A1195" s="5">
        <v>9.910470144E9</v>
      </c>
      <c r="B1195" s="5" t="s">
        <v>1023</v>
      </c>
      <c r="C1195" s="5" t="s">
        <v>1213</v>
      </c>
      <c r="D1195" s="7">
        <v>1.0</v>
      </c>
      <c r="E1195" s="6">
        <v>46018.46875</v>
      </c>
      <c r="F1195" s="5" t="s">
        <v>1221</v>
      </c>
    </row>
    <row r="1196">
      <c r="A1196" s="5">
        <v>9.210348773E9</v>
      </c>
      <c r="B1196" s="5" t="s">
        <v>1147</v>
      </c>
      <c r="C1196" s="5" t="s">
        <v>1213</v>
      </c>
      <c r="D1196" s="7">
        <v>1.0</v>
      </c>
      <c r="E1196" s="6">
        <v>46018.46875</v>
      </c>
      <c r="F1196" s="5" t="s">
        <v>1221</v>
      </c>
    </row>
    <row r="1197">
      <c r="A1197" s="5">
        <v>8.826236053E9</v>
      </c>
      <c r="B1197" s="5" t="s">
        <v>1330</v>
      </c>
      <c r="C1197" s="5" t="s">
        <v>1331</v>
      </c>
      <c r="D1197" s="7">
        <v>1.0</v>
      </c>
      <c r="E1197" s="6">
        <v>46018.46875</v>
      </c>
      <c r="F1197" s="5" t="s">
        <v>1221</v>
      </c>
    </row>
    <row r="1198">
      <c r="A1198" s="5">
        <v>9.650074967E9</v>
      </c>
      <c r="B1198" s="5" t="s">
        <v>1148</v>
      </c>
      <c r="C1198" s="5" t="s">
        <v>1213</v>
      </c>
      <c r="D1198" s="7">
        <v>1.0</v>
      </c>
      <c r="E1198" s="6">
        <v>46018.46875</v>
      </c>
      <c r="F1198" s="5" t="s">
        <v>1221</v>
      </c>
    </row>
    <row r="1199">
      <c r="A1199" s="5">
        <v>9.953438515E9</v>
      </c>
      <c r="B1199" s="5" t="s">
        <v>1149</v>
      </c>
      <c r="C1199" s="5" t="s">
        <v>1331</v>
      </c>
      <c r="D1199" s="7">
        <v>1.0</v>
      </c>
      <c r="E1199" s="6">
        <v>46018.46875</v>
      </c>
      <c r="F1199" s="5" t="s">
        <v>1221</v>
      </c>
    </row>
    <row r="1200">
      <c r="A1200" s="5">
        <v>9.868504376E9</v>
      </c>
      <c r="B1200" s="5" t="s">
        <v>1150</v>
      </c>
      <c r="C1200" s="5" t="s">
        <v>1331</v>
      </c>
      <c r="D1200" s="7">
        <v>1.0</v>
      </c>
      <c r="E1200" s="6">
        <v>46018.46875</v>
      </c>
      <c r="F1200" s="5" t="s">
        <v>1221</v>
      </c>
    </row>
    <row r="1201">
      <c r="A1201" s="5">
        <v>9.989148791E9</v>
      </c>
      <c r="B1201" s="5" t="s">
        <v>1151</v>
      </c>
      <c r="C1201" s="5" t="s">
        <v>1213</v>
      </c>
      <c r="D1201" s="7">
        <v>1.0</v>
      </c>
      <c r="E1201" s="6">
        <v>46018.46875</v>
      </c>
      <c r="F1201" s="5" t="s">
        <v>1221</v>
      </c>
    </row>
    <row r="1202">
      <c r="A1202" s="5">
        <v>8.130876428E9</v>
      </c>
      <c r="B1202" s="5" t="s">
        <v>1152</v>
      </c>
      <c r="C1202" s="5" t="s">
        <v>1331</v>
      </c>
      <c r="D1202" s="7">
        <v>1.0</v>
      </c>
      <c r="E1202" s="6">
        <v>46018.46875</v>
      </c>
      <c r="F1202" s="5" t="s">
        <v>1221</v>
      </c>
    </row>
    <row r="1203">
      <c r="A1203" s="5">
        <v>8.708850971E9</v>
      </c>
      <c r="B1203" s="5" t="s">
        <v>1153</v>
      </c>
      <c r="C1203" s="5" t="s">
        <v>1213</v>
      </c>
      <c r="D1203" s="7">
        <v>1.0</v>
      </c>
      <c r="E1203" s="6">
        <v>46018.46875</v>
      </c>
      <c r="F1203" s="5" t="s">
        <v>1221</v>
      </c>
    </row>
    <row r="1204">
      <c r="A1204" s="5">
        <v>8.826236053E9</v>
      </c>
      <c r="B1204" s="5" t="s">
        <v>359</v>
      </c>
      <c r="C1204" s="5" t="s">
        <v>1213</v>
      </c>
      <c r="D1204" s="7">
        <v>1.0</v>
      </c>
      <c r="E1204" s="6">
        <v>46018.46875</v>
      </c>
      <c r="F1204" s="5" t="s">
        <v>1221</v>
      </c>
    </row>
    <row r="1205">
      <c r="A1205" s="5">
        <v>9.582971001E9</v>
      </c>
      <c r="B1205" s="5" t="s">
        <v>1154</v>
      </c>
      <c r="C1205" s="5" t="s">
        <v>1213</v>
      </c>
      <c r="D1205" s="7">
        <v>1.0</v>
      </c>
      <c r="E1205" s="6">
        <v>46018.46875</v>
      </c>
      <c r="F1205" s="5" t="s">
        <v>1221</v>
      </c>
    </row>
    <row r="1206">
      <c r="A1206" s="5">
        <v>8.375933947E9</v>
      </c>
      <c r="B1206" s="5" t="s">
        <v>360</v>
      </c>
      <c r="C1206" s="5" t="s">
        <v>1331</v>
      </c>
      <c r="D1206" s="7">
        <v>1.0</v>
      </c>
      <c r="E1206" s="6">
        <v>46018.46875</v>
      </c>
      <c r="F1206" s="5" t="s">
        <v>1221</v>
      </c>
    </row>
    <row r="1207">
      <c r="A1207" s="5">
        <v>9.818864604E9</v>
      </c>
      <c r="B1207" s="5" t="s">
        <v>1140</v>
      </c>
      <c r="C1207" s="5" t="s">
        <v>1213</v>
      </c>
      <c r="D1207" s="7">
        <v>1.0</v>
      </c>
      <c r="E1207" s="6">
        <v>46018.46875</v>
      </c>
      <c r="F1207" s="5" t="s">
        <v>1221</v>
      </c>
    </row>
    <row r="1208">
      <c r="A1208" s="5">
        <v>8.860930737E9</v>
      </c>
      <c r="B1208" s="5" t="s">
        <v>1156</v>
      </c>
      <c r="C1208" s="5" t="s">
        <v>1331</v>
      </c>
      <c r="D1208" s="7">
        <v>1.0</v>
      </c>
      <c r="E1208" s="6">
        <v>46018.46875</v>
      </c>
      <c r="F1208" s="5" t="s">
        <v>1221</v>
      </c>
    </row>
    <row r="1209">
      <c r="A1209" s="5">
        <v>8.794449636E9</v>
      </c>
      <c r="B1209" s="5" t="s">
        <v>1157</v>
      </c>
      <c r="C1209" s="5" t="s">
        <v>1331</v>
      </c>
      <c r="D1209" s="7">
        <v>1.0</v>
      </c>
      <c r="E1209" s="6">
        <v>46018.46875</v>
      </c>
      <c r="F1209" s="5" t="s">
        <v>1221</v>
      </c>
    </row>
    <row r="1210">
      <c r="A1210" s="5">
        <v>8.0705103E9</v>
      </c>
      <c r="B1210" s="5" t="s">
        <v>1158</v>
      </c>
      <c r="C1210" s="5" t="s">
        <v>1331</v>
      </c>
      <c r="D1210" s="7">
        <v>1.0</v>
      </c>
      <c r="E1210" s="6">
        <v>46018.46875</v>
      </c>
      <c r="F1210" s="5" t="s">
        <v>1221</v>
      </c>
    </row>
    <row r="1211">
      <c r="A1211" s="5">
        <v>8.586925507E9</v>
      </c>
      <c r="B1211" s="5" t="s">
        <v>1159</v>
      </c>
      <c r="C1211" s="5" t="s">
        <v>1331</v>
      </c>
      <c r="D1211" s="7">
        <v>1.0</v>
      </c>
      <c r="E1211" s="6">
        <v>46018.46875</v>
      </c>
      <c r="F1211" s="5" t="s">
        <v>1221</v>
      </c>
    </row>
    <row r="1212">
      <c r="A1212" s="5">
        <v>8.8529798E9</v>
      </c>
      <c r="B1212" s="5" t="s">
        <v>1160</v>
      </c>
      <c r="C1212" s="5" t="s">
        <v>1213</v>
      </c>
      <c r="D1212" s="7">
        <v>1.0</v>
      </c>
      <c r="E1212" s="6">
        <v>46018.46875</v>
      </c>
      <c r="F1212" s="5" t="s">
        <v>1221</v>
      </c>
    </row>
    <row r="1213">
      <c r="A1213" s="5">
        <v>9.899074822E9</v>
      </c>
      <c r="B1213" s="5" t="s">
        <v>1161</v>
      </c>
      <c r="C1213" s="5" t="s">
        <v>1331</v>
      </c>
      <c r="D1213" s="7">
        <v>1.0</v>
      </c>
      <c r="E1213" s="6">
        <v>46018.46875</v>
      </c>
      <c r="F1213" s="5" t="s">
        <v>1221</v>
      </c>
    </row>
    <row r="1214">
      <c r="A1214" s="5">
        <v>9.622499867E9</v>
      </c>
      <c r="B1214" s="5" t="s">
        <v>1162</v>
      </c>
      <c r="C1214" s="5" t="s">
        <v>1213</v>
      </c>
      <c r="D1214" s="7">
        <v>1.0</v>
      </c>
      <c r="E1214" s="6">
        <v>46018.46875</v>
      </c>
      <c r="F1214" s="5" t="s">
        <v>1221</v>
      </c>
    </row>
    <row r="1215">
      <c r="A1215" s="5">
        <v>8.130887311E9</v>
      </c>
      <c r="B1215" s="5" t="s">
        <v>1163</v>
      </c>
      <c r="C1215" s="5" t="s">
        <v>1213</v>
      </c>
      <c r="D1215" s="7">
        <v>1.0</v>
      </c>
      <c r="E1215" s="6">
        <v>46018.46875</v>
      </c>
      <c r="F1215" s="5" t="s">
        <v>1221</v>
      </c>
    </row>
    <row r="1216">
      <c r="A1216" s="5">
        <v>9.810019487E9</v>
      </c>
      <c r="B1216" s="5" t="s">
        <v>361</v>
      </c>
      <c r="C1216" s="5" t="s">
        <v>1213</v>
      </c>
      <c r="D1216" s="7">
        <v>1.0</v>
      </c>
      <c r="E1216" s="6">
        <v>46018.46875</v>
      </c>
      <c r="F1216" s="5" t="s">
        <v>1221</v>
      </c>
    </row>
    <row r="1217">
      <c r="A1217" s="5">
        <v>9.871463768E9</v>
      </c>
      <c r="B1217" s="5" t="s">
        <v>1164</v>
      </c>
      <c r="C1217" s="5" t="s">
        <v>1213</v>
      </c>
      <c r="D1217" s="7">
        <v>1.0</v>
      </c>
      <c r="E1217" s="6">
        <v>46018.46875</v>
      </c>
      <c r="F1217" s="5" t="s">
        <v>1221</v>
      </c>
    </row>
    <row r="1218">
      <c r="A1218" s="5">
        <v>9.716579227E9</v>
      </c>
      <c r="B1218" s="5" t="s">
        <v>1165</v>
      </c>
      <c r="C1218" s="5" t="s">
        <v>1331</v>
      </c>
      <c r="D1218" s="7">
        <v>1.0</v>
      </c>
      <c r="E1218" s="6">
        <v>46018.46875</v>
      </c>
      <c r="F1218" s="5" t="s">
        <v>1221</v>
      </c>
    </row>
    <row r="1219">
      <c r="A1219" s="5">
        <v>9.899965297E9</v>
      </c>
      <c r="B1219" s="5" t="s">
        <v>1166</v>
      </c>
      <c r="C1219" s="5" t="s">
        <v>1213</v>
      </c>
      <c r="D1219" s="7">
        <v>1.0</v>
      </c>
      <c r="E1219" s="6">
        <v>46018.46875</v>
      </c>
      <c r="F1219" s="5" t="s">
        <v>1221</v>
      </c>
    </row>
    <row r="1220">
      <c r="A1220" s="5">
        <v>7.011744188E9</v>
      </c>
      <c r="B1220" s="5" t="s">
        <v>1167</v>
      </c>
      <c r="C1220" s="5" t="s">
        <v>1331</v>
      </c>
      <c r="D1220" s="7">
        <v>1.0</v>
      </c>
      <c r="E1220" s="6">
        <v>46018.46875</v>
      </c>
      <c r="F1220" s="5" t="s">
        <v>1221</v>
      </c>
    </row>
    <row r="1221">
      <c r="A1221" s="5">
        <v>9.911385399E9</v>
      </c>
      <c r="B1221" s="5" t="s">
        <v>1168</v>
      </c>
      <c r="C1221" s="5" t="s">
        <v>1331</v>
      </c>
      <c r="D1221" s="7">
        <v>1.0</v>
      </c>
      <c r="E1221" s="6">
        <v>46018.46875</v>
      </c>
      <c r="F1221" s="5" t="s">
        <v>1221</v>
      </c>
    </row>
    <row r="1222">
      <c r="A1222" s="5">
        <v>9.205976385E9</v>
      </c>
      <c r="B1222" s="5" t="s">
        <v>1169</v>
      </c>
      <c r="C1222" s="5" t="s">
        <v>1213</v>
      </c>
      <c r="D1222" s="7">
        <v>1.0</v>
      </c>
      <c r="E1222" s="6">
        <v>46018.46875</v>
      </c>
      <c r="F1222" s="5" t="s">
        <v>1221</v>
      </c>
    </row>
    <row r="1223">
      <c r="A1223" s="5">
        <v>9.643268623E9</v>
      </c>
      <c r="B1223" s="5" t="s">
        <v>1332</v>
      </c>
      <c r="C1223" s="5" t="s">
        <v>1331</v>
      </c>
      <c r="D1223" s="7">
        <v>1.0</v>
      </c>
      <c r="E1223" s="6">
        <v>46018.46875</v>
      </c>
      <c r="F1223" s="5" t="s">
        <v>1221</v>
      </c>
    </row>
    <row r="1224">
      <c r="A1224" s="5">
        <v>8.911032336E9</v>
      </c>
      <c r="B1224" s="5" t="s">
        <v>1171</v>
      </c>
      <c r="C1224" s="5" t="s">
        <v>1213</v>
      </c>
      <c r="D1224" s="7">
        <v>1.0</v>
      </c>
      <c r="E1224" s="6">
        <v>46018.46875</v>
      </c>
      <c r="F1224" s="5" t="s">
        <v>1221</v>
      </c>
    </row>
    <row r="1225">
      <c r="A1225" s="5">
        <v>9.796224005E9</v>
      </c>
      <c r="B1225" s="5" t="s">
        <v>1333</v>
      </c>
      <c r="C1225" s="5" t="s">
        <v>1331</v>
      </c>
      <c r="D1225" s="7">
        <v>1.0</v>
      </c>
      <c r="E1225" s="6">
        <v>46018.46875</v>
      </c>
      <c r="F1225" s="5" t="s">
        <v>1221</v>
      </c>
    </row>
    <row r="1226">
      <c r="A1226" s="5">
        <v>8.860183073E9</v>
      </c>
      <c r="B1226" s="5" t="s">
        <v>1053</v>
      </c>
      <c r="C1226" s="5" t="s">
        <v>1213</v>
      </c>
      <c r="D1226" s="7">
        <v>1.0</v>
      </c>
      <c r="E1226" s="6">
        <v>46018.46875</v>
      </c>
      <c r="F1226" s="5" t="s">
        <v>1221</v>
      </c>
    </row>
    <row r="1227">
      <c r="A1227" s="5">
        <v>8.595342299E9</v>
      </c>
      <c r="B1227" s="5" t="s">
        <v>1250</v>
      </c>
      <c r="C1227" s="5" t="s">
        <v>1331</v>
      </c>
      <c r="D1227" s="7">
        <v>1.0</v>
      </c>
      <c r="E1227" s="6">
        <v>46018.46875</v>
      </c>
      <c r="F1227" s="5" t="s">
        <v>1221</v>
      </c>
    </row>
    <row r="1228">
      <c r="A1228" s="5">
        <v>8.130302299E9</v>
      </c>
      <c r="B1228" s="5" t="s">
        <v>1334</v>
      </c>
      <c r="C1228" s="5" t="s">
        <v>1331</v>
      </c>
      <c r="D1228" s="7">
        <v>1.0</v>
      </c>
      <c r="E1228" s="6">
        <v>46018.46875</v>
      </c>
      <c r="F1228" s="5" t="s">
        <v>1221</v>
      </c>
    </row>
    <row r="1229">
      <c r="A1229" s="5">
        <v>9.21729979E9</v>
      </c>
      <c r="B1229" s="5" t="s">
        <v>1335</v>
      </c>
      <c r="C1229" s="5" t="s">
        <v>1213</v>
      </c>
      <c r="D1229" s="7">
        <v>1.0</v>
      </c>
      <c r="E1229" s="6">
        <v>46018.46875</v>
      </c>
      <c r="F1229" s="5" t="s">
        <v>1221</v>
      </c>
    </row>
    <row r="1230">
      <c r="A1230" s="5">
        <v>8.095720564E9</v>
      </c>
      <c r="B1230" s="5" t="s">
        <v>1174</v>
      </c>
      <c r="C1230" s="5" t="s">
        <v>1331</v>
      </c>
      <c r="D1230" s="7">
        <v>1.0</v>
      </c>
      <c r="E1230" s="6">
        <v>46018.46875</v>
      </c>
      <c r="F1230" s="5" t="s">
        <v>1221</v>
      </c>
    </row>
    <row r="1231">
      <c r="A1231" s="5">
        <v>8.218191244E9</v>
      </c>
      <c r="B1231" s="5" t="s">
        <v>1175</v>
      </c>
      <c r="C1231" s="5" t="s">
        <v>1331</v>
      </c>
      <c r="D1231" s="7">
        <v>1.0</v>
      </c>
      <c r="E1231" s="6">
        <v>46018.46875</v>
      </c>
      <c r="F1231" s="5" t="s">
        <v>1221</v>
      </c>
    </row>
    <row r="1232">
      <c r="A1232" s="5">
        <v>9.910116364E9</v>
      </c>
      <c r="B1232" s="5" t="s">
        <v>1176</v>
      </c>
      <c r="C1232" s="5" t="s">
        <v>1213</v>
      </c>
      <c r="D1232" s="7">
        <v>1.0</v>
      </c>
      <c r="E1232" s="6">
        <v>46018.46875</v>
      </c>
      <c r="F1232" s="5" t="s">
        <v>1221</v>
      </c>
    </row>
    <row r="1233">
      <c r="A1233" s="5">
        <v>8.826871984E9</v>
      </c>
      <c r="B1233" s="5" t="s">
        <v>1319</v>
      </c>
      <c r="C1233" s="5" t="s">
        <v>1331</v>
      </c>
      <c r="D1233" s="7">
        <v>1.0</v>
      </c>
      <c r="E1233" s="6">
        <v>46018.46875</v>
      </c>
      <c r="F1233" s="5" t="s">
        <v>1221</v>
      </c>
    </row>
    <row r="1234">
      <c r="A1234" s="5">
        <v>9.910116304E9</v>
      </c>
      <c r="B1234" s="5" t="s">
        <v>1336</v>
      </c>
      <c r="C1234" s="5" t="s">
        <v>1213</v>
      </c>
      <c r="D1234" s="7">
        <v>1.0</v>
      </c>
      <c r="E1234" s="6">
        <v>46018.46875</v>
      </c>
      <c r="F1234" s="5" t="s">
        <v>1221</v>
      </c>
    </row>
    <row r="1235">
      <c r="A1235" s="5">
        <v>9.350104287E9</v>
      </c>
      <c r="B1235" s="5" t="s">
        <v>1177</v>
      </c>
      <c r="C1235" s="5" t="s">
        <v>1213</v>
      </c>
      <c r="D1235" s="7">
        <v>1.0</v>
      </c>
      <c r="E1235" s="6">
        <v>46018.46875</v>
      </c>
      <c r="F1235" s="5" t="s">
        <v>1221</v>
      </c>
    </row>
    <row r="1236">
      <c r="A1236" s="5">
        <v>9.899725515E9</v>
      </c>
      <c r="B1236" s="5" t="s">
        <v>365</v>
      </c>
      <c r="C1236" s="5" t="s">
        <v>1213</v>
      </c>
      <c r="D1236" s="7">
        <v>1.0</v>
      </c>
      <c r="E1236" s="6">
        <v>46018.46875</v>
      </c>
      <c r="F1236" s="5" t="s">
        <v>1221</v>
      </c>
    </row>
    <row r="1237">
      <c r="A1237" s="5">
        <v>9.350115868E9</v>
      </c>
      <c r="B1237" s="5" t="s">
        <v>1179</v>
      </c>
      <c r="C1237" s="5" t="s">
        <v>1331</v>
      </c>
      <c r="D1237" s="7">
        <v>1.0</v>
      </c>
      <c r="E1237" s="6">
        <v>46018.46875</v>
      </c>
      <c r="F1237" s="5" t="s">
        <v>1221</v>
      </c>
    </row>
    <row r="1238">
      <c r="A1238" s="5">
        <v>9.110083501E9</v>
      </c>
      <c r="B1238" s="5" t="s">
        <v>1337</v>
      </c>
      <c r="C1238" s="5" t="s">
        <v>1331</v>
      </c>
      <c r="D1238" s="7">
        <v>1.0</v>
      </c>
      <c r="E1238" s="6">
        <v>46018.46875</v>
      </c>
      <c r="F1238" s="5" t="s">
        <v>1221</v>
      </c>
    </row>
    <row r="1239">
      <c r="A1239" s="5">
        <v>9.891184225E9</v>
      </c>
      <c r="B1239" s="5" t="s">
        <v>1181</v>
      </c>
      <c r="C1239" s="5" t="s">
        <v>1213</v>
      </c>
      <c r="D1239" s="7">
        <v>1.0</v>
      </c>
      <c r="E1239" s="6">
        <v>46018.46875</v>
      </c>
      <c r="F1239" s="5" t="s">
        <v>1221</v>
      </c>
    </row>
    <row r="1240">
      <c r="A1240" s="5">
        <v>9.416519794E9</v>
      </c>
      <c r="B1240" s="5" t="s">
        <v>1233</v>
      </c>
      <c r="C1240" s="5" t="s">
        <v>1213</v>
      </c>
      <c r="D1240" s="7">
        <v>1.0</v>
      </c>
      <c r="E1240" s="6">
        <v>46018.46875</v>
      </c>
      <c r="F1240" s="5" t="s">
        <v>1275</v>
      </c>
    </row>
    <row r="1241">
      <c r="A1241" s="5">
        <v>8.491028157E9</v>
      </c>
      <c r="B1241" s="5" t="s">
        <v>1182</v>
      </c>
      <c r="C1241" s="5" t="s">
        <v>1213</v>
      </c>
      <c r="D1241" s="7">
        <v>1.0</v>
      </c>
      <c r="E1241" s="6">
        <v>46018.46875</v>
      </c>
      <c r="F1241" s="5" t="s">
        <v>1275</v>
      </c>
    </row>
    <row r="1242">
      <c r="A1242" s="5">
        <v>9.034107797E9</v>
      </c>
      <c r="B1242" s="5" t="s">
        <v>1330</v>
      </c>
      <c r="C1242" s="5" t="s">
        <v>1331</v>
      </c>
      <c r="D1242" s="7">
        <v>1.0</v>
      </c>
      <c r="E1242" s="6">
        <v>46018.46875</v>
      </c>
      <c r="F1242" s="5" t="s">
        <v>1221</v>
      </c>
    </row>
    <row r="1243">
      <c r="A1243" s="5">
        <v>9.821722208E9</v>
      </c>
      <c r="B1243" s="5" t="s">
        <v>1183</v>
      </c>
      <c r="C1243" s="5" t="s">
        <v>1213</v>
      </c>
      <c r="D1243" s="7">
        <v>1.0</v>
      </c>
      <c r="E1243" s="6">
        <v>46018.46875</v>
      </c>
      <c r="F1243" s="5" t="s">
        <v>1275</v>
      </c>
    </row>
    <row r="1244">
      <c r="A1244" s="5">
        <v>9.013362005E9</v>
      </c>
      <c r="B1244" s="5" t="s">
        <v>1184</v>
      </c>
      <c r="C1244" s="5" t="s">
        <v>1213</v>
      </c>
      <c r="D1244" s="7">
        <v>1.0</v>
      </c>
      <c r="E1244" s="6">
        <v>46018.46875</v>
      </c>
      <c r="F1244" s="5" t="s">
        <v>1275</v>
      </c>
    </row>
    <row r="1245">
      <c r="A1245" s="5">
        <v>9.810578174E9</v>
      </c>
      <c r="B1245" s="5" t="s">
        <v>65</v>
      </c>
      <c r="C1245" s="5" t="s">
        <v>1213</v>
      </c>
      <c r="D1245" s="7">
        <v>1.0</v>
      </c>
      <c r="E1245" s="6">
        <v>46018.46875</v>
      </c>
      <c r="F1245" s="5" t="s">
        <v>1275</v>
      </c>
    </row>
    <row r="1246">
      <c r="A1246" s="5">
        <v>9.821776055E9</v>
      </c>
      <c r="B1246" s="5" t="s">
        <v>1185</v>
      </c>
      <c r="C1246" s="5" t="s">
        <v>1213</v>
      </c>
      <c r="D1246" s="7">
        <v>1.0</v>
      </c>
      <c r="E1246" s="6">
        <v>46018.46875</v>
      </c>
      <c r="F1246" s="5" t="s">
        <v>1275</v>
      </c>
    </row>
    <row r="1247">
      <c r="A1247" s="5">
        <v>8.368953488E9</v>
      </c>
      <c r="B1247" s="5" t="s">
        <v>276</v>
      </c>
      <c r="C1247" s="5" t="s">
        <v>1213</v>
      </c>
      <c r="D1247" s="7">
        <v>1.0</v>
      </c>
      <c r="E1247" s="6">
        <v>46018.46875</v>
      </c>
      <c r="F1247" s="5" t="s">
        <v>1275</v>
      </c>
    </row>
    <row r="1248">
      <c r="A1248" s="5">
        <v>8.92048752E9</v>
      </c>
      <c r="B1248" s="5" t="s">
        <v>1186</v>
      </c>
      <c r="C1248" s="5" t="s">
        <v>1331</v>
      </c>
      <c r="D1248" s="7">
        <v>1.0</v>
      </c>
      <c r="E1248" s="6">
        <v>46018.46875</v>
      </c>
      <c r="F1248" s="5" t="s">
        <v>1221</v>
      </c>
    </row>
    <row r="1249">
      <c r="A1249" s="5">
        <v>9.625470327E9</v>
      </c>
      <c r="B1249" s="5" t="s">
        <v>708</v>
      </c>
      <c r="C1249" s="5" t="s">
        <v>1214</v>
      </c>
      <c r="D1249" s="7">
        <v>1.0</v>
      </c>
      <c r="E1249" s="6">
        <v>46019.46875</v>
      </c>
      <c r="F1249" s="5" t="s">
        <v>1221</v>
      </c>
    </row>
    <row r="1250">
      <c r="A1250" s="5">
        <v>9.4151457E9</v>
      </c>
      <c r="B1250" s="5" t="s">
        <v>1014</v>
      </c>
      <c r="C1250" s="5" t="s">
        <v>1214</v>
      </c>
      <c r="D1250" s="7">
        <v>1.0</v>
      </c>
      <c r="E1250" s="6">
        <v>46020.46875</v>
      </c>
      <c r="F1250" s="5" t="s">
        <v>1221</v>
      </c>
    </row>
    <row r="1251">
      <c r="A1251" s="5">
        <v>8.800319246E9</v>
      </c>
      <c r="B1251" s="5" t="s">
        <v>1015</v>
      </c>
      <c r="C1251" s="5" t="s">
        <v>1214</v>
      </c>
      <c r="D1251" s="7">
        <v>1.0</v>
      </c>
      <c r="E1251" s="6">
        <v>46020.46875</v>
      </c>
      <c r="F1251" s="5" t="s">
        <v>1221</v>
      </c>
    </row>
    <row r="1252">
      <c r="A1252" s="5">
        <v>8.70039129E9</v>
      </c>
      <c r="B1252" s="5" t="s">
        <v>951</v>
      </c>
      <c r="C1252" s="5" t="s">
        <v>1214</v>
      </c>
      <c r="D1252" s="7">
        <v>1.0</v>
      </c>
      <c r="E1252" s="6">
        <v>46020.46875</v>
      </c>
      <c r="F1252" s="5" t="s">
        <v>1221</v>
      </c>
    </row>
    <row r="1253">
      <c r="A1253" s="5">
        <v>9.968016155E9</v>
      </c>
      <c r="B1253" s="5" t="s">
        <v>1016</v>
      </c>
      <c r="C1253" s="5" t="s">
        <v>1214</v>
      </c>
      <c r="D1253" s="7">
        <v>1.0</v>
      </c>
      <c r="E1253" s="6">
        <v>46020.46875</v>
      </c>
      <c r="F1253" s="5" t="s">
        <v>1221</v>
      </c>
    </row>
    <row r="1254">
      <c r="A1254" s="5">
        <v>9.899699432E9</v>
      </c>
      <c r="B1254" s="5" t="s">
        <v>1017</v>
      </c>
      <c r="C1254" s="5" t="s">
        <v>1214</v>
      </c>
      <c r="D1254" s="7">
        <v>1.0</v>
      </c>
      <c r="E1254" s="6">
        <v>46020.46875</v>
      </c>
      <c r="F1254" s="5" t="s">
        <v>1221</v>
      </c>
    </row>
    <row r="1255">
      <c r="A1255" s="5">
        <v>9.953438515E9</v>
      </c>
      <c r="B1255" s="5" t="s">
        <v>1149</v>
      </c>
      <c r="C1255" s="5" t="s">
        <v>1216</v>
      </c>
      <c r="D1255" s="7">
        <v>1.0</v>
      </c>
      <c r="E1255" s="6">
        <v>46021.46875</v>
      </c>
      <c r="F1255" s="5" t="s">
        <v>1221</v>
      </c>
    </row>
    <row r="1256">
      <c r="A1256" s="5">
        <v>9.868504376E9</v>
      </c>
      <c r="B1256" s="5" t="s">
        <v>1150</v>
      </c>
      <c r="C1256" s="5" t="s">
        <v>1216</v>
      </c>
      <c r="D1256" s="7">
        <v>1.0</v>
      </c>
      <c r="E1256" s="6">
        <v>46021.46875</v>
      </c>
      <c r="F1256" s="5" t="s">
        <v>1221</v>
      </c>
    </row>
    <row r="1257">
      <c r="A1257" s="5">
        <v>9.896059501E9</v>
      </c>
      <c r="B1257" s="5" t="s">
        <v>169</v>
      </c>
      <c r="C1257" s="5" t="s">
        <v>1213</v>
      </c>
      <c r="D1257" s="7">
        <v>1.0</v>
      </c>
      <c r="E1257" s="6">
        <v>46021.46875</v>
      </c>
      <c r="F1257" s="5" t="s">
        <v>1275</v>
      </c>
    </row>
    <row r="1258">
      <c r="A1258" s="5">
        <v>9.958149785E9</v>
      </c>
      <c r="B1258" s="5" t="s">
        <v>569</v>
      </c>
      <c r="C1258" s="5" t="s">
        <v>1213</v>
      </c>
      <c r="D1258" s="7">
        <v>1.0</v>
      </c>
      <c r="E1258" s="6">
        <v>46021.46875</v>
      </c>
      <c r="F1258" s="5" t="s">
        <v>1275</v>
      </c>
    </row>
    <row r="1259">
      <c r="A1259" s="5">
        <v>8.267693002E9</v>
      </c>
      <c r="B1259" s="5" t="s">
        <v>1187</v>
      </c>
      <c r="C1259" s="5" t="s">
        <v>1331</v>
      </c>
      <c r="D1259" s="7">
        <v>1.0</v>
      </c>
      <c r="E1259" s="6">
        <v>46021.46875</v>
      </c>
      <c r="F1259" s="5" t="s">
        <v>1221</v>
      </c>
    </row>
    <row r="1260">
      <c r="A1260" s="5">
        <v>9.910950257E9</v>
      </c>
      <c r="B1260" s="5" t="s">
        <v>367</v>
      </c>
      <c r="C1260" s="5" t="s">
        <v>1331</v>
      </c>
      <c r="D1260" s="7">
        <v>1.0</v>
      </c>
      <c r="E1260" s="6">
        <v>46021.46875</v>
      </c>
      <c r="F1260" s="5" t="s">
        <v>1221</v>
      </c>
    </row>
    <row r="1261">
      <c r="A1261" s="5">
        <v>9.8991E9</v>
      </c>
      <c r="B1261" s="5" t="s">
        <v>860</v>
      </c>
      <c r="C1261" s="5" t="s">
        <v>1209</v>
      </c>
      <c r="D1261" s="7">
        <v>1.0</v>
      </c>
      <c r="E1261" s="6">
        <v>46022.46875</v>
      </c>
      <c r="F1261" s="5" t="s">
        <v>1221</v>
      </c>
    </row>
    <row r="1262">
      <c r="A1262" s="5">
        <v>8.076545582E9</v>
      </c>
      <c r="B1262" s="5" t="s">
        <v>826</v>
      </c>
      <c r="C1262" s="5" t="s">
        <v>1209</v>
      </c>
      <c r="D1262" s="7">
        <v>1.0</v>
      </c>
      <c r="E1262" s="6">
        <v>46022.46875</v>
      </c>
      <c r="F1262" s="5" t="s">
        <v>1221</v>
      </c>
    </row>
    <row r="1263">
      <c r="A1263" s="5">
        <v>8.130876428E9</v>
      </c>
      <c r="B1263" s="5" t="s">
        <v>1152</v>
      </c>
      <c r="C1263" s="5" t="s">
        <v>1216</v>
      </c>
      <c r="D1263" s="7">
        <v>1.0</v>
      </c>
      <c r="E1263" s="6">
        <v>46022.46875</v>
      </c>
      <c r="F1263" s="5" t="s">
        <v>1221</v>
      </c>
    </row>
    <row r="1264">
      <c r="A1264" s="5">
        <v>9.999949301E9</v>
      </c>
      <c r="B1264" s="5" t="s">
        <v>1018</v>
      </c>
      <c r="C1264" s="5" t="s">
        <v>1214</v>
      </c>
      <c r="D1264" s="7">
        <v>1.0</v>
      </c>
      <c r="E1264" s="6">
        <v>46024.46875</v>
      </c>
      <c r="F1264" s="5" t="s">
        <v>1221</v>
      </c>
    </row>
    <row r="1265">
      <c r="A1265" s="5">
        <v>9.310083603E9</v>
      </c>
      <c r="B1265" s="5" t="s">
        <v>1019</v>
      </c>
      <c r="C1265" s="5" t="s">
        <v>1214</v>
      </c>
      <c r="D1265" s="7">
        <v>1.0</v>
      </c>
      <c r="E1265" s="6">
        <v>46024.46875</v>
      </c>
      <c r="F1265" s="5" t="s">
        <v>1221</v>
      </c>
    </row>
    <row r="1266">
      <c r="A1266" s="5">
        <v>8.708014248E9</v>
      </c>
      <c r="B1266" s="5" t="s">
        <v>1325</v>
      </c>
      <c r="C1266" s="5" t="s">
        <v>1214</v>
      </c>
      <c r="D1266" s="7">
        <v>1.0</v>
      </c>
      <c r="E1266" s="6">
        <v>46026.46875</v>
      </c>
      <c r="F1266" s="5" t="s">
        <v>1221</v>
      </c>
    </row>
    <row r="1267">
      <c r="A1267" s="5">
        <v>9.029845655E9</v>
      </c>
      <c r="B1267" s="5" t="s">
        <v>862</v>
      </c>
      <c r="C1267" s="5" t="s">
        <v>1209</v>
      </c>
      <c r="D1267" s="7">
        <v>1.0</v>
      </c>
      <c r="E1267" s="6">
        <v>46027.46875</v>
      </c>
      <c r="F1267" s="5" t="s">
        <v>1221</v>
      </c>
    </row>
    <row r="1268">
      <c r="A1268" s="5">
        <v>9.811159032E9</v>
      </c>
      <c r="B1268" s="5" t="s">
        <v>1327</v>
      </c>
      <c r="C1268" s="5" t="s">
        <v>1214</v>
      </c>
      <c r="D1268" s="7">
        <v>1.0</v>
      </c>
      <c r="E1268" s="6">
        <v>46027.46875</v>
      </c>
      <c r="F1268" s="5" t="s">
        <v>1221</v>
      </c>
    </row>
    <row r="1269">
      <c r="A1269" s="5">
        <v>9.250873439E9</v>
      </c>
      <c r="B1269" s="5" t="s">
        <v>1029</v>
      </c>
      <c r="C1269" s="5" t="s">
        <v>1214</v>
      </c>
      <c r="D1269" s="7">
        <v>1.0</v>
      </c>
      <c r="E1269" s="6">
        <v>46027.46875</v>
      </c>
      <c r="F1269" s="5" t="s">
        <v>1221</v>
      </c>
    </row>
    <row r="1270">
      <c r="A1270" s="5">
        <v>8.700142855E9</v>
      </c>
      <c r="B1270" s="5" t="s">
        <v>1031</v>
      </c>
      <c r="C1270" s="5" t="s">
        <v>1214</v>
      </c>
      <c r="D1270" s="7">
        <v>1.0</v>
      </c>
      <c r="E1270" s="6">
        <v>46027.46875</v>
      </c>
      <c r="F1270" s="5" t="s">
        <v>1221</v>
      </c>
    </row>
    <row r="1271">
      <c r="A1271" s="5">
        <v>8.375933947E9</v>
      </c>
      <c r="B1271" s="5" t="s">
        <v>360</v>
      </c>
      <c r="C1271" s="5" t="s">
        <v>1216</v>
      </c>
      <c r="D1271" s="7">
        <v>1.0</v>
      </c>
      <c r="E1271" s="6">
        <v>46028.46875</v>
      </c>
      <c r="F1271" s="5" t="s">
        <v>1221</v>
      </c>
    </row>
    <row r="1272">
      <c r="A1272" s="5">
        <v>9.013687215E9</v>
      </c>
      <c r="B1272" s="5" t="s">
        <v>863</v>
      </c>
      <c r="C1272" s="5" t="s">
        <v>1209</v>
      </c>
      <c r="D1272" s="7">
        <v>1.0</v>
      </c>
      <c r="E1272" s="6">
        <v>46029.46875</v>
      </c>
      <c r="F1272" s="5" t="s">
        <v>1221</v>
      </c>
    </row>
    <row r="1273">
      <c r="A1273" s="5">
        <v>8.860930737E9</v>
      </c>
      <c r="B1273" s="5" t="s">
        <v>1156</v>
      </c>
      <c r="C1273" s="5" t="s">
        <v>1216</v>
      </c>
      <c r="D1273" s="7">
        <v>1.0</v>
      </c>
      <c r="E1273" s="6">
        <v>46029.46875</v>
      </c>
      <c r="F1273" s="5" t="s">
        <v>1221</v>
      </c>
    </row>
    <row r="1274">
      <c r="A1274" s="5">
        <v>8.794449636E9</v>
      </c>
      <c r="B1274" s="5" t="s">
        <v>1157</v>
      </c>
      <c r="C1274" s="5" t="s">
        <v>1216</v>
      </c>
      <c r="D1274" s="7">
        <v>1.0</v>
      </c>
      <c r="E1274" s="6">
        <v>46029.46875</v>
      </c>
      <c r="F1274" s="5" t="s">
        <v>1221</v>
      </c>
    </row>
    <row r="1275">
      <c r="A1275" s="5">
        <v>8.0705103E9</v>
      </c>
      <c r="B1275" s="5" t="s">
        <v>1158</v>
      </c>
      <c r="C1275" s="5" t="s">
        <v>1216</v>
      </c>
      <c r="D1275" s="7">
        <v>1.0</v>
      </c>
      <c r="E1275" s="6">
        <v>46029.46875</v>
      </c>
      <c r="F1275" s="5" t="s">
        <v>1221</v>
      </c>
    </row>
    <row r="1276">
      <c r="A1276" s="5">
        <v>8.586925507E9</v>
      </c>
      <c r="B1276" s="5" t="s">
        <v>1159</v>
      </c>
      <c r="C1276" s="5" t="s">
        <v>1216</v>
      </c>
      <c r="D1276" s="7">
        <v>1.0</v>
      </c>
      <c r="E1276" s="6">
        <v>46029.46875</v>
      </c>
      <c r="F1276" s="5" t="s">
        <v>1221</v>
      </c>
    </row>
    <row r="1277">
      <c r="A1277" s="5">
        <v>9.266041377E9</v>
      </c>
      <c r="B1277" s="5" t="s">
        <v>1034</v>
      </c>
      <c r="C1277" s="5" t="s">
        <v>1214</v>
      </c>
      <c r="D1277" s="7">
        <v>1.0</v>
      </c>
      <c r="E1277" s="6">
        <v>46031.46875</v>
      </c>
      <c r="F1277" s="5" t="s">
        <v>1221</v>
      </c>
    </row>
    <row r="1278">
      <c r="A1278" s="5">
        <v>7.065555029E9</v>
      </c>
      <c r="B1278" s="5" t="s">
        <v>1035</v>
      </c>
      <c r="C1278" s="5" t="s">
        <v>1214</v>
      </c>
      <c r="D1278" s="7">
        <v>1.0</v>
      </c>
      <c r="E1278" s="6">
        <v>46031.46875</v>
      </c>
      <c r="F1278" s="5" t="s">
        <v>1221</v>
      </c>
    </row>
    <row r="1279">
      <c r="A1279" s="5">
        <v>9.911002648E9</v>
      </c>
      <c r="B1279" s="5" t="s">
        <v>1038</v>
      </c>
      <c r="C1279" s="5" t="s">
        <v>1214</v>
      </c>
      <c r="D1279" s="7">
        <v>1.0</v>
      </c>
      <c r="E1279" s="6">
        <v>46031.46875</v>
      </c>
      <c r="F1279" s="5" t="s">
        <v>1221</v>
      </c>
    </row>
    <row r="1280">
      <c r="A1280" s="5">
        <v>8.920966676E9</v>
      </c>
      <c r="B1280" s="5" t="s">
        <v>1040</v>
      </c>
      <c r="C1280" s="5" t="s">
        <v>1214</v>
      </c>
      <c r="D1280" s="7">
        <v>1.0</v>
      </c>
      <c r="E1280" s="6">
        <v>46031.46875</v>
      </c>
      <c r="F1280" s="5" t="s">
        <v>1221</v>
      </c>
    </row>
    <row r="1281">
      <c r="A1281" s="5">
        <v>8.851927982E9</v>
      </c>
      <c r="B1281" s="5" t="s">
        <v>1295</v>
      </c>
      <c r="C1281" s="5" t="s">
        <v>1209</v>
      </c>
      <c r="D1281" s="7">
        <v>1.0</v>
      </c>
      <c r="E1281" s="6">
        <v>46032.46875</v>
      </c>
      <c r="F1281" s="5" t="s">
        <v>1221</v>
      </c>
    </row>
    <row r="1282">
      <c r="A1282" s="5">
        <v>9.069172299E9</v>
      </c>
      <c r="B1282" s="5" t="s">
        <v>807</v>
      </c>
      <c r="C1282" s="5" t="s">
        <v>1209</v>
      </c>
      <c r="D1282" s="7">
        <v>1.0</v>
      </c>
      <c r="E1282" s="6">
        <v>46032.46875</v>
      </c>
      <c r="F1282" s="5" t="s">
        <v>1221</v>
      </c>
    </row>
    <row r="1283">
      <c r="A1283" s="5">
        <v>8.448834015E9</v>
      </c>
      <c r="B1283" s="5" t="s">
        <v>1041</v>
      </c>
      <c r="C1283" s="5" t="s">
        <v>1214</v>
      </c>
      <c r="D1283" s="7">
        <v>1.0</v>
      </c>
      <c r="E1283" s="6">
        <v>46033.46875</v>
      </c>
      <c r="F1283" s="5" t="s">
        <v>1221</v>
      </c>
    </row>
    <row r="1284">
      <c r="A1284" s="5">
        <v>9.5551882E9</v>
      </c>
      <c r="B1284" s="5" t="s">
        <v>1042</v>
      </c>
      <c r="C1284" s="5" t="s">
        <v>1214</v>
      </c>
      <c r="D1284" s="7">
        <v>1.0</v>
      </c>
      <c r="E1284" s="6">
        <v>46033.46875</v>
      </c>
      <c r="F1284" s="5" t="s">
        <v>1221</v>
      </c>
    </row>
    <row r="1285">
      <c r="A1285" s="5">
        <v>9.891715745E9</v>
      </c>
      <c r="B1285" s="5" t="s">
        <v>1046</v>
      </c>
      <c r="C1285" s="5" t="s">
        <v>1214</v>
      </c>
      <c r="D1285" s="7">
        <v>1.0</v>
      </c>
      <c r="E1285" s="6">
        <v>46033.46875</v>
      </c>
      <c r="F1285" s="5" t="s">
        <v>1221</v>
      </c>
    </row>
    <row r="1286">
      <c r="A1286" s="5">
        <v>9.999103109E9</v>
      </c>
      <c r="B1286" s="5" t="s">
        <v>1047</v>
      </c>
      <c r="C1286" s="5" t="s">
        <v>1214</v>
      </c>
      <c r="D1286" s="7">
        <v>1.0</v>
      </c>
      <c r="E1286" s="6">
        <v>46033.46875</v>
      </c>
      <c r="F1286" s="5" t="s">
        <v>1221</v>
      </c>
    </row>
    <row r="1287">
      <c r="A1287" s="5">
        <v>9.999796925E9</v>
      </c>
      <c r="B1287" s="5" t="s">
        <v>336</v>
      </c>
      <c r="C1287" s="5" t="s">
        <v>1214</v>
      </c>
      <c r="D1287" s="7">
        <v>1.0</v>
      </c>
      <c r="E1287" s="6">
        <v>46033.46875</v>
      </c>
      <c r="F1287" s="5" t="s">
        <v>1221</v>
      </c>
    </row>
    <row r="1288">
      <c r="A1288" s="5">
        <v>9.899074822E9</v>
      </c>
      <c r="B1288" s="5" t="s">
        <v>1161</v>
      </c>
      <c r="C1288" s="5" t="s">
        <v>1216</v>
      </c>
      <c r="D1288" s="7">
        <v>1.0</v>
      </c>
      <c r="E1288" s="6">
        <v>46033.46875</v>
      </c>
      <c r="F1288" s="5" t="s">
        <v>1221</v>
      </c>
    </row>
    <row r="1289">
      <c r="A1289" s="5">
        <v>9.716579227E9</v>
      </c>
      <c r="B1289" s="5" t="s">
        <v>1165</v>
      </c>
      <c r="C1289" s="5" t="s">
        <v>1216</v>
      </c>
      <c r="D1289" s="7">
        <v>1.0</v>
      </c>
      <c r="E1289" s="6">
        <v>46033.46875</v>
      </c>
      <c r="F1289" s="5" t="s">
        <v>1221</v>
      </c>
    </row>
    <row r="1290">
      <c r="A1290" s="5">
        <v>9.871282922E9</v>
      </c>
      <c r="B1290" s="5" t="s">
        <v>1048</v>
      </c>
      <c r="C1290" s="5" t="s">
        <v>1214</v>
      </c>
      <c r="D1290" s="7">
        <v>1.0</v>
      </c>
      <c r="E1290" s="6">
        <v>46034.46875</v>
      </c>
      <c r="F1290" s="5" t="s">
        <v>1221</v>
      </c>
    </row>
    <row r="1291">
      <c r="A1291" s="5">
        <v>9.555152166E9</v>
      </c>
      <c r="B1291" s="5" t="s">
        <v>337</v>
      </c>
      <c r="C1291" s="5" t="s">
        <v>1214</v>
      </c>
      <c r="D1291" s="7">
        <v>1.0</v>
      </c>
      <c r="E1291" s="6">
        <v>46034.46875</v>
      </c>
      <c r="F1291" s="5" t="s">
        <v>1221</v>
      </c>
    </row>
    <row r="1292">
      <c r="A1292" s="5">
        <v>7.011744188E9</v>
      </c>
      <c r="B1292" s="5" t="s">
        <v>1167</v>
      </c>
      <c r="C1292" s="5" t="s">
        <v>1216</v>
      </c>
      <c r="D1292" s="7">
        <v>1.0</v>
      </c>
      <c r="E1292" s="6">
        <v>46035.46875</v>
      </c>
      <c r="F1292" s="5" t="s">
        <v>1221</v>
      </c>
    </row>
    <row r="1293">
      <c r="A1293" s="5">
        <v>9.911385399E9</v>
      </c>
      <c r="B1293" s="5" t="s">
        <v>1168</v>
      </c>
      <c r="C1293" s="5" t="s">
        <v>1216</v>
      </c>
      <c r="D1293" s="7">
        <v>1.0</v>
      </c>
      <c r="E1293" s="6">
        <v>46035.46875</v>
      </c>
      <c r="F1293" s="5" t="s">
        <v>1221</v>
      </c>
    </row>
    <row r="1294">
      <c r="A1294" s="5">
        <v>9.205822759E9</v>
      </c>
      <c r="B1294" s="5" t="s">
        <v>866</v>
      </c>
      <c r="C1294" s="5" t="s">
        <v>1209</v>
      </c>
      <c r="D1294" s="7">
        <v>1.0</v>
      </c>
      <c r="E1294" s="6">
        <v>46036.46875</v>
      </c>
      <c r="F1294" s="5" t="s">
        <v>1221</v>
      </c>
    </row>
    <row r="1295">
      <c r="A1295" s="5">
        <v>8.882799899E9</v>
      </c>
      <c r="B1295" s="5" t="s">
        <v>1053</v>
      </c>
      <c r="C1295" s="5" t="s">
        <v>1214</v>
      </c>
      <c r="D1295" s="7">
        <v>1.0</v>
      </c>
      <c r="E1295" s="6">
        <v>46038.46875</v>
      </c>
      <c r="F1295" s="5" t="s">
        <v>1221</v>
      </c>
    </row>
    <row r="1296">
      <c r="A1296" s="5">
        <v>9.910230174E9</v>
      </c>
      <c r="B1296" s="5" t="s">
        <v>1055</v>
      </c>
      <c r="C1296" s="5" t="s">
        <v>1214</v>
      </c>
      <c r="D1296" s="7">
        <v>1.0</v>
      </c>
      <c r="E1296" s="6">
        <v>46038.46875</v>
      </c>
      <c r="F1296" s="5" t="s">
        <v>1221</v>
      </c>
    </row>
    <row r="1297">
      <c r="A1297" s="5">
        <v>9.899322201E9</v>
      </c>
      <c r="B1297" s="5" t="s">
        <v>340</v>
      </c>
      <c r="C1297" s="5" t="s">
        <v>1214</v>
      </c>
      <c r="D1297" s="7">
        <v>1.0</v>
      </c>
      <c r="E1297" s="6">
        <v>46038.46875</v>
      </c>
      <c r="F1297" s="5" t="s">
        <v>1221</v>
      </c>
    </row>
    <row r="1298">
      <c r="A1298" s="5">
        <v>8.010046101E9</v>
      </c>
      <c r="B1298" s="5" t="s">
        <v>341</v>
      </c>
      <c r="C1298" s="5" t="s">
        <v>1214</v>
      </c>
      <c r="D1298" s="7">
        <v>1.0</v>
      </c>
      <c r="E1298" s="6">
        <v>46038.46875</v>
      </c>
      <c r="F1298" s="5" t="s">
        <v>1221</v>
      </c>
    </row>
    <row r="1299">
      <c r="A1299" s="5">
        <v>9.54056787E9</v>
      </c>
      <c r="B1299" s="5" t="s">
        <v>1056</v>
      </c>
      <c r="C1299" s="5" t="s">
        <v>1214</v>
      </c>
      <c r="D1299" s="7">
        <v>1.0</v>
      </c>
      <c r="E1299" s="6">
        <v>46038.46875</v>
      </c>
      <c r="F1299" s="5" t="s">
        <v>1221</v>
      </c>
    </row>
    <row r="1300">
      <c r="A1300" s="5">
        <v>9.871140012E9</v>
      </c>
      <c r="B1300" s="5" t="s">
        <v>1057</v>
      </c>
      <c r="C1300" s="5" t="s">
        <v>1214</v>
      </c>
      <c r="D1300" s="7">
        <v>1.0</v>
      </c>
      <c r="E1300" s="6">
        <v>46040.46875</v>
      </c>
      <c r="F1300" s="5" t="s">
        <v>1221</v>
      </c>
    </row>
    <row r="1301">
      <c r="A1301" s="5">
        <v>9.999822656E9</v>
      </c>
      <c r="B1301" s="5" t="s">
        <v>1062</v>
      </c>
      <c r="C1301" s="5" t="s">
        <v>1214</v>
      </c>
      <c r="D1301" s="7">
        <v>1.0</v>
      </c>
      <c r="E1301" s="6">
        <v>46040.46875</v>
      </c>
      <c r="F1301" s="5" t="s">
        <v>1221</v>
      </c>
    </row>
    <row r="1302">
      <c r="A1302" s="5">
        <v>9.643268623E9</v>
      </c>
      <c r="B1302" s="5" t="s">
        <v>1332</v>
      </c>
      <c r="C1302" s="5" t="s">
        <v>1216</v>
      </c>
      <c r="D1302" s="7">
        <v>1.0</v>
      </c>
      <c r="E1302" s="6">
        <v>46040.46875</v>
      </c>
      <c r="F1302" s="5" t="s">
        <v>1221</v>
      </c>
    </row>
    <row r="1303">
      <c r="A1303" s="5">
        <v>9.796224005E9</v>
      </c>
      <c r="B1303" s="5" t="s">
        <v>1333</v>
      </c>
      <c r="C1303" s="5" t="s">
        <v>1216</v>
      </c>
      <c r="D1303" s="7">
        <v>1.0</v>
      </c>
      <c r="E1303" s="6">
        <v>46040.46875</v>
      </c>
      <c r="F1303" s="5" t="s">
        <v>1221</v>
      </c>
    </row>
    <row r="1304">
      <c r="A1304" s="5">
        <v>8.595342299E9</v>
      </c>
      <c r="B1304" s="5" t="s">
        <v>1250</v>
      </c>
      <c r="C1304" s="5" t="s">
        <v>1216</v>
      </c>
      <c r="D1304" s="7">
        <v>1.0</v>
      </c>
      <c r="E1304" s="6">
        <v>46040.46875</v>
      </c>
      <c r="F1304" s="5" t="s">
        <v>1221</v>
      </c>
    </row>
    <row r="1305">
      <c r="A1305" s="5">
        <v>8.130302299E9</v>
      </c>
      <c r="B1305" s="5" t="s">
        <v>1334</v>
      </c>
      <c r="C1305" s="5" t="s">
        <v>1216</v>
      </c>
      <c r="D1305" s="7">
        <v>1.0</v>
      </c>
      <c r="E1305" s="6">
        <v>46040.46875</v>
      </c>
      <c r="F1305" s="5" t="s">
        <v>1221</v>
      </c>
    </row>
    <row r="1306">
      <c r="A1306" s="5">
        <v>8.095720564E9</v>
      </c>
      <c r="B1306" s="5" t="s">
        <v>1174</v>
      </c>
      <c r="C1306" s="5" t="s">
        <v>1216</v>
      </c>
      <c r="D1306" s="7">
        <v>1.0</v>
      </c>
      <c r="E1306" s="6">
        <v>46040.46875</v>
      </c>
      <c r="F1306" s="5" t="s">
        <v>1221</v>
      </c>
    </row>
    <row r="1307">
      <c r="A1307" s="5">
        <v>9.35430439E9</v>
      </c>
      <c r="B1307" s="5" t="s">
        <v>1081</v>
      </c>
      <c r="C1307" s="5" t="s">
        <v>1214</v>
      </c>
      <c r="D1307" s="7">
        <v>1.0</v>
      </c>
      <c r="E1307" s="6">
        <v>46041.46875</v>
      </c>
      <c r="F1307" s="5" t="s">
        <v>1221</v>
      </c>
    </row>
    <row r="1308">
      <c r="A1308" s="5">
        <v>8.218191244E9</v>
      </c>
      <c r="B1308" s="5" t="s">
        <v>1175</v>
      </c>
      <c r="C1308" s="5" t="s">
        <v>1216</v>
      </c>
      <c r="D1308" s="7">
        <v>1.0</v>
      </c>
      <c r="E1308" s="6">
        <v>46042.46875</v>
      </c>
      <c r="F1308" s="5" t="s">
        <v>1221</v>
      </c>
    </row>
    <row r="1309">
      <c r="A1309" s="5">
        <v>8.826871984E9</v>
      </c>
      <c r="B1309" s="5" t="s">
        <v>1319</v>
      </c>
      <c r="C1309" s="5" t="s">
        <v>1216</v>
      </c>
      <c r="D1309" s="7">
        <v>1.0</v>
      </c>
      <c r="E1309" s="6">
        <v>46042.46875</v>
      </c>
      <c r="F1309" s="5" t="s">
        <v>1221</v>
      </c>
    </row>
    <row r="1310">
      <c r="A1310" s="5">
        <v>9.818325522E9</v>
      </c>
      <c r="B1310" s="5" t="s">
        <v>262</v>
      </c>
      <c r="C1310" s="5" t="s">
        <v>1209</v>
      </c>
      <c r="D1310" s="7">
        <v>1.0</v>
      </c>
      <c r="E1310" s="6">
        <v>46045.46875</v>
      </c>
      <c r="F1310" s="5" t="s">
        <v>1221</v>
      </c>
    </row>
    <row r="1311">
      <c r="A1311" s="5">
        <v>8.860285011E9</v>
      </c>
      <c r="B1311" s="5" t="s">
        <v>1092</v>
      </c>
      <c r="C1311" s="5" t="s">
        <v>1214</v>
      </c>
      <c r="D1311" s="7">
        <v>1.0</v>
      </c>
      <c r="E1311" s="6">
        <v>46047.46875</v>
      </c>
      <c r="F1311" s="5" t="s">
        <v>1221</v>
      </c>
    </row>
    <row r="1312">
      <c r="A1312" s="5">
        <v>9.350115868E9</v>
      </c>
      <c r="B1312" s="5" t="s">
        <v>1179</v>
      </c>
      <c r="C1312" s="5" t="s">
        <v>1216</v>
      </c>
      <c r="D1312" s="7">
        <v>1.0</v>
      </c>
      <c r="E1312" s="6">
        <v>46047.46875</v>
      </c>
      <c r="F1312" s="5" t="s">
        <v>1221</v>
      </c>
    </row>
    <row r="1313">
      <c r="A1313" s="5">
        <v>9.110083501E9</v>
      </c>
      <c r="B1313" s="5" t="s">
        <v>1337</v>
      </c>
      <c r="C1313" s="5" t="s">
        <v>1216</v>
      </c>
      <c r="D1313" s="7">
        <v>1.0</v>
      </c>
      <c r="E1313" s="6">
        <v>46047.46875</v>
      </c>
      <c r="F1313" s="5" t="s">
        <v>1221</v>
      </c>
    </row>
    <row r="1314">
      <c r="A1314" s="5">
        <v>8.081226476E9</v>
      </c>
      <c r="B1314" s="5" t="s">
        <v>1095</v>
      </c>
      <c r="C1314" s="5" t="s">
        <v>1214</v>
      </c>
      <c r="D1314" s="7">
        <v>1.0</v>
      </c>
      <c r="E1314" s="6">
        <v>46048.46875</v>
      </c>
      <c r="F1314" s="5" t="s">
        <v>1221</v>
      </c>
    </row>
    <row r="1315">
      <c r="A1315" s="5">
        <v>9.811646101E9</v>
      </c>
      <c r="B1315" s="5" t="s">
        <v>1096</v>
      </c>
      <c r="C1315" s="5" t="s">
        <v>1214</v>
      </c>
      <c r="D1315" s="7">
        <v>1.0</v>
      </c>
      <c r="E1315" s="6">
        <v>46048.46875</v>
      </c>
      <c r="F1315" s="5" t="s">
        <v>1221</v>
      </c>
    </row>
    <row r="1316">
      <c r="A1316" s="5">
        <v>9.034107797E9</v>
      </c>
      <c r="B1316" s="5" t="s">
        <v>1330</v>
      </c>
      <c r="C1316" s="5" t="s">
        <v>1216</v>
      </c>
      <c r="D1316" s="7">
        <v>1.0</v>
      </c>
      <c r="E1316" s="6">
        <v>46049.46875</v>
      </c>
      <c r="F1316" s="5" t="s">
        <v>1221</v>
      </c>
    </row>
    <row r="1317">
      <c r="A1317" s="5">
        <v>8.92048752E9</v>
      </c>
      <c r="B1317" s="5" t="s">
        <v>1186</v>
      </c>
      <c r="C1317" s="5" t="s">
        <v>1216</v>
      </c>
      <c r="D1317" s="7">
        <v>1.0</v>
      </c>
      <c r="E1317" s="6">
        <v>46050.46875</v>
      </c>
      <c r="F1317" s="5" t="s">
        <v>1221</v>
      </c>
    </row>
    <row r="1318">
      <c r="A1318" s="5">
        <v>8.267693002E9</v>
      </c>
      <c r="B1318" s="5" t="s">
        <v>1187</v>
      </c>
      <c r="C1318" s="5" t="s">
        <v>1216</v>
      </c>
      <c r="D1318" s="7">
        <v>1.0</v>
      </c>
      <c r="E1318" s="6">
        <v>46050.46875</v>
      </c>
      <c r="F1318" s="5" t="s">
        <v>1221</v>
      </c>
    </row>
    <row r="1319">
      <c r="A1319" s="5">
        <v>9.910950257E9</v>
      </c>
      <c r="B1319" s="5" t="s">
        <v>367</v>
      </c>
      <c r="C1319" s="5" t="s">
        <v>1216</v>
      </c>
      <c r="D1319" s="7">
        <v>1.0</v>
      </c>
      <c r="E1319" s="6">
        <v>46050.46875</v>
      </c>
      <c r="F1319" s="5" t="s">
        <v>1221</v>
      </c>
    </row>
    <row r="1320">
      <c r="A1320" s="5">
        <v>9.625470327E9</v>
      </c>
      <c r="B1320" s="5" t="s">
        <v>708</v>
      </c>
      <c r="C1320" s="5" t="s">
        <v>1209</v>
      </c>
      <c r="D1320" s="7">
        <v>1.0</v>
      </c>
      <c r="E1320" s="6">
        <v>46052.46875</v>
      </c>
      <c r="F1320" s="5" t="s">
        <v>1221</v>
      </c>
    </row>
    <row r="1321">
      <c r="A1321" s="5">
        <v>8.014541403E9</v>
      </c>
      <c r="B1321" s="5" t="s">
        <v>1098</v>
      </c>
      <c r="C1321" s="5" t="s">
        <v>1214</v>
      </c>
      <c r="D1321" s="7">
        <v>1.0</v>
      </c>
      <c r="E1321" s="6">
        <v>46052.46875</v>
      </c>
      <c r="F1321" s="5" t="s">
        <v>1221</v>
      </c>
    </row>
    <row r="1322">
      <c r="A1322" s="5">
        <v>9.958275105E9</v>
      </c>
      <c r="B1322" s="5" t="s">
        <v>1061</v>
      </c>
      <c r="C1322" s="5" t="s">
        <v>1214</v>
      </c>
      <c r="D1322" s="7">
        <v>1.0</v>
      </c>
      <c r="E1322" s="6">
        <v>46052.46875</v>
      </c>
      <c r="F1322" s="5" t="s">
        <v>1221</v>
      </c>
    </row>
    <row r="1323">
      <c r="A1323" s="5">
        <v>9.8102632E9</v>
      </c>
      <c r="B1323" s="5" t="s">
        <v>1099</v>
      </c>
      <c r="C1323" s="5" t="s">
        <v>1214</v>
      </c>
      <c r="D1323" s="7">
        <v>1.0</v>
      </c>
      <c r="E1323" s="6">
        <v>46052.46875</v>
      </c>
      <c r="F1323" s="5" t="s">
        <v>1221</v>
      </c>
    </row>
    <row r="1324">
      <c r="A1324" s="5">
        <v>9.873944034E9</v>
      </c>
      <c r="B1324" s="5" t="s">
        <v>1101</v>
      </c>
      <c r="C1324" s="5" t="s">
        <v>1214</v>
      </c>
      <c r="D1324" s="7">
        <v>1.0</v>
      </c>
      <c r="E1324" s="6">
        <v>46052.46875</v>
      </c>
      <c r="F1324" s="5" t="s">
        <v>1221</v>
      </c>
    </row>
    <row r="1325">
      <c r="A1325" s="5">
        <v>9.958275105E9</v>
      </c>
      <c r="B1325" s="5" t="s">
        <v>1061</v>
      </c>
      <c r="C1325" s="5" t="s">
        <v>1214</v>
      </c>
      <c r="D1325" s="7">
        <v>1.0</v>
      </c>
      <c r="E1325" s="6">
        <v>46052.46875</v>
      </c>
      <c r="F1325" s="5" t="s">
        <v>1221</v>
      </c>
    </row>
    <row r="1326">
      <c r="A1326" s="5">
        <v>9.899019935E9</v>
      </c>
      <c r="B1326" s="5" t="s">
        <v>1103</v>
      </c>
      <c r="C1326" s="5" t="s">
        <v>1214</v>
      </c>
      <c r="D1326" s="7">
        <v>1.0</v>
      </c>
      <c r="E1326" s="6">
        <v>46052.46875</v>
      </c>
      <c r="F1326" s="5" t="s">
        <v>1221</v>
      </c>
    </row>
    <row r="1327">
      <c r="A1327" s="5">
        <v>9.971828177E9</v>
      </c>
      <c r="B1327" s="5" t="s">
        <v>266</v>
      </c>
      <c r="C1327" s="5" t="s">
        <v>1209</v>
      </c>
      <c r="D1327" s="7">
        <v>1.0</v>
      </c>
      <c r="E1327" s="6">
        <v>46055.46875</v>
      </c>
      <c r="F1327" s="5" t="s">
        <v>1221</v>
      </c>
    </row>
    <row r="1328">
      <c r="A1328" s="5">
        <v>8.992995405E9</v>
      </c>
      <c r="B1328" s="5" t="s">
        <v>875</v>
      </c>
      <c r="C1328" s="5" t="s">
        <v>1209</v>
      </c>
      <c r="D1328" s="7">
        <v>1.0</v>
      </c>
      <c r="E1328" s="6">
        <v>46055.46875</v>
      </c>
      <c r="F1328" s="5" t="s">
        <v>1221</v>
      </c>
    </row>
    <row r="1329">
      <c r="A1329" s="5">
        <v>9.977451684E9</v>
      </c>
      <c r="B1329" s="5" t="s">
        <v>745</v>
      </c>
      <c r="C1329" s="5" t="s">
        <v>1209</v>
      </c>
      <c r="D1329" s="7">
        <v>1.0</v>
      </c>
      <c r="E1329" s="6">
        <v>46055.46875</v>
      </c>
      <c r="F1329" s="5" t="s">
        <v>1221</v>
      </c>
    </row>
    <row r="1330">
      <c r="A1330" s="5">
        <v>8.800440272E9</v>
      </c>
      <c r="B1330" s="5" t="s">
        <v>876</v>
      </c>
      <c r="C1330" s="5" t="s">
        <v>1209</v>
      </c>
      <c r="D1330" s="7">
        <v>1.0</v>
      </c>
      <c r="E1330" s="6">
        <v>46055.46875</v>
      </c>
      <c r="F1330" s="5" t="s">
        <v>1221</v>
      </c>
    </row>
    <row r="1331">
      <c r="A1331" s="5">
        <v>8.851788997E9</v>
      </c>
      <c r="B1331" s="5" t="s">
        <v>880</v>
      </c>
      <c r="C1331" s="5" t="s">
        <v>1209</v>
      </c>
      <c r="D1331" s="7">
        <v>1.0</v>
      </c>
      <c r="E1331" s="6">
        <v>46057.46875</v>
      </c>
      <c r="F1331" s="5" t="s">
        <v>1221</v>
      </c>
    </row>
    <row r="1332">
      <c r="A1332" s="5">
        <v>9.314010771E9</v>
      </c>
      <c r="B1332" s="5" t="s">
        <v>1107</v>
      </c>
      <c r="C1332" s="5" t="s">
        <v>1214</v>
      </c>
      <c r="D1332" s="7">
        <v>1.0</v>
      </c>
      <c r="E1332" s="6">
        <v>46059.46875</v>
      </c>
      <c r="F1332" s="5" t="s">
        <v>1221</v>
      </c>
    </row>
    <row r="1333">
      <c r="A1333" s="5">
        <v>9.469473538E9</v>
      </c>
      <c r="B1333" s="5" t="s">
        <v>347</v>
      </c>
      <c r="C1333" s="5" t="s">
        <v>1214</v>
      </c>
      <c r="D1333" s="7">
        <v>1.0</v>
      </c>
      <c r="E1333" s="6">
        <v>46061.46875</v>
      </c>
      <c r="F1333" s="5" t="s">
        <v>1221</v>
      </c>
    </row>
    <row r="1334">
      <c r="A1334" s="5">
        <v>9.21058852E9</v>
      </c>
      <c r="B1334" s="5" t="s">
        <v>1109</v>
      </c>
      <c r="C1334" s="5" t="s">
        <v>1214</v>
      </c>
      <c r="D1334" s="7">
        <v>1.0</v>
      </c>
      <c r="E1334" s="6">
        <v>46061.46875</v>
      </c>
      <c r="F1334" s="5" t="s">
        <v>1221</v>
      </c>
    </row>
    <row r="1335">
      <c r="A1335" s="5">
        <v>8.920465183E9</v>
      </c>
      <c r="B1335" s="5" t="s">
        <v>387</v>
      </c>
      <c r="C1335" s="5" t="s">
        <v>1214</v>
      </c>
      <c r="D1335" s="7">
        <v>1.0</v>
      </c>
      <c r="E1335" s="6">
        <v>46061.46875</v>
      </c>
      <c r="F1335" s="5" t="s">
        <v>1221</v>
      </c>
    </row>
    <row r="1336">
      <c r="A1336" s="5">
        <v>9.319569354E9</v>
      </c>
      <c r="B1336" s="5" t="s">
        <v>1111</v>
      </c>
      <c r="C1336" s="5" t="s">
        <v>1214</v>
      </c>
      <c r="D1336" s="7">
        <v>1.0</v>
      </c>
      <c r="E1336" s="6">
        <v>46061.46875</v>
      </c>
      <c r="F1336" s="5" t="s">
        <v>1221</v>
      </c>
    </row>
    <row r="1337">
      <c r="A1337" s="5">
        <v>7.838389951E9</v>
      </c>
      <c r="B1337" s="5" t="s">
        <v>25</v>
      </c>
      <c r="C1337" s="5" t="s">
        <v>1214</v>
      </c>
      <c r="D1337" s="7">
        <v>1.0</v>
      </c>
      <c r="E1337" s="6">
        <v>46062.46875</v>
      </c>
      <c r="F1337" s="5" t="s">
        <v>1221</v>
      </c>
    </row>
    <row r="1338">
      <c r="A1338" s="5">
        <v>7.827407655E9</v>
      </c>
      <c r="B1338" s="5" t="s">
        <v>1114</v>
      </c>
      <c r="C1338" s="5" t="s">
        <v>1214</v>
      </c>
      <c r="D1338" s="7">
        <v>1.0</v>
      </c>
      <c r="E1338" s="6">
        <v>46062.46875</v>
      </c>
      <c r="F1338" s="5" t="s">
        <v>1221</v>
      </c>
    </row>
    <row r="1339">
      <c r="A1339" s="5">
        <v>9.350104257E9</v>
      </c>
      <c r="B1339" s="5" t="s">
        <v>349</v>
      </c>
      <c r="C1339" s="5" t="s">
        <v>1214</v>
      </c>
      <c r="D1339" s="7">
        <v>1.0</v>
      </c>
      <c r="E1339" s="6">
        <v>46064.46875</v>
      </c>
      <c r="F1339" s="5" t="s">
        <v>1221</v>
      </c>
    </row>
    <row r="1340">
      <c r="A1340" s="5">
        <v>9.873989789E9</v>
      </c>
      <c r="B1340" s="5" t="s">
        <v>1122</v>
      </c>
      <c r="C1340" s="5" t="s">
        <v>1214</v>
      </c>
      <c r="D1340" s="7">
        <v>1.0</v>
      </c>
      <c r="E1340" s="6">
        <v>46066.46875</v>
      </c>
      <c r="F1340" s="5" t="s">
        <v>1221</v>
      </c>
    </row>
    <row r="1341">
      <c r="A1341" s="5">
        <v>8.287096447E9</v>
      </c>
      <c r="B1341" s="5" t="s">
        <v>1124</v>
      </c>
      <c r="C1341" s="5" t="s">
        <v>1214</v>
      </c>
      <c r="D1341" s="7">
        <v>1.0</v>
      </c>
      <c r="E1341" s="6">
        <v>46066.46875</v>
      </c>
      <c r="F1341" s="5" t="s">
        <v>1221</v>
      </c>
    </row>
    <row r="1342">
      <c r="A1342" s="5">
        <v>9.99915008E9</v>
      </c>
      <c r="B1342" s="5" t="s">
        <v>1299</v>
      </c>
      <c r="C1342" s="5" t="s">
        <v>1209</v>
      </c>
      <c r="D1342" s="7">
        <v>1.0</v>
      </c>
      <c r="E1342" s="6">
        <v>46067.46875</v>
      </c>
      <c r="F1342" s="5" t="s">
        <v>1221</v>
      </c>
    </row>
    <row r="1343">
      <c r="A1343" s="5">
        <v>9.810836303E9</v>
      </c>
      <c r="B1343" s="5" t="s">
        <v>881</v>
      </c>
      <c r="C1343" s="5" t="s">
        <v>1209</v>
      </c>
      <c r="D1343" s="7">
        <v>1.0</v>
      </c>
      <c r="E1343" s="6">
        <v>46067.46875</v>
      </c>
      <c r="F1343" s="5" t="s">
        <v>1221</v>
      </c>
    </row>
    <row r="1344">
      <c r="A1344" s="5">
        <v>9.910043295E9</v>
      </c>
      <c r="B1344" s="5" t="s">
        <v>1130</v>
      </c>
      <c r="C1344" s="5" t="s">
        <v>1214</v>
      </c>
      <c r="D1344" s="7">
        <v>1.0</v>
      </c>
      <c r="E1344" s="6">
        <v>46071.46875</v>
      </c>
      <c r="F1344" s="5" t="s">
        <v>1221</v>
      </c>
    </row>
    <row r="1345">
      <c r="A1345" s="5">
        <v>8.12346781E9</v>
      </c>
      <c r="B1345" s="5" t="s">
        <v>1131</v>
      </c>
      <c r="C1345" s="5" t="s">
        <v>1214</v>
      </c>
      <c r="D1345" s="7">
        <v>1.0</v>
      </c>
      <c r="E1345" s="6">
        <v>46071.46875</v>
      </c>
      <c r="F1345" s="5" t="s">
        <v>1221</v>
      </c>
    </row>
    <row r="1346">
      <c r="A1346" s="5">
        <v>9.873438078E9</v>
      </c>
      <c r="B1346" s="5" t="s">
        <v>1132</v>
      </c>
      <c r="C1346" s="5" t="s">
        <v>1214</v>
      </c>
      <c r="D1346" s="7">
        <v>1.0</v>
      </c>
      <c r="E1346" s="6">
        <v>46071.46875</v>
      </c>
      <c r="F1346" s="5" t="s">
        <v>1221</v>
      </c>
    </row>
    <row r="1347">
      <c r="A1347" s="5">
        <v>9.810133082E9</v>
      </c>
      <c r="B1347" s="5" t="s">
        <v>1133</v>
      </c>
      <c r="C1347" s="5" t="s">
        <v>1214</v>
      </c>
      <c r="D1347" s="7">
        <v>1.0</v>
      </c>
      <c r="E1347" s="6">
        <v>46073.46875</v>
      </c>
      <c r="F1347" s="5" t="s">
        <v>1221</v>
      </c>
    </row>
    <row r="1348">
      <c r="A1348" s="5">
        <v>7.303324435E9</v>
      </c>
      <c r="B1348" s="5" t="s">
        <v>609</v>
      </c>
      <c r="C1348" s="5" t="s">
        <v>1209</v>
      </c>
      <c r="D1348" s="7">
        <v>1.0</v>
      </c>
      <c r="E1348" s="6">
        <v>46074.46875</v>
      </c>
      <c r="F1348" s="5" t="s">
        <v>1221</v>
      </c>
    </row>
    <row r="1349">
      <c r="A1349" s="5">
        <v>9.310348015E9</v>
      </c>
      <c r="B1349" s="5" t="s">
        <v>1137</v>
      </c>
      <c r="C1349" s="5" t="s">
        <v>1214</v>
      </c>
      <c r="D1349" s="7">
        <v>1.0</v>
      </c>
      <c r="E1349" s="6">
        <v>46075.46875</v>
      </c>
      <c r="F1349" s="5" t="s">
        <v>1221</v>
      </c>
    </row>
    <row r="1350">
      <c r="A1350" s="5">
        <v>7.351923465E9</v>
      </c>
      <c r="B1350" s="5" t="s">
        <v>1138</v>
      </c>
      <c r="C1350" s="5" t="s">
        <v>1214</v>
      </c>
      <c r="D1350" s="7">
        <v>1.0</v>
      </c>
      <c r="E1350" s="6">
        <v>46075.46875</v>
      </c>
      <c r="F1350" s="5" t="s">
        <v>1221</v>
      </c>
    </row>
    <row r="1351">
      <c r="A1351" s="5">
        <v>9.818223853E9</v>
      </c>
      <c r="B1351" s="5" t="s">
        <v>963</v>
      </c>
      <c r="C1351" s="5" t="s">
        <v>1214</v>
      </c>
      <c r="D1351" s="7">
        <v>1.0</v>
      </c>
      <c r="E1351" s="6">
        <v>46075.46875</v>
      </c>
      <c r="F1351" s="5" t="s">
        <v>1221</v>
      </c>
    </row>
    <row r="1352">
      <c r="A1352" s="5">
        <v>9.871501384E9</v>
      </c>
      <c r="B1352" s="5" t="s">
        <v>1139</v>
      </c>
      <c r="C1352" s="5" t="s">
        <v>1214</v>
      </c>
      <c r="D1352" s="7">
        <v>1.0</v>
      </c>
      <c r="E1352" s="6">
        <v>46075.46875</v>
      </c>
      <c r="F1352" s="5" t="s">
        <v>1221</v>
      </c>
    </row>
    <row r="1353">
      <c r="A1353" s="5">
        <v>8.700996353E9</v>
      </c>
      <c r="B1353" s="5" t="s">
        <v>1227</v>
      </c>
      <c r="C1353" s="5" t="s">
        <v>1209</v>
      </c>
      <c r="D1353" s="7">
        <v>1.0</v>
      </c>
      <c r="E1353" s="6">
        <v>46076.46875</v>
      </c>
      <c r="F1353" s="5" t="s">
        <v>1221</v>
      </c>
    </row>
    <row r="1354">
      <c r="A1354" s="5">
        <v>9.999209489E9</v>
      </c>
      <c r="B1354" s="5" t="s">
        <v>886</v>
      </c>
      <c r="C1354" s="5" t="s">
        <v>1209</v>
      </c>
      <c r="D1354" s="7">
        <v>1.0</v>
      </c>
      <c r="E1354" s="6">
        <v>46076.46875</v>
      </c>
      <c r="F1354" s="5" t="s">
        <v>1221</v>
      </c>
    </row>
    <row r="1355">
      <c r="A1355" s="5">
        <v>9.250340928E9</v>
      </c>
      <c r="B1355" s="5" t="s">
        <v>888</v>
      </c>
      <c r="C1355" s="5" t="s">
        <v>1209</v>
      </c>
      <c r="D1355" s="7">
        <v>1.0</v>
      </c>
      <c r="E1355" s="6">
        <v>46078.46875</v>
      </c>
      <c r="F1355" s="5" t="s">
        <v>1221</v>
      </c>
    </row>
    <row r="1356">
      <c r="A1356" s="5">
        <v>9.711699689E9</v>
      </c>
      <c r="B1356" s="5" t="s">
        <v>1143</v>
      </c>
      <c r="C1356" s="5" t="s">
        <v>1214</v>
      </c>
      <c r="D1356" s="7">
        <v>1.0</v>
      </c>
      <c r="E1356" s="6">
        <v>46078.46875</v>
      </c>
      <c r="F1356" s="5" t="s">
        <v>1221</v>
      </c>
    </row>
    <row r="1357">
      <c r="A1357" s="5">
        <v>8.504863131E9</v>
      </c>
      <c r="B1357" s="5" t="s">
        <v>357</v>
      </c>
      <c r="C1357" s="5" t="s">
        <v>1214</v>
      </c>
      <c r="D1357" s="7">
        <v>1.0</v>
      </c>
      <c r="E1357" s="6">
        <v>46078.46875</v>
      </c>
      <c r="F1357" s="5" t="s">
        <v>1221</v>
      </c>
    </row>
    <row r="1358">
      <c r="A1358" s="5">
        <v>9.899988844E9</v>
      </c>
      <c r="B1358" s="5" t="s">
        <v>1145</v>
      </c>
      <c r="C1358" s="5" t="s">
        <v>1214</v>
      </c>
      <c r="D1358" s="7">
        <v>1.0</v>
      </c>
      <c r="E1358" s="6">
        <v>46078.46875</v>
      </c>
      <c r="F1358" s="5" t="s">
        <v>1221</v>
      </c>
    </row>
    <row r="1359">
      <c r="A1359" s="5">
        <v>9.953438515E9</v>
      </c>
      <c r="B1359" s="5" t="s">
        <v>1149</v>
      </c>
      <c r="C1359" s="5" t="s">
        <v>1214</v>
      </c>
      <c r="D1359" s="7">
        <v>1.0</v>
      </c>
      <c r="E1359" s="6">
        <v>46080.46875</v>
      </c>
      <c r="F1359" s="5" t="s">
        <v>1221</v>
      </c>
    </row>
    <row r="1360">
      <c r="A1360" s="5">
        <v>9.868504376E9</v>
      </c>
      <c r="B1360" s="5" t="s">
        <v>1150</v>
      </c>
      <c r="C1360" s="5" t="s">
        <v>1214</v>
      </c>
      <c r="D1360" s="7">
        <v>1.0</v>
      </c>
      <c r="E1360" s="6">
        <v>46082.46875</v>
      </c>
      <c r="F1360" s="5" t="s">
        <v>1221</v>
      </c>
    </row>
    <row r="1361">
      <c r="A1361" s="5">
        <v>8.130876428E9</v>
      </c>
      <c r="B1361" s="5" t="s">
        <v>1152</v>
      </c>
      <c r="C1361" s="5" t="s">
        <v>1214</v>
      </c>
      <c r="D1361" s="7">
        <v>1.0</v>
      </c>
      <c r="E1361" s="6">
        <v>46082.46875</v>
      </c>
      <c r="F1361" s="5" t="s">
        <v>1221</v>
      </c>
    </row>
    <row r="1362">
      <c r="A1362" s="5">
        <v>9.81002191E9</v>
      </c>
      <c r="B1362" s="5" t="s">
        <v>892</v>
      </c>
      <c r="C1362" s="5" t="s">
        <v>1209</v>
      </c>
      <c r="D1362" s="7">
        <v>1.0</v>
      </c>
      <c r="E1362" s="6">
        <v>46085.46875</v>
      </c>
      <c r="F1362" s="5" t="s">
        <v>1221</v>
      </c>
    </row>
    <row r="1363">
      <c r="A1363" s="5">
        <v>9.819496621E9</v>
      </c>
      <c r="B1363" s="5" t="s">
        <v>893</v>
      </c>
      <c r="C1363" s="5" t="s">
        <v>1209</v>
      </c>
      <c r="D1363" s="7">
        <v>1.0</v>
      </c>
      <c r="E1363" s="6">
        <v>46085.46875</v>
      </c>
      <c r="F1363" s="5" t="s">
        <v>1221</v>
      </c>
    </row>
    <row r="1364">
      <c r="A1364" s="5">
        <v>9.818304741E9</v>
      </c>
      <c r="B1364" s="5" t="s">
        <v>496</v>
      </c>
      <c r="C1364" s="5" t="s">
        <v>1209</v>
      </c>
      <c r="D1364" s="7">
        <v>1.0</v>
      </c>
      <c r="E1364" s="6">
        <v>46087.46875</v>
      </c>
      <c r="F1364" s="5" t="s">
        <v>1221</v>
      </c>
    </row>
    <row r="1365">
      <c r="A1365" s="5">
        <v>8.375933947E9</v>
      </c>
      <c r="B1365" s="5" t="s">
        <v>360</v>
      </c>
      <c r="C1365" s="5" t="s">
        <v>1214</v>
      </c>
      <c r="D1365" s="7">
        <v>1.0</v>
      </c>
      <c r="E1365" s="6">
        <v>46087.46875</v>
      </c>
      <c r="F1365" s="5" t="s">
        <v>1221</v>
      </c>
    </row>
    <row r="1366">
      <c r="A1366" s="5">
        <v>8.860930737E9</v>
      </c>
      <c r="B1366" s="5" t="s">
        <v>1156</v>
      </c>
      <c r="C1366" s="5" t="s">
        <v>1214</v>
      </c>
      <c r="D1366" s="7">
        <v>1.0</v>
      </c>
      <c r="E1366" s="6">
        <v>46089.46875</v>
      </c>
      <c r="F1366" s="5" t="s">
        <v>1221</v>
      </c>
    </row>
    <row r="1367">
      <c r="A1367" s="5">
        <v>9.828594616E9</v>
      </c>
      <c r="B1367" s="5" t="s">
        <v>107</v>
      </c>
      <c r="C1367" s="5" t="s">
        <v>1209</v>
      </c>
      <c r="D1367" s="7">
        <v>1.0</v>
      </c>
      <c r="E1367" s="6">
        <v>46090.46875</v>
      </c>
      <c r="F1367" s="5" t="s">
        <v>1221</v>
      </c>
    </row>
    <row r="1368">
      <c r="A1368" s="5">
        <v>9.811380088E9</v>
      </c>
      <c r="B1368" s="5" t="s">
        <v>1301</v>
      </c>
      <c r="C1368" s="5" t="s">
        <v>1209</v>
      </c>
      <c r="D1368" s="7">
        <v>1.0</v>
      </c>
      <c r="E1368" s="6">
        <v>46090.46875</v>
      </c>
      <c r="F1368" s="5" t="s">
        <v>1221</v>
      </c>
    </row>
    <row r="1369">
      <c r="A1369" s="5">
        <v>8.794449636E9</v>
      </c>
      <c r="B1369" s="5" t="s">
        <v>1157</v>
      </c>
      <c r="C1369" s="5" t="s">
        <v>1214</v>
      </c>
      <c r="D1369" s="7">
        <v>1.0</v>
      </c>
      <c r="E1369" s="6">
        <v>46091.46875</v>
      </c>
      <c r="F1369" s="5" t="s">
        <v>1221</v>
      </c>
    </row>
    <row r="1370">
      <c r="A1370" s="5">
        <v>8.0705103E9</v>
      </c>
      <c r="B1370" s="5" t="s">
        <v>1158</v>
      </c>
      <c r="C1370" s="5" t="s">
        <v>1214</v>
      </c>
      <c r="D1370" s="7">
        <v>1.0</v>
      </c>
      <c r="E1370" s="6">
        <v>46091.46875</v>
      </c>
      <c r="F1370" s="5" t="s">
        <v>1221</v>
      </c>
    </row>
    <row r="1371">
      <c r="A1371" s="5">
        <v>8.586925507E9</v>
      </c>
      <c r="B1371" s="5" t="s">
        <v>1159</v>
      </c>
      <c r="C1371" s="5" t="s">
        <v>1214</v>
      </c>
      <c r="D1371" s="7">
        <v>1.0</v>
      </c>
      <c r="E1371" s="6">
        <v>46091.46875</v>
      </c>
      <c r="F1371" s="5" t="s">
        <v>1221</v>
      </c>
    </row>
    <row r="1372">
      <c r="A1372" s="5">
        <v>9.899074822E9</v>
      </c>
      <c r="B1372" s="5" t="s">
        <v>1161</v>
      </c>
      <c r="C1372" s="5" t="s">
        <v>1214</v>
      </c>
      <c r="D1372" s="7">
        <v>1.0</v>
      </c>
      <c r="E1372" s="6">
        <v>46092.46875</v>
      </c>
      <c r="F1372" s="5" t="s">
        <v>1221</v>
      </c>
    </row>
    <row r="1373">
      <c r="A1373" s="5">
        <v>9.716579227E9</v>
      </c>
      <c r="B1373" s="5" t="s">
        <v>1165</v>
      </c>
      <c r="C1373" s="5" t="s">
        <v>1214</v>
      </c>
      <c r="D1373" s="7">
        <v>1.0</v>
      </c>
      <c r="E1373" s="6">
        <v>46092.46875</v>
      </c>
      <c r="F1373" s="5" t="s">
        <v>1221</v>
      </c>
    </row>
    <row r="1374">
      <c r="A1374" s="5">
        <v>9.818720209E9</v>
      </c>
      <c r="B1374" s="5" t="s">
        <v>784</v>
      </c>
      <c r="C1374" s="5" t="s">
        <v>1209</v>
      </c>
      <c r="D1374" s="7">
        <v>1.0</v>
      </c>
      <c r="E1374" s="6">
        <v>46094.46875</v>
      </c>
      <c r="F1374" s="5" t="s">
        <v>1221</v>
      </c>
    </row>
    <row r="1375">
      <c r="A1375" s="5">
        <v>7.011744188E9</v>
      </c>
      <c r="B1375" s="5" t="s">
        <v>1167</v>
      </c>
      <c r="C1375" s="5" t="s">
        <v>1214</v>
      </c>
      <c r="D1375" s="7">
        <v>1.0</v>
      </c>
      <c r="E1375" s="6">
        <v>46094.46875</v>
      </c>
      <c r="F1375" s="5" t="s">
        <v>1221</v>
      </c>
    </row>
    <row r="1376">
      <c r="A1376" s="5">
        <v>9.911385399E9</v>
      </c>
      <c r="B1376" s="5" t="s">
        <v>1168</v>
      </c>
      <c r="C1376" s="5" t="s">
        <v>1214</v>
      </c>
      <c r="D1376" s="7">
        <v>1.0</v>
      </c>
      <c r="E1376" s="6">
        <v>46094.46875</v>
      </c>
      <c r="F1376" s="5" t="s">
        <v>1221</v>
      </c>
    </row>
    <row r="1377">
      <c r="A1377" s="5">
        <v>8.368114066E9</v>
      </c>
      <c r="B1377" s="5" t="s">
        <v>899</v>
      </c>
      <c r="C1377" s="5" t="s">
        <v>1209</v>
      </c>
      <c r="D1377" s="7">
        <v>1.0</v>
      </c>
      <c r="E1377" s="6">
        <v>46095.46875</v>
      </c>
      <c r="F1377" s="5" t="s">
        <v>1221</v>
      </c>
    </row>
    <row r="1378">
      <c r="A1378" s="5">
        <v>9.643268623E9</v>
      </c>
      <c r="B1378" s="5" t="s">
        <v>1332</v>
      </c>
      <c r="C1378" s="5" t="s">
        <v>1214</v>
      </c>
      <c r="D1378" s="7">
        <v>1.0</v>
      </c>
      <c r="E1378" s="6">
        <v>46099.46875</v>
      </c>
      <c r="F1378" s="5" t="s">
        <v>1221</v>
      </c>
    </row>
    <row r="1379">
      <c r="A1379" s="5">
        <v>9.796224005E9</v>
      </c>
      <c r="B1379" s="5" t="s">
        <v>1333</v>
      </c>
      <c r="C1379" s="5" t="s">
        <v>1214</v>
      </c>
      <c r="D1379" s="7">
        <v>1.0</v>
      </c>
      <c r="E1379" s="6">
        <v>46099.46875</v>
      </c>
      <c r="F1379" s="5" t="s">
        <v>1221</v>
      </c>
    </row>
    <row r="1380">
      <c r="A1380" s="5">
        <v>8.595342299E9</v>
      </c>
      <c r="B1380" s="5" t="s">
        <v>1250</v>
      </c>
      <c r="C1380" s="5" t="s">
        <v>1214</v>
      </c>
      <c r="D1380" s="7">
        <v>1.0</v>
      </c>
      <c r="E1380" s="6">
        <v>46099.46875</v>
      </c>
      <c r="F1380" s="5" t="s">
        <v>1221</v>
      </c>
    </row>
    <row r="1381">
      <c r="A1381" s="5">
        <v>8.130302299E9</v>
      </c>
      <c r="B1381" s="5" t="s">
        <v>1334</v>
      </c>
      <c r="C1381" s="5" t="s">
        <v>1214</v>
      </c>
      <c r="D1381" s="7">
        <v>1.0</v>
      </c>
      <c r="E1381" s="6">
        <v>46099.46875</v>
      </c>
      <c r="F1381" s="5" t="s">
        <v>1221</v>
      </c>
    </row>
    <row r="1382">
      <c r="A1382" s="5">
        <v>8.095720564E9</v>
      </c>
      <c r="B1382" s="5" t="s">
        <v>1174</v>
      </c>
      <c r="C1382" s="5" t="s">
        <v>1214</v>
      </c>
      <c r="D1382" s="7">
        <v>1.0</v>
      </c>
      <c r="E1382" s="6">
        <v>46099.46875</v>
      </c>
      <c r="F1382" s="5" t="s">
        <v>1221</v>
      </c>
    </row>
    <row r="1383">
      <c r="A1383" s="5">
        <v>9.999887268E9</v>
      </c>
      <c r="B1383" s="5" t="s">
        <v>1304</v>
      </c>
      <c r="C1383" s="5" t="s">
        <v>1209</v>
      </c>
      <c r="D1383" s="7">
        <v>1.0</v>
      </c>
      <c r="E1383" s="6">
        <v>46101.46875</v>
      </c>
      <c r="F1383" s="5" t="s">
        <v>1221</v>
      </c>
    </row>
    <row r="1384">
      <c r="A1384" s="5">
        <v>9.654951709E9</v>
      </c>
      <c r="B1384" s="5" t="s">
        <v>901</v>
      </c>
      <c r="C1384" s="5" t="s">
        <v>1209</v>
      </c>
      <c r="D1384" s="7">
        <v>1.0</v>
      </c>
      <c r="E1384" s="6">
        <v>46101.46875</v>
      </c>
      <c r="F1384" s="5" t="s">
        <v>1221</v>
      </c>
    </row>
    <row r="1385">
      <c r="A1385" s="5">
        <v>8.218191244E9</v>
      </c>
      <c r="B1385" s="5" t="s">
        <v>1175</v>
      </c>
      <c r="C1385" s="5" t="s">
        <v>1214</v>
      </c>
      <c r="D1385" s="7">
        <v>1.0</v>
      </c>
      <c r="E1385" s="6">
        <v>46101.46875</v>
      </c>
      <c r="F1385" s="5" t="s">
        <v>1221</v>
      </c>
    </row>
    <row r="1386">
      <c r="A1386" s="5">
        <v>8.826871984E9</v>
      </c>
      <c r="B1386" s="5" t="s">
        <v>1319</v>
      </c>
      <c r="C1386" s="5" t="s">
        <v>1214</v>
      </c>
      <c r="D1386" s="7">
        <v>1.0</v>
      </c>
      <c r="E1386" s="6">
        <v>46103.46875</v>
      </c>
      <c r="F1386" s="5" t="s">
        <v>1221</v>
      </c>
    </row>
    <row r="1387">
      <c r="A1387" s="5">
        <v>9.953318887E9</v>
      </c>
      <c r="B1387" s="5" t="s">
        <v>903</v>
      </c>
      <c r="C1387" s="5" t="s">
        <v>1209</v>
      </c>
      <c r="D1387" s="7">
        <v>1.0</v>
      </c>
      <c r="E1387" s="6">
        <v>46104.46875</v>
      </c>
      <c r="F1387" s="5" t="s">
        <v>1221</v>
      </c>
    </row>
    <row r="1388">
      <c r="A1388" s="5">
        <v>7.982756328E9</v>
      </c>
      <c r="B1388" s="5" t="s">
        <v>1307</v>
      </c>
      <c r="C1388" s="5" t="s">
        <v>1209</v>
      </c>
      <c r="D1388" s="7">
        <v>1.0</v>
      </c>
      <c r="E1388" s="6">
        <v>46104.46875</v>
      </c>
      <c r="F1388" s="5" t="s">
        <v>1221</v>
      </c>
    </row>
    <row r="1389">
      <c r="A1389" s="5">
        <v>7.082809197E9</v>
      </c>
      <c r="B1389" s="5" t="s">
        <v>907</v>
      </c>
      <c r="C1389" s="5" t="s">
        <v>1209</v>
      </c>
      <c r="D1389" s="7">
        <v>1.0</v>
      </c>
      <c r="E1389" s="6">
        <v>46106.46875</v>
      </c>
      <c r="F1389" s="5" t="s">
        <v>1221</v>
      </c>
    </row>
    <row r="1390">
      <c r="A1390" s="5">
        <v>9.555343053E9</v>
      </c>
      <c r="B1390" s="5" t="s">
        <v>908</v>
      </c>
      <c r="C1390" s="5" t="s">
        <v>1209</v>
      </c>
      <c r="D1390" s="7">
        <v>1.0</v>
      </c>
      <c r="E1390" s="6">
        <v>46106.46875</v>
      </c>
      <c r="F1390" s="5" t="s">
        <v>1221</v>
      </c>
    </row>
    <row r="1391">
      <c r="A1391" s="5">
        <v>9.350115868E9</v>
      </c>
      <c r="B1391" s="5" t="s">
        <v>1179</v>
      </c>
      <c r="C1391" s="5" t="s">
        <v>1214</v>
      </c>
      <c r="D1391" s="7">
        <v>1.0</v>
      </c>
      <c r="E1391" s="6">
        <v>46106.46875</v>
      </c>
      <c r="F1391" s="5" t="s">
        <v>1221</v>
      </c>
    </row>
    <row r="1392">
      <c r="A1392" s="5">
        <v>9.110083501E9</v>
      </c>
      <c r="B1392" s="5" t="s">
        <v>1337</v>
      </c>
      <c r="C1392" s="5" t="s">
        <v>1214</v>
      </c>
      <c r="D1392" s="7">
        <v>1.0</v>
      </c>
      <c r="E1392" s="6">
        <v>46106.46875</v>
      </c>
      <c r="F1392" s="5" t="s">
        <v>1221</v>
      </c>
    </row>
    <row r="1393">
      <c r="A1393" s="5">
        <v>9.990256379E9</v>
      </c>
      <c r="B1393" s="5" t="s">
        <v>281</v>
      </c>
      <c r="C1393" s="5" t="s">
        <v>1209</v>
      </c>
      <c r="D1393" s="7">
        <v>1.0</v>
      </c>
      <c r="E1393" s="6">
        <v>46108.46875</v>
      </c>
      <c r="F1393" s="5" t="s">
        <v>1221</v>
      </c>
    </row>
    <row r="1394">
      <c r="A1394" s="5">
        <v>9.034107797E9</v>
      </c>
      <c r="B1394" s="5" t="s">
        <v>1330</v>
      </c>
      <c r="C1394" s="5" t="s">
        <v>1214</v>
      </c>
      <c r="D1394" s="7">
        <v>1.0</v>
      </c>
      <c r="E1394" s="6">
        <v>46110.46875</v>
      </c>
      <c r="F1394" s="5" t="s">
        <v>1221</v>
      </c>
    </row>
    <row r="1395">
      <c r="A1395" s="5">
        <v>8.92048752E9</v>
      </c>
      <c r="B1395" s="5" t="s">
        <v>1186</v>
      </c>
      <c r="C1395" s="5" t="s">
        <v>1214</v>
      </c>
      <c r="D1395" s="7">
        <v>1.0</v>
      </c>
      <c r="E1395" s="6">
        <v>46110.46875</v>
      </c>
      <c r="F1395" s="5" t="s">
        <v>1221</v>
      </c>
    </row>
    <row r="1396">
      <c r="A1396" s="5">
        <v>8.267693002E9</v>
      </c>
      <c r="B1396" s="5" t="s">
        <v>1187</v>
      </c>
      <c r="C1396" s="5" t="s">
        <v>1214</v>
      </c>
      <c r="D1396" s="7">
        <v>1.0</v>
      </c>
      <c r="E1396" s="6">
        <v>46112.46875</v>
      </c>
      <c r="F1396" s="5" t="s">
        <v>1221</v>
      </c>
    </row>
    <row r="1397">
      <c r="A1397" s="5">
        <v>9.910950257E9</v>
      </c>
      <c r="B1397" s="5" t="s">
        <v>367</v>
      </c>
      <c r="C1397" s="5" t="s">
        <v>1214</v>
      </c>
      <c r="D1397" s="7">
        <v>1.0</v>
      </c>
      <c r="E1397" s="6">
        <v>46112.46875</v>
      </c>
      <c r="F1397" s="5" t="s">
        <v>1221</v>
      </c>
    </row>
    <row r="1398">
      <c r="A1398" s="5">
        <v>9.81116777E9</v>
      </c>
      <c r="B1398" s="5" t="s">
        <v>1313</v>
      </c>
      <c r="C1398" s="5" t="s">
        <v>1209</v>
      </c>
      <c r="D1398" s="7">
        <v>1.0</v>
      </c>
      <c r="E1398" s="6">
        <v>46118.46875</v>
      </c>
      <c r="F1398" s="5" t="s">
        <v>1221</v>
      </c>
    </row>
    <row r="1399">
      <c r="E1399" s="6"/>
    </row>
    <row r="1400">
      <c r="E1400" s="6"/>
    </row>
    <row r="1401">
      <c r="E1401" s="6"/>
    </row>
    <row r="1402">
      <c r="E1402" s="6"/>
    </row>
    <row r="1403">
      <c r="E1403" s="6"/>
    </row>
    <row r="1404">
      <c r="E1404" s="6"/>
    </row>
    <row r="1405">
      <c r="E1405" s="6"/>
    </row>
    <row r="1406">
      <c r="E1406" s="6"/>
    </row>
    <row r="1407">
      <c r="E1407" s="6"/>
    </row>
    <row r="1408">
      <c r="E1408" s="6"/>
    </row>
    <row r="1409">
      <c r="E1409" s="6"/>
    </row>
    <row r="1410">
      <c r="E1410" s="6"/>
    </row>
    <row r="1411">
      <c r="E1411" s="6"/>
    </row>
    <row r="1412">
      <c r="E1412" s="6"/>
    </row>
    <row r="1413">
      <c r="E1413" s="6"/>
    </row>
    <row r="1414">
      <c r="E1414" s="6"/>
    </row>
    <row r="1415">
      <c r="E1415" s="6"/>
    </row>
    <row r="1416">
      <c r="E1416" s="6"/>
    </row>
    <row r="1417">
      <c r="E1417" s="6"/>
    </row>
    <row r="1418">
      <c r="E1418" s="6"/>
    </row>
    <row r="1419">
      <c r="E1419" s="6"/>
    </row>
    <row r="1420">
      <c r="E1420" s="6"/>
    </row>
    <row r="1421">
      <c r="E1421" s="6"/>
    </row>
    <row r="1422">
      <c r="E1422" s="6"/>
    </row>
    <row r="1423">
      <c r="E1423" s="6"/>
    </row>
    <row r="1424">
      <c r="E1424" s="6"/>
    </row>
    <row r="1425">
      <c r="E1425" s="6"/>
    </row>
    <row r="1426">
      <c r="E1426" s="6"/>
    </row>
    <row r="1427">
      <c r="E1427" s="6"/>
    </row>
    <row r="1428">
      <c r="E1428" s="6"/>
    </row>
    <row r="1429">
      <c r="E1429" s="6"/>
    </row>
    <row r="1430">
      <c r="E1430" s="6"/>
    </row>
    <row r="1431">
      <c r="E1431" s="6"/>
    </row>
    <row r="1432">
      <c r="E1432" s="6"/>
    </row>
    <row r="1433">
      <c r="E1433" s="6"/>
    </row>
    <row r="1434">
      <c r="E1434" s="6"/>
    </row>
    <row r="1435">
      <c r="E1435" s="6"/>
    </row>
    <row r="1436">
      <c r="E1436" s="6"/>
    </row>
    <row r="1437">
      <c r="E1437" s="6"/>
    </row>
    <row r="1438">
      <c r="E1438" s="6"/>
    </row>
    <row r="1439">
      <c r="E1439" s="6"/>
    </row>
    <row r="1440">
      <c r="E1440" s="6"/>
    </row>
    <row r="1441">
      <c r="E1441" s="6"/>
    </row>
    <row r="1442">
      <c r="E1442" s="6"/>
    </row>
    <row r="1443">
      <c r="E1443" s="6"/>
    </row>
    <row r="1444">
      <c r="E1444" s="6"/>
    </row>
    <row r="1445">
      <c r="E1445" s="6"/>
    </row>
    <row r="1446">
      <c r="E1446" s="6"/>
    </row>
    <row r="1447">
      <c r="E1447" s="6"/>
    </row>
    <row r="1448">
      <c r="E1448" s="6"/>
    </row>
    <row r="1449">
      <c r="E1449" s="6"/>
    </row>
    <row r="1450">
      <c r="E1450" s="6"/>
    </row>
    <row r="1451">
      <c r="E1451" s="6"/>
    </row>
    <row r="1452">
      <c r="E1452" s="6"/>
    </row>
    <row r="1453">
      <c r="E1453" s="6"/>
    </row>
    <row r="1454">
      <c r="E1454" s="6"/>
    </row>
    <row r="1455">
      <c r="E1455" s="6"/>
    </row>
    <row r="1456">
      <c r="E1456" s="6"/>
    </row>
    <row r="1457">
      <c r="E1457" s="6"/>
    </row>
    <row r="1458">
      <c r="E1458" s="6"/>
    </row>
    <row r="1459">
      <c r="E1459" s="6"/>
    </row>
    <row r="1460">
      <c r="E1460" s="6"/>
    </row>
    <row r="1461">
      <c r="E1461" s="6"/>
    </row>
    <row r="1462">
      <c r="E1462" s="6"/>
    </row>
    <row r="1463">
      <c r="E1463" s="6"/>
    </row>
    <row r="1464">
      <c r="E1464" s="6"/>
    </row>
    <row r="1465">
      <c r="E1465" s="6"/>
    </row>
    <row r="1466">
      <c r="E1466" s="6"/>
    </row>
    <row r="1467">
      <c r="E1467" s="6"/>
    </row>
    <row r="1468">
      <c r="E1468" s="6"/>
    </row>
    <row r="1469">
      <c r="E1469" s="6"/>
    </row>
    <row r="1470">
      <c r="E1470" s="6"/>
    </row>
    <row r="1471">
      <c r="E1471" s="6"/>
    </row>
    <row r="1472">
      <c r="E1472" s="6"/>
    </row>
    <row r="1473">
      <c r="E1473" s="6"/>
    </row>
    <row r="1474">
      <c r="E1474" s="6"/>
    </row>
    <row r="1475">
      <c r="E1475" s="6"/>
    </row>
    <row r="1476">
      <c r="E1476" s="6"/>
    </row>
    <row r="1477">
      <c r="E1477" s="6"/>
    </row>
    <row r="1478">
      <c r="E1478" s="6"/>
    </row>
    <row r="1479">
      <c r="E1479" s="6"/>
    </row>
    <row r="1480">
      <c r="E1480" s="6"/>
    </row>
    <row r="1481">
      <c r="E1481" s="6"/>
    </row>
    <row r="1482">
      <c r="E1482" s="6"/>
    </row>
    <row r="1483">
      <c r="E1483" s="6"/>
    </row>
    <row r="1484">
      <c r="E1484" s="6"/>
    </row>
    <row r="1485">
      <c r="E1485" s="6"/>
    </row>
    <row r="1486">
      <c r="E1486" s="6"/>
    </row>
    <row r="1487">
      <c r="E1487" s="6"/>
    </row>
    <row r="1488">
      <c r="E1488" s="6"/>
    </row>
    <row r="1489">
      <c r="E1489" s="6"/>
    </row>
    <row r="1490">
      <c r="E1490" s="6"/>
    </row>
    <row r="1491">
      <c r="E1491" s="6"/>
    </row>
    <row r="1492">
      <c r="E1492" s="6"/>
    </row>
    <row r="1493">
      <c r="E1493" s="6"/>
    </row>
    <row r="1494">
      <c r="E1494" s="6"/>
    </row>
    <row r="1495">
      <c r="E1495" s="6"/>
    </row>
    <row r="1496">
      <c r="E1496" s="6"/>
    </row>
    <row r="1497">
      <c r="E1497" s="6"/>
    </row>
    <row r="1498">
      <c r="E1498" s="6"/>
    </row>
    <row r="1499">
      <c r="E1499" s="6"/>
    </row>
    <row r="1500">
      <c r="E1500" s="6"/>
    </row>
    <row r="1501">
      <c r="E1501" s="6"/>
    </row>
    <row r="1502">
      <c r="E1502" s="6"/>
    </row>
    <row r="1503">
      <c r="E1503" s="6"/>
    </row>
    <row r="1504">
      <c r="E1504" s="6"/>
    </row>
    <row r="1505">
      <c r="E1505" s="6"/>
    </row>
    <row r="1506">
      <c r="E1506" s="6"/>
    </row>
    <row r="1507">
      <c r="E1507" s="6"/>
    </row>
    <row r="1508">
      <c r="E1508" s="6"/>
    </row>
    <row r="1509">
      <c r="E1509" s="6"/>
    </row>
    <row r="1510">
      <c r="E1510" s="6"/>
    </row>
    <row r="1511">
      <c r="E1511" s="6"/>
    </row>
    <row r="1512">
      <c r="E1512" s="6"/>
    </row>
    <row r="1513">
      <c r="E1513" s="6"/>
    </row>
    <row r="1514">
      <c r="E1514" s="6"/>
    </row>
    <row r="1515">
      <c r="E1515" s="6"/>
    </row>
    <row r="1516">
      <c r="E1516" s="6"/>
    </row>
    <row r="1517">
      <c r="E1517" s="6"/>
    </row>
    <row r="1518">
      <c r="E1518" s="6"/>
    </row>
    <row r="1519">
      <c r="E1519" s="6"/>
    </row>
    <row r="1520">
      <c r="E1520" s="6"/>
    </row>
    <row r="1521">
      <c r="E1521" s="6"/>
    </row>
    <row r="1522">
      <c r="E1522" s="6"/>
    </row>
    <row r="1523">
      <c r="E1523" s="6"/>
    </row>
    <row r="1524">
      <c r="E1524" s="6"/>
    </row>
    <row r="1525">
      <c r="E1525" s="6"/>
    </row>
    <row r="1526">
      <c r="E1526" s="6"/>
    </row>
    <row r="1527">
      <c r="E1527" s="6"/>
    </row>
    <row r="1528">
      <c r="E1528" s="6"/>
    </row>
    <row r="1529">
      <c r="E1529" s="6"/>
    </row>
    <row r="1530">
      <c r="E1530" s="6"/>
    </row>
    <row r="1531">
      <c r="E1531" s="6"/>
    </row>
    <row r="1532">
      <c r="E1532" s="6"/>
    </row>
    <row r="1533">
      <c r="E1533" s="6"/>
    </row>
    <row r="1534">
      <c r="E1534" s="6"/>
    </row>
    <row r="1535">
      <c r="E1535" s="6"/>
    </row>
    <row r="1536">
      <c r="E1536" s="6"/>
    </row>
    <row r="1537">
      <c r="E1537" s="6"/>
    </row>
    <row r="1538">
      <c r="E1538" s="6"/>
    </row>
    <row r="1539">
      <c r="E1539" s="6"/>
    </row>
    <row r="1540">
      <c r="E1540" s="6"/>
    </row>
    <row r="1541">
      <c r="E1541" s="6"/>
    </row>
    <row r="1542">
      <c r="E1542" s="6"/>
    </row>
    <row r="1543">
      <c r="E1543" s="6"/>
    </row>
    <row r="1544">
      <c r="E1544" s="6"/>
    </row>
    <row r="1545">
      <c r="E1545" s="6"/>
    </row>
    <row r="1546">
      <c r="E1546" s="6"/>
    </row>
    <row r="1547">
      <c r="E1547" s="6"/>
    </row>
    <row r="1548">
      <c r="E1548" s="6"/>
    </row>
    <row r="1549">
      <c r="E1549" s="6"/>
    </row>
    <row r="1550">
      <c r="E1550" s="6"/>
    </row>
    <row r="1551">
      <c r="E1551" s="6"/>
    </row>
    <row r="1552">
      <c r="E1552" s="6"/>
    </row>
    <row r="1553">
      <c r="E1553" s="6"/>
    </row>
    <row r="1554">
      <c r="E1554" s="6"/>
    </row>
    <row r="1555">
      <c r="E1555" s="6"/>
    </row>
    <row r="1556">
      <c r="E1556" s="6"/>
    </row>
    <row r="1557">
      <c r="E1557" s="6"/>
    </row>
    <row r="1558">
      <c r="E1558" s="6"/>
    </row>
    <row r="1559">
      <c r="E1559" s="6"/>
    </row>
    <row r="1560">
      <c r="E1560" s="6"/>
    </row>
    <row r="1561">
      <c r="E1561" s="6"/>
    </row>
    <row r="1562">
      <c r="E1562" s="6"/>
    </row>
    <row r="1563">
      <c r="E1563" s="6"/>
    </row>
    <row r="1564">
      <c r="E1564" s="6"/>
    </row>
    <row r="1565">
      <c r="E1565" s="6"/>
    </row>
    <row r="1566">
      <c r="E1566" s="6"/>
    </row>
    <row r="1567">
      <c r="E1567" s="6"/>
    </row>
    <row r="1568">
      <c r="E1568" s="6"/>
    </row>
    <row r="1569">
      <c r="E1569" s="6"/>
    </row>
    <row r="1570">
      <c r="E1570" s="6"/>
    </row>
    <row r="1571">
      <c r="E1571" s="6"/>
    </row>
    <row r="1572">
      <c r="E1572" s="6"/>
    </row>
    <row r="1573">
      <c r="E1573" s="6"/>
    </row>
    <row r="1574">
      <c r="E1574" s="6"/>
    </row>
    <row r="1575">
      <c r="E1575" s="6"/>
    </row>
    <row r="1576">
      <c r="E1576" s="6"/>
    </row>
    <row r="1577">
      <c r="E1577" s="6"/>
    </row>
    <row r="1578">
      <c r="E1578" s="6"/>
    </row>
    <row r="1579">
      <c r="E1579" s="6"/>
    </row>
    <row r="1580">
      <c r="E1580" s="6"/>
    </row>
    <row r="1581">
      <c r="E1581" s="6"/>
    </row>
    <row r="1582">
      <c r="E1582" s="6"/>
    </row>
    <row r="1583">
      <c r="E1583" s="6"/>
    </row>
    <row r="1584">
      <c r="E1584" s="6"/>
    </row>
    <row r="1585">
      <c r="E1585" s="6"/>
    </row>
    <row r="1586">
      <c r="E1586" s="6"/>
    </row>
    <row r="1587">
      <c r="E1587" s="6"/>
    </row>
    <row r="1588">
      <c r="E1588" s="6"/>
    </row>
    <row r="1589">
      <c r="E1589" s="6"/>
    </row>
    <row r="1590">
      <c r="E1590" s="6"/>
    </row>
    <row r="1591">
      <c r="E1591" s="6"/>
    </row>
    <row r="1592">
      <c r="E1592" s="6"/>
    </row>
    <row r="1593">
      <c r="E1593" s="6"/>
    </row>
    <row r="1594">
      <c r="E1594" s="6"/>
    </row>
    <row r="1595">
      <c r="E1595" s="6"/>
    </row>
    <row r="1596">
      <c r="E1596" s="6"/>
    </row>
    <row r="1597">
      <c r="E1597" s="6"/>
    </row>
    <row r="1598">
      <c r="E1598" s="6"/>
    </row>
    <row r="1599">
      <c r="E1599" s="6"/>
    </row>
    <row r="1600">
      <c r="E1600" s="6"/>
    </row>
    <row r="1601">
      <c r="E1601" s="6"/>
    </row>
    <row r="1602">
      <c r="E1602" s="6"/>
    </row>
    <row r="1603">
      <c r="E1603" s="6"/>
    </row>
    <row r="1604">
      <c r="E1604" s="6"/>
    </row>
    <row r="1605">
      <c r="E1605" s="6"/>
    </row>
    <row r="1606">
      <c r="E1606" s="6"/>
    </row>
    <row r="1607">
      <c r="E1607" s="6"/>
    </row>
    <row r="1608">
      <c r="E1608" s="6"/>
    </row>
    <row r="1609">
      <c r="E1609" s="6"/>
    </row>
    <row r="1610">
      <c r="E1610" s="6"/>
    </row>
    <row r="1611">
      <c r="E1611" s="6"/>
    </row>
    <row r="1612">
      <c r="E1612" s="6"/>
    </row>
    <row r="1613">
      <c r="E1613" s="6"/>
    </row>
    <row r="1614">
      <c r="E1614" s="6"/>
    </row>
    <row r="1615">
      <c r="E1615" s="6"/>
    </row>
    <row r="1616">
      <c r="E1616" s="6"/>
    </row>
    <row r="1617">
      <c r="E1617" s="6"/>
    </row>
    <row r="1618">
      <c r="E1618" s="6"/>
    </row>
    <row r="1619">
      <c r="E1619" s="6"/>
    </row>
    <row r="1620">
      <c r="E1620" s="6"/>
    </row>
    <row r="1621">
      <c r="E1621" s="6"/>
    </row>
    <row r="1622">
      <c r="E1622" s="6"/>
    </row>
    <row r="1623">
      <c r="E1623" s="6"/>
    </row>
    <row r="1624">
      <c r="E1624" s="6"/>
    </row>
    <row r="1625">
      <c r="E1625" s="6"/>
    </row>
    <row r="1626">
      <c r="E1626" s="6"/>
    </row>
    <row r="1627">
      <c r="E1627" s="6"/>
    </row>
    <row r="1628">
      <c r="E1628" s="6"/>
    </row>
    <row r="1629">
      <c r="E1629" s="6"/>
    </row>
    <row r="1630">
      <c r="E1630" s="6"/>
    </row>
    <row r="1631">
      <c r="E1631" s="6"/>
    </row>
    <row r="1632">
      <c r="E1632" s="6"/>
    </row>
    <row r="1633">
      <c r="E1633" s="6"/>
    </row>
    <row r="1634">
      <c r="E1634" s="6"/>
    </row>
    <row r="1635">
      <c r="E1635" s="6"/>
    </row>
    <row r="1636">
      <c r="E1636" s="6"/>
    </row>
    <row r="1637">
      <c r="E1637" s="6"/>
    </row>
    <row r="1638">
      <c r="E1638" s="6"/>
    </row>
    <row r="1639">
      <c r="E1639" s="6"/>
    </row>
    <row r="1640">
      <c r="E1640" s="6"/>
    </row>
    <row r="1641">
      <c r="E1641" s="6"/>
    </row>
    <row r="1642">
      <c r="E1642" s="6"/>
    </row>
    <row r="1643">
      <c r="E1643" s="6"/>
    </row>
    <row r="1644">
      <c r="E1644" s="6"/>
    </row>
    <row r="1645">
      <c r="E1645" s="6"/>
    </row>
    <row r="1646">
      <c r="E1646" s="6"/>
    </row>
    <row r="1647">
      <c r="E1647" s="6"/>
    </row>
    <row r="1648">
      <c r="E1648" s="6"/>
    </row>
    <row r="1649">
      <c r="E1649" s="6"/>
    </row>
    <row r="1650">
      <c r="E1650" s="6"/>
    </row>
    <row r="1651">
      <c r="E1651" s="6"/>
    </row>
    <row r="1652">
      <c r="E1652" s="6"/>
    </row>
    <row r="1653">
      <c r="E1653" s="6"/>
    </row>
    <row r="1654">
      <c r="E1654" s="6"/>
    </row>
    <row r="1655">
      <c r="E1655" s="6"/>
    </row>
    <row r="1656">
      <c r="E1656" s="6"/>
    </row>
    <row r="1657">
      <c r="E1657" s="6"/>
    </row>
    <row r="1658">
      <c r="E1658" s="6"/>
    </row>
    <row r="1659">
      <c r="E1659" s="6"/>
    </row>
    <row r="1660">
      <c r="E1660" s="6"/>
    </row>
    <row r="1661">
      <c r="E1661" s="6"/>
    </row>
    <row r="1662">
      <c r="E1662" s="6"/>
    </row>
    <row r="1663">
      <c r="E1663" s="6"/>
    </row>
    <row r="1664">
      <c r="E1664" s="6"/>
    </row>
    <row r="1665">
      <c r="E1665" s="6"/>
    </row>
    <row r="1666">
      <c r="E1666" s="6"/>
    </row>
    <row r="1667">
      <c r="E1667" s="6"/>
    </row>
    <row r="1668">
      <c r="E1668" s="6"/>
    </row>
    <row r="1669">
      <c r="E1669" s="6"/>
    </row>
    <row r="1670">
      <c r="E1670" s="6"/>
    </row>
    <row r="1671">
      <c r="E1671" s="6"/>
    </row>
    <row r="1672">
      <c r="E1672" s="6"/>
    </row>
    <row r="1673">
      <c r="E1673" s="6"/>
    </row>
    <row r="1674">
      <c r="E1674" s="6"/>
    </row>
    <row r="1675">
      <c r="E1675" s="6"/>
    </row>
    <row r="1676">
      <c r="E1676" s="6"/>
    </row>
    <row r="1677">
      <c r="E1677" s="6"/>
    </row>
    <row r="1678">
      <c r="E1678" s="6"/>
    </row>
    <row r="1679">
      <c r="E1679" s="6"/>
    </row>
    <row r="1680">
      <c r="E1680" s="6"/>
    </row>
    <row r="1681">
      <c r="E1681" s="6"/>
    </row>
    <row r="1682">
      <c r="E1682" s="6"/>
    </row>
    <row r="1683">
      <c r="E1683" s="6"/>
    </row>
    <row r="1684">
      <c r="E1684" s="6"/>
    </row>
    <row r="1685">
      <c r="E1685" s="6"/>
    </row>
    <row r="1686">
      <c r="E1686" s="6"/>
    </row>
    <row r="1687">
      <c r="E1687" s="6"/>
    </row>
    <row r="1688">
      <c r="E1688" s="6"/>
    </row>
    <row r="1689">
      <c r="E1689" s="6"/>
    </row>
    <row r="1690">
      <c r="E1690" s="6"/>
    </row>
    <row r="1691">
      <c r="E1691" s="6"/>
    </row>
    <row r="1692">
      <c r="E1692" s="6"/>
    </row>
    <row r="1693">
      <c r="E1693" s="6"/>
    </row>
    <row r="1694">
      <c r="E1694" s="6"/>
    </row>
    <row r="1695">
      <c r="E1695" s="6"/>
    </row>
    <row r="1696">
      <c r="E1696" s="6"/>
    </row>
    <row r="1697">
      <c r="E1697" s="6"/>
    </row>
    <row r="1698">
      <c r="E1698" s="6"/>
    </row>
    <row r="1699">
      <c r="E1699" s="6"/>
    </row>
    <row r="1700">
      <c r="E1700" s="6"/>
    </row>
    <row r="1701">
      <c r="E1701" s="6"/>
    </row>
    <row r="1702">
      <c r="E1702" s="6"/>
    </row>
    <row r="1703">
      <c r="E1703" s="6"/>
    </row>
    <row r="1704">
      <c r="E1704" s="6"/>
    </row>
    <row r="1705">
      <c r="E1705" s="6"/>
    </row>
    <row r="1706">
      <c r="E1706" s="6"/>
    </row>
    <row r="1707">
      <c r="E1707" s="6"/>
    </row>
    <row r="1708">
      <c r="E1708" s="6"/>
    </row>
    <row r="1709">
      <c r="E1709" s="6"/>
    </row>
    <row r="1710">
      <c r="E1710" s="6"/>
    </row>
    <row r="1711">
      <c r="E1711" s="6"/>
    </row>
    <row r="1712">
      <c r="E1712" s="6"/>
    </row>
    <row r="1713">
      <c r="E1713" s="6"/>
    </row>
    <row r="1714">
      <c r="E1714" s="6"/>
    </row>
    <row r="1715">
      <c r="E1715" s="6"/>
    </row>
    <row r="1716">
      <c r="E1716" s="6"/>
    </row>
    <row r="1717">
      <c r="E1717" s="6"/>
    </row>
    <row r="1718">
      <c r="E1718" s="6"/>
    </row>
    <row r="1719">
      <c r="E1719" s="6"/>
    </row>
    <row r="1720">
      <c r="E1720" s="6"/>
    </row>
    <row r="1721">
      <c r="E1721" s="6"/>
    </row>
    <row r="1722">
      <c r="E1722" s="6"/>
    </row>
    <row r="1723">
      <c r="E1723" s="6"/>
    </row>
    <row r="1724">
      <c r="E1724" s="6"/>
    </row>
    <row r="1725">
      <c r="E1725" s="6"/>
    </row>
    <row r="1726">
      <c r="E1726" s="6"/>
    </row>
    <row r="1727">
      <c r="E1727" s="6"/>
    </row>
    <row r="1728">
      <c r="E1728" s="6"/>
    </row>
    <row r="1729">
      <c r="E1729" s="6"/>
    </row>
    <row r="1730">
      <c r="E1730" s="6"/>
    </row>
    <row r="1731">
      <c r="E1731" s="6"/>
    </row>
    <row r="1732">
      <c r="E1732" s="6"/>
    </row>
    <row r="1733">
      <c r="E1733" s="6"/>
    </row>
    <row r="1734">
      <c r="E1734" s="6"/>
    </row>
    <row r="1735">
      <c r="E1735" s="6"/>
    </row>
    <row r="1736">
      <c r="E1736" s="6"/>
    </row>
    <row r="1737">
      <c r="E1737" s="6"/>
    </row>
    <row r="1738">
      <c r="E1738" s="6"/>
    </row>
    <row r="1739">
      <c r="E1739" s="6"/>
    </row>
    <row r="1740">
      <c r="E1740" s="6"/>
    </row>
    <row r="1741">
      <c r="E1741" s="6"/>
    </row>
    <row r="1742">
      <c r="E1742" s="6"/>
    </row>
    <row r="1743">
      <c r="E1743" s="6"/>
    </row>
    <row r="1744">
      <c r="E1744" s="6"/>
    </row>
    <row r="1745">
      <c r="E1745" s="6"/>
    </row>
    <row r="1746">
      <c r="E1746" s="6"/>
    </row>
    <row r="1747">
      <c r="E1747" s="6"/>
    </row>
    <row r="1748">
      <c r="E1748" s="6"/>
    </row>
    <row r="1749">
      <c r="E1749" s="6"/>
    </row>
    <row r="1750">
      <c r="E1750" s="6"/>
    </row>
    <row r="1751">
      <c r="E1751" s="6"/>
    </row>
    <row r="1752">
      <c r="E1752" s="6"/>
    </row>
    <row r="1753">
      <c r="E1753" s="6"/>
    </row>
    <row r="1754">
      <c r="E1754" s="6"/>
    </row>
    <row r="1755">
      <c r="E1755" s="6"/>
    </row>
    <row r="1756">
      <c r="E1756" s="6"/>
    </row>
    <row r="1757">
      <c r="E1757" s="6"/>
    </row>
    <row r="1758">
      <c r="E1758" s="6"/>
    </row>
    <row r="1759">
      <c r="E1759" s="6"/>
    </row>
    <row r="1760">
      <c r="E1760" s="6"/>
    </row>
    <row r="1761">
      <c r="E1761" s="6"/>
    </row>
    <row r="1762">
      <c r="E1762" s="6"/>
    </row>
    <row r="1763">
      <c r="E1763" s="6"/>
    </row>
    <row r="1764">
      <c r="E1764" s="6"/>
    </row>
    <row r="1765">
      <c r="E1765" s="6"/>
    </row>
    <row r="1766">
      <c r="E1766" s="6"/>
    </row>
    <row r="1767">
      <c r="E1767" s="6"/>
    </row>
    <row r="1768">
      <c r="E1768" s="6"/>
    </row>
    <row r="1769">
      <c r="E1769" s="6"/>
    </row>
    <row r="1770">
      <c r="E1770" s="6"/>
    </row>
    <row r="1771">
      <c r="E1771" s="6"/>
    </row>
    <row r="1772">
      <c r="E1772" s="6"/>
    </row>
    <row r="1773">
      <c r="E1773" s="6"/>
    </row>
    <row r="1774">
      <c r="E1774" s="6"/>
    </row>
    <row r="1775">
      <c r="E1775" s="6"/>
    </row>
    <row r="1776">
      <c r="E1776" s="6"/>
    </row>
    <row r="1777">
      <c r="E1777" s="6"/>
    </row>
    <row r="1778">
      <c r="E1778" s="6"/>
    </row>
    <row r="1779">
      <c r="E1779" s="6"/>
    </row>
    <row r="1780">
      <c r="E1780" s="6"/>
    </row>
    <row r="1781">
      <c r="E1781" s="6"/>
    </row>
    <row r="1782">
      <c r="E1782" s="6"/>
    </row>
    <row r="1783">
      <c r="E1783" s="6"/>
    </row>
    <row r="1784">
      <c r="E1784" s="6"/>
    </row>
    <row r="1785">
      <c r="E1785" s="6"/>
    </row>
    <row r="1786">
      <c r="E1786" s="6"/>
    </row>
    <row r="1787">
      <c r="E1787" s="6"/>
    </row>
    <row r="1788">
      <c r="E1788" s="6"/>
    </row>
    <row r="1789">
      <c r="E1789" s="6"/>
    </row>
    <row r="1790">
      <c r="E1790" s="6"/>
    </row>
    <row r="1791">
      <c r="E1791" s="6"/>
    </row>
    <row r="1792">
      <c r="E1792" s="6"/>
    </row>
    <row r="1793">
      <c r="E1793" s="6"/>
    </row>
    <row r="1794">
      <c r="E1794" s="6"/>
    </row>
    <row r="1795">
      <c r="E1795" s="6"/>
    </row>
    <row r="1796">
      <c r="E1796" s="6"/>
    </row>
    <row r="1797">
      <c r="E1797" s="6"/>
    </row>
    <row r="1798">
      <c r="E1798" s="6"/>
    </row>
    <row r="1799">
      <c r="E1799" s="6"/>
    </row>
    <row r="1800">
      <c r="E1800" s="6"/>
    </row>
    <row r="1801">
      <c r="E1801" s="6"/>
    </row>
    <row r="1802">
      <c r="E1802" s="6"/>
    </row>
    <row r="1803">
      <c r="E1803" s="6"/>
    </row>
    <row r="1804">
      <c r="E1804" s="6"/>
    </row>
    <row r="1805">
      <c r="E1805" s="6"/>
    </row>
    <row r="1806">
      <c r="E1806" s="6"/>
    </row>
    <row r="1807">
      <c r="E1807" s="6"/>
    </row>
    <row r="1808">
      <c r="E1808" s="6"/>
    </row>
    <row r="1809">
      <c r="E1809" s="6"/>
    </row>
    <row r="1810">
      <c r="E1810" s="6"/>
    </row>
    <row r="1811">
      <c r="E1811" s="6"/>
    </row>
    <row r="1812">
      <c r="E1812" s="6"/>
    </row>
    <row r="1813">
      <c r="E1813" s="6"/>
    </row>
    <row r="1814">
      <c r="E1814" s="6"/>
    </row>
    <row r="1815">
      <c r="E1815" s="6"/>
    </row>
    <row r="1816">
      <c r="E1816" s="6"/>
    </row>
    <row r="1817">
      <c r="E1817" s="6"/>
    </row>
    <row r="1818">
      <c r="E1818" s="6"/>
    </row>
    <row r="1819">
      <c r="E1819" s="6"/>
    </row>
    <row r="1820">
      <c r="E1820" s="6"/>
    </row>
    <row r="1821">
      <c r="E1821" s="6"/>
    </row>
    <row r="1822">
      <c r="E1822" s="6"/>
    </row>
    <row r="1823">
      <c r="E1823" s="6"/>
    </row>
    <row r="1824">
      <c r="E1824" s="6"/>
    </row>
    <row r="1825">
      <c r="E1825" s="6"/>
    </row>
    <row r="1826">
      <c r="E1826" s="6"/>
    </row>
    <row r="1827">
      <c r="E1827" s="6"/>
    </row>
    <row r="1828">
      <c r="E1828" s="6"/>
    </row>
    <row r="1829">
      <c r="E1829" s="6"/>
    </row>
    <row r="1830">
      <c r="E1830" s="6"/>
    </row>
    <row r="1831">
      <c r="E1831" s="6"/>
    </row>
    <row r="1832">
      <c r="E1832" s="6"/>
    </row>
    <row r="1833">
      <c r="E1833" s="6"/>
    </row>
    <row r="1834">
      <c r="E1834" s="6"/>
    </row>
    <row r="1835">
      <c r="E1835" s="6"/>
    </row>
    <row r="1836">
      <c r="E1836" s="6"/>
    </row>
    <row r="1837">
      <c r="E1837" s="6"/>
    </row>
    <row r="1838">
      <c r="E1838" s="6"/>
    </row>
    <row r="1839">
      <c r="E1839" s="6"/>
    </row>
    <row r="1840">
      <c r="E1840" s="6"/>
    </row>
    <row r="1841">
      <c r="E1841" s="6"/>
    </row>
    <row r="1842">
      <c r="E1842" s="6"/>
    </row>
    <row r="1843">
      <c r="E1843" s="6"/>
    </row>
    <row r="1844">
      <c r="E1844" s="6"/>
    </row>
    <row r="1845">
      <c r="E1845" s="6"/>
    </row>
    <row r="1846">
      <c r="E1846" s="6"/>
    </row>
    <row r="1847">
      <c r="E1847" s="6"/>
    </row>
    <row r="1848">
      <c r="E1848" s="6"/>
    </row>
    <row r="1849">
      <c r="E1849" s="6"/>
    </row>
    <row r="1850">
      <c r="E1850" s="6"/>
    </row>
    <row r="1851">
      <c r="E1851" s="6"/>
    </row>
    <row r="1852">
      <c r="E1852" s="6"/>
    </row>
    <row r="1853">
      <c r="E1853" s="6"/>
    </row>
    <row r="1854">
      <c r="E1854" s="6"/>
    </row>
    <row r="1855">
      <c r="E1855" s="6"/>
    </row>
    <row r="1856">
      <c r="E1856" s="6"/>
    </row>
    <row r="1857">
      <c r="E1857" s="6"/>
    </row>
    <row r="1858">
      <c r="E1858" s="6"/>
    </row>
    <row r="1859">
      <c r="E1859" s="6"/>
    </row>
    <row r="1860">
      <c r="E1860" s="6"/>
    </row>
    <row r="1861">
      <c r="E1861" s="6"/>
    </row>
    <row r="1862">
      <c r="E1862" s="6"/>
    </row>
    <row r="1863">
      <c r="E1863" s="6"/>
    </row>
    <row r="1864">
      <c r="E1864" s="6"/>
    </row>
    <row r="1865">
      <c r="E1865" s="6"/>
    </row>
    <row r="1866">
      <c r="E1866" s="6"/>
    </row>
    <row r="1867">
      <c r="E1867" s="6"/>
    </row>
    <row r="1868">
      <c r="E1868" s="6"/>
    </row>
    <row r="1869">
      <c r="E1869" s="6"/>
    </row>
    <row r="1870">
      <c r="E1870" s="6"/>
    </row>
    <row r="1871">
      <c r="E1871" s="6"/>
    </row>
    <row r="1872">
      <c r="E1872" s="6"/>
    </row>
    <row r="1873">
      <c r="E1873" s="6"/>
    </row>
    <row r="1874">
      <c r="E1874" s="6"/>
    </row>
    <row r="1875">
      <c r="E1875" s="6"/>
    </row>
    <row r="1876">
      <c r="E1876" s="6"/>
    </row>
    <row r="1877">
      <c r="E1877" s="6"/>
    </row>
    <row r="1878">
      <c r="E1878" s="6"/>
    </row>
    <row r="1879">
      <c r="E1879" s="6"/>
    </row>
    <row r="1880">
      <c r="E1880" s="6"/>
    </row>
    <row r="1881">
      <c r="E1881" s="6"/>
    </row>
    <row r="1882">
      <c r="E1882" s="6"/>
    </row>
    <row r="1883">
      <c r="E1883" s="6"/>
    </row>
    <row r="1884">
      <c r="E1884" s="6"/>
    </row>
    <row r="1885">
      <c r="E1885" s="6"/>
    </row>
    <row r="1886">
      <c r="E1886" s="6"/>
    </row>
    <row r="1887">
      <c r="E1887" s="6"/>
    </row>
    <row r="1888">
      <c r="E1888" s="6"/>
    </row>
    <row r="1889">
      <c r="E1889" s="6"/>
    </row>
    <row r="1890">
      <c r="E1890" s="6"/>
    </row>
    <row r="1891">
      <c r="E1891" s="6"/>
    </row>
    <row r="1892">
      <c r="E1892" s="6"/>
    </row>
    <row r="1893">
      <c r="E1893" s="6"/>
    </row>
    <row r="1894">
      <c r="E1894" s="6"/>
    </row>
    <row r="1895">
      <c r="E1895" s="6"/>
    </row>
    <row r="1896">
      <c r="E1896" s="6"/>
    </row>
    <row r="1897">
      <c r="E1897" s="6"/>
    </row>
    <row r="1898">
      <c r="E1898" s="6"/>
    </row>
    <row r="1899">
      <c r="E1899" s="6"/>
    </row>
    <row r="1900">
      <c r="E1900" s="6"/>
    </row>
    <row r="1901">
      <c r="E1901" s="6"/>
    </row>
    <row r="1902">
      <c r="E1902" s="6"/>
    </row>
    <row r="1903">
      <c r="E1903" s="6"/>
    </row>
    <row r="1904">
      <c r="E1904" s="6"/>
    </row>
    <row r="1905">
      <c r="E1905" s="6"/>
    </row>
    <row r="1906">
      <c r="E1906" s="6"/>
    </row>
    <row r="1907">
      <c r="E1907" s="6"/>
    </row>
    <row r="1908">
      <c r="E1908" s="6"/>
    </row>
    <row r="1909">
      <c r="E1909" s="6"/>
    </row>
    <row r="1910">
      <c r="E1910" s="6"/>
    </row>
    <row r="1911">
      <c r="E1911" s="6"/>
    </row>
    <row r="1912">
      <c r="E1912" s="6"/>
    </row>
    <row r="1913">
      <c r="E1913" s="6"/>
    </row>
    <row r="1914">
      <c r="E1914" s="6"/>
    </row>
    <row r="1915">
      <c r="E1915" s="6"/>
    </row>
    <row r="1916">
      <c r="E1916" s="6"/>
    </row>
    <row r="1917">
      <c r="E1917" s="6"/>
    </row>
    <row r="1918">
      <c r="E1918" s="6"/>
    </row>
    <row r="1919">
      <c r="E1919" s="6"/>
    </row>
    <row r="1920">
      <c r="E1920" s="6"/>
    </row>
    <row r="1921">
      <c r="E1921" s="6"/>
    </row>
    <row r="1922">
      <c r="E1922" s="6"/>
    </row>
    <row r="1923">
      <c r="E1923" s="6"/>
    </row>
    <row r="1924">
      <c r="E1924" s="6"/>
    </row>
    <row r="1925">
      <c r="E1925" s="6"/>
    </row>
    <row r="1926">
      <c r="E1926" s="6"/>
    </row>
    <row r="1927">
      <c r="E1927" s="6"/>
    </row>
    <row r="1928">
      <c r="E1928" s="6"/>
    </row>
    <row r="1929">
      <c r="E1929" s="6"/>
    </row>
    <row r="1930">
      <c r="E1930" s="6"/>
    </row>
    <row r="1931">
      <c r="E1931" s="6"/>
    </row>
    <row r="1932">
      <c r="E1932" s="6"/>
    </row>
    <row r="1933">
      <c r="E1933" s="6"/>
    </row>
    <row r="1934">
      <c r="E1934" s="6"/>
    </row>
    <row r="1935">
      <c r="E1935" s="6"/>
    </row>
    <row r="1936">
      <c r="E1936" s="6"/>
    </row>
    <row r="1937">
      <c r="E1937" s="6"/>
    </row>
    <row r="1938">
      <c r="E1938" s="6"/>
    </row>
    <row r="1939">
      <c r="E1939" s="6"/>
    </row>
    <row r="1940">
      <c r="E1940" s="6"/>
    </row>
    <row r="1941">
      <c r="E1941" s="6"/>
    </row>
    <row r="1942">
      <c r="E1942" s="6"/>
    </row>
    <row r="1943">
      <c r="E1943" s="6"/>
    </row>
    <row r="1944">
      <c r="E1944" s="6"/>
    </row>
    <row r="1945">
      <c r="E1945" s="6"/>
    </row>
    <row r="1946">
      <c r="E1946" s="6"/>
    </row>
    <row r="1947">
      <c r="E1947" s="6"/>
    </row>
    <row r="1948">
      <c r="E1948" s="6"/>
    </row>
    <row r="1949">
      <c r="E1949" s="6"/>
    </row>
    <row r="1950">
      <c r="E1950" s="6"/>
    </row>
    <row r="1951">
      <c r="E1951" s="6"/>
    </row>
    <row r="1952">
      <c r="E1952" s="6"/>
    </row>
    <row r="1953">
      <c r="E1953" s="6"/>
    </row>
    <row r="1954">
      <c r="E1954" s="6"/>
    </row>
    <row r="1955">
      <c r="E1955" s="6"/>
    </row>
    <row r="1956">
      <c r="E1956" s="6"/>
    </row>
    <row r="1957">
      <c r="E1957" s="6"/>
    </row>
    <row r="1958">
      <c r="E1958" s="6"/>
    </row>
    <row r="1959">
      <c r="E1959" s="6"/>
    </row>
    <row r="1960">
      <c r="E1960" s="6"/>
    </row>
    <row r="1961">
      <c r="E1961" s="6"/>
    </row>
    <row r="1962">
      <c r="E1962" s="6"/>
    </row>
    <row r="1963">
      <c r="E1963" s="6"/>
    </row>
    <row r="1964">
      <c r="E1964" s="6"/>
    </row>
    <row r="1965">
      <c r="E1965" s="6"/>
    </row>
    <row r="1966">
      <c r="E1966" s="6"/>
    </row>
    <row r="1967">
      <c r="E1967" s="6"/>
    </row>
    <row r="1968">
      <c r="E1968" s="6"/>
    </row>
    <row r="1969">
      <c r="E1969" s="6"/>
    </row>
    <row r="1970">
      <c r="E1970" s="6"/>
    </row>
    <row r="1971">
      <c r="E1971" s="6"/>
    </row>
    <row r="1972">
      <c r="E1972" s="6"/>
    </row>
    <row r="1973">
      <c r="E1973" s="6"/>
    </row>
    <row r="1974">
      <c r="E1974" s="6"/>
    </row>
    <row r="1975">
      <c r="E1975" s="6"/>
    </row>
    <row r="1976">
      <c r="E1976" s="6"/>
    </row>
    <row r="1977">
      <c r="E1977" s="6"/>
    </row>
    <row r="1978">
      <c r="E1978" s="6"/>
    </row>
    <row r="1979">
      <c r="E1979" s="6"/>
    </row>
    <row r="1980">
      <c r="E1980" s="6"/>
    </row>
    <row r="1981">
      <c r="E1981" s="6"/>
    </row>
    <row r="1982">
      <c r="E1982" s="6"/>
    </row>
    <row r="1983">
      <c r="E1983" s="6"/>
    </row>
    <row r="1984">
      <c r="E1984" s="6"/>
    </row>
    <row r="1985">
      <c r="E1985" s="6"/>
    </row>
    <row r="1986">
      <c r="E1986" s="6"/>
    </row>
    <row r="1987">
      <c r="E1987" s="6"/>
    </row>
    <row r="1988">
      <c r="E1988" s="6"/>
    </row>
    <row r="1989">
      <c r="E1989" s="6"/>
    </row>
    <row r="1990">
      <c r="E1990" s="6"/>
    </row>
    <row r="1991">
      <c r="E1991" s="6"/>
    </row>
    <row r="1992">
      <c r="E1992" s="6"/>
    </row>
    <row r="1993">
      <c r="E1993" s="6"/>
    </row>
    <row r="1994">
      <c r="E1994" s="6"/>
    </row>
    <row r="1995">
      <c r="E1995" s="6"/>
    </row>
    <row r="1996">
      <c r="E1996" s="6"/>
    </row>
    <row r="1997">
      <c r="E1997" s="6"/>
    </row>
    <row r="1998">
      <c r="E1998" s="6"/>
    </row>
    <row r="1999">
      <c r="E1999" s="6"/>
    </row>
    <row r="2000">
      <c r="E2000" s="6"/>
    </row>
    <row r="2001">
      <c r="E2001" s="6"/>
    </row>
    <row r="2002">
      <c r="E2002" s="6"/>
    </row>
    <row r="2003">
      <c r="E2003" s="6"/>
    </row>
    <row r="2004">
      <c r="E2004" s="6"/>
    </row>
    <row r="2005">
      <c r="E2005" s="6"/>
    </row>
    <row r="2006">
      <c r="E2006" s="6"/>
    </row>
    <row r="2007">
      <c r="E2007" s="6"/>
    </row>
    <row r="2008">
      <c r="E2008" s="6"/>
    </row>
    <row r="2009">
      <c r="E2009" s="6"/>
    </row>
    <row r="2010">
      <c r="E2010" s="6"/>
    </row>
    <row r="2011">
      <c r="E2011" s="6"/>
    </row>
    <row r="2012">
      <c r="E2012" s="6"/>
    </row>
    <row r="2013">
      <c r="E2013" s="6"/>
    </row>
    <row r="2014">
      <c r="E2014" s="6"/>
    </row>
    <row r="2015">
      <c r="E2015" s="6"/>
    </row>
    <row r="2016">
      <c r="E2016" s="6"/>
    </row>
    <row r="2017">
      <c r="E2017" s="6"/>
    </row>
    <row r="2018">
      <c r="E2018" s="6"/>
    </row>
    <row r="2019">
      <c r="E2019" s="6"/>
    </row>
    <row r="2020">
      <c r="E2020" s="6"/>
    </row>
    <row r="2021">
      <c r="E2021" s="6"/>
    </row>
    <row r="2022">
      <c r="E2022" s="6"/>
    </row>
    <row r="2023">
      <c r="E2023" s="6"/>
    </row>
    <row r="2024">
      <c r="E2024" s="6"/>
    </row>
    <row r="2025">
      <c r="E2025" s="6"/>
    </row>
    <row r="2026">
      <c r="E2026" s="6"/>
    </row>
    <row r="2027">
      <c r="E2027" s="6"/>
    </row>
    <row r="2028">
      <c r="E2028" s="6"/>
    </row>
    <row r="2029">
      <c r="E2029" s="6"/>
    </row>
    <row r="2030">
      <c r="E2030" s="6"/>
    </row>
    <row r="2031">
      <c r="E2031" s="6"/>
    </row>
    <row r="2032">
      <c r="E2032" s="6"/>
    </row>
    <row r="2033">
      <c r="E2033" s="6"/>
    </row>
    <row r="2034">
      <c r="E2034" s="6"/>
    </row>
    <row r="2035">
      <c r="E2035" s="6"/>
    </row>
    <row r="2036">
      <c r="E2036" s="6"/>
    </row>
    <row r="2037">
      <c r="E2037" s="6"/>
    </row>
    <row r="2038">
      <c r="E2038" s="6"/>
    </row>
    <row r="2039">
      <c r="E2039" s="6"/>
    </row>
    <row r="2040">
      <c r="E2040" s="6"/>
    </row>
    <row r="2041">
      <c r="E2041" s="6"/>
    </row>
    <row r="2042">
      <c r="E2042" s="6"/>
    </row>
    <row r="2043">
      <c r="E2043" s="6"/>
    </row>
    <row r="2044">
      <c r="E2044" s="6"/>
    </row>
    <row r="2045">
      <c r="E2045" s="6"/>
    </row>
    <row r="2046">
      <c r="E2046" s="6"/>
    </row>
    <row r="2047">
      <c r="E2047" s="6"/>
    </row>
    <row r="2048">
      <c r="E2048" s="6"/>
    </row>
    <row r="2049">
      <c r="E2049" s="6"/>
    </row>
    <row r="2050">
      <c r="E2050" s="6"/>
    </row>
    <row r="2051">
      <c r="E2051" s="6"/>
    </row>
    <row r="2052">
      <c r="E2052" s="6"/>
    </row>
    <row r="2053">
      <c r="E2053" s="6"/>
    </row>
    <row r="2054">
      <c r="E2054" s="6"/>
    </row>
    <row r="2055">
      <c r="E2055" s="6"/>
    </row>
    <row r="2056">
      <c r="E2056" s="6"/>
    </row>
    <row r="2057">
      <c r="E2057" s="6"/>
    </row>
    <row r="2058">
      <c r="E2058" s="6"/>
    </row>
    <row r="2059">
      <c r="E2059" s="6"/>
    </row>
    <row r="2060">
      <c r="E2060" s="6"/>
    </row>
    <row r="2061">
      <c r="E2061" s="6"/>
    </row>
    <row r="2062">
      <c r="E2062" s="6"/>
    </row>
    <row r="2063">
      <c r="E2063" s="6"/>
    </row>
    <row r="2064">
      <c r="E2064" s="6"/>
    </row>
    <row r="2065">
      <c r="E2065" s="6"/>
    </row>
    <row r="2066">
      <c r="E2066" s="6"/>
    </row>
    <row r="2067">
      <c r="E2067" s="6"/>
    </row>
    <row r="2068">
      <c r="E2068" s="6"/>
    </row>
    <row r="2069">
      <c r="E2069" s="6"/>
    </row>
    <row r="2070">
      <c r="E2070" s="6"/>
    </row>
    <row r="2071">
      <c r="E2071" s="6"/>
    </row>
    <row r="2072">
      <c r="E2072" s="6"/>
    </row>
    <row r="2073">
      <c r="E2073" s="6"/>
    </row>
    <row r="2074">
      <c r="E2074" s="6"/>
    </row>
    <row r="2075">
      <c r="E2075" s="6"/>
    </row>
    <row r="2076">
      <c r="E2076" s="6"/>
    </row>
    <row r="2077">
      <c r="E2077" s="6"/>
    </row>
    <row r="2078">
      <c r="E2078" s="6"/>
    </row>
    <row r="2079">
      <c r="E2079" s="6"/>
    </row>
    <row r="2080">
      <c r="E2080" s="6"/>
    </row>
    <row r="2081">
      <c r="E2081" s="6"/>
    </row>
    <row r="2082">
      <c r="E2082" s="6"/>
    </row>
    <row r="2083">
      <c r="E2083" s="6"/>
    </row>
    <row r="2084">
      <c r="E2084" s="6"/>
    </row>
    <row r="2085">
      <c r="E2085" s="6"/>
    </row>
    <row r="2086">
      <c r="E2086" s="6"/>
    </row>
    <row r="2087">
      <c r="E2087" s="6"/>
    </row>
    <row r="2088">
      <c r="E2088" s="6"/>
    </row>
    <row r="2089">
      <c r="E2089" s="6"/>
    </row>
    <row r="2090">
      <c r="E2090" s="6"/>
    </row>
    <row r="2091">
      <c r="E2091" s="6"/>
    </row>
    <row r="2092">
      <c r="E2092" s="6"/>
    </row>
    <row r="2093">
      <c r="E2093" s="6"/>
    </row>
    <row r="2094">
      <c r="E2094" s="6"/>
    </row>
    <row r="2095">
      <c r="E2095" s="6"/>
    </row>
    <row r="2096">
      <c r="E2096" s="6"/>
    </row>
    <row r="2097">
      <c r="E2097" s="6"/>
    </row>
    <row r="2098">
      <c r="E2098" s="6"/>
    </row>
    <row r="2099">
      <c r="E2099" s="6"/>
    </row>
    <row r="2100">
      <c r="E2100" s="6"/>
    </row>
    <row r="2101">
      <c r="E2101" s="6"/>
    </row>
    <row r="2102">
      <c r="E2102" s="6"/>
    </row>
    <row r="2103">
      <c r="E2103" s="6"/>
    </row>
    <row r="2104">
      <c r="E2104" s="6"/>
    </row>
    <row r="2105">
      <c r="E2105" s="6"/>
    </row>
    <row r="2106">
      <c r="E2106" s="6"/>
    </row>
    <row r="2107">
      <c r="E2107" s="6"/>
    </row>
    <row r="2108">
      <c r="E2108" s="6"/>
    </row>
    <row r="2109">
      <c r="E2109" s="6"/>
    </row>
    <row r="2110">
      <c r="E2110" s="6"/>
    </row>
    <row r="2111">
      <c r="E2111" s="6"/>
    </row>
    <row r="2112">
      <c r="E2112" s="6"/>
    </row>
    <row r="2113">
      <c r="E2113" s="6"/>
    </row>
    <row r="2114">
      <c r="E2114" s="6"/>
    </row>
    <row r="2115">
      <c r="E2115" s="6"/>
    </row>
    <row r="2116">
      <c r="E2116" s="6"/>
    </row>
    <row r="2117">
      <c r="E2117" s="6"/>
    </row>
    <row r="2118">
      <c r="E2118" s="6"/>
    </row>
    <row r="2119">
      <c r="E2119" s="6"/>
    </row>
    <row r="2120">
      <c r="E2120" s="6"/>
    </row>
    <row r="2121">
      <c r="E2121" s="6"/>
    </row>
    <row r="2122">
      <c r="E2122" s="6"/>
    </row>
    <row r="2123">
      <c r="E2123" s="6"/>
    </row>
    <row r="2124">
      <c r="E2124" s="6"/>
    </row>
    <row r="2125">
      <c r="E2125" s="6"/>
    </row>
    <row r="2126">
      <c r="E2126" s="6"/>
    </row>
    <row r="2127">
      <c r="E2127" s="6"/>
    </row>
    <row r="2128">
      <c r="E2128" s="6"/>
    </row>
    <row r="2129">
      <c r="E2129" s="6"/>
    </row>
    <row r="2130">
      <c r="E2130" s="6"/>
    </row>
    <row r="2131">
      <c r="E2131" s="6"/>
    </row>
    <row r="2132">
      <c r="E2132" s="6"/>
    </row>
    <row r="2133">
      <c r="E2133" s="6"/>
    </row>
    <row r="2134">
      <c r="E2134" s="6"/>
    </row>
    <row r="2135">
      <c r="E2135" s="6"/>
    </row>
    <row r="2136">
      <c r="E2136" s="6"/>
    </row>
    <row r="2137">
      <c r="E2137" s="6"/>
    </row>
    <row r="2138">
      <c r="E2138" s="6"/>
    </row>
    <row r="2139">
      <c r="E2139" s="6"/>
    </row>
    <row r="2140">
      <c r="E2140" s="6"/>
    </row>
    <row r="2141">
      <c r="E2141" s="6"/>
    </row>
    <row r="2142">
      <c r="E2142" s="6"/>
    </row>
    <row r="2143">
      <c r="E2143" s="6"/>
    </row>
    <row r="2144">
      <c r="E2144" s="6"/>
    </row>
    <row r="2145">
      <c r="E2145" s="6"/>
    </row>
    <row r="2146">
      <c r="E2146" s="6"/>
    </row>
    <row r="2147">
      <c r="E2147" s="6"/>
    </row>
    <row r="2148">
      <c r="E2148" s="6"/>
    </row>
    <row r="2149">
      <c r="E2149" s="6"/>
    </row>
    <row r="2150">
      <c r="E2150" s="6"/>
    </row>
    <row r="2151">
      <c r="E2151" s="6"/>
    </row>
    <row r="2152">
      <c r="E2152" s="6"/>
    </row>
    <row r="2153">
      <c r="E2153" s="6"/>
    </row>
    <row r="2154">
      <c r="E2154" s="6"/>
    </row>
    <row r="2155">
      <c r="E2155" s="6"/>
    </row>
    <row r="2156">
      <c r="E2156" s="6"/>
    </row>
    <row r="2157">
      <c r="E2157" s="6"/>
    </row>
    <row r="2158">
      <c r="E2158" s="6"/>
    </row>
    <row r="2159">
      <c r="E2159" s="6"/>
    </row>
    <row r="2160">
      <c r="E2160" s="6"/>
    </row>
    <row r="2161">
      <c r="E2161" s="6"/>
    </row>
    <row r="2162">
      <c r="E2162" s="6"/>
    </row>
    <row r="2163">
      <c r="E2163" s="6"/>
    </row>
    <row r="2164">
      <c r="E2164" s="6"/>
    </row>
    <row r="2165">
      <c r="E2165" s="6"/>
    </row>
    <row r="2166">
      <c r="E2166" s="6"/>
    </row>
    <row r="2167">
      <c r="E2167" s="6"/>
    </row>
    <row r="2168">
      <c r="E2168" s="6"/>
    </row>
    <row r="2169">
      <c r="E2169" s="6"/>
    </row>
    <row r="2170">
      <c r="E2170" s="6"/>
    </row>
    <row r="2171">
      <c r="E2171" s="6"/>
    </row>
    <row r="2172">
      <c r="E2172" s="6"/>
    </row>
    <row r="2173">
      <c r="E2173" s="6"/>
    </row>
    <row r="2174">
      <c r="E2174" s="6"/>
    </row>
    <row r="2175">
      <c r="E2175" s="6"/>
    </row>
    <row r="2176">
      <c r="E2176" s="6"/>
    </row>
    <row r="2177">
      <c r="E2177" s="6"/>
    </row>
    <row r="2178">
      <c r="E2178" s="6"/>
    </row>
    <row r="2179">
      <c r="E2179" s="6"/>
    </row>
    <row r="2180">
      <c r="E2180" s="6"/>
    </row>
    <row r="2181">
      <c r="E2181" s="6"/>
    </row>
    <row r="2182">
      <c r="E2182" s="6"/>
    </row>
    <row r="2183">
      <c r="E2183" s="6"/>
    </row>
    <row r="2184">
      <c r="E2184" s="6"/>
    </row>
    <row r="2185">
      <c r="E2185" s="6"/>
    </row>
    <row r="2186">
      <c r="E2186" s="6"/>
    </row>
    <row r="2187">
      <c r="E2187" s="6"/>
    </row>
    <row r="2188">
      <c r="E2188" s="6"/>
    </row>
    <row r="2189">
      <c r="E2189" s="6"/>
    </row>
    <row r="2190">
      <c r="E2190" s="6"/>
    </row>
    <row r="2191">
      <c r="E2191" s="6"/>
    </row>
    <row r="2192">
      <c r="E2192" s="6"/>
    </row>
    <row r="2193">
      <c r="E2193" s="6"/>
    </row>
    <row r="2194">
      <c r="E2194" s="6"/>
    </row>
    <row r="2195">
      <c r="E2195" s="6"/>
    </row>
    <row r="2196">
      <c r="E2196" s="6"/>
    </row>
    <row r="2197">
      <c r="E2197" s="6"/>
    </row>
    <row r="2198">
      <c r="E2198" s="6"/>
    </row>
    <row r="2199">
      <c r="E2199" s="6"/>
    </row>
    <row r="2200">
      <c r="E2200" s="6"/>
    </row>
    <row r="2201">
      <c r="E2201" s="6"/>
    </row>
    <row r="2202">
      <c r="E2202" s="6"/>
    </row>
    <row r="2203">
      <c r="E2203" s="6"/>
    </row>
    <row r="2204">
      <c r="E2204" s="6"/>
    </row>
    <row r="2205">
      <c r="E2205" s="6"/>
    </row>
    <row r="2206">
      <c r="E2206" s="6"/>
    </row>
    <row r="2207">
      <c r="E2207" s="6"/>
    </row>
    <row r="2208">
      <c r="E2208" s="6"/>
    </row>
    <row r="2209">
      <c r="E2209" s="6"/>
    </row>
    <row r="2210">
      <c r="E2210" s="6"/>
    </row>
    <row r="2211">
      <c r="E2211" s="6"/>
    </row>
    <row r="2212">
      <c r="E2212" s="6"/>
    </row>
    <row r="2213">
      <c r="E2213" s="6"/>
    </row>
    <row r="2214">
      <c r="E2214" s="6"/>
    </row>
    <row r="2215">
      <c r="E2215" s="6"/>
    </row>
    <row r="2216">
      <c r="E2216" s="6"/>
    </row>
    <row r="2217">
      <c r="E2217" s="6"/>
    </row>
    <row r="2218">
      <c r="E2218" s="6"/>
    </row>
    <row r="2219">
      <c r="E2219" s="6"/>
    </row>
    <row r="2220">
      <c r="E2220" s="6"/>
    </row>
    <row r="2221">
      <c r="E2221" s="6"/>
    </row>
    <row r="2222">
      <c r="E2222" s="6"/>
    </row>
    <row r="2223">
      <c r="E2223" s="6"/>
    </row>
    <row r="2224">
      <c r="E2224" s="6"/>
    </row>
    <row r="2225">
      <c r="E2225" s="6"/>
    </row>
    <row r="2226">
      <c r="E2226" s="6"/>
    </row>
    <row r="2227">
      <c r="E2227" s="6"/>
    </row>
    <row r="2228">
      <c r="E2228" s="6"/>
    </row>
    <row r="2229">
      <c r="E2229" s="6"/>
    </row>
    <row r="2230">
      <c r="E2230" s="6"/>
    </row>
    <row r="2231">
      <c r="E2231" s="6"/>
    </row>
    <row r="2232">
      <c r="E2232" s="6"/>
    </row>
    <row r="2233">
      <c r="E2233" s="6"/>
    </row>
    <row r="2234">
      <c r="E2234" s="6"/>
    </row>
    <row r="2235">
      <c r="E2235" s="6"/>
    </row>
    <row r="2236">
      <c r="E2236" s="6"/>
    </row>
    <row r="2237">
      <c r="E2237" s="6"/>
    </row>
    <row r="2238">
      <c r="E2238" s="6"/>
    </row>
    <row r="2239">
      <c r="E2239" s="6"/>
    </row>
    <row r="2240">
      <c r="E2240" s="6"/>
    </row>
    <row r="2241">
      <c r="E2241" s="6"/>
    </row>
    <row r="2242">
      <c r="E2242" s="6"/>
    </row>
    <row r="2243">
      <c r="E2243" s="6"/>
    </row>
    <row r="2244">
      <c r="E2244" s="6"/>
    </row>
    <row r="2245">
      <c r="E2245" s="6"/>
    </row>
    <row r="2246">
      <c r="E2246" s="6"/>
    </row>
    <row r="2247">
      <c r="E2247" s="6"/>
    </row>
    <row r="2248">
      <c r="E2248" s="6"/>
    </row>
    <row r="2249">
      <c r="E2249" s="6"/>
    </row>
    <row r="2250">
      <c r="E2250" s="6"/>
    </row>
    <row r="2251">
      <c r="E2251" s="6"/>
    </row>
    <row r="2252">
      <c r="E2252" s="6"/>
    </row>
    <row r="2253">
      <c r="E2253" s="6"/>
    </row>
    <row r="2254">
      <c r="E2254" s="6"/>
    </row>
    <row r="2255">
      <c r="E2255" s="6"/>
    </row>
    <row r="2256">
      <c r="E2256" s="6"/>
    </row>
    <row r="2257">
      <c r="E2257" s="6"/>
    </row>
    <row r="2258">
      <c r="E2258" s="6"/>
    </row>
    <row r="2259">
      <c r="E2259" s="6"/>
    </row>
    <row r="2260">
      <c r="E2260" s="6"/>
    </row>
    <row r="2261">
      <c r="E2261" s="6"/>
    </row>
    <row r="2262">
      <c r="E2262" s="6"/>
    </row>
    <row r="2263">
      <c r="E2263" s="6"/>
    </row>
    <row r="2264">
      <c r="E2264" s="6"/>
    </row>
    <row r="2265">
      <c r="E2265" s="6"/>
    </row>
    <row r="2266">
      <c r="E2266" s="6"/>
    </row>
    <row r="2267">
      <c r="E2267" s="6"/>
    </row>
    <row r="2268">
      <c r="E2268" s="6"/>
    </row>
    <row r="2269">
      <c r="E2269" s="6"/>
    </row>
    <row r="2270">
      <c r="E2270" s="6"/>
    </row>
    <row r="2271">
      <c r="E2271" s="6"/>
    </row>
    <row r="2272">
      <c r="E2272" s="6"/>
    </row>
    <row r="2273">
      <c r="E2273" s="6"/>
    </row>
    <row r="2274">
      <c r="E2274" s="6"/>
    </row>
    <row r="2275">
      <c r="E2275" s="6"/>
    </row>
    <row r="2276">
      <c r="E2276" s="6"/>
    </row>
    <row r="2277">
      <c r="E2277" s="6"/>
    </row>
    <row r="2278">
      <c r="E2278" s="6"/>
    </row>
    <row r="2279">
      <c r="E2279" s="6"/>
    </row>
    <row r="2280">
      <c r="E2280" s="6"/>
    </row>
    <row r="2281">
      <c r="E2281" s="6"/>
    </row>
    <row r="2282">
      <c r="E2282" s="6"/>
    </row>
    <row r="2283">
      <c r="E2283" s="6"/>
    </row>
    <row r="2284">
      <c r="E2284" s="6"/>
    </row>
    <row r="2285">
      <c r="E2285" s="6"/>
    </row>
    <row r="2286">
      <c r="E2286" s="6"/>
    </row>
    <row r="2287">
      <c r="E2287" s="6"/>
    </row>
    <row r="2288">
      <c r="E2288" s="6"/>
    </row>
    <row r="2289">
      <c r="E2289" s="6"/>
    </row>
    <row r="2290">
      <c r="E2290" s="6"/>
    </row>
    <row r="2291">
      <c r="E2291" s="6"/>
    </row>
    <row r="2292">
      <c r="E2292" s="6"/>
    </row>
    <row r="2293">
      <c r="E2293" s="6"/>
    </row>
    <row r="2294">
      <c r="E2294" s="6"/>
    </row>
    <row r="2295">
      <c r="E2295" s="6"/>
    </row>
    <row r="2296">
      <c r="E2296" s="6"/>
    </row>
    <row r="2297">
      <c r="E2297" s="6"/>
    </row>
    <row r="2298">
      <c r="E2298" s="6"/>
    </row>
    <row r="2299">
      <c r="E2299" s="6"/>
    </row>
    <row r="2300">
      <c r="E2300" s="6"/>
    </row>
    <row r="2301">
      <c r="E2301" s="6"/>
    </row>
    <row r="2302">
      <c r="E2302" s="6"/>
    </row>
    <row r="2303">
      <c r="E2303" s="6"/>
    </row>
    <row r="2304">
      <c r="E2304" s="6"/>
    </row>
    <row r="2305">
      <c r="E2305" s="6"/>
    </row>
    <row r="2306">
      <c r="E2306" s="6"/>
    </row>
    <row r="2307">
      <c r="E2307" s="6"/>
    </row>
    <row r="2308">
      <c r="E2308" s="6"/>
    </row>
    <row r="2309">
      <c r="E2309" s="6"/>
    </row>
    <row r="2310">
      <c r="E2310" s="6"/>
    </row>
    <row r="2311">
      <c r="E2311" s="6"/>
    </row>
    <row r="2312">
      <c r="E2312" s="6"/>
    </row>
    <row r="2313">
      <c r="E2313" s="6"/>
    </row>
    <row r="2314">
      <c r="E2314" s="6"/>
    </row>
    <row r="2315">
      <c r="E2315" s="6"/>
    </row>
    <row r="2316">
      <c r="E2316" s="6"/>
    </row>
    <row r="2317">
      <c r="E2317" s="6"/>
    </row>
    <row r="2318">
      <c r="E2318" s="6"/>
    </row>
    <row r="2319">
      <c r="E2319" s="6"/>
    </row>
    <row r="2320">
      <c r="E2320" s="6"/>
    </row>
    <row r="2321">
      <c r="E2321" s="6"/>
    </row>
    <row r="2322">
      <c r="E2322" s="6"/>
    </row>
    <row r="2323">
      <c r="E2323" s="6"/>
    </row>
    <row r="2324">
      <c r="E2324" s="6"/>
    </row>
    <row r="2325">
      <c r="E2325" s="6"/>
    </row>
    <row r="2326">
      <c r="E2326" s="6"/>
    </row>
    <row r="2327">
      <c r="E2327" s="6"/>
    </row>
    <row r="2328">
      <c r="E2328" s="6"/>
    </row>
    <row r="2329">
      <c r="E2329" s="6"/>
    </row>
    <row r="2330">
      <c r="E2330" s="6"/>
    </row>
    <row r="2331">
      <c r="E2331" s="6"/>
    </row>
    <row r="2332">
      <c r="E2332" s="6"/>
    </row>
    <row r="2333">
      <c r="E2333" s="6"/>
    </row>
    <row r="2334">
      <c r="E2334" s="6"/>
    </row>
    <row r="2335">
      <c r="E2335" s="6"/>
    </row>
    <row r="2336">
      <c r="E2336" s="6"/>
    </row>
    <row r="2337">
      <c r="E2337" s="6"/>
    </row>
    <row r="2338">
      <c r="E2338" s="6"/>
    </row>
    <row r="2339">
      <c r="E2339" s="6"/>
    </row>
    <row r="2340">
      <c r="E2340" s="6"/>
    </row>
    <row r="2341">
      <c r="E2341" s="6"/>
    </row>
    <row r="2342">
      <c r="E2342" s="6"/>
    </row>
    <row r="2343">
      <c r="E2343" s="6"/>
    </row>
    <row r="2344">
      <c r="E2344" s="6"/>
    </row>
    <row r="2345">
      <c r="E2345" s="6"/>
    </row>
    <row r="2346">
      <c r="E2346" s="6"/>
    </row>
    <row r="2347">
      <c r="E2347" s="6"/>
    </row>
    <row r="2348">
      <c r="E2348" s="6"/>
    </row>
    <row r="2349">
      <c r="E2349" s="6"/>
    </row>
    <row r="2350">
      <c r="E2350" s="6"/>
    </row>
    <row r="2351">
      <c r="E2351" s="6"/>
    </row>
    <row r="2352">
      <c r="E2352" s="6"/>
    </row>
    <row r="2353">
      <c r="E2353" s="6"/>
    </row>
    <row r="2354">
      <c r="E2354" s="6"/>
    </row>
    <row r="2355">
      <c r="E2355" s="6"/>
    </row>
    <row r="2356">
      <c r="E2356" s="6"/>
    </row>
    <row r="2357">
      <c r="E2357" s="6"/>
    </row>
    <row r="2358">
      <c r="E2358" s="6"/>
    </row>
    <row r="2359">
      <c r="E2359" s="6"/>
    </row>
    <row r="2360">
      <c r="E2360" s="6"/>
    </row>
    <row r="2361">
      <c r="E2361" s="6"/>
    </row>
    <row r="2362">
      <c r="E2362" s="6"/>
    </row>
    <row r="2363">
      <c r="E2363" s="6"/>
    </row>
    <row r="2364">
      <c r="E2364" s="6"/>
    </row>
    <row r="2365">
      <c r="E2365" s="6"/>
    </row>
    <row r="2366">
      <c r="E2366" s="6"/>
    </row>
    <row r="2367">
      <c r="E2367" s="6"/>
    </row>
    <row r="2368">
      <c r="E2368" s="6"/>
    </row>
    <row r="2369">
      <c r="E2369" s="6"/>
    </row>
    <row r="2370">
      <c r="E2370" s="6"/>
    </row>
    <row r="2371">
      <c r="E2371" s="6"/>
    </row>
    <row r="2372">
      <c r="E2372" s="6"/>
    </row>
    <row r="2373">
      <c r="E2373" s="6"/>
    </row>
    <row r="2374">
      <c r="E2374" s="6"/>
    </row>
    <row r="2375">
      <c r="E2375" s="6"/>
    </row>
    <row r="2376">
      <c r="E2376" s="6"/>
    </row>
    <row r="2377">
      <c r="E2377" s="6"/>
    </row>
    <row r="2378">
      <c r="E2378" s="6"/>
    </row>
    <row r="2379">
      <c r="E2379" s="6"/>
    </row>
    <row r="2380">
      <c r="E2380" s="6"/>
    </row>
    <row r="2381">
      <c r="E2381" s="6"/>
    </row>
    <row r="2382">
      <c r="E2382" s="6"/>
    </row>
    <row r="2383">
      <c r="E2383" s="6"/>
    </row>
    <row r="2384">
      <c r="E2384" s="6"/>
    </row>
    <row r="2385">
      <c r="E2385" s="6"/>
    </row>
    <row r="2386">
      <c r="E2386" s="6"/>
    </row>
    <row r="2387">
      <c r="E2387" s="6"/>
    </row>
    <row r="2388">
      <c r="E2388" s="6"/>
    </row>
    <row r="2389">
      <c r="E2389" s="6"/>
    </row>
    <row r="2390">
      <c r="E2390" s="6"/>
    </row>
    <row r="2391">
      <c r="E2391" s="6"/>
    </row>
    <row r="2392">
      <c r="E2392" s="6"/>
    </row>
    <row r="2393">
      <c r="E2393" s="6"/>
    </row>
    <row r="2394">
      <c r="E2394" s="6"/>
    </row>
    <row r="2395">
      <c r="E2395" s="6"/>
    </row>
    <row r="2396">
      <c r="E2396" s="6"/>
    </row>
    <row r="2397">
      <c r="E2397" s="6"/>
    </row>
    <row r="2398">
      <c r="E2398" s="6"/>
    </row>
    <row r="2399">
      <c r="E2399" s="6"/>
    </row>
    <row r="2400">
      <c r="E2400" s="6"/>
    </row>
    <row r="2401">
      <c r="E2401" s="6"/>
    </row>
    <row r="2402">
      <c r="E2402" s="6"/>
    </row>
    <row r="2403">
      <c r="E2403" s="6"/>
    </row>
    <row r="2404">
      <c r="E2404" s="6"/>
    </row>
    <row r="2405">
      <c r="E2405" s="6"/>
    </row>
    <row r="2406">
      <c r="E2406" s="6"/>
    </row>
    <row r="2407">
      <c r="E2407" s="6"/>
    </row>
    <row r="2408">
      <c r="E2408" s="6"/>
    </row>
    <row r="2409">
      <c r="E2409" s="6"/>
    </row>
    <row r="2410">
      <c r="E2410" s="6"/>
    </row>
    <row r="2411">
      <c r="E2411" s="6"/>
    </row>
    <row r="2412">
      <c r="E2412" s="6"/>
    </row>
    <row r="2413">
      <c r="E2413" s="6"/>
    </row>
    <row r="2414">
      <c r="E2414" s="6"/>
    </row>
    <row r="2415">
      <c r="E2415" s="6"/>
    </row>
    <row r="2416">
      <c r="E2416" s="6"/>
    </row>
    <row r="2417">
      <c r="E2417" s="6"/>
    </row>
    <row r="2418">
      <c r="E2418" s="6"/>
    </row>
    <row r="2419">
      <c r="E2419" s="6"/>
    </row>
    <row r="2420">
      <c r="E2420" s="6"/>
    </row>
    <row r="2421">
      <c r="E2421" s="6"/>
    </row>
    <row r="2422">
      <c r="E2422" s="6"/>
    </row>
    <row r="2423">
      <c r="E2423" s="6"/>
    </row>
    <row r="2424">
      <c r="E2424" s="6"/>
    </row>
    <row r="2425">
      <c r="E2425" s="6"/>
    </row>
    <row r="2426">
      <c r="E2426" s="6"/>
    </row>
    <row r="2427">
      <c r="E2427" s="6"/>
    </row>
    <row r="2428">
      <c r="E2428" s="6"/>
    </row>
    <row r="2429">
      <c r="E2429" s="6"/>
    </row>
    <row r="2430">
      <c r="E2430" s="6"/>
    </row>
    <row r="2431">
      <c r="E2431" s="6"/>
    </row>
    <row r="2432">
      <c r="E2432" s="6"/>
    </row>
    <row r="2433">
      <c r="E2433" s="6"/>
    </row>
    <row r="2434">
      <c r="E2434" s="6"/>
    </row>
    <row r="2435">
      <c r="E2435" s="6"/>
    </row>
    <row r="2436">
      <c r="E2436" s="6"/>
    </row>
    <row r="2437">
      <c r="E2437" s="6"/>
    </row>
    <row r="2438">
      <c r="E2438" s="6"/>
    </row>
    <row r="2439">
      <c r="E2439" s="6"/>
    </row>
    <row r="2440">
      <c r="E2440" s="6"/>
    </row>
    <row r="2441">
      <c r="E2441" s="6"/>
    </row>
    <row r="2442">
      <c r="E2442" s="6"/>
    </row>
    <row r="2443">
      <c r="E2443" s="6"/>
    </row>
    <row r="2444">
      <c r="E2444" s="6"/>
    </row>
    <row r="2445">
      <c r="E2445" s="6"/>
    </row>
    <row r="2446">
      <c r="E2446" s="6"/>
    </row>
    <row r="2447">
      <c r="E2447" s="6"/>
    </row>
    <row r="2448">
      <c r="E2448" s="6"/>
    </row>
    <row r="2449">
      <c r="E2449" s="6"/>
    </row>
    <row r="2450">
      <c r="E2450" s="6"/>
    </row>
    <row r="2451">
      <c r="E2451" s="6"/>
    </row>
    <row r="2452">
      <c r="E2452" s="6"/>
    </row>
    <row r="2453">
      <c r="E2453" s="6"/>
    </row>
    <row r="2454">
      <c r="E2454" s="6"/>
    </row>
    <row r="2455">
      <c r="E2455" s="6"/>
    </row>
    <row r="2456">
      <c r="E2456" s="6"/>
    </row>
    <row r="2457">
      <c r="E2457" s="6"/>
    </row>
    <row r="2458">
      <c r="E2458" s="6"/>
    </row>
    <row r="2459">
      <c r="E2459" s="6"/>
    </row>
    <row r="2460">
      <c r="E2460" s="6"/>
    </row>
    <row r="2461">
      <c r="E2461" s="6"/>
    </row>
    <row r="2462">
      <c r="E2462" s="6"/>
    </row>
    <row r="2463">
      <c r="E2463" s="6"/>
    </row>
    <row r="2464">
      <c r="E2464" s="6"/>
    </row>
    <row r="2465">
      <c r="E2465" s="6"/>
    </row>
    <row r="2466">
      <c r="E2466" s="6"/>
    </row>
    <row r="2467">
      <c r="E2467" s="6"/>
    </row>
    <row r="2468">
      <c r="E2468" s="6"/>
    </row>
    <row r="2469">
      <c r="E2469" s="6"/>
    </row>
    <row r="2470">
      <c r="E2470" s="6"/>
    </row>
    <row r="2471">
      <c r="E2471" s="6"/>
    </row>
    <row r="2472">
      <c r="E2472" s="6"/>
    </row>
    <row r="2473">
      <c r="E2473" s="6"/>
    </row>
    <row r="2474">
      <c r="E2474" s="6"/>
    </row>
    <row r="2475">
      <c r="E2475" s="6"/>
    </row>
    <row r="2476">
      <c r="E2476" s="6"/>
    </row>
    <row r="2477">
      <c r="E2477" s="6"/>
    </row>
    <row r="2478">
      <c r="E2478" s="6"/>
    </row>
    <row r="2479">
      <c r="E2479" s="6"/>
    </row>
    <row r="2480">
      <c r="E2480" s="6"/>
    </row>
    <row r="2481">
      <c r="E2481" s="6"/>
    </row>
    <row r="2482">
      <c r="E2482" s="6"/>
    </row>
    <row r="2483">
      <c r="E2483" s="6"/>
    </row>
    <row r="2484">
      <c r="E2484" s="6"/>
    </row>
    <row r="2485">
      <c r="E2485" s="6"/>
    </row>
    <row r="2486">
      <c r="E2486" s="6"/>
    </row>
    <row r="2487">
      <c r="E2487" s="6"/>
    </row>
    <row r="2488">
      <c r="E2488" s="6"/>
    </row>
    <row r="2489">
      <c r="E2489" s="6"/>
    </row>
    <row r="2490">
      <c r="E2490" s="6"/>
    </row>
    <row r="2491">
      <c r="E2491" s="6"/>
    </row>
    <row r="2492">
      <c r="E2492" s="6"/>
    </row>
    <row r="2493">
      <c r="E2493" s="6"/>
    </row>
    <row r="2494">
      <c r="E2494" s="6"/>
    </row>
    <row r="2495">
      <c r="E2495" s="6"/>
    </row>
    <row r="2496">
      <c r="E2496" s="6"/>
    </row>
    <row r="2497">
      <c r="E2497" s="6"/>
    </row>
    <row r="2498">
      <c r="E2498" s="6"/>
    </row>
    <row r="2499">
      <c r="E2499" s="6"/>
    </row>
    <row r="2500">
      <c r="E2500" s="6"/>
    </row>
    <row r="2501">
      <c r="E2501" s="6"/>
    </row>
    <row r="2502">
      <c r="E2502" s="6"/>
    </row>
    <row r="2503">
      <c r="E2503" s="6"/>
    </row>
    <row r="2504">
      <c r="E2504" s="6"/>
    </row>
    <row r="2505">
      <c r="E2505" s="6"/>
    </row>
    <row r="2506">
      <c r="E2506" s="6"/>
    </row>
    <row r="2507">
      <c r="E2507" s="6"/>
    </row>
    <row r="2508">
      <c r="E2508" s="6"/>
    </row>
    <row r="2509">
      <c r="E2509" s="6"/>
    </row>
    <row r="2510">
      <c r="E2510" s="6"/>
    </row>
    <row r="2511">
      <c r="E2511" s="6"/>
    </row>
    <row r="2512">
      <c r="E2512" s="6"/>
    </row>
    <row r="2513">
      <c r="E2513" s="6"/>
    </row>
    <row r="2514">
      <c r="E2514" s="6"/>
    </row>
    <row r="2515">
      <c r="E2515" s="6"/>
    </row>
    <row r="2516">
      <c r="E2516" s="6"/>
    </row>
    <row r="2517">
      <c r="E2517" s="6"/>
    </row>
    <row r="2518">
      <c r="E2518" s="6"/>
    </row>
    <row r="2519">
      <c r="E2519" s="6"/>
    </row>
    <row r="2520">
      <c r="E2520" s="6"/>
    </row>
    <row r="2521">
      <c r="E2521" s="6"/>
    </row>
    <row r="2522">
      <c r="E2522" s="6"/>
    </row>
    <row r="2523">
      <c r="E2523" s="6"/>
    </row>
    <row r="2524">
      <c r="E2524" s="6"/>
    </row>
    <row r="2525">
      <c r="E2525" s="6"/>
    </row>
    <row r="2526">
      <c r="E2526" s="6"/>
    </row>
    <row r="2527">
      <c r="E2527" s="6"/>
    </row>
    <row r="2528">
      <c r="E2528" s="6"/>
    </row>
    <row r="2529">
      <c r="E2529" s="6"/>
    </row>
    <row r="2530">
      <c r="E2530" s="6"/>
    </row>
    <row r="2531">
      <c r="E2531" s="6"/>
    </row>
    <row r="2532">
      <c r="E2532" s="6"/>
    </row>
    <row r="2533">
      <c r="E2533" s="6"/>
    </row>
    <row r="2534">
      <c r="E2534" s="6"/>
    </row>
    <row r="2535">
      <c r="E2535" s="6"/>
    </row>
    <row r="2536">
      <c r="E2536" s="6"/>
    </row>
    <row r="2537">
      <c r="E2537" s="6"/>
    </row>
    <row r="2538">
      <c r="E2538" s="6"/>
    </row>
    <row r="2539">
      <c r="E2539" s="6"/>
    </row>
    <row r="2540">
      <c r="E2540" s="6"/>
    </row>
    <row r="2541">
      <c r="E2541" s="6"/>
    </row>
    <row r="2542">
      <c r="E2542" s="6"/>
    </row>
    <row r="2543">
      <c r="E2543" s="6"/>
    </row>
    <row r="2544">
      <c r="E2544" s="6"/>
    </row>
    <row r="2545">
      <c r="E2545" s="6"/>
    </row>
    <row r="2546">
      <c r="E2546" s="6"/>
    </row>
    <row r="2547">
      <c r="E2547" s="6"/>
    </row>
    <row r="2548">
      <c r="E2548" s="6"/>
    </row>
    <row r="2549">
      <c r="E2549" s="6"/>
    </row>
    <row r="2550">
      <c r="E2550" s="6"/>
    </row>
    <row r="2551">
      <c r="E2551" s="6"/>
    </row>
    <row r="2552">
      <c r="E2552" s="6"/>
    </row>
    <row r="2553">
      <c r="E2553" s="6"/>
    </row>
    <row r="2554">
      <c r="E2554" s="6"/>
    </row>
    <row r="2555">
      <c r="E2555" s="6"/>
    </row>
    <row r="2556">
      <c r="E2556" s="6"/>
    </row>
    <row r="2557">
      <c r="E2557" s="6"/>
    </row>
    <row r="2558">
      <c r="E2558" s="6"/>
    </row>
    <row r="2559">
      <c r="E2559" s="6"/>
    </row>
    <row r="2560">
      <c r="E2560" s="6"/>
    </row>
    <row r="2561">
      <c r="E2561" s="6"/>
    </row>
    <row r="2562">
      <c r="E2562" s="6"/>
    </row>
    <row r="2563">
      <c r="E2563" s="6"/>
    </row>
    <row r="2564">
      <c r="E2564" s="6"/>
    </row>
    <row r="2565">
      <c r="E2565" s="6"/>
    </row>
    <row r="2566">
      <c r="E2566" s="6"/>
    </row>
    <row r="2567">
      <c r="E2567" s="6"/>
    </row>
    <row r="2568">
      <c r="E2568" s="6"/>
    </row>
    <row r="2569">
      <c r="E2569" s="6"/>
    </row>
    <row r="2570">
      <c r="E2570" s="6"/>
    </row>
    <row r="2571">
      <c r="E2571" s="6"/>
    </row>
    <row r="2572">
      <c r="E2572" s="6"/>
    </row>
    <row r="2573">
      <c r="E2573" s="6"/>
    </row>
    <row r="2574">
      <c r="E2574" s="6"/>
    </row>
    <row r="2575">
      <c r="E2575" s="6"/>
    </row>
    <row r="2576">
      <c r="E2576" s="6"/>
    </row>
    <row r="2577">
      <c r="E2577" s="6"/>
    </row>
    <row r="2578">
      <c r="E2578" s="6"/>
    </row>
    <row r="2579">
      <c r="E2579" s="6"/>
    </row>
    <row r="2580">
      <c r="E2580" s="6"/>
    </row>
    <row r="2581">
      <c r="E2581" s="6"/>
    </row>
    <row r="2582">
      <c r="E2582" s="6"/>
    </row>
    <row r="2583">
      <c r="E2583" s="6"/>
    </row>
    <row r="2584">
      <c r="E2584" s="6"/>
    </row>
    <row r="2585">
      <c r="E2585" s="6"/>
    </row>
    <row r="2586">
      <c r="E2586" s="6"/>
    </row>
    <row r="2587">
      <c r="E2587" s="6"/>
    </row>
    <row r="2588">
      <c r="E2588" s="6"/>
    </row>
    <row r="2589">
      <c r="E2589" s="6"/>
    </row>
    <row r="2590">
      <c r="E2590" s="6"/>
    </row>
    <row r="2591">
      <c r="E2591" s="6"/>
    </row>
    <row r="2592">
      <c r="E2592" s="6"/>
    </row>
    <row r="2593">
      <c r="E2593" s="6"/>
    </row>
    <row r="2594">
      <c r="E2594" s="6"/>
    </row>
    <row r="2595">
      <c r="E2595" s="6"/>
    </row>
    <row r="2596">
      <c r="E2596" s="6"/>
    </row>
    <row r="2597">
      <c r="E2597" s="6"/>
    </row>
    <row r="2598">
      <c r="E2598" s="6"/>
    </row>
    <row r="2599">
      <c r="E2599" s="6"/>
    </row>
    <row r="2600">
      <c r="E2600" s="6"/>
    </row>
    <row r="2601">
      <c r="E2601" s="6"/>
    </row>
    <row r="2602">
      <c r="E2602" s="6"/>
    </row>
    <row r="2603">
      <c r="E2603" s="6"/>
    </row>
    <row r="2604">
      <c r="E2604" s="6"/>
    </row>
    <row r="2605">
      <c r="E2605" s="6"/>
    </row>
    <row r="2606">
      <c r="E2606" s="6"/>
    </row>
    <row r="2607">
      <c r="E2607" s="6"/>
    </row>
    <row r="2608">
      <c r="E2608" s="6"/>
    </row>
    <row r="2609">
      <c r="E2609" s="6"/>
    </row>
    <row r="2610">
      <c r="E2610" s="6"/>
    </row>
    <row r="2611">
      <c r="E2611" s="6"/>
    </row>
    <row r="2612">
      <c r="E2612" s="6"/>
    </row>
    <row r="2613">
      <c r="E2613" s="6"/>
    </row>
    <row r="2614">
      <c r="E2614" s="6"/>
    </row>
    <row r="2615">
      <c r="E2615" s="6"/>
    </row>
    <row r="2616">
      <c r="E2616" s="6"/>
    </row>
    <row r="2617">
      <c r="E2617" s="6"/>
    </row>
    <row r="2618">
      <c r="E2618" s="6"/>
    </row>
    <row r="2619">
      <c r="E2619" s="6"/>
    </row>
    <row r="2620">
      <c r="E2620" s="6"/>
    </row>
    <row r="2621">
      <c r="E2621" s="6"/>
    </row>
    <row r="2622">
      <c r="E2622" s="6"/>
    </row>
    <row r="2623">
      <c r="E2623" s="6"/>
    </row>
    <row r="2624">
      <c r="E2624" s="6"/>
    </row>
    <row r="2625">
      <c r="E2625" s="6"/>
    </row>
    <row r="2626">
      <c r="E2626" s="6"/>
    </row>
    <row r="2627">
      <c r="E2627" s="6"/>
    </row>
    <row r="2628">
      <c r="E2628" s="6"/>
    </row>
    <row r="2629">
      <c r="E2629" s="6"/>
    </row>
    <row r="2630">
      <c r="E2630" s="6"/>
    </row>
    <row r="2631">
      <c r="E2631" s="6"/>
    </row>
    <row r="2632">
      <c r="E2632" s="6"/>
    </row>
    <row r="2633">
      <c r="E2633" s="6"/>
    </row>
    <row r="2634">
      <c r="E2634" s="6"/>
    </row>
    <row r="2635">
      <c r="E2635" s="6"/>
    </row>
    <row r="2636">
      <c r="E2636" s="6"/>
    </row>
    <row r="2637">
      <c r="E2637" s="6"/>
    </row>
    <row r="2638">
      <c r="E2638" s="6"/>
    </row>
    <row r="2639">
      <c r="E2639" s="6"/>
    </row>
    <row r="2640">
      <c r="E2640" s="6"/>
    </row>
    <row r="2641">
      <c r="E2641" s="6"/>
    </row>
    <row r="2642">
      <c r="E2642" s="6"/>
    </row>
    <row r="2643">
      <c r="E2643" s="6"/>
    </row>
    <row r="2644">
      <c r="E2644" s="6"/>
    </row>
    <row r="2645">
      <c r="E2645" s="6"/>
    </row>
    <row r="2646">
      <c r="E2646" s="6"/>
    </row>
    <row r="2647">
      <c r="E2647" s="6"/>
    </row>
    <row r="2648">
      <c r="E2648" s="6"/>
    </row>
    <row r="2649">
      <c r="E2649" s="6"/>
    </row>
    <row r="2650">
      <c r="E2650" s="6"/>
    </row>
    <row r="2651">
      <c r="E2651" s="6"/>
    </row>
    <row r="2652">
      <c r="E2652" s="6"/>
    </row>
    <row r="2653">
      <c r="E2653" s="6"/>
    </row>
    <row r="2654">
      <c r="E2654" s="6"/>
    </row>
    <row r="2655">
      <c r="E2655" s="6"/>
    </row>
    <row r="2656">
      <c r="E2656" s="6"/>
    </row>
    <row r="2657">
      <c r="E2657" s="6"/>
    </row>
    <row r="2658">
      <c r="E2658" s="6"/>
    </row>
    <row r="2659">
      <c r="E2659" s="6"/>
    </row>
    <row r="2660">
      <c r="E2660" s="6"/>
    </row>
    <row r="2661">
      <c r="E2661" s="6"/>
    </row>
    <row r="2662">
      <c r="E2662" s="6"/>
    </row>
    <row r="2663">
      <c r="E2663" s="6"/>
    </row>
    <row r="2664">
      <c r="E2664" s="6"/>
    </row>
    <row r="2665">
      <c r="E2665" s="6"/>
    </row>
    <row r="2666">
      <c r="E2666" s="6"/>
    </row>
    <row r="2667">
      <c r="E2667" s="6"/>
    </row>
    <row r="2668">
      <c r="E2668" s="6"/>
    </row>
    <row r="2669">
      <c r="E2669" s="6"/>
    </row>
    <row r="2670">
      <c r="E2670" s="6"/>
    </row>
    <row r="2671">
      <c r="E2671" s="6"/>
    </row>
    <row r="2672">
      <c r="E2672" s="6"/>
    </row>
    <row r="2673">
      <c r="E2673" s="6"/>
    </row>
    <row r="2674">
      <c r="E2674" s="6"/>
    </row>
    <row r="2675">
      <c r="E2675" s="6"/>
    </row>
    <row r="2676">
      <c r="E2676" s="6"/>
    </row>
    <row r="2677">
      <c r="E2677" s="6"/>
    </row>
    <row r="2678">
      <c r="E2678" s="6"/>
    </row>
    <row r="2679">
      <c r="E2679" s="6"/>
    </row>
    <row r="2680">
      <c r="E2680" s="6"/>
    </row>
    <row r="2681">
      <c r="E2681" s="6"/>
    </row>
    <row r="2682">
      <c r="E2682" s="6"/>
    </row>
    <row r="2683">
      <c r="E2683" s="6"/>
    </row>
    <row r="2684">
      <c r="E2684" s="6"/>
    </row>
    <row r="2685">
      <c r="E2685" s="6"/>
    </row>
    <row r="2686">
      <c r="E2686" s="6"/>
    </row>
    <row r="2687">
      <c r="E2687" s="6"/>
    </row>
    <row r="2688">
      <c r="E2688" s="6"/>
    </row>
    <row r="2689">
      <c r="E2689" s="6"/>
    </row>
    <row r="2690">
      <c r="E2690" s="6"/>
    </row>
    <row r="2691">
      <c r="E2691" s="6"/>
    </row>
    <row r="2692">
      <c r="E2692" s="6"/>
    </row>
    <row r="2693">
      <c r="E2693" s="6"/>
    </row>
    <row r="2694">
      <c r="E2694" s="6"/>
    </row>
    <row r="2695">
      <c r="E2695" s="6"/>
    </row>
    <row r="2696">
      <c r="E2696" s="6"/>
    </row>
    <row r="2697">
      <c r="E2697" s="6"/>
    </row>
    <row r="2698">
      <c r="E2698" s="6"/>
    </row>
    <row r="2699">
      <c r="E2699" s="6"/>
    </row>
    <row r="2700">
      <c r="E2700" s="6"/>
    </row>
    <row r="2701">
      <c r="E2701" s="6"/>
    </row>
    <row r="2702">
      <c r="E2702" s="6"/>
    </row>
    <row r="2703">
      <c r="E2703" s="6"/>
    </row>
    <row r="2704">
      <c r="E2704" s="6"/>
    </row>
    <row r="2705">
      <c r="E2705" s="6"/>
    </row>
    <row r="2706">
      <c r="E2706" s="6"/>
    </row>
    <row r="2707">
      <c r="E2707" s="6"/>
    </row>
    <row r="2708">
      <c r="E2708" s="6"/>
    </row>
    <row r="2709">
      <c r="E2709" s="6"/>
    </row>
    <row r="2710">
      <c r="E2710" s="6"/>
    </row>
    <row r="2711">
      <c r="E2711" s="6"/>
    </row>
    <row r="2712">
      <c r="E2712" s="6"/>
    </row>
    <row r="2713">
      <c r="E2713" s="6"/>
    </row>
    <row r="2714">
      <c r="E2714" s="6"/>
    </row>
    <row r="2715">
      <c r="E2715" s="6"/>
    </row>
    <row r="2716">
      <c r="E2716" s="6"/>
    </row>
    <row r="2717">
      <c r="E2717" s="6"/>
    </row>
    <row r="2718">
      <c r="E2718" s="6"/>
    </row>
    <row r="2719">
      <c r="E2719" s="6"/>
    </row>
    <row r="2720">
      <c r="E2720" s="6"/>
    </row>
    <row r="2721">
      <c r="E2721" s="6"/>
    </row>
    <row r="2722">
      <c r="E2722" s="6"/>
    </row>
    <row r="2723">
      <c r="E2723" s="6"/>
    </row>
    <row r="2724">
      <c r="E2724" s="6"/>
    </row>
    <row r="2725">
      <c r="E2725" s="6"/>
    </row>
    <row r="2726">
      <c r="E2726" s="6"/>
    </row>
    <row r="2727">
      <c r="E2727" s="6"/>
    </row>
    <row r="2728">
      <c r="E2728" s="6"/>
    </row>
    <row r="2729">
      <c r="E2729" s="6"/>
    </row>
    <row r="2730">
      <c r="E2730" s="6"/>
    </row>
    <row r="2731">
      <c r="E2731" s="6"/>
    </row>
    <row r="2732">
      <c r="E2732" s="6"/>
    </row>
    <row r="2733">
      <c r="E2733" s="6"/>
    </row>
    <row r="2734">
      <c r="E2734" s="6"/>
    </row>
    <row r="2735">
      <c r="E2735" s="6"/>
    </row>
    <row r="2736">
      <c r="E2736" s="6"/>
    </row>
    <row r="2737">
      <c r="E2737" s="6"/>
    </row>
    <row r="2738">
      <c r="E2738" s="6"/>
    </row>
    <row r="2739">
      <c r="E2739" s="6"/>
    </row>
    <row r="2740">
      <c r="E2740" s="6"/>
    </row>
    <row r="2741">
      <c r="E2741" s="6"/>
    </row>
    <row r="2742">
      <c r="E2742" s="6"/>
    </row>
    <row r="2743">
      <c r="E2743" s="6"/>
    </row>
    <row r="2744">
      <c r="E2744" s="6"/>
    </row>
    <row r="2745">
      <c r="E2745" s="6"/>
    </row>
    <row r="2746">
      <c r="E2746" s="6"/>
    </row>
    <row r="2747">
      <c r="E2747" s="6"/>
    </row>
    <row r="2748">
      <c r="E2748" s="6"/>
    </row>
    <row r="2749">
      <c r="E2749" s="6"/>
    </row>
    <row r="2750">
      <c r="E2750" s="6"/>
    </row>
    <row r="2751">
      <c r="E2751" s="6"/>
    </row>
    <row r="2752">
      <c r="E2752" s="6"/>
    </row>
    <row r="2753">
      <c r="E2753" s="6"/>
    </row>
    <row r="2754">
      <c r="E2754" s="6"/>
    </row>
    <row r="2755">
      <c r="E2755" s="6"/>
    </row>
    <row r="2756">
      <c r="E2756" s="6"/>
    </row>
    <row r="2757">
      <c r="E2757" s="6"/>
    </row>
    <row r="2758">
      <c r="E2758" s="6"/>
    </row>
    <row r="2759">
      <c r="E2759" s="6"/>
    </row>
    <row r="2760">
      <c r="E2760" s="6"/>
    </row>
    <row r="2761">
      <c r="E2761" s="6"/>
    </row>
    <row r="2762">
      <c r="E2762" s="6"/>
    </row>
    <row r="2763">
      <c r="E2763" s="6"/>
    </row>
    <row r="2764">
      <c r="E2764" s="6"/>
    </row>
    <row r="2765">
      <c r="E2765" s="6"/>
    </row>
    <row r="2766">
      <c r="E2766" s="6"/>
    </row>
    <row r="2767">
      <c r="E2767" s="6"/>
    </row>
    <row r="2768">
      <c r="E2768" s="6"/>
    </row>
    <row r="2769">
      <c r="E2769" s="6"/>
    </row>
    <row r="2770">
      <c r="E2770" s="6"/>
    </row>
    <row r="2771">
      <c r="E2771" s="6"/>
    </row>
    <row r="2772">
      <c r="E2772" s="6"/>
    </row>
    <row r="2773">
      <c r="E2773" s="6"/>
    </row>
    <row r="2774">
      <c r="E2774" s="6"/>
    </row>
    <row r="2775">
      <c r="E2775" s="6"/>
    </row>
    <row r="2776">
      <c r="E2776" s="6"/>
    </row>
    <row r="2777">
      <c r="E2777" s="6"/>
    </row>
    <row r="2778">
      <c r="E2778" s="6"/>
    </row>
    <row r="2779">
      <c r="E2779" s="6"/>
    </row>
    <row r="2780">
      <c r="E2780" s="6"/>
    </row>
    <row r="2781">
      <c r="E2781" s="6"/>
    </row>
    <row r="2782">
      <c r="E2782" s="6"/>
    </row>
    <row r="2783">
      <c r="E2783" s="6"/>
    </row>
    <row r="2784">
      <c r="E2784" s="6"/>
    </row>
    <row r="2785">
      <c r="E2785" s="6"/>
    </row>
    <row r="2786">
      <c r="E2786" s="6"/>
    </row>
    <row r="2787">
      <c r="E2787" s="6"/>
    </row>
    <row r="2788">
      <c r="E2788" s="6"/>
    </row>
    <row r="2789">
      <c r="E2789" s="6"/>
    </row>
    <row r="2790">
      <c r="E2790" s="6"/>
    </row>
    <row r="2791">
      <c r="E2791" s="6"/>
    </row>
    <row r="2792">
      <c r="E2792" s="6"/>
    </row>
    <row r="2793">
      <c r="E2793" s="6"/>
    </row>
    <row r="2794">
      <c r="E2794" s="6"/>
    </row>
    <row r="2795">
      <c r="E2795" s="6"/>
    </row>
    <row r="2796">
      <c r="E2796" s="6"/>
    </row>
    <row r="2797">
      <c r="E2797" s="6"/>
    </row>
    <row r="2798">
      <c r="E2798" s="6"/>
    </row>
    <row r="2799">
      <c r="E2799" s="6"/>
    </row>
    <row r="2800">
      <c r="E2800" s="6"/>
    </row>
    <row r="2801">
      <c r="E2801" s="6"/>
    </row>
    <row r="2802">
      <c r="E2802" s="6"/>
    </row>
    <row r="2803">
      <c r="E2803" s="6"/>
    </row>
    <row r="2804">
      <c r="E2804" s="6"/>
    </row>
    <row r="2805">
      <c r="E2805" s="6"/>
    </row>
    <row r="2806">
      <c r="E2806" s="6"/>
    </row>
    <row r="2807">
      <c r="E2807" s="6"/>
    </row>
    <row r="2808">
      <c r="E2808" s="6"/>
    </row>
    <row r="2809">
      <c r="E2809" s="6"/>
    </row>
    <row r="2810">
      <c r="E2810" s="6"/>
    </row>
    <row r="2811">
      <c r="E2811" s="6"/>
    </row>
    <row r="2812">
      <c r="E2812" s="6"/>
    </row>
    <row r="2813">
      <c r="E2813" s="6"/>
    </row>
    <row r="2814">
      <c r="E2814" s="6"/>
    </row>
    <row r="2815">
      <c r="E2815" s="6"/>
    </row>
    <row r="2816">
      <c r="E2816" s="6"/>
    </row>
    <row r="2817">
      <c r="E2817" s="6"/>
    </row>
    <row r="2818">
      <c r="E2818" s="6"/>
    </row>
    <row r="2819">
      <c r="E2819" s="6"/>
    </row>
    <row r="2820">
      <c r="E2820" s="6"/>
    </row>
    <row r="2821">
      <c r="E2821" s="6"/>
    </row>
    <row r="2822">
      <c r="E2822" s="6"/>
    </row>
    <row r="2823">
      <c r="E2823" s="6"/>
    </row>
    <row r="2824">
      <c r="E2824" s="6"/>
    </row>
    <row r="2825">
      <c r="E2825" s="6"/>
    </row>
    <row r="2826">
      <c r="E2826" s="6"/>
    </row>
    <row r="2827">
      <c r="E2827" s="6"/>
    </row>
    <row r="2828">
      <c r="E2828" s="6"/>
    </row>
    <row r="2829">
      <c r="E2829" s="6"/>
    </row>
    <row r="2830">
      <c r="E2830" s="6"/>
    </row>
    <row r="2831">
      <c r="E2831" s="6"/>
    </row>
    <row r="2832">
      <c r="E2832" s="6"/>
    </row>
    <row r="2833">
      <c r="E2833" s="6"/>
    </row>
    <row r="2834">
      <c r="E2834" s="6"/>
    </row>
    <row r="2835">
      <c r="E2835" s="6"/>
    </row>
    <row r="2836">
      <c r="E2836" s="6"/>
    </row>
    <row r="2837">
      <c r="E2837" s="6"/>
    </row>
    <row r="2838">
      <c r="E2838" s="6"/>
    </row>
    <row r="2839">
      <c r="E2839" s="6"/>
    </row>
    <row r="2840">
      <c r="E2840" s="6"/>
    </row>
    <row r="2841">
      <c r="E2841" s="6"/>
    </row>
    <row r="2842">
      <c r="E2842" s="6"/>
    </row>
    <row r="2843">
      <c r="E2843" s="6"/>
    </row>
    <row r="2844">
      <c r="E2844" s="6"/>
    </row>
    <row r="2845">
      <c r="E2845" s="6"/>
    </row>
    <row r="2846">
      <c r="E2846" s="6"/>
    </row>
    <row r="2847">
      <c r="E2847" s="6"/>
    </row>
    <row r="2848">
      <c r="E2848" s="6"/>
    </row>
    <row r="2849">
      <c r="E2849" s="6"/>
    </row>
    <row r="2850">
      <c r="E2850" s="6"/>
    </row>
    <row r="2851">
      <c r="E2851" s="6"/>
    </row>
    <row r="2852">
      <c r="E2852" s="6"/>
    </row>
    <row r="2853">
      <c r="E2853" s="6"/>
    </row>
    <row r="2854">
      <c r="E2854" s="6"/>
    </row>
    <row r="2855">
      <c r="E2855" s="6"/>
    </row>
    <row r="2856">
      <c r="E2856" s="6"/>
    </row>
    <row r="2857">
      <c r="E2857" s="6"/>
    </row>
    <row r="2858">
      <c r="E2858" s="6"/>
    </row>
    <row r="2859">
      <c r="E2859" s="6"/>
    </row>
    <row r="2860">
      <c r="E2860" s="6"/>
    </row>
    <row r="2861">
      <c r="E2861" s="6"/>
    </row>
    <row r="2862">
      <c r="E2862" s="6"/>
    </row>
    <row r="2863">
      <c r="E2863" s="6"/>
    </row>
    <row r="2864">
      <c r="E2864" s="6"/>
    </row>
    <row r="2865">
      <c r="E2865" s="6"/>
    </row>
    <row r="2866">
      <c r="E2866" s="6"/>
    </row>
    <row r="2867">
      <c r="E2867" s="6"/>
    </row>
    <row r="2868">
      <c r="E2868" s="6"/>
    </row>
    <row r="2869">
      <c r="E2869" s="6"/>
    </row>
    <row r="2870">
      <c r="E2870" s="6"/>
    </row>
    <row r="2871">
      <c r="E2871" s="6"/>
    </row>
    <row r="2872">
      <c r="E2872" s="6"/>
    </row>
    <row r="2873">
      <c r="E2873" s="6"/>
    </row>
    <row r="2874">
      <c r="E2874" s="6"/>
    </row>
    <row r="2875">
      <c r="E2875" s="6"/>
    </row>
    <row r="2876">
      <c r="E2876" s="6"/>
    </row>
    <row r="2877">
      <c r="E2877" s="6"/>
    </row>
    <row r="2878">
      <c r="E2878" s="6"/>
    </row>
    <row r="2879">
      <c r="E2879" s="6"/>
    </row>
    <row r="2880">
      <c r="E2880" s="6"/>
    </row>
    <row r="2881">
      <c r="E2881" s="6"/>
    </row>
    <row r="2882">
      <c r="E2882" s="6"/>
    </row>
    <row r="2883">
      <c r="E2883" s="6"/>
    </row>
    <row r="2884">
      <c r="E2884" s="6"/>
    </row>
    <row r="2885">
      <c r="E2885" s="6"/>
    </row>
    <row r="2886">
      <c r="E2886" s="6"/>
    </row>
    <row r="2887">
      <c r="E2887" s="6"/>
    </row>
    <row r="2888">
      <c r="E2888" s="6"/>
    </row>
    <row r="2889">
      <c r="E2889" s="6"/>
    </row>
    <row r="2890">
      <c r="E2890" s="6"/>
    </row>
    <row r="2891">
      <c r="E2891" s="6"/>
    </row>
    <row r="2892">
      <c r="E2892" s="6"/>
    </row>
    <row r="2893">
      <c r="E2893" s="6"/>
    </row>
    <row r="2894">
      <c r="E2894" s="6"/>
    </row>
    <row r="2895">
      <c r="E2895" s="6"/>
    </row>
    <row r="2896">
      <c r="E2896" s="6"/>
    </row>
    <row r="2897">
      <c r="E2897" s="6"/>
    </row>
    <row r="2898">
      <c r="E2898" s="6"/>
    </row>
    <row r="2899">
      <c r="E2899" s="6"/>
    </row>
    <row r="2900">
      <c r="E2900" s="6"/>
    </row>
    <row r="2901">
      <c r="E2901" s="6"/>
    </row>
    <row r="2902">
      <c r="E2902" s="6"/>
    </row>
    <row r="2903">
      <c r="E2903" s="6"/>
    </row>
    <row r="2904">
      <c r="E2904" s="6"/>
    </row>
    <row r="2905">
      <c r="E2905" s="6"/>
    </row>
    <row r="2906">
      <c r="E2906" s="6"/>
    </row>
    <row r="2907">
      <c r="E2907" s="6"/>
    </row>
    <row r="2908">
      <c r="E2908" s="6"/>
    </row>
    <row r="2909">
      <c r="E2909" s="6"/>
    </row>
    <row r="2910">
      <c r="E2910" s="6"/>
    </row>
    <row r="2911">
      <c r="E2911" s="6"/>
    </row>
    <row r="2912">
      <c r="E2912" s="6"/>
    </row>
    <row r="2913">
      <c r="E2913" s="6"/>
    </row>
    <row r="2914">
      <c r="E2914" s="6"/>
    </row>
    <row r="2915">
      <c r="E2915" s="6"/>
    </row>
    <row r="2916">
      <c r="E2916" s="6"/>
    </row>
    <row r="2917">
      <c r="E2917" s="6"/>
    </row>
    <row r="2918">
      <c r="E2918" s="6"/>
    </row>
    <row r="2919">
      <c r="E2919" s="6"/>
    </row>
    <row r="2920">
      <c r="E2920" s="6"/>
    </row>
    <row r="2921">
      <c r="E2921" s="6"/>
    </row>
    <row r="2922">
      <c r="E2922" s="6"/>
    </row>
    <row r="2923">
      <c r="E2923" s="6"/>
    </row>
    <row r="2924">
      <c r="E2924" s="6"/>
    </row>
    <row r="2925">
      <c r="E2925" s="6"/>
    </row>
    <row r="2926">
      <c r="E2926" s="6"/>
    </row>
    <row r="2927">
      <c r="E2927" s="6"/>
    </row>
    <row r="2928">
      <c r="E2928" s="6"/>
    </row>
    <row r="2929">
      <c r="E2929" s="6"/>
    </row>
    <row r="2930">
      <c r="E2930" s="6"/>
    </row>
    <row r="2931">
      <c r="E2931" s="6"/>
    </row>
    <row r="2932">
      <c r="E2932" s="6"/>
    </row>
    <row r="2933">
      <c r="E2933" s="6"/>
    </row>
    <row r="2934">
      <c r="E2934" s="6"/>
    </row>
    <row r="2935">
      <c r="E2935" s="6"/>
    </row>
    <row r="2936">
      <c r="E2936" s="6"/>
    </row>
    <row r="2937">
      <c r="E2937" s="6"/>
    </row>
    <row r="2938">
      <c r="E2938" s="6"/>
    </row>
    <row r="2939">
      <c r="E2939" s="6"/>
    </row>
    <row r="2940">
      <c r="E2940" s="6"/>
    </row>
    <row r="2941">
      <c r="E2941" s="6"/>
    </row>
    <row r="2942">
      <c r="E2942" s="6"/>
    </row>
    <row r="2943">
      <c r="E2943" s="6"/>
    </row>
    <row r="2944">
      <c r="E2944" s="6"/>
    </row>
    <row r="2945">
      <c r="E2945" s="6"/>
    </row>
    <row r="2946">
      <c r="E2946" s="6"/>
    </row>
    <row r="2947">
      <c r="E2947" s="6"/>
    </row>
    <row r="2948">
      <c r="E2948" s="6"/>
    </row>
    <row r="2949">
      <c r="E2949" s="6"/>
    </row>
    <row r="2950">
      <c r="E2950" s="6"/>
    </row>
    <row r="2951">
      <c r="E2951" s="6"/>
    </row>
    <row r="2952">
      <c r="E2952" s="6"/>
    </row>
    <row r="2953">
      <c r="E2953" s="6"/>
    </row>
    <row r="2954">
      <c r="E2954" s="6"/>
    </row>
    <row r="2955">
      <c r="E2955" s="6"/>
    </row>
    <row r="2956">
      <c r="E2956" s="6"/>
    </row>
    <row r="2957">
      <c r="E2957" s="6"/>
    </row>
    <row r="2958">
      <c r="E2958" s="6"/>
    </row>
    <row r="2959">
      <c r="E2959" s="6"/>
    </row>
    <row r="2960">
      <c r="E2960" s="6"/>
    </row>
    <row r="2961">
      <c r="E2961" s="6"/>
    </row>
    <row r="2962">
      <c r="E2962" s="6"/>
    </row>
    <row r="2963">
      <c r="E2963" s="6"/>
    </row>
    <row r="2964">
      <c r="E2964" s="6"/>
    </row>
    <row r="2965">
      <c r="E2965" s="6"/>
    </row>
    <row r="2966">
      <c r="E2966" s="6"/>
    </row>
    <row r="2967">
      <c r="E2967" s="6"/>
    </row>
    <row r="2968">
      <c r="E2968" s="6"/>
    </row>
    <row r="2969">
      <c r="E2969" s="6"/>
    </row>
    <row r="2970">
      <c r="E2970" s="6"/>
    </row>
    <row r="2971">
      <c r="E2971" s="6"/>
    </row>
    <row r="2972">
      <c r="E2972" s="6"/>
    </row>
    <row r="2973">
      <c r="E2973" s="6"/>
    </row>
    <row r="2974">
      <c r="E2974" s="6"/>
    </row>
    <row r="2975">
      <c r="E2975" s="6"/>
    </row>
    <row r="2976">
      <c r="E2976" s="6"/>
    </row>
    <row r="2977">
      <c r="E2977" s="6"/>
    </row>
    <row r="2978">
      <c r="E2978" s="6"/>
    </row>
    <row r="2979">
      <c r="E2979" s="6"/>
    </row>
    <row r="2980">
      <c r="E2980" s="6"/>
    </row>
    <row r="2981">
      <c r="E2981" s="6"/>
    </row>
    <row r="2982">
      <c r="E2982" s="6"/>
    </row>
    <row r="2983">
      <c r="E2983" s="6"/>
    </row>
    <row r="2984">
      <c r="E2984" s="6"/>
    </row>
    <row r="2985">
      <c r="E2985" s="6"/>
    </row>
    <row r="2986">
      <c r="E2986" s="6"/>
    </row>
    <row r="2987">
      <c r="E2987" s="6"/>
    </row>
    <row r="2988">
      <c r="E2988" s="6"/>
    </row>
    <row r="2989">
      <c r="E2989" s="6"/>
    </row>
    <row r="2990">
      <c r="E2990" s="6"/>
    </row>
    <row r="2991">
      <c r="E2991" s="6"/>
    </row>
    <row r="2992">
      <c r="E2992" s="6"/>
    </row>
    <row r="2993">
      <c r="E2993" s="6"/>
    </row>
    <row r="2994">
      <c r="E2994" s="6"/>
    </row>
    <row r="2995">
      <c r="E2995" s="6"/>
    </row>
    <row r="2996">
      <c r="E2996" s="6"/>
    </row>
    <row r="2997">
      <c r="E2997" s="6"/>
    </row>
    <row r="2998">
      <c r="E2998" s="6"/>
    </row>
    <row r="2999">
      <c r="E2999" s="6"/>
    </row>
    <row r="3000">
      <c r="E3000" s="6"/>
    </row>
    <row r="3001">
      <c r="E3001" s="6"/>
    </row>
    <row r="3002">
      <c r="E3002" s="6"/>
    </row>
    <row r="3003">
      <c r="E3003" s="6"/>
    </row>
    <row r="3004">
      <c r="E3004" s="6"/>
    </row>
    <row r="3005">
      <c r="E3005" s="6"/>
    </row>
    <row r="3006">
      <c r="E3006" s="6"/>
    </row>
    <row r="3007">
      <c r="E3007" s="6"/>
    </row>
    <row r="3008">
      <c r="E3008" s="6"/>
    </row>
    <row r="3009">
      <c r="E3009" s="6"/>
    </row>
    <row r="3010">
      <c r="E3010" s="6"/>
    </row>
    <row r="3011">
      <c r="E3011" s="6"/>
    </row>
    <row r="3012">
      <c r="E3012" s="6"/>
    </row>
    <row r="3013">
      <c r="E3013" s="6"/>
    </row>
    <row r="3014">
      <c r="E3014" s="6"/>
    </row>
    <row r="3015">
      <c r="E3015" s="6"/>
    </row>
    <row r="3016">
      <c r="E3016" s="6"/>
    </row>
    <row r="3017">
      <c r="E3017" s="6"/>
    </row>
    <row r="3018">
      <c r="E3018" s="6"/>
    </row>
    <row r="3019">
      <c r="E3019" s="6"/>
    </row>
    <row r="3020">
      <c r="E3020" s="6"/>
    </row>
    <row r="3021">
      <c r="E3021" s="6"/>
    </row>
    <row r="3022">
      <c r="E3022" s="6"/>
    </row>
    <row r="3023">
      <c r="E3023" s="6"/>
    </row>
    <row r="3024">
      <c r="E3024" s="6"/>
    </row>
    <row r="3025">
      <c r="E3025" s="6"/>
    </row>
    <row r="3026">
      <c r="E3026" s="6"/>
    </row>
    <row r="3027">
      <c r="E3027" s="6"/>
    </row>
    <row r="3028">
      <c r="E3028" s="6"/>
    </row>
    <row r="3029">
      <c r="E3029" s="6"/>
    </row>
    <row r="3030">
      <c r="E3030" s="6"/>
    </row>
    <row r="3031">
      <c r="E3031" s="6"/>
    </row>
    <row r="3032">
      <c r="E3032" s="6"/>
    </row>
    <row r="3033">
      <c r="E3033" s="6"/>
    </row>
    <row r="3034">
      <c r="E3034" s="6"/>
    </row>
    <row r="3035">
      <c r="E3035" s="6"/>
    </row>
    <row r="3036">
      <c r="E3036" s="6"/>
    </row>
    <row r="3037">
      <c r="E3037" s="6"/>
    </row>
    <row r="3038">
      <c r="E3038" s="6"/>
    </row>
    <row r="3039">
      <c r="E3039" s="6"/>
    </row>
    <row r="3040">
      <c r="E3040" s="6"/>
    </row>
    <row r="3041">
      <c r="E3041" s="6"/>
    </row>
    <row r="3042">
      <c r="E3042" s="6"/>
    </row>
    <row r="3043">
      <c r="E3043" s="6"/>
    </row>
    <row r="3044">
      <c r="E3044" s="6"/>
    </row>
    <row r="3045">
      <c r="E3045" s="6"/>
    </row>
    <row r="3046">
      <c r="E3046" s="6"/>
    </row>
    <row r="3047">
      <c r="E3047" s="6"/>
    </row>
    <row r="3048">
      <c r="E3048" s="6"/>
    </row>
    <row r="3049">
      <c r="E3049" s="6"/>
    </row>
    <row r="3050">
      <c r="E3050" s="6"/>
    </row>
    <row r="3051">
      <c r="E3051" s="6"/>
    </row>
    <row r="3052">
      <c r="E3052" s="6"/>
    </row>
    <row r="3053">
      <c r="E3053" s="6"/>
    </row>
    <row r="3054">
      <c r="E3054" s="6"/>
    </row>
    <row r="3055">
      <c r="E3055" s="6"/>
    </row>
    <row r="3056">
      <c r="E3056" s="6"/>
    </row>
    <row r="3057">
      <c r="E3057" s="6"/>
    </row>
    <row r="3058">
      <c r="E3058" s="6"/>
    </row>
    <row r="3059">
      <c r="E3059" s="6"/>
    </row>
    <row r="3060">
      <c r="E3060" s="6"/>
    </row>
    <row r="3061">
      <c r="E3061" s="6"/>
    </row>
    <row r="3062">
      <c r="E3062" s="6"/>
    </row>
    <row r="3063">
      <c r="E3063" s="6"/>
    </row>
    <row r="3064">
      <c r="E3064" s="6"/>
    </row>
    <row r="3065">
      <c r="E3065" s="6"/>
    </row>
    <row r="3066">
      <c r="E3066" s="6"/>
    </row>
    <row r="3067">
      <c r="E3067" s="6"/>
    </row>
    <row r="3068">
      <c r="E3068" s="6"/>
    </row>
    <row r="3069">
      <c r="E3069" s="6"/>
    </row>
    <row r="3070">
      <c r="E3070" s="6"/>
    </row>
    <row r="3071">
      <c r="E3071" s="6"/>
    </row>
    <row r="3072">
      <c r="E3072" s="6"/>
    </row>
    <row r="3073">
      <c r="E3073" s="6"/>
    </row>
    <row r="3074">
      <c r="E3074" s="6"/>
    </row>
    <row r="3075">
      <c r="E3075" s="6"/>
    </row>
    <row r="3076">
      <c r="E3076" s="6"/>
    </row>
    <row r="3077">
      <c r="E3077" s="6"/>
    </row>
    <row r="3078">
      <c r="E3078" s="6"/>
    </row>
    <row r="3079">
      <c r="E3079" s="6"/>
    </row>
    <row r="3080">
      <c r="E3080" s="6"/>
    </row>
    <row r="3081">
      <c r="E3081" s="6"/>
    </row>
    <row r="3082">
      <c r="E3082" s="6"/>
    </row>
    <row r="3083">
      <c r="E3083" s="6"/>
    </row>
    <row r="3084">
      <c r="E3084" s="6"/>
    </row>
    <row r="3085">
      <c r="E3085" s="6"/>
    </row>
    <row r="3086">
      <c r="E3086" s="6"/>
    </row>
    <row r="3087">
      <c r="E3087" s="6"/>
    </row>
    <row r="3088">
      <c r="E3088" s="6"/>
    </row>
    <row r="3089">
      <c r="E3089" s="6"/>
    </row>
    <row r="3090">
      <c r="E3090" s="6"/>
    </row>
    <row r="3091">
      <c r="E3091" s="6"/>
    </row>
    <row r="3092">
      <c r="E3092" s="6"/>
    </row>
    <row r="3093">
      <c r="E3093" s="6"/>
    </row>
    <row r="3094">
      <c r="E3094" s="6"/>
    </row>
    <row r="3095">
      <c r="E3095" s="6"/>
    </row>
    <row r="3096">
      <c r="E3096" s="6"/>
    </row>
    <row r="3097">
      <c r="E3097" s="6"/>
    </row>
    <row r="3098">
      <c r="E3098" s="6"/>
    </row>
    <row r="3099">
      <c r="E3099" s="6"/>
    </row>
    <row r="3100">
      <c r="E3100" s="6"/>
    </row>
    <row r="3101">
      <c r="E3101" s="6"/>
    </row>
    <row r="3102">
      <c r="E3102" s="6"/>
    </row>
    <row r="3103">
      <c r="E3103" s="6"/>
    </row>
    <row r="3104">
      <c r="E3104" s="6"/>
    </row>
    <row r="3105">
      <c r="E3105" s="6"/>
    </row>
    <row r="3106">
      <c r="E3106" s="6"/>
    </row>
    <row r="3107">
      <c r="E3107" s="6"/>
    </row>
    <row r="3108">
      <c r="E3108" s="6"/>
    </row>
    <row r="3109">
      <c r="E3109" s="6"/>
    </row>
    <row r="3110">
      <c r="E3110" s="6"/>
    </row>
    <row r="3111">
      <c r="E3111" s="6"/>
    </row>
    <row r="3112">
      <c r="E3112" s="6"/>
    </row>
    <row r="3113">
      <c r="E3113" s="6"/>
    </row>
    <row r="3114">
      <c r="E3114" s="6"/>
    </row>
    <row r="3115">
      <c r="E3115" s="6"/>
    </row>
    <row r="3116">
      <c r="E3116" s="6"/>
    </row>
    <row r="3117">
      <c r="E3117" s="6"/>
    </row>
    <row r="3118">
      <c r="E3118" s="6"/>
    </row>
    <row r="3119">
      <c r="E3119" s="6"/>
    </row>
    <row r="3120">
      <c r="E3120" s="6"/>
    </row>
    <row r="3121">
      <c r="E3121" s="6"/>
    </row>
    <row r="3122">
      <c r="E3122" s="6"/>
    </row>
    <row r="3123">
      <c r="E3123" s="6"/>
    </row>
    <row r="3124">
      <c r="E3124" s="6"/>
    </row>
    <row r="3125">
      <c r="E3125" s="6"/>
    </row>
    <row r="3126">
      <c r="E3126" s="6"/>
    </row>
    <row r="3127">
      <c r="E3127" s="6"/>
    </row>
    <row r="3128">
      <c r="E3128" s="6"/>
    </row>
    <row r="3129">
      <c r="E3129" s="6"/>
    </row>
    <row r="3130">
      <c r="E3130" s="6"/>
    </row>
    <row r="3131">
      <c r="E3131" s="6"/>
    </row>
    <row r="3132">
      <c r="E3132" s="6"/>
    </row>
    <row r="3133">
      <c r="E3133" s="6"/>
    </row>
    <row r="3134">
      <c r="E3134" s="6"/>
    </row>
    <row r="3135">
      <c r="E3135" s="6"/>
    </row>
    <row r="3136">
      <c r="E3136" s="6"/>
    </row>
    <row r="3137">
      <c r="E3137" s="6"/>
    </row>
    <row r="3138">
      <c r="E3138" s="6"/>
    </row>
    <row r="3139">
      <c r="E3139" s="6"/>
    </row>
    <row r="3140">
      <c r="E3140" s="6"/>
    </row>
    <row r="3141">
      <c r="E3141" s="6"/>
    </row>
    <row r="3142">
      <c r="E3142" s="6"/>
    </row>
    <row r="3143">
      <c r="E3143" s="6"/>
    </row>
    <row r="3144">
      <c r="E3144" s="6"/>
    </row>
    <row r="3145">
      <c r="E3145" s="6"/>
    </row>
    <row r="3146">
      <c r="E3146" s="6"/>
    </row>
    <row r="3147">
      <c r="E3147" s="6"/>
    </row>
    <row r="3148">
      <c r="E3148" s="6"/>
    </row>
    <row r="3149">
      <c r="E3149" s="6"/>
    </row>
    <row r="3150">
      <c r="E3150" s="6"/>
    </row>
    <row r="3151">
      <c r="E3151" s="6"/>
    </row>
    <row r="3152">
      <c r="E3152" s="6"/>
    </row>
    <row r="3153">
      <c r="E3153" s="6"/>
    </row>
    <row r="3154">
      <c r="E3154" s="6"/>
    </row>
    <row r="3155">
      <c r="E3155" s="6"/>
    </row>
    <row r="3156">
      <c r="E3156" s="6"/>
    </row>
    <row r="3157">
      <c r="E3157" s="6"/>
    </row>
    <row r="3158">
      <c r="E3158" s="6"/>
    </row>
    <row r="3159">
      <c r="E3159" s="6"/>
    </row>
    <row r="3160">
      <c r="E3160" s="6"/>
    </row>
    <row r="3161">
      <c r="E3161" s="6"/>
    </row>
    <row r="3162">
      <c r="E3162" s="6"/>
    </row>
    <row r="3163">
      <c r="E3163" s="6"/>
    </row>
    <row r="3164">
      <c r="E3164" s="6"/>
    </row>
    <row r="3165">
      <c r="E3165" s="6"/>
    </row>
    <row r="3166">
      <c r="E3166" s="6"/>
    </row>
    <row r="3167">
      <c r="E3167" s="6"/>
    </row>
    <row r="3168">
      <c r="E3168" s="6"/>
    </row>
    <row r="3169">
      <c r="E3169" s="6"/>
    </row>
    <row r="3170">
      <c r="E3170" s="6"/>
    </row>
    <row r="3171">
      <c r="E3171" s="6"/>
    </row>
    <row r="3172">
      <c r="E3172" s="6"/>
    </row>
    <row r="3173">
      <c r="E3173" s="6"/>
    </row>
    <row r="3174">
      <c r="E3174" s="6"/>
    </row>
    <row r="3175">
      <c r="E3175" s="6"/>
    </row>
    <row r="3176">
      <c r="E3176" s="6"/>
    </row>
    <row r="3177">
      <c r="E3177" s="6"/>
    </row>
    <row r="3178">
      <c r="E3178" s="6"/>
    </row>
    <row r="3179">
      <c r="E3179" s="6"/>
    </row>
    <row r="3180">
      <c r="E3180" s="6"/>
    </row>
    <row r="3181">
      <c r="E3181" s="6"/>
    </row>
    <row r="3182">
      <c r="E3182" s="6"/>
    </row>
    <row r="3183">
      <c r="E3183" s="6"/>
    </row>
    <row r="3184">
      <c r="E3184" s="6"/>
    </row>
    <row r="3185">
      <c r="E3185" s="6"/>
    </row>
    <row r="3186">
      <c r="E3186" s="6"/>
    </row>
    <row r="3187">
      <c r="E3187" s="6"/>
    </row>
    <row r="3188">
      <c r="E3188" s="6"/>
    </row>
    <row r="3189">
      <c r="E3189" s="6"/>
    </row>
    <row r="3190">
      <c r="E3190" s="6"/>
    </row>
    <row r="3191">
      <c r="E3191" s="6"/>
    </row>
    <row r="3192">
      <c r="E3192" s="6"/>
    </row>
    <row r="3193">
      <c r="E3193" s="6"/>
    </row>
    <row r="3194">
      <c r="E3194" s="6"/>
    </row>
    <row r="3195">
      <c r="E3195" s="6"/>
    </row>
    <row r="3196">
      <c r="E3196" s="6"/>
    </row>
    <row r="3197">
      <c r="E3197" s="6"/>
    </row>
    <row r="3198">
      <c r="E3198" s="6"/>
    </row>
    <row r="3199">
      <c r="E3199" s="6"/>
    </row>
    <row r="3200">
      <c r="E3200" s="6"/>
    </row>
    <row r="3201">
      <c r="E3201" s="6"/>
    </row>
    <row r="3202">
      <c r="E3202" s="6"/>
    </row>
    <row r="3203">
      <c r="E3203" s="6"/>
    </row>
    <row r="3204">
      <c r="E3204" s="6"/>
    </row>
    <row r="3205">
      <c r="E3205" s="6"/>
    </row>
    <row r="3206">
      <c r="E3206" s="6"/>
    </row>
    <row r="3207">
      <c r="E3207" s="6"/>
    </row>
    <row r="3208">
      <c r="E3208" s="6"/>
    </row>
    <row r="3209">
      <c r="E3209" s="6"/>
    </row>
    <row r="3210">
      <c r="E3210" s="6"/>
    </row>
    <row r="3211">
      <c r="E3211" s="6"/>
    </row>
    <row r="3212">
      <c r="E3212" s="6"/>
    </row>
    <row r="3213">
      <c r="E3213" s="6"/>
    </row>
    <row r="3214">
      <c r="E3214" s="6"/>
    </row>
    <row r="3215">
      <c r="E3215" s="6"/>
    </row>
    <row r="3216">
      <c r="E3216" s="6"/>
    </row>
    <row r="3217">
      <c r="E3217" s="6"/>
    </row>
    <row r="3218">
      <c r="E3218" s="6"/>
    </row>
    <row r="3219">
      <c r="E3219" s="6"/>
    </row>
    <row r="3220">
      <c r="E3220" s="6"/>
    </row>
    <row r="3221">
      <c r="E3221" s="6"/>
    </row>
    <row r="3222">
      <c r="E3222" s="6"/>
    </row>
    <row r="3223">
      <c r="E3223" s="6"/>
    </row>
    <row r="3224">
      <c r="E3224" s="6"/>
    </row>
    <row r="3225">
      <c r="E3225" s="6"/>
    </row>
    <row r="3226">
      <c r="E3226" s="6"/>
    </row>
    <row r="3227">
      <c r="E3227" s="6"/>
    </row>
    <row r="3228">
      <c r="E3228" s="6"/>
    </row>
    <row r="3229">
      <c r="E3229" s="6"/>
    </row>
    <row r="3230">
      <c r="E3230" s="6"/>
    </row>
    <row r="3231">
      <c r="E3231" s="6"/>
    </row>
    <row r="3232">
      <c r="E3232" s="6"/>
    </row>
    <row r="3233">
      <c r="E3233" s="6"/>
    </row>
    <row r="3234">
      <c r="E3234" s="6"/>
    </row>
    <row r="3235">
      <c r="E3235" s="6"/>
    </row>
    <row r="3236">
      <c r="E3236" s="6"/>
    </row>
    <row r="3237">
      <c r="E3237" s="6"/>
    </row>
    <row r="3238">
      <c r="E3238" s="6"/>
    </row>
    <row r="3239">
      <c r="E3239" s="6"/>
    </row>
    <row r="3240">
      <c r="E3240" s="6"/>
    </row>
    <row r="3241">
      <c r="E3241" s="6"/>
    </row>
    <row r="3242">
      <c r="E3242" s="6"/>
    </row>
    <row r="3243">
      <c r="E3243" s="6"/>
    </row>
    <row r="3244">
      <c r="E3244" s="6"/>
    </row>
    <row r="3245">
      <c r="E3245" s="6"/>
    </row>
    <row r="3246">
      <c r="E3246" s="6"/>
    </row>
    <row r="3247">
      <c r="E3247" s="6"/>
    </row>
    <row r="3248">
      <c r="E3248" s="6"/>
    </row>
    <row r="3249">
      <c r="E3249" s="6"/>
    </row>
    <row r="3250">
      <c r="E3250" s="6"/>
    </row>
    <row r="3251">
      <c r="E3251" s="6"/>
    </row>
    <row r="3252">
      <c r="E3252" s="6"/>
    </row>
    <row r="3253">
      <c r="E3253" s="6"/>
    </row>
    <row r="3254">
      <c r="E3254" s="6"/>
    </row>
    <row r="3255">
      <c r="E3255" s="6"/>
    </row>
    <row r="3256">
      <c r="E3256" s="6"/>
    </row>
    <row r="3257">
      <c r="E3257" s="6"/>
    </row>
    <row r="3258">
      <c r="E3258" s="6"/>
    </row>
    <row r="3259">
      <c r="E3259" s="6"/>
    </row>
    <row r="3260">
      <c r="E3260" s="6"/>
    </row>
    <row r="3261">
      <c r="E3261" s="6"/>
    </row>
    <row r="3262">
      <c r="E3262" s="6"/>
    </row>
    <row r="3263">
      <c r="E3263" s="6"/>
    </row>
    <row r="3264">
      <c r="E3264" s="6"/>
    </row>
    <row r="3265">
      <c r="E3265" s="6"/>
    </row>
    <row r="3266">
      <c r="E3266" s="6"/>
    </row>
    <row r="3267">
      <c r="E3267" s="6"/>
    </row>
    <row r="3268">
      <c r="E3268" s="6"/>
    </row>
    <row r="3269">
      <c r="E3269" s="6"/>
    </row>
    <row r="3270">
      <c r="E3270" s="6"/>
    </row>
    <row r="3271">
      <c r="E3271" s="6"/>
    </row>
    <row r="3272">
      <c r="E3272" s="6"/>
    </row>
    <row r="3273">
      <c r="E3273" s="6"/>
    </row>
    <row r="3274">
      <c r="E3274" s="6"/>
    </row>
    <row r="3275">
      <c r="E3275" s="6"/>
    </row>
    <row r="3276">
      <c r="E3276" s="6"/>
    </row>
    <row r="3277">
      <c r="E3277" s="6"/>
    </row>
    <row r="3278">
      <c r="E3278" s="6"/>
    </row>
    <row r="3279">
      <c r="E3279" s="6"/>
    </row>
    <row r="3280">
      <c r="E3280" s="6"/>
    </row>
    <row r="3281">
      <c r="E3281" s="6"/>
    </row>
    <row r="3282">
      <c r="E3282" s="6"/>
    </row>
    <row r="3283">
      <c r="E3283" s="6"/>
    </row>
    <row r="3284">
      <c r="E3284" s="6"/>
    </row>
    <row r="3285">
      <c r="E3285" s="6"/>
    </row>
    <row r="3286">
      <c r="E3286" s="6"/>
    </row>
    <row r="3287">
      <c r="E3287" s="6"/>
    </row>
    <row r="3288">
      <c r="E3288" s="6"/>
    </row>
    <row r="3289">
      <c r="E3289" s="6"/>
    </row>
    <row r="3290">
      <c r="E3290" s="6"/>
    </row>
    <row r="3291">
      <c r="E3291" s="6"/>
    </row>
    <row r="3292">
      <c r="E3292" s="6"/>
    </row>
    <row r="3293">
      <c r="E3293" s="6"/>
    </row>
    <row r="3294">
      <c r="E3294" s="6"/>
    </row>
    <row r="3295">
      <c r="E3295" s="6"/>
    </row>
    <row r="3296">
      <c r="E3296" s="6"/>
    </row>
    <row r="3297">
      <c r="E3297" s="6"/>
    </row>
    <row r="3298">
      <c r="E3298" s="6"/>
    </row>
    <row r="3299">
      <c r="E3299" s="6"/>
    </row>
    <row r="3300">
      <c r="E3300" s="6"/>
    </row>
    <row r="3301">
      <c r="E3301" s="6"/>
    </row>
    <row r="3302">
      <c r="E3302" s="6"/>
    </row>
    <row r="3303">
      <c r="E3303" s="6"/>
    </row>
    <row r="3304">
      <c r="E3304" s="6"/>
    </row>
    <row r="3305">
      <c r="E3305" s="6"/>
    </row>
    <row r="3306">
      <c r="E3306" s="6"/>
    </row>
    <row r="3307">
      <c r="E3307" s="6"/>
    </row>
    <row r="3308">
      <c r="E3308" s="6"/>
    </row>
    <row r="3309">
      <c r="E3309" s="6"/>
    </row>
    <row r="3310">
      <c r="E3310" s="6"/>
    </row>
    <row r="3311">
      <c r="E3311" s="6"/>
    </row>
    <row r="3312">
      <c r="E3312" s="6"/>
    </row>
    <row r="3313">
      <c r="E3313" s="6"/>
    </row>
    <row r="3314">
      <c r="E3314" s="6"/>
    </row>
    <row r="3315">
      <c r="E3315" s="6"/>
    </row>
    <row r="3316">
      <c r="E3316" s="6"/>
    </row>
    <row r="3317">
      <c r="E3317" s="6"/>
    </row>
    <row r="3318">
      <c r="E3318" s="6"/>
    </row>
    <row r="3319">
      <c r="E3319" s="6"/>
    </row>
    <row r="3320">
      <c r="E3320" s="6"/>
    </row>
    <row r="3321">
      <c r="E3321" s="6"/>
    </row>
    <row r="3322">
      <c r="E3322" s="6"/>
    </row>
    <row r="3323">
      <c r="E3323" s="6"/>
    </row>
    <row r="3324">
      <c r="E3324" s="6"/>
    </row>
    <row r="3325">
      <c r="E3325" s="6"/>
    </row>
    <row r="3326">
      <c r="E3326" s="6"/>
    </row>
    <row r="3327">
      <c r="E3327" s="6"/>
    </row>
    <row r="3328">
      <c r="E3328" s="6"/>
    </row>
    <row r="3329">
      <c r="E3329" s="6"/>
    </row>
    <row r="3330">
      <c r="E3330" s="6"/>
    </row>
    <row r="3331">
      <c r="E3331" s="6"/>
    </row>
    <row r="3332">
      <c r="E3332" s="6"/>
    </row>
    <row r="3333">
      <c r="E3333" s="6"/>
    </row>
    <row r="3334">
      <c r="E3334" s="6"/>
    </row>
    <row r="3335">
      <c r="E3335" s="6"/>
    </row>
    <row r="3336">
      <c r="E3336" s="6"/>
    </row>
    <row r="3337">
      <c r="E3337" s="6"/>
    </row>
    <row r="3338">
      <c r="E3338" s="6"/>
    </row>
    <row r="3339">
      <c r="E3339" s="6"/>
    </row>
    <row r="3340">
      <c r="E3340" s="6"/>
    </row>
    <row r="3341">
      <c r="E3341" s="6"/>
    </row>
    <row r="3342">
      <c r="E3342" s="6"/>
    </row>
    <row r="3343">
      <c r="E3343" s="6"/>
    </row>
    <row r="3344">
      <c r="E3344" s="6"/>
    </row>
    <row r="3345">
      <c r="E3345" s="6"/>
    </row>
    <row r="3346">
      <c r="E3346" s="6"/>
    </row>
    <row r="3347">
      <c r="E3347" s="6"/>
    </row>
    <row r="3348">
      <c r="E3348" s="6"/>
    </row>
    <row r="3349">
      <c r="E3349" s="6"/>
    </row>
    <row r="3350">
      <c r="E3350" s="6"/>
    </row>
    <row r="3351">
      <c r="E3351" s="6"/>
    </row>
    <row r="3352">
      <c r="E3352" s="6"/>
    </row>
    <row r="3353">
      <c r="E3353" s="6"/>
    </row>
    <row r="3354">
      <c r="E3354" s="6"/>
    </row>
    <row r="3355">
      <c r="E3355" s="6"/>
    </row>
    <row r="3356">
      <c r="E3356" s="6"/>
    </row>
    <row r="3357">
      <c r="E3357" s="6"/>
    </row>
    <row r="3358">
      <c r="E3358" s="6"/>
    </row>
    <row r="3359">
      <c r="E3359" s="6"/>
    </row>
    <row r="3360">
      <c r="E3360" s="6"/>
    </row>
    <row r="3361">
      <c r="E3361" s="6"/>
    </row>
    <row r="3362">
      <c r="E3362" s="6"/>
    </row>
    <row r="3363">
      <c r="E3363" s="6"/>
    </row>
    <row r="3364">
      <c r="E3364" s="6"/>
    </row>
    <row r="3365">
      <c r="E3365" s="6"/>
    </row>
    <row r="3366">
      <c r="E3366" s="6"/>
    </row>
    <row r="3367">
      <c r="E3367" s="6"/>
    </row>
    <row r="3368">
      <c r="E3368" s="6"/>
    </row>
    <row r="3369">
      <c r="E3369" s="6"/>
    </row>
    <row r="3370">
      <c r="E3370" s="6"/>
    </row>
    <row r="3371">
      <c r="E3371" s="6"/>
    </row>
    <row r="3372">
      <c r="E3372" s="6"/>
    </row>
    <row r="3373">
      <c r="E3373" s="6"/>
    </row>
    <row r="3374">
      <c r="E3374" s="6"/>
    </row>
    <row r="3375">
      <c r="E3375" s="6"/>
    </row>
    <row r="3376">
      <c r="E3376" s="6"/>
    </row>
    <row r="3377">
      <c r="E3377" s="6"/>
    </row>
    <row r="3378">
      <c r="E3378" s="6"/>
    </row>
    <row r="3379">
      <c r="E3379" s="6"/>
    </row>
    <row r="3380">
      <c r="E3380" s="6"/>
    </row>
    <row r="3381">
      <c r="E3381" s="6"/>
    </row>
    <row r="3382">
      <c r="E3382" s="6"/>
    </row>
    <row r="3383">
      <c r="E3383" s="6"/>
    </row>
    <row r="3384">
      <c r="E3384" s="6"/>
    </row>
    <row r="3385">
      <c r="E3385" s="6"/>
    </row>
    <row r="3386">
      <c r="E3386" s="6"/>
    </row>
    <row r="3387">
      <c r="E3387" s="6"/>
    </row>
    <row r="3388">
      <c r="E3388" s="6"/>
    </row>
    <row r="3389">
      <c r="E3389" s="6"/>
    </row>
    <row r="3390">
      <c r="E3390" s="6"/>
    </row>
    <row r="3391">
      <c r="E3391" s="6"/>
    </row>
    <row r="3392">
      <c r="E3392" s="6"/>
    </row>
    <row r="3393">
      <c r="E3393" s="6"/>
    </row>
    <row r="3394">
      <c r="E3394" s="6"/>
    </row>
    <row r="3395">
      <c r="E3395" s="6"/>
    </row>
    <row r="3396">
      <c r="E3396" s="6"/>
    </row>
    <row r="3397">
      <c r="E3397" s="6"/>
    </row>
    <row r="3398">
      <c r="E3398" s="6"/>
    </row>
    <row r="3399">
      <c r="E3399" s="6"/>
    </row>
    <row r="3400">
      <c r="E3400" s="6"/>
    </row>
    <row r="3401">
      <c r="E3401" s="6"/>
    </row>
    <row r="3402">
      <c r="E3402" s="6"/>
    </row>
    <row r="3403">
      <c r="E3403" s="6"/>
    </row>
    <row r="3404">
      <c r="E3404" s="6"/>
    </row>
    <row r="3405">
      <c r="E3405" s="6"/>
    </row>
    <row r="3406">
      <c r="E3406" s="6"/>
    </row>
    <row r="3407">
      <c r="E3407" s="6"/>
    </row>
    <row r="3408">
      <c r="E3408" s="6"/>
    </row>
    <row r="3409">
      <c r="E3409" s="6"/>
    </row>
    <row r="3410">
      <c r="E3410" s="6"/>
    </row>
    <row r="3411">
      <c r="E3411" s="6"/>
    </row>
    <row r="3412">
      <c r="E3412" s="6"/>
    </row>
    <row r="3413">
      <c r="E3413" s="6"/>
    </row>
    <row r="3414">
      <c r="E3414" s="6"/>
    </row>
    <row r="3415">
      <c r="E3415" s="6"/>
    </row>
    <row r="3416">
      <c r="E3416" s="6"/>
    </row>
    <row r="3417">
      <c r="E3417" s="6"/>
    </row>
    <row r="3418">
      <c r="E3418" s="6"/>
    </row>
    <row r="3419">
      <c r="E3419" s="6"/>
    </row>
    <row r="3420">
      <c r="E3420" s="6"/>
    </row>
    <row r="3421">
      <c r="E3421" s="6"/>
    </row>
    <row r="3422">
      <c r="E3422" s="6"/>
    </row>
    <row r="3423">
      <c r="E3423" s="6"/>
    </row>
    <row r="3424">
      <c r="E3424" s="6"/>
    </row>
    <row r="3425">
      <c r="E3425" s="6"/>
    </row>
    <row r="3426">
      <c r="E3426" s="6"/>
    </row>
    <row r="3427">
      <c r="E3427" s="6"/>
    </row>
    <row r="3428">
      <c r="E3428" s="6"/>
    </row>
    <row r="3429">
      <c r="E3429" s="6"/>
    </row>
    <row r="3430">
      <c r="E3430" s="6"/>
    </row>
    <row r="3431">
      <c r="E3431" s="6"/>
    </row>
    <row r="3432">
      <c r="E3432" s="6"/>
    </row>
    <row r="3433">
      <c r="E3433" s="6"/>
    </row>
    <row r="3434">
      <c r="E3434" s="6"/>
    </row>
    <row r="3435">
      <c r="E3435" s="6"/>
    </row>
    <row r="3436">
      <c r="E3436" s="6"/>
    </row>
    <row r="3437">
      <c r="E3437" s="6"/>
    </row>
    <row r="3438">
      <c r="E3438" s="6"/>
    </row>
    <row r="3439">
      <c r="E3439" s="6"/>
    </row>
    <row r="3440">
      <c r="E3440" s="6"/>
    </row>
    <row r="3441">
      <c r="E3441" s="6"/>
    </row>
    <row r="3442">
      <c r="E3442" s="6"/>
    </row>
    <row r="3443">
      <c r="E3443" s="6"/>
    </row>
    <row r="3444">
      <c r="E3444" s="6"/>
    </row>
    <row r="3445">
      <c r="E3445" s="6"/>
    </row>
    <row r="3446">
      <c r="E3446" s="6"/>
    </row>
    <row r="3447">
      <c r="E3447" s="6"/>
    </row>
    <row r="3448">
      <c r="E3448" s="6"/>
    </row>
    <row r="3449">
      <c r="E3449" s="6"/>
    </row>
    <row r="3450">
      <c r="E3450" s="6"/>
    </row>
    <row r="3451">
      <c r="E3451" s="6"/>
    </row>
    <row r="3452">
      <c r="E3452" s="6"/>
    </row>
    <row r="3453">
      <c r="E3453" s="6"/>
    </row>
    <row r="3454">
      <c r="E3454" s="6"/>
    </row>
    <row r="3455">
      <c r="E3455" s="6"/>
    </row>
    <row r="3456">
      <c r="E3456" s="6"/>
    </row>
    <row r="3457">
      <c r="E3457" s="6"/>
    </row>
    <row r="3458">
      <c r="E3458" s="6"/>
    </row>
    <row r="3459">
      <c r="E3459" s="6"/>
    </row>
    <row r="3460">
      <c r="E3460" s="6"/>
    </row>
    <row r="3461">
      <c r="E3461" s="6"/>
    </row>
    <row r="3462">
      <c r="E3462" s="6"/>
    </row>
    <row r="3463">
      <c r="E3463" s="6"/>
    </row>
    <row r="3464">
      <c r="E3464" s="6"/>
    </row>
    <row r="3465">
      <c r="E3465" s="6"/>
    </row>
    <row r="3466">
      <c r="E3466" s="6"/>
    </row>
    <row r="3467">
      <c r="E3467" s="6"/>
    </row>
    <row r="3468">
      <c r="E3468" s="6"/>
    </row>
    <row r="3469">
      <c r="E3469" s="6"/>
    </row>
    <row r="3470">
      <c r="E3470" s="6"/>
    </row>
    <row r="3471">
      <c r="E3471" s="6"/>
    </row>
    <row r="3472">
      <c r="E3472" s="6"/>
    </row>
    <row r="3473">
      <c r="E3473" s="6"/>
    </row>
    <row r="3474">
      <c r="E3474" s="6"/>
    </row>
    <row r="3475">
      <c r="E3475" s="6"/>
    </row>
    <row r="3476">
      <c r="E3476" s="6"/>
    </row>
    <row r="3477">
      <c r="E3477" s="6"/>
    </row>
    <row r="3478">
      <c r="E3478" s="6"/>
    </row>
    <row r="3479">
      <c r="E3479" s="6"/>
    </row>
    <row r="3480">
      <c r="E3480" s="6"/>
    </row>
    <row r="3481">
      <c r="E3481" s="6"/>
    </row>
    <row r="3482">
      <c r="E3482" s="6"/>
    </row>
    <row r="3483">
      <c r="E3483" s="6"/>
    </row>
    <row r="3484">
      <c r="E3484" s="6"/>
    </row>
    <row r="3485">
      <c r="E3485" s="6"/>
    </row>
    <row r="3486">
      <c r="E3486" s="6"/>
    </row>
    <row r="3487">
      <c r="E3487" s="6"/>
    </row>
    <row r="3488">
      <c r="E3488" s="6"/>
    </row>
    <row r="3489">
      <c r="E3489" s="6"/>
    </row>
    <row r="3490">
      <c r="E3490" s="6"/>
    </row>
    <row r="3491">
      <c r="E3491" s="6"/>
    </row>
    <row r="3492">
      <c r="E3492" s="6"/>
    </row>
    <row r="3493">
      <c r="E3493" s="6"/>
    </row>
    <row r="3494">
      <c r="E3494" s="6"/>
    </row>
    <row r="3495">
      <c r="E3495" s="6"/>
    </row>
    <row r="3496">
      <c r="E3496" s="6"/>
    </row>
    <row r="3497">
      <c r="E3497" s="6"/>
    </row>
    <row r="3498">
      <c r="E3498" s="6"/>
    </row>
    <row r="3499">
      <c r="E3499" s="6"/>
    </row>
    <row r="3500">
      <c r="E3500" s="6"/>
    </row>
    <row r="3501">
      <c r="E3501" s="6"/>
    </row>
    <row r="3502">
      <c r="E3502" s="6"/>
    </row>
    <row r="3503">
      <c r="E3503" s="6"/>
    </row>
    <row r="3504">
      <c r="E3504" s="6"/>
    </row>
    <row r="3505">
      <c r="E3505" s="6"/>
    </row>
    <row r="3506">
      <c r="E3506" s="6"/>
    </row>
    <row r="3507">
      <c r="E3507" s="6"/>
    </row>
    <row r="3508">
      <c r="E3508" s="6"/>
    </row>
    <row r="3509">
      <c r="E3509" s="6"/>
    </row>
    <row r="3510">
      <c r="E3510" s="6"/>
    </row>
    <row r="3511">
      <c r="E3511" s="6"/>
    </row>
    <row r="3512">
      <c r="E3512" s="6"/>
    </row>
    <row r="3513">
      <c r="E3513" s="6"/>
    </row>
    <row r="3514">
      <c r="E3514" s="6"/>
    </row>
    <row r="3515">
      <c r="E3515" s="6"/>
    </row>
    <row r="3516">
      <c r="E3516" s="6"/>
    </row>
    <row r="3517">
      <c r="E3517" s="6"/>
    </row>
    <row r="3518">
      <c r="E3518" s="6"/>
    </row>
    <row r="3519">
      <c r="E3519" s="6"/>
    </row>
    <row r="3520">
      <c r="E3520" s="6"/>
    </row>
    <row r="3521">
      <c r="E3521" s="6"/>
    </row>
    <row r="3522">
      <c r="E3522" s="6"/>
    </row>
    <row r="3523">
      <c r="E3523" s="6"/>
    </row>
    <row r="3524">
      <c r="E3524" s="6"/>
    </row>
    <row r="3525">
      <c r="E3525" s="6"/>
    </row>
    <row r="3526">
      <c r="E3526" s="6"/>
    </row>
    <row r="3527">
      <c r="E3527" s="6"/>
    </row>
    <row r="3528">
      <c r="E3528" s="6"/>
    </row>
    <row r="3529">
      <c r="E3529" s="6"/>
    </row>
    <row r="3530">
      <c r="E3530" s="6"/>
    </row>
    <row r="3531">
      <c r="E3531" s="6"/>
    </row>
    <row r="3532">
      <c r="E3532" s="6"/>
    </row>
    <row r="3533">
      <c r="E3533" s="6"/>
    </row>
    <row r="3534">
      <c r="E3534" s="6"/>
    </row>
    <row r="3535">
      <c r="E3535" s="6"/>
    </row>
    <row r="3536">
      <c r="E3536" s="6"/>
    </row>
    <row r="3537">
      <c r="E3537" s="6"/>
    </row>
    <row r="3538">
      <c r="E3538" s="6"/>
    </row>
    <row r="3539">
      <c r="E3539" s="6"/>
    </row>
    <row r="3540">
      <c r="E3540" s="6"/>
    </row>
    <row r="3541">
      <c r="E3541" s="6"/>
    </row>
    <row r="3542">
      <c r="E3542" s="6"/>
    </row>
    <row r="3543">
      <c r="E3543" s="6"/>
    </row>
    <row r="3544">
      <c r="E3544" s="6"/>
    </row>
    <row r="3545">
      <c r="E3545" s="6"/>
    </row>
    <row r="3546">
      <c r="E3546" s="6"/>
    </row>
    <row r="3547">
      <c r="E3547" s="6"/>
    </row>
    <row r="3548">
      <c r="E3548" s="6"/>
    </row>
    <row r="3549">
      <c r="E3549" s="6"/>
    </row>
    <row r="3550">
      <c r="E3550" s="6"/>
    </row>
    <row r="3551">
      <c r="E3551" s="6"/>
    </row>
    <row r="3552">
      <c r="E3552" s="6"/>
    </row>
    <row r="3553">
      <c r="E3553" s="6"/>
    </row>
    <row r="3554">
      <c r="E3554" s="6"/>
    </row>
    <row r="3555">
      <c r="E3555" s="6"/>
    </row>
    <row r="3556">
      <c r="E3556" s="6"/>
    </row>
    <row r="3557">
      <c r="E3557" s="6"/>
    </row>
    <row r="3558">
      <c r="E3558" s="6"/>
    </row>
    <row r="3559">
      <c r="E3559" s="6"/>
    </row>
    <row r="3560">
      <c r="E3560" s="6"/>
    </row>
    <row r="3561">
      <c r="E3561" s="6"/>
    </row>
    <row r="3562">
      <c r="E3562" s="6"/>
    </row>
    <row r="3563">
      <c r="E3563" s="6"/>
    </row>
    <row r="3564">
      <c r="E3564" s="6"/>
    </row>
    <row r="3565">
      <c r="E3565" s="6"/>
    </row>
    <row r="3566">
      <c r="E3566" s="6"/>
    </row>
    <row r="3567">
      <c r="E3567" s="6"/>
    </row>
    <row r="3568">
      <c r="E3568" s="6"/>
    </row>
    <row r="3569">
      <c r="E3569" s="6"/>
    </row>
    <row r="3570">
      <c r="E3570" s="6"/>
    </row>
    <row r="3571">
      <c r="E3571" s="6"/>
    </row>
    <row r="3572">
      <c r="E3572" s="6"/>
    </row>
    <row r="3573">
      <c r="E3573" s="6"/>
    </row>
    <row r="3574">
      <c r="E3574" s="6"/>
    </row>
    <row r="3575">
      <c r="E3575" s="6"/>
    </row>
    <row r="3576">
      <c r="E3576" s="6"/>
    </row>
    <row r="3577">
      <c r="E3577" s="6"/>
    </row>
    <row r="3578">
      <c r="E3578" s="6"/>
    </row>
    <row r="3579">
      <c r="E3579" s="6"/>
    </row>
    <row r="3580">
      <c r="E3580" s="6"/>
    </row>
    <row r="3581">
      <c r="E3581" s="6"/>
    </row>
    <row r="3582">
      <c r="E3582" s="6"/>
    </row>
    <row r="3583">
      <c r="E3583" s="6"/>
    </row>
    <row r="3584">
      <c r="E3584" s="6"/>
    </row>
    <row r="3585">
      <c r="E3585" s="6"/>
    </row>
    <row r="3586">
      <c r="E3586" s="6"/>
    </row>
    <row r="3587">
      <c r="E3587" s="6"/>
    </row>
    <row r="3588">
      <c r="E3588" s="6"/>
    </row>
    <row r="3589">
      <c r="E3589" s="6"/>
    </row>
    <row r="3590">
      <c r="E3590" s="6"/>
    </row>
    <row r="3591">
      <c r="E3591" s="6"/>
    </row>
    <row r="3592">
      <c r="E3592" s="6"/>
    </row>
    <row r="3593">
      <c r="E3593" s="6"/>
    </row>
    <row r="3594">
      <c r="E3594" s="6"/>
    </row>
    <row r="3595">
      <c r="E3595" s="6"/>
    </row>
    <row r="3596">
      <c r="E3596" s="6"/>
    </row>
    <row r="3597">
      <c r="E3597" s="6"/>
    </row>
    <row r="3598">
      <c r="E3598" s="6"/>
    </row>
    <row r="3599">
      <c r="E3599" s="6"/>
    </row>
    <row r="3600">
      <c r="E3600" s="6"/>
    </row>
    <row r="3601">
      <c r="E3601" s="6"/>
    </row>
    <row r="3602">
      <c r="E3602" s="6"/>
    </row>
    <row r="3603">
      <c r="E3603" s="6"/>
    </row>
    <row r="3604">
      <c r="E3604" s="6"/>
    </row>
    <row r="3605">
      <c r="E3605" s="6"/>
    </row>
    <row r="3606">
      <c r="E3606" s="6"/>
    </row>
    <row r="3607">
      <c r="E3607" s="6"/>
    </row>
    <row r="3608">
      <c r="E3608" s="6"/>
    </row>
    <row r="3609">
      <c r="E3609" s="6"/>
    </row>
    <row r="3610">
      <c r="E3610" s="6"/>
    </row>
    <row r="3611">
      <c r="E3611" s="6"/>
    </row>
    <row r="3612">
      <c r="E3612" s="6"/>
    </row>
    <row r="3613">
      <c r="E3613" s="6"/>
    </row>
    <row r="3614">
      <c r="E3614" s="6"/>
    </row>
    <row r="3615">
      <c r="E3615" s="6"/>
    </row>
    <row r="3616">
      <c r="E3616" s="6"/>
    </row>
    <row r="3617">
      <c r="E3617" s="6"/>
    </row>
    <row r="3618">
      <c r="E3618" s="6"/>
    </row>
    <row r="3619">
      <c r="E3619" s="6"/>
    </row>
    <row r="3620">
      <c r="E3620" s="6"/>
    </row>
    <row r="3621">
      <c r="E3621" s="6"/>
    </row>
    <row r="3622">
      <c r="E3622" s="6"/>
    </row>
    <row r="3623">
      <c r="E3623" s="6"/>
    </row>
    <row r="3624">
      <c r="E3624" s="6"/>
    </row>
    <row r="3625">
      <c r="E3625" s="6"/>
    </row>
    <row r="3626">
      <c r="E3626" s="6"/>
    </row>
    <row r="3627">
      <c r="E3627" s="6"/>
    </row>
    <row r="3628">
      <c r="E3628" s="6"/>
    </row>
    <row r="3629">
      <c r="E3629" s="6"/>
    </row>
    <row r="3630">
      <c r="E3630" s="6"/>
    </row>
    <row r="3631">
      <c r="E3631" s="6"/>
    </row>
    <row r="3632">
      <c r="E3632" s="6"/>
    </row>
    <row r="3633">
      <c r="E3633" s="6"/>
    </row>
    <row r="3634">
      <c r="E3634" s="6"/>
    </row>
    <row r="3635">
      <c r="E3635" s="6"/>
    </row>
    <row r="3636">
      <c r="E3636" s="6"/>
    </row>
    <row r="3637">
      <c r="E3637" s="6"/>
    </row>
    <row r="3638">
      <c r="E3638" s="6"/>
    </row>
    <row r="3639">
      <c r="E3639" s="6"/>
    </row>
    <row r="3640">
      <c r="E3640" s="6"/>
    </row>
    <row r="3641">
      <c r="E3641" s="6"/>
    </row>
    <row r="3642">
      <c r="E3642" s="6"/>
    </row>
    <row r="3643">
      <c r="E3643" s="6"/>
    </row>
    <row r="3644">
      <c r="E3644" s="6"/>
    </row>
    <row r="3645">
      <c r="E3645" s="6"/>
    </row>
    <row r="3646">
      <c r="E3646" s="6"/>
    </row>
    <row r="3647">
      <c r="E3647" s="6"/>
    </row>
    <row r="3648">
      <c r="E3648" s="6"/>
    </row>
    <row r="3649">
      <c r="E3649" s="6"/>
    </row>
    <row r="3650">
      <c r="E3650" s="6"/>
    </row>
    <row r="3651">
      <c r="E3651" s="6"/>
    </row>
    <row r="3652">
      <c r="E3652" s="6"/>
    </row>
    <row r="3653">
      <c r="E3653" s="6"/>
    </row>
    <row r="3654">
      <c r="E3654" s="6"/>
    </row>
    <row r="3655">
      <c r="E3655" s="6"/>
    </row>
    <row r="3656">
      <c r="E3656" s="6"/>
    </row>
    <row r="3657">
      <c r="E3657" s="6"/>
    </row>
    <row r="3658">
      <c r="E3658" s="6"/>
    </row>
    <row r="3659">
      <c r="E3659" s="6"/>
    </row>
    <row r="3660">
      <c r="E3660" s="6"/>
    </row>
    <row r="3661">
      <c r="E3661" s="6"/>
    </row>
    <row r="3662">
      <c r="E3662" s="6"/>
    </row>
    <row r="3663">
      <c r="E3663" s="6"/>
    </row>
    <row r="3664">
      <c r="E3664" s="6"/>
    </row>
    <row r="3665">
      <c r="E3665" s="6"/>
    </row>
    <row r="3666">
      <c r="E3666" s="6"/>
    </row>
    <row r="3667">
      <c r="E3667" s="6"/>
    </row>
    <row r="3668">
      <c r="E3668" s="6"/>
    </row>
    <row r="3669">
      <c r="E3669" s="6"/>
    </row>
    <row r="3670">
      <c r="E3670" s="6"/>
    </row>
    <row r="3671">
      <c r="E3671" s="6"/>
    </row>
    <row r="3672">
      <c r="E3672" s="6"/>
    </row>
    <row r="3673">
      <c r="E3673" s="6"/>
    </row>
    <row r="3674">
      <c r="E3674" s="6"/>
    </row>
    <row r="3675">
      <c r="E3675" s="6"/>
    </row>
    <row r="3676">
      <c r="E3676" s="6"/>
    </row>
    <row r="3677">
      <c r="E3677" s="6"/>
    </row>
    <row r="3678">
      <c r="E3678" s="6"/>
    </row>
    <row r="3679">
      <c r="E3679" s="6"/>
    </row>
    <row r="3680">
      <c r="E3680" s="6"/>
    </row>
    <row r="3681">
      <c r="E3681" s="6"/>
    </row>
    <row r="3682">
      <c r="E3682" s="6"/>
    </row>
    <row r="3683">
      <c r="E3683" s="6"/>
    </row>
    <row r="3684">
      <c r="E3684" s="6"/>
    </row>
    <row r="3685">
      <c r="E3685" s="6"/>
    </row>
    <row r="3686">
      <c r="E3686" s="6"/>
    </row>
    <row r="3687">
      <c r="E3687" s="6"/>
    </row>
    <row r="3688">
      <c r="E3688" s="6"/>
    </row>
    <row r="3689">
      <c r="E3689" s="6"/>
    </row>
    <row r="3690">
      <c r="E3690" s="6"/>
    </row>
    <row r="3691">
      <c r="E3691" s="6"/>
    </row>
    <row r="3692">
      <c r="E3692" s="6"/>
    </row>
    <row r="3693">
      <c r="E3693" s="6"/>
    </row>
    <row r="3694">
      <c r="E3694" s="6"/>
    </row>
    <row r="3695">
      <c r="E3695" s="6"/>
    </row>
    <row r="3696">
      <c r="E3696" s="6"/>
    </row>
    <row r="3697">
      <c r="E3697" s="6"/>
    </row>
    <row r="3698">
      <c r="E3698" s="6"/>
    </row>
    <row r="3699">
      <c r="E3699" s="6"/>
    </row>
    <row r="3700">
      <c r="E3700" s="6"/>
    </row>
    <row r="3701">
      <c r="E3701" s="6"/>
    </row>
    <row r="3702">
      <c r="E3702" s="6"/>
    </row>
    <row r="3703">
      <c r="E3703" s="6"/>
    </row>
    <row r="3704">
      <c r="E3704" s="6"/>
    </row>
    <row r="3705">
      <c r="E3705" s="6"/>
    </row>
    <row r="3706">
      <c r="E3706" s="6"/>
    </row>
    <row r="3707">
      <c r="E3707" s="6"/>
    </row>
    <row r="3708">
      <c r="E3708" s="6"/>
    </row>
    <row r="3709">
      <c r="E3709" s="6"/>
    </row>
    <row r="3710">
      <c r="E3710" s="6"/>
    </row>
    <row r="3711">
      <c r="E3711" s="6"/>
    </row>
    <row r="3712">
      <c r="E3712" s="6"/>
    </row>
    <row r="3713">
      <c r="E3713" s="6"/>
    </row>
    <row r="3714">
      <c r="E3714" s="6"/>
    </row>
    <row r="3715">
      <c r="E3715" s="6"/>
    </row>
    <row r="3716">
      <c r="E3716" s="6"/>
    </row>
    <row r="3717">
      <c r="E3717" s="6"/>
    </row>
    <row r="3718">
      <c r="E3718" s="6"/>
    </row>
    <row r="3719">
      <c r="E3719" s="6"/>
    </row>
    <row r="3720">
      <c r="E3720" s="6"/>
    </row>
    <row r="3721">
      <c r="E3721" s="6"/>
    </row>
    <row r="3722">
      <c r="E3722" s="6"/>
    </row>
    <row r="3723">
      <c r="E3723" s="6"/>
    </row>
    <row r="3724">
      <c r="E3724" s="6"/>
    </row>
    <row r="3725">
      <c r="E3725" s="6"/>
    </row>
    <row r="3726">
      <c r="E3726" s="6"/>
    </row>
    <row r="3727">
      <c r="E3727" s="6"/>
    </row>
    <row r="3728">
      <c r="E3728" s="6"/>
    </row>
    <row r="3729">
      <c r="E3729" s="6"/>
    </row>
    <row r="3730">
      <c r="E3730" s="6"/>
    </row>
    <row r="3731">
      <c r="E3731" s="6"/>
    </row>
    <row r="3732">
      <c r="E3732" s="6"/>
    </row>
    <row r="3733">
      <c r="E3733" s="6"/>
    </row>
    <row r="3734">
      <c r="E3734" s="6"/>
    </row>
    <row r="3735">
      <c r="E3735" s="6"/>
    </row>
    <row r="3736">
      <c r="E3736" s="6"/>
    </row>
    <row r="3737">
      <c r="E3737" s="6"/>
    </row>
    <row r="3738">
      <c r="E3738" s="6"/>
    </row>
    <row r="3739">
      <c r="E3739" s="6"/>
    </row>
    <row r="3740">
      <c r="E3740" s="6"/>
    </row>
    <row r="3741">
      <c r="E3741" s="6"/>
    </row>
    <row r="3742">
      <c r="E3742" s="6"/>
    </row>
    <row r="3743">
      <c r="E3743" s="6"/>
    </row>
    <row r="3744">
      <c r="E3744" s="6"/>
    </row>
    <row r="3745">
      <c r="E3745" s="6"/>
    </row>
    <row r="3746">
      <c r="E3746" s="6"/>
    </row>
    <row r="3747">
      <c r="E3747" s="6"/>
    </row>
    <row r="3748">
      <c r="E3748" s="6"/>
    </row>
    <row r="3749">
      <c r="E3749" s="6"/>
    </row>
    <row r="3750">
      <c r="E3750" s="6"/>
    </row>
    <row r="3751">
      <c r="E3751" s="6"/>
    </row>
    <row r="3752">
      <c r="E3752" s="6"/>
    </row>
    <row r="3753">
      <c r="E3753" s="6"/>
    </row>
    <row r="3754">
      <c r="E3754" s="6"/>
    </row>
    <row r="3755">
      <c r="E3755" s="6"/>
    </row>
    <row r="3756">
      <c r="E3756" s="6"/>
    </row>
    <row r="3757">
      <c r="E3757" s="6"/>
    </row>
    <row r="3758">
      <c r="E3758" s="6"/>
    </row>
    <row r="3759">
      <c r="E3759" s="6"/>
    </row>
    <row r="3760">
      <c r="E3760" s="6"/>
    </row>
    <row r="3761">
      <c r="E3761" s="6"/>
    </row>
    <row r="3762">
      <c r="E3762" s="6"/>
    </row>
    <row r="3763">
      <c r="E3763" s="6"/>
    </row>
    <row r="3764">
      <c r="E3764" s="6"/>
    </row>
    <row r="3765">
      <c r="E3765" s="6"/>
    </row>
    <row r="3766">
      <c r="E3766" s="6"/>
    </row>
    <row r="3767">
      <c r="E3767" s="6"/>
    </row>
    <row r="3768">
      <c r="E3768" s="6"/>
    </row>
    <row r="3769">
      <c r="E3769" s="6"/>
    </row>
    <row r="3770">
      <c r="E3770" s="6"/>
    </row>
    <row r="3771">
      <c r="E3771" s="6"/>
    </row>
    <row r="3772">
      <c r="E3772" s="6"/>
    </row>
    <row r="3773">
      <c r="E3773" s="6"/>
    </row>
    <row r="3774">
      <c r="E3774" s="6"/>
    </row>
    <row r="3775">
      <c r="E3775" s="6"/>
    </row>
    <row r="3776">
      <c r="E3776" s="6"/>
    </row>
    <row r="3777">
      <c r="E3777" s="6"/>
    </row>
    <row r="3778">
      <c r="E3778" s="6"/>
    </row>
    <row r="3779">
      <c r="E3779" s="6"/>
    </row>
    <row r="3780">
      <c r="E3780" s="6"/>
    </row>
    <row r="3781">
      <c r="E3781" s="6"/>
    </row>
    <row r="3782">
      <c r="E3782" s="6"/>
    </row>
    <row r="3783">
      <c r="E3783" s="6"/>
    </row>
    <row r="3784">
      <c r="E3784" s="6"/>
    </row>
    <row r="3785">
      <c r="E3785" s="6"/>
    </row>
    <row r="3786">
      <c r="E3786" s="6"/>
    </row>
    <row r="3787">
      <c r="E3787" s="6"/>
    </row>
    <row r="3788">
      <c r="E3788" s="6"/>
    </row>
    <row r="3789">
      <c r="E3789" s="6"/>
    </row>
    <row r="3790">
      <c r="E3790" s="6"/>
    </row>
    <row r="3791">
      <c r="E3791" s="6"/>
    </row>
    <row r="3792">
      <c r="E3792" s="6"/>
    </row>
    <row r="3793">
      <c r="E3793" s="6"/>
    </row>
    <row r="3794">
      <c r="E3794" s="6"/>
    </row>
    <row r="3795">
      <c r="E3795" s="6"/>
    </row>
    <row r="3796">
      <c r="E3796" s="6"/>
    </row>
    <row r="3797">
      <c r="E3797" s="6"/>
    </row>
    <row r="3798">
      <c r="E3798" s="6"/>
    </row>
    <row r="3799">
      <c r="E3799" s="6"/>
    </row>
    <row r="3800">
      <c r="E3800" s="6"/>
    </row>
    <row r="3801">
      <c r="E3801" s="6"/>
    </row>
    <row r="3802">
      <c r="E3802" s="6"/>
    </row>
    <row r="3803">
      <c r="E3803" s="6"/>
    </row>
    <row r="3804">
      <c r="E3804" s="6"/>
    </row>
    <row r="3805">
      <c r="E3805" s="6"/>
    </row>
    <row r="3806">
      <c r="E3806" s="6"/>
    </row>
    <row r="3807">
      <c r="E3807" s="6"/>
    </row>
    <row r="3808">
      <c r="E3808" s="6"/>
    </row>
    <row r="3809">
      <c r="E3809" s="6"/>
    </row>
    <row r="3810">
      <c r="E3810" s="6"/>
    </row>
    <row r="3811">
      <c r="E3811" s="6"/>
    </row>
    <row r="3812">
      <c r="E3812" s="6"/>
    </row>
    <row r="3813">
      <c r="E3813" s="6"/>
    </row>
    <row r="3814">
      <c r="E3814" s="6"/>
    </row>
    <row r="3815">
      <c r="E3815" s="6"/>
    </row>
    <row r="3816">
      <c r="E3816" s="6"/>
    </row>
    <row r="3817">
      <c r="E3817" s="6"/>
    </row>
    <row r="3818">
      <c r="E3818" s="6"/>
    </row>
    <row r="3819">
      <c r="E3819" s="6"/>
    </row>
    <row r="3820">
      <c r="E3820" s="6"/>
    </row>
    <row r="3821">
      <c r="E3821" s="6"/>
    </row>
    <row r="3822">
      <c r="E3822" s="6"/>
    </row>
    <row r="3823">
      <c r="E3823" s="6"/>
    </row>
    <row r="3824">
      <c r="E3824" s="6"/>
    </row>
    <row r="3825">
      <c r="E3825" s="6"/>
    </row>
    <row r="3826">
      <c r="E3826" s="6"/>
    </row>
    <row r="3827">
      <c r="E3827" s="6"/>
    </row>
    <row r="3828">
      <c r="E3828" s="6"/>
    </row>
    <row r="3829">
      <c r="E3829" s="6"/>
    </row>
    <row r="3830">
      <c r="E3830" s="6"/>
    </row>
    <row r="3831">
      <c r="E3831" s="6"/>
    </row>
    <row r="3832">
      <c r="E3832" s="6"/>
    </row>
    <row r="3833">
      <c r="E3833" s="6"/>
    </row>
    <row r="3834">
      <c r="E3834" s="6"/>
    </row>
    <row r="3835">
      <c r="E3835" s="6"/>
    </row>
    <row r="3836">
      <c r="E3836" s="6"/>
    </row>
    <row r="3837">
      <c r="E3837" s="6"/>
    </row>
    <row r="3838">
      <c r="E3838" s="6"/>
    </row>
    <row r="3839">
      <c r="E3839" s="6"/>
    </row>
    <row r="3840">
      <c r="E3840" s="6"/>
    </row>
    <row r="3841">
      <c r="E3841" s="6"/>
    </row>
    <row r="3842">
      <c r="E3842" s="6"/>
    </row>
    <row r="3843">
      <c r="E3843" s="6"/>
    </row>
    <row r="3844">
      <c r="E3844" s="6"/>
    </row>
    <row r="3845">
      <c r="E3845" s="6"/>
    </row>
    <row r="3846">
      <c r="E3846" s="6"/>
    </row>
    <row r="3847">
      <c r="E3847" s="6"/>
    </row>
    <row r="3848">
      <c r="E3848" s="6"/>
    </row>
    <row r="3849">
      <c r="E3849" s="6"/>
    </row>
    <row r="3850">
      <c r="E3850" s="6"/>
    </row>
    <row r="3851">
      <c r="E3851" s="6"/>
    </row>
    <row r="3852">
      <c r="E3852" s="6"/>
    </row>
    <row r="3853">
      <c r="E3853" s="6"/>
    </row>
    <row r="3854">
      <c r="E3854" s="6"/>
    </row>
    <row r="3855">
      <c r="E3855" s="6"/>
    </row>
    <row r="3856">
      <c r="E3856" s="6"/>
    </row>
    <row r="3857">
      <c r="E3857" s="6"/>
    </row>
    <row r="3858">
      <c r="E3858" s="6"/>
    </row>
    <row r="3859">
      <c r="E3859" s="6"/>
    </row>
    <row r="3860">
      <c r="E3860" s="6"/>
    </row>
    <row r="3861">
      <c r="E3861" s="6"/>
    </row>
    <row r="3862">
      <c r="E3862" s="6"/>
    </row>
    <row r="3863">
      <c r="E3863" s="6"/>
    </row>
    <row r="3864">
      <c r="E3864" s="6"/>
    </row>
    <row r="3865">
      <c r="E3865" s="6"/>
    </row>
    <row r="3866">
      <c r="E3866" s="6"/>
    </row>
    <row r="3867">
      <c r="E3867" s="6"/>
    </row>
    <row r="3868">
      <c r="E3868" s="6"/>
    </row>
    <row r="3869">
      <c r="E3869" s="6"/>
    </row>
    <row r="3870">
      <c r="E3870" s="6"/>
    </row>
    <row r="3871">
      <c r="E3871" s="6"/>
    </row>
    <row r="3872">
      <c r="E3872" s="6"/>
    </row>
    <row r="3873">
      <c r="E3873" s="6"/>
    </row>
    <row r="3874">
      <c r="E3874" s="6"/>
    </row>
    <row r="3875">
      <c r="E3875" s="6"/>
    </row>
    <row r="3876">
      <c r="E3876" s="6"/>
    </row>
    <row r="3877">
      <c r="E3877" s="6"/>
    </row>
    <row r="3878">
      <c r="E3878" s="6"/>
    </row>
    <row r="3879">
      <c r="E3879" s="6"/>
    </row>
    <row r="3880">
      <c r="E3880" s="6"/>
    </row>
    <row r="3881">
      <c r="E3881" s="6"/>
    </row>
    <row r="3882">
      <c r="E3882" s="6"/>
    </row>
    <row r="3883">
      <c r="E3883" s="6"/>
    </row>
    <row r="3884">
      <c r="E3884" s="6"/>
    </row>
    <row r="3885">
      <c r="E3885" s="6"/>
    </row>
    <row r="3886">
      <c r="E3886" s="6"/>
    </row>
    <row r="3887">
      <c r="E3887" s="6"/>
    </row>
    <row r="3888">
      <c r="E3888" s="6"/>
    </row>
    <row r="3889">
      <c r="E3889" s="6"/>
    </row>
    <row r="3890">
      <c r="E3890" s="6"/>
    </row>
    <row r="3891">
      <c r="E3891" s="6"/>
    </row>
    <row r="3892">
      <c r="E3892" s="6"/>
    </row>
    <row r="3893">
      <c r="E3893" s="6"/>
    </row>
    <row r="3894">
      <c r="E3894" s="6"/>
    </row>
    <row r="3895">
      <c r="E3895" s="6"/>
    </row>
    <row r="3896">
      <c r="E3896" s="6"/>
    </row>
    <row r="3897">
      <c r="E3897" s="6"/>
    </row>
    <row r="3898">
      <c r="E3898" s="6"/>
    </row>
    <row r="3899">
      <c r="E3899" s="6"/>
    </row>
    <row r="3900">
      <c r="E3900" s="6"/>
    </row>
    <row r="3901">
      <c r="E3901" s="6"/>
    </row>
    <row r="3902">
      <c r="E3902" s="6"/>
    </row>
    <row r="3903">
      <c r="E3903" s="6"/>
    </row>
    <row r="3904">
      <c r="E3904" s="6"/>
    </row>
    <row r="3905">
      <c r="E3905" s="6"/>
    </row>
    <row r="3906">
      <c r="E3906" s="6"/>
    </row>
    <row r="3907">
      <c r="E3907" s="6"/>
    </row>
    <row r="3908">
      <c r="E3908" s="6"/>
    </row>
    <row r="3909">
      <c r="E3909" s="6"/>
    </row>
    <row r="3910">
      <c r="E3910" s="6"/>
    </row>
    <row r="3911">
      <c r="E3911" s="6"/>
    </row>
    <row r="3912">
      <c r="E3912" s="6"/>
    </row>
    <row r="3913">
      <c r="E3913" s="6"/>
    </row>
    <row r="3914">
      <c r="E3914" s="6"/>
    </row>
    <row r="3915">
      <c r="E3915" s="6"/>
    </row>
    <row r="3916">
      <c r="E3916" s="6"/>
    </row>
    <row r="3917">
      <c r="E3917" s="6"/>
    </row>
    <row r="3918">
      <c r="E3918" s="6"/>
    </row>
    <row r="3919">
      <c r="E3919" s="6"/>
    </row>
    <row r="3920">
      <c r="E3920" s="6"/>
    </row>
    <row r="3921">
      <c r="E3921" s="6"/>
    </row>
    <row r="3922">
      <c r="E3922" s="6"/>
    </row>
    <row r="3923">
      <c r="E3923" s="6"/>
    </row>
    <row r="3924">
      <c r="E3924" s="6"/>
    </row>
    <row r="3925">
      <c r="E3925" s="6"/>
    </row>
    <row r="3926">
      <c r="E3926" s="6"/>
    </row>
    <row r="3927">
      <c r="E3927" s="6"/>
    </row>
    <row r="3928">
      <c r="E3928" s="6"/>
    </row>
    <row r="3929">
      <c r="E3929" s="6"/>
    </row>
    <row r="3930">
      <c r="E3930" s="6"/>
    </row>
    <row r="3931">
      <c r="E3931" s="6"/>
    </row>
    <row r="3932">
      <c r="E3932" s="6"/>
    </row>
    <row r="3933">
      <c r="E3933" s="6"/>
    </row>
    <row r="3934">
      <c r="E3934" s="6"/>
    </row>
    <row r="3935">
      <c r="E3935" s="6"/>
    </row>
    <row r="3936">
      <c r="E3936" s="6"/>
    </row>
    <row r="3937">
      <c r="E3937" s="6"/>
    </row>
    <row r="3938">
      <c r="E3938" s="6"/>
    </row>
    <row r="3939">
      <c r="E3939" s="6"/>
    </row>
    <row r="3940">
      <c r="E3940" s="6"/>
    </row>
    <row r="3941">
      <c r="E3941" s="6"/>
    </row>
    <row r="3942">
      <c r="E3942" s="6"/>
    </row>
    <row r="3943">
      <c r="E3943" s="6"/>
    </row>
    <row r="3944">
      <c r="E3944" s="6"/>
    </row>
    <row r="3945">
      <c r="E3945" s="6"/>
    </row>
    <row r="3946">
      <c r="E3946" s="6"/>
    </row>
    <row r="3947">
      <c r="E3947" s="6"/>
    </row>
    <row r="3948">
      <c r="E3948" s="6"/>
    </row>
    <row r="3949">
      <c r="E3949" s="6"/>
    </row>
    <row r="3950">
      <c r="E3950" s="6"/>
    </row>
    <row r="3951">
      <c r="E3951" s="6"/>
    </row>
    <row r="3952">
      <c r="E3952" s="6"/>
    </row>
    <row r="3953">
      <c r="E3953" s="6"/>
    </row>
    <row r="3954">
      <c r="E3954" s="6"/>
    </row>
    <row r="3955">
      <c r="E3955" s="6"/>
    </row>
    <row r="3956">
      <c r="E3956" s="6"/>
    </row>
    <row r="3957">
      <c r="E3957" s="6"/>
    </row>
    <row r="3958">
      <c r="E3958" s="6"/>
    </row>
    <row r="3959">
      <c r="E3959" s="6"/>
    </row>
    <row r="3960">
      <c r="E3960" s="6"/>
    </row>
    <row r="3961">
      <c r="E3961" s="6"/>
    </row>
    <row r="3962">
      <c r="E3962" s="6"/>
    </row>
    <row r="3963">
      <c r="E3963" s="6"/>
    </row>
    <row r="3964">
      <c r="E3964" s="6"/>
    </row>
    <row r="3965">
      <c r="E3965" s="6"/>
    </row>
    <row r="3966">
      <c r="E3966" s="6"/>
    </row>
    <row r="3967">
      <c r="E3967" s="6"/>
    </row>
    <row r="3968">
      <c r="E3968" s="6"/>
    </row>
    <row r="3969">
      <c r="E3969" s="6"/>
    </row>
    <row r="3970">
      <c r="E3970" s="6"/>
    </row>
    <row r="3971">
      <c r="E3971" s="6"/>
    </row>
    <row r="3972">
      <c r="E3972" s="6"/>
    </row>
    <row r="3973">
      <c r="E3973" s="6"/>
    </row>
    <row r="3974">
      <c r="E3974" s="6"/>
    </row>
    <row r="3975">
      <c r="E3975" s="6"/>
    </row>
    <row r="3976">
      <c r="E3976" s="6"/>
    </row>
    <row r="3977">
      <c r="E3977" s="6"/>
    </row>
    <row r="3978">
      <c r="E3978" s="6"/>
    </row>
    <row r="3979">
      <c r="E3979" s="6"/>
    </row>
    <row r="3980">
      <c r="E3980" s="6"/>
    </row>
    <row r="3981">
      <c r="E3981" s="6"/>
    </row>
    <row r="3982">
      <c r="E3982" s="6"/>
    </row>
    <row r="3983">
      <c r="E3983" s="6"/>
    </row>
    <row r="3984">
      <c r="E3984" s="6"/>
    </row>
    <row r="3985">
      <c r="E3985" s="6"/>
    </row>
    <row r="3986">
      <c r="E3986" s="6"/>
    </row>
    <row r="3987">
      <c r="E3987" s="6"/>
    </row>
    <row r="3988">
      <c r="E3988" s="6"/>
    </row>
    <row r="3989">
      <c r="E3989" s="6"/>
    </row>
    <row r="3990">
      <c r="E3990" s="6"/>
    </row>
    <row r="3991">
      <c r="E3991" s="6"/>
    </row>
    <row r="3992">
      <c r="E3992" s="6"/>
    </row>
    <row r="3993">
      <c r="E3993" s="6"/>
    </row>
    <row r="3994">
      <c r="E3994" s="6"/>
    </row>
    <row r="3995">
      <c r="E3995" s="6"/>
    </row>
    <row r="3996">
      <c r="E3996" s="6"/>
    </row>
    <row r="3997">
      <c r="E3997" s="6"/>
    </row>
    <row r="3998">
      <c r="E3998" s="6"/>
    </row>
    <row r="3999">
      <c r="E3999" s="6"/>
    </row>
    <row r="4000">
      <c r="E4000" s="6"/>
    </row>
    <row r="4001">
      <c r="E4001" s="6"/>
    </row>
    <row r="4002">
      <c r="E4002" s="6"/>
    </row>
    <row r="4003">
      <c r="E4003" s="6"/>
    </row>
    <row r="4004">
      <c r="E4004" s="6"/>
    </row>
    <row r="4005">
      <c r="E4005" s="6"/>
    </row>
    <row r="4006">
      <c r="E4006" s="6"/>
    </row>
    <row r="4007">
      <c r="E4007" s="6"/>
    </row>
    <row r="4008">
      <c r="E4008" s="6"/>
    </row>
    <row r="4009">
      <c r="E4009" s="6"/>
    </row>
    <row r="4010">
      <c r="E4010" s="6"/>
    </row>
    <row r="4011">
      <c r="E4011" s="6"/>
    </row>
    <row r="4012">
      <c r="E4012" s="6"/>
    </row>
    <row r="4013">
      <c r="E4013" s="6"/>
    </row>
    <row r="4014">
      <c r="E4014" s="6"/>
    </row>
    <row r="4015">
      <c r="E4015" s="6"/>
    </row>
    <row r="4016">
      <c r="E4016" s="6"/>
    </row>
    <row r="4017">
      <c r="E4017" s="6"/>
    </row>
    <row r="4018">
      <c r="E4018" s="6"/>
    </row>
    <row r="4019">
      <c r="E4019" s="6"/>
    </row>
    <row r="4020">
      <c r="E4020" s="6"/>
    </row>
    <row r="4021">
      <c r="E4021" s="6"/>
    </row>
    <row r="4022">
      <c r="E4022" s="6"/>
    </row>
    <row r="4023">
      <c r="E4023" s="6"/>
    </row>
    <row r="4024">
      <c r="E4024" s="6"/>
    </row>
    <row r="4025">
      <c r="E4025" s="6"/>
    </row>
    <row r="4026">
      <c r="E4026" s="6"/>
    </row>
    <row r="4027">
      <c r="E4027" s="6"/>
    </row>
    <row r="4028">
      <c r="E4028" s="6"/>
    </row>
    <row r="4029">
      <c r="E4029" s="6"/>
    </row>
    <row r="4030">
      <c r="E4030" s="6"/>
    </row>
    <row r="4031">
      <c r="E4031" s="6"/>
    </row>
    <row r="4032">
      <c r="E4032" s="6"/>
    </row>
    <row r="4033">
      <c r="E4033" s="6"/>
    </row>
    <row r="4034">
      <c r="E4034" s="6"/>
    </row>
    <row r="4035">
      <c r="E4035" s="6"/>
    </row>
    <row r="4036">
      <c r="E4036" s="6"/>
    </row>
    <row r="4037">
      <c r="E4037" s="6"/>
    </row>
    <row r="4038">
      <c r="E4038" s="6"/>
    </row>
    <row r="4039">
      <c r="E4039" s="6"/>
    </row>
    <row r="4040">
      <c r="E4040" s="6"/>
    </row>
    <row r="4041">
      <c r="E4041" s="6"/>
    </row>
    <row r="4042">
      <c r="E4042" s="6"/>
    </row>
    <row r="4043">
      <c r="E4043" s="6"/>
    </row>
    <row r="4044">
      <c r="E4044" s="6"/>
    </row>
    <row r="4045">
      <c r="E4045" s="6"/>
    </row>
    <row r="4046">
      <c r="E4046" s="6"/>
    </row>
    <row r="4047">
      <c r="E4047" s="6"/>
    </row>
    <row r="4048">
      <c r="E4048" s="6"/>
    </row>
    <row r="4049">
      <c r="E4049" s="6"/>
    </row>
    <row r="4050">
      <c r="E4050" s="6"/>
    </row>
    <row r="4051">
      <c r="E4051" s="6"/>
    </row>
    <row r="4052">
      <c r="E4052" s="6"/>
    </row>
    <row r="4053">
      <c r="E4053" s="6"/>
    </row>
    <row r="4054">
      <c r="E4054" s="6"/>
    </row>
    <row r="4055">
      <c r="E4055" s="6"/>
    </row>
    <row r="4056">
      <c r="E4056" s="6"/>
    </row>
    <row r="4057">
      <c r="E4057" s="6"/>
    </row>
    <row r="4058">
      <c r="E4058" s="6"/>
    </row>
    <row r="4059">
      <c r="E4059" s="6"/>
    </row>
    <row r="4060">
      <c r="E4060" s="6"/>
    </row>
    <row r="4061">
      <c r="E4061" s="6"/>
    </row>
    <row r="4062">
      <c r="E4062" s="6"/>
    </row>
    <row r="4063">
      <c r="E4063" s="6"/>
    </row>
    <row r="4064">
      <c r="E4064" s="6"/>
    </row>
    <row r="4065">
      <c r="E4065" s="6"/>
    </row>
    <row r="4066">
      <c r="E4066" s="6"/>
    </row>
    <row r="4067">
      <c r="E4067" s="6"/>
    </row>
    <row r="4068">
      <c r="E4068" s="6"/>
    </row>
    <row r="4069">
      <c r="E4069" s="6"/>
    </row>
    <row r="4070">
      <c r="E4070" s="6"/>
    </row>
    <row r="4071">
      <c r="E4071" s="6"/>
    </row>
    <row r="4072">
      <c r="E4072" s="6"/>
    </row>
    <row r="4073">
      <c r="E4073" s="6"/>
    </row>
    <row r="4074">
      <c r="E4074" s="6"/>
    </row>
    <row r="4075">
      <c r="E4075" s="6"/>
    </row>
    <row r="4076">
      <c r="E4076" s="6"/>
    </row>
    <row r="4077">
      <c r="E4077" s="6"/>
    </row>
    <row r="4078">
      <c r="E4078" s="6"/>
    </row>
    <row r="4079">
      <c r="E4079" s="6"/>
    </row>
    <row r="4080">
      <c r="E4080" s="6"/>
    </row>
    <row r="4081">
      <c r="E4081" s="6"/>
    </row>
    <row r="4082">
      <c r="E4082" s="6"/>
    </row>
    <row r="4083">
      <c r="E4083" s="6"/>
    </row>
    <row r="4084">
      <c r="E4084" s="6"/>
    </row>
    <row r="4085">
      <c r="E4085" s="6"/>
    </row>
    <row r="4086">
      <c r="E4086" s="6"/>
    </row>
    <row r="4087">
      <c r="E4087" s="6"/>
    </row>
    <row r="4088">
      <c r="E4088" s="6"/>
    </row>
    <row r="4089">
      <c r="E4089" s="6"/>
    </row>
    <row r="4090">
      <c r="E4090" s="6"/>
    </row>
    <row r="4091">
      <c r="E4091" s="6"/>
    </row>
    <row r="4092">
      <c r="E4092" s="6"/>
    </row>
    <row r="4093">
      <c r="E4093" s="6"/>
    </row>
    <row r="4094">
      <c r="E4094" s="6"/>
    </row>
    <row r="4095">
      <c r="E4095" s="6"/>
    </row>
    <row r="4096">
      <c r="E4096" s="6"/>
    </row>
    <row r="4097">
      <c r="E4097" s="6"/>
    </row>
    <row r="4098">
      <c r="E4098" s="6"/>
    </row>
    <row r="4099">
      <c r="E4099" s="6"/>
    </row>
    <row r="4100">
      <c r="E4100" s="6"/>
    </row>
    <row r="4101">
      <c r="E4101" s="6"/>
    </row>
    <row r="4102">
      <c r="E4102" s="6"/>
    </row>
    <row r="4103">
      <c r="E4103" s="6"/>
    </row>
    <row r="4104">
      <c r="E4104" s="6"/>
    </row>
    <row r="4105">
      <c r="E4105" s="6"/>
    </row>
    <row r="4106">
      <c r="E4106" s="6"/>
    </row>
    <row r="4107">
      <c r="E4107" s="6"/>
    </row>
    <row r="4108">
      <c r="E4108" s="6"/>
    </row>
    <row r="4109">
      <c r="E4109" s="6"/>
    </row>
    <row r="4110">
      <c r="E4110" s="6"/>
    </row>
    <row r="4111">
      <c r="E4111" s="6"/>
    </row>
    <row r="4112">
      <c r="E4112" s="6"/>
    </row>
    <row r="4113">
      <c r="E4113" s="6"/>
    </row>
    <row r="4114">
      <c r="E4114" s="6"/>
    </row>
    <row r="4115">
      <c r="E4115" s="6"/>
    </row>
    <row r="4116">
      <c r="E4116" s="6"/>
    </row>
    <row r="4117">
      <c r="E4117" s="6"/>
    </row>
    <row r="4118">
      <c r="E4118" s="6"/>
    </row>
    <row r="4119">
      <c r="E4119" s="6"/>
    </row>
    <row r="4120">
      <c r="E4120" s="6"/>
    </row>
    <row r="4121">
      <c r="E4121" s="6"/>
    </row>
    <row r="4122">
      <c r="E4122" s="6"/>
    </row>
    <row r="4123">
      <c r="E4123" s="6"/>
    </row>
    <row r="4124">
      <c r="E4124" s="6"/>
    </row>
    <row r="4125">
      <c r="E4125" s="6"/>
    </row>
    <row r="4126">
      <c r="E4126" s="6"/>
    </row>
    <row r="4127">
      <c r="E4127" s="6"/>
    </row>
    <row r="4128">
      <c r="E4128" s="6"/>
    </row>
    <row r="4129">
      <c r="E4129" s="6"/>
    </row>
    <row r="4130">
      <c r="E4130" s="6"/>
    </row>
    <row r="4131">
      <c r="E4131" s="6"/>
    </row>
    <row r="4132">
      <c r="E4132" s="6"/>
    </row>
    <row r="4133">
      <c r="E4133" s="6"/>
    </row>
    <row r="4134">
      <c r="E4134" s="6"/>
    </row>
    <row r="4135">
      <c r="E4135" s="6"/>
    </row>
    <row r="4136">
      <c r="E4136" s="6"/>
    </row>
    <row r="4137">
      <c r="E4137" s="6"/>
    </row>
    <row r="4138">
      <c r="E4138" s="6"/>
    </row>
    <row r="4139">
      <c r="E4139" s="6"/>
    </row>
    <row r="4140">
      <c r="E4140" s="6"/>
    </row>
    <row r="4141">
      <c r="E4141" s="6"/>
    </row>
    <row r="4142">
      <c r="E4142" s="6"/>
    </row>
    <row r="4143">
      <c r="E4143" s="6"/>
    </row>
    <row r="4144">
      <c r="E4144" s="6"/>
    </row>
    <row r="4145">
      <c r="E4145" s="6"/>
    </row>
    <row r="4146">
      <c r="E4146" s="6"/>
    </row>
    <row r="4147">
      <c r="E4147" s="6"/>
    </row>
    <row r="4148">
      <c r="E4148" s="6"/>
    </row>
    <row r="4149">
      <c r="E4149" s="6"/>
    </row>
    <row r="4150">
      <c r="E4150" s="6"/>
    </row>
    <row r="4151">
      <c r="E4151" s="6"/>
    </row>
    <row r="4152">
      <c r="E4152" s="6"/>
    </row>
    <row r="4153">
      <c r="E4153" s="6"/>
    </row>
    <row r="4154">
      <c r="E4154" s="6"/>
    </row>
    <row r="4155">
      <c r="E4155" s="6"/>
    </row>
    <row r="4156">
      <c r="E4156" s="6"/>
    </row>
    <row r="4157">
      <c r="E4157" s="6"/>
    </row>
    <row r="4158">
      <c r="E4158" s="6"/>
    </row>
    <row r="4159">
      <c r="E4159" s="6"/>
    </row>
    <row r="4160">
      <c r="E4160" s="6"/>
    </row>
    <row r="4161">
      <c r="E4161" s="6"/>
    </row>
    <row r="4162">
      <c r="E4162" s="6"/>
    </row>
    <row r="4163">
      <c r="E4163" s="6"/>
    </row>
    <row r="4164">
      <c r="E4164" s="6"/>
    </row>
    <row r="4165">
      <c r="E4165" s="6"/>
    </row>
    <row r="4166">
      <c r="E4166" s="6"/>
    </row>
    <row r="4167">
      <c r="E4167" s="6"/>
    </row>
    <row r="4168">
      <c r="E4168" s="6"/>
    </row>
    <row r="4169">
      <c r="E4169" s="6"/>
    </row>
    <row r="4170">
      <c r="E4170" s="6"/>
    </row>
    <row r="4171">
      <c r="E4171" s="6"/>
    </row>
    <row r="4172">
      <c r="E4172" s="6"/>
    </row>
    <row r="4173">
      <c r="E4173" s="6"/>
    </row>
    <row r="4174">
      <c r="E4174" s="6"/>
    </row>
    <row r="4175">
      <c r="E4175" s="6"/>
    </row>
    <row r="4176">
      <c r="E4176" s="6"/>
    </row>
    <row r="4177">
      <c r="E4177" s="6"/>
    </row>
    <row r="4178">
      <c r="E4178" s="6"/>
    </row>
    <row r="4179">
      <c r="E4179" s="6"/>
    </row>
    <row r="4180">
      <c r="E4180" s="6"/>
    </row>
    <row r="4181">
      <c r="E4181" s="6"/>
    </row>
    <row r="4182">
      <c r="E4182" s="6"/>
    </row>
    <row r="4183">
      <c r="E4183" s="6"/>
    </row>
    <row r="4184">
      <c r="E4184" s="6"/>
    </row>
    <row r="4185">
      <c r="E4185" s="6"/>
    </row>
    <row r="4186">
      <c r="E4186" s="6"/>
    </row>
    <row r="4187">
      <c r="E4187" s="6"/>
    </row>
    <row r="4188">
      <c r="E4188" s="6"/>
    </row>
    <row r="4189">
      <c r="E4189" s="6"/>
    </row>
    <row r="4190">
      <c r="E4190" s="6"/>
    </row>
    <row r="4191">
      <c r="E4191" s="6"/>
    </row>
    <row r="4192">
      <c r="E4192" s="6"/>
    </row>
    <row r="4193">
      <c r="E4193" s="6"/>
    </row>
    <row r="4194">
      <c r="E4194" s="6"/>
    </row>
    <row r="4195">
      <c r="E4195" s="6"/>
    </row>
    <row r="4196">
      <c r="E4196" s="6"/>
    </row>
    <row r="4197">
      <c r="E4197" s="6"/>
    </row>
    <row r="4198">
      <c r="E4198" s="6"/>
    </row>
    <row r="4199">
      <c r="E4199" s="6"/>
    </row>
    <row r="4200">
      <c r="E4200" s="6"/>
    </row>
    <row r="4201">
      <c r="E4201" s="6"/>
    </row>
    <row r="4202">
      <c r="E4202" s="6"/>
    </row>
    <row r="4203">
      <c r="E4203" s="6"/>
    </row>
    <row r="4204">
      <c r="E4204" s="6"/>
    </row>
    <row r="4205">
      <c r="E4205" s="6"/>
    </row>
    <row r="4206">
      <c r="E4206" s="6"/>
    </row>
    <row r="4207">
      <c r="E4207" s="6"/>
    </row>
    <row r="4208">
      <c r="E4208" s="6"/>
    </row>
    <row r="4209">
      <c r="E4209" s="6"/>
    </row>
    <row r="4210">
      <c r="E4210" s="6"/>
    </row>
    <row r="4211">
      <c r="E4211" s="6"/>
    </row>
    <row r="4212">
      <c r="E4212" s="6"/>
    </row>
    <row r="4213">
      <c r="E4213" s="6"/>
    </row>
    <row r="4214">
      <c r="E4214" s="6"/>
    </row>
    <row r="4215">
      <c r="E4215" s="6"/>
    </row>
    <row r="4216">
      <c r="E4216" s="6"/>
    </row>
    <row r="4217">
      <c r="E4217" s="6"/>
    </row>
    <row r="4218">
      <c r="E4218" s="6"/>
    </row>
    <row r="4219">
      <c r="E4219" s="6"/>
    </row>
    <row r="4220">
      <c r="E4220" s="6"/>
    </row>
    <row r="4221">
      <c r="E4221" s="6"/>
    </row>
    <row r="4222">
      <c r="E4222" s="6"/>
    </row>
    <row r="4223">
      <c r="E4223" s="6"/>
    </row>
    <row r="4224">
      <c r="E4224" s="6"/>
    </row>
    <row r="4225">
      <c r="E4225" s="6"/>
    </row>
    <row r="4226">
      <c r="E4226" s="6"/>
    </row>
    <row r="4227">
      <c r="E4227" s="6"/>
    </row>
    <row r="4228">
      <c r="E4228" s="6"/>
    </row>
    <row r="4229">
      <c r="E4229" s="6"/>
    </row>
    <row r="4230">
      <c r="E4230" s="6"/>
    </row>
    <row r="4231">
      <c r="E4231" s="6"/>
    </row>
    <row r="4232">
      <c r="E4232" s="6"/>
    </row>
    <row r="4233">
      <c r="E4233" s="6"/>
    </row>
    <row r="4234">
      <c r="E4234" s="6"/>
    </row>
    <row r="4235">
      <c r="E4235" s="6"/>
    </row>
    <row r="4236">
      <c r="E4236" s="6"/>
    </row>
    <row r="4237">
      <c r="E4237" s="6"/>
    </row>
    <row r="4238">
      <c r="E4238" s="6"/>
    </row>
    <row r="4239">
      <c r="E4239" s="6"/>
    </row>
    <row r="4240">
      <c r="E4240" s="6"/>
    </row>
    <row r="4241">
      <c r="E4241" s="6"/>
    </row>
    <row r="4242">
      <c r="E4242" s="6"/>
    </row>
    <row r="4243">
      <c r="E4243" s="6"/>
    </row>
    <row r="4244">
      <c r="E4244" s="6"/>
    </row>
    <row r="4245">
      <c r="E4245" s="6"/>
    </row>
    <row r="4246">
      <c r="E4246" s="6"/>
    </row>
    <row r="4247">
      <c r="E4247" s="6"/>
    </row>
    <row r="4248">
      <c r="E4248" s="6"/>
    </row>
    <row r="4249">
      <c r="E4249" s="6"/>
    </row>
    <row r="4250">
      <c r="E4250" s="6"/>
    </row>
    <row r="4251">
      <c r="E4251" s="6"/>
    </row>
    <row r="4252">
      <c r="E4252" s="6"/>
    </row>
    <row r="4253">
      <c r="E4253" s="6"/>
    </row>
    <row r="4254">
      <c r="E4254" s="6"/>
    </row>
    <row r="4255">
      <c r="E4255" s="6"/>
    </row>
    <row r="4256">
      <c r="E4256" s="6"/>
    </row>
    <row r="4257">
      <c r="E4257" s="6"/>
    </row>
    <row r="4258">
      <c r="E4258" s="6"/>
    </row>
    <row r="4259">
      <c r="E4259" s="6"/>
    </row>
    <row r="4260">
      <c r="E4260" s="6"/>
    </row>
    <row r="4261">
      <c r="E4261" s="6"/>
    </row>
    <row r="4262">
      <c r="E4262" s="6"/>
    </row>
    <row r="4263">
      <c r="E4263" s="6"/>
    </row>
    <row r="4264">
      <c r="E4264" s="6"/>
    </row>
    <row r="4265">
      <c r="E4265" s="6"/>
    </row>
    <row r="4266">
      <c r="E4266" s="6"/>
    </row>
    <row r="4267">
      <c r="E4267" s="6"/>
    </row>
    <row r="4268">
      <c r="E4268" s="6"/>
    </row>
    <row r="4269">
      <c r="E4269" s="6"/>
    </row>
    <row r="4270">
      <c r="E4270" s="6"/>
    </row>
    <row r="4271">
      <c r="E4271" s="6"/>
    </row>
    <row r="4272">
      <c r="E4272" s="6"/>
    </row>
    <row r="4273">
      <c r="E4273" s="6"/>
    </row>
    <row r="4274">
      <c r="E4274" s="6"/>
    </row>
    <row r="4275">
      <c r="E4275" s="6"/>
    </row>
    <row r="4276">
      <c r="E4276" s="6"/>
    </row>
    <row r="4277">
      <c r="E4277" s="6"/>
    </row>
    <row r="4278">
      <c r="E4278" s="6"/>
    </row>
    <row r="4279">
      <c r="E4279" s="6"/>
    </row>
    <row r="4280">
      <c r="E4280" s="6"/>
    </row>
    <row r="4281">
      <c r="E4281" s="6"/>
    </row>
    <row r="4282">
      <c r="E4282" s="6"/>
    </row>
    <row r="4283">
      <c r="E4283" s="6"/>
    </row>
    <row r="4284">
      <c r="E4284" s="6"/>
    </row>
    <row r="4285">
      <c r="E4285" s="6"/>
    </row>
    <row r="4286">
      <c r="E4286" s="6"/>
    </row>
    <row r="4287">
      <c r="E4287" s="6"/>
    </row>
    <row r="4288">
      <c r="E4288" s="6"/>
    </row>
    <row r="4289">
      <c r="E4289" s="6"/>
    </row>
    <row r="4290">
      <c r="E4290" s="6"/>
    </row>
    <row r="4291">
      <c r="E4291" s="6"/>
    </row>
    <row r="4292">
      <c r="E4292" s="6"/>
    </row>
    <row r="4293">
      <c r="E4293" s="6"/>
    </row>
    <row r="4294">
      <c r="E4294" s="6"/>
    </row>
    <row r="4295">
      <c r="E4295" s="6"/>
    </row>
    <row r="4296">
      <c r="E4296" s="6"/>
    </row>
    <row r="4297">
      <c r="E4297" s="6"/>
    </row>
    <row r="4298">
      <c r="E4298" s="6"/>
    </row>
    <row r="4299">
      <c r="E4299" s="6"/>
    </row>
    <row r="4300">
      <c r="E4300" s="6"/>
    </row>
    <row r="4301">
      <c r="E4301" s="6"/>
    </row>
    <row r="4302">
      <c r="E4302" s="6"/>
    </row>
    <row r="4303">
      <c r="E4303" s="6"/>
    </row>
    <row r="4304">
      <c r="E4304" s="6"/>
    </row>
    <row r="4305">
      <c r="E4305" s="6"/>
    </row>
    <row r="4306">
      <c r="E4306" s="6"/>
    </row>
    <row r="4307">
      <c r="E4307" s="6"/>
    </row>
    <row r="4308">
      <c r="E4308" s="6"/>
    </row>
    <row r="4309">
      <c r="E4309" s="6"/>
    </row>
    <row r="4310">
      <c r="E4310" s="6"/>
    </row>
    <row r="4311">
      <c r="E4311" s="6"/>
    </row>
    <row r="4312">
      <c r="E4312" s="6"/>
    </row>
    <row r="4313">
      <c r="E4313" s="6"/>
    </row>
    <row r="4314">
      <c r="E4314" s="6"/>
    </row>
    <row r="4315">
      <c r="E4315" s="6"/>
    </row>
    <row r="4316">
      <c r="E4316" s="6"/>
    </row>
    <row r="4317">
      <c r="E4317" s="6"/>
    </row>
    <row r="4318">
      <c r="E4318" s="6"/>
    </row>
    <row r="4319">
      <c r="E4319" s="6"/>
    </row>
    <row r="4320">
      <c r="E4320" s="6"/>
    </row>
    <row r="4321">
      <c r="E4321" s="6"/>
    </row>
    <row r="4322">
      <c r="E4322" s="6"/>
    </row>
    <row r="4323">
      <c r="E4323" s="6"/>
    </row>
    <row r="4324">
      <c r="E4324" s="6"/>
    </row>
    <row r="4325">
      <c r="E4325" s="6"/>
    </row>
    <row r="4326">
      <c r="E4326" s="6"/>
    </row>
    <row r="4327">
      <c r="E4327" s="6"/>
    </row>
    <row r="4328">
      <c r="E4328" s="6"/>
    </row>
    <row r="4329">
      <c r="E4329" s="6"/>
    </row>
    <row r="4330">
      <c r="E4330" s="6"/>
    </row>
    <row r="4331">
      <c r="E4331" s="6"/>
    </row>
    <row r="4332">
      <c r="E4332" s="6"/>
    </row>
    <row r="4333">
      <c r="E4333" s="6"/>
    </row>
    <row r="4334">
      <c r="E4334" s="6"/>
    </row>
    <row r="4335">
      <c r="E4335" s="6"/>
    </row>
    <row r="4336">
      <c r="E4336" s="6"/>
    </row>
    <row r="4337">
      <c r="E4337" s="6"/>
    </row>
    <row r="4338">
      <c r="E4338" s="6"/>
    </row>
    <row r="4339">
      <c r="E4339" s="6"/>
    </row>
    <row r="4340">
      <c r="E4340" s="6"/>
    </row>
    <row r="4341">
      <c r="E4341" s="6"/>
    </row>
    <row r="4342">
      <c r="E4342" s="6"/>
    </row>
    <row r="4343">
      <c r="E4343" s="6"/>
    </row>
    <row r="4344">
      <c r="E4344" s="6"/>
    </row>
    <row r="4345">
      <c r="E4345" s="6"/>
    </row>
    <row r="4346">
      <c r="E4346" s="6"/>
    </row>
    <row r="4347">
      <c r="E4347" s="6"/>
    </row>
    <row r="4348">
      <c r="E4348" s="6"/>
    </row>
    <row r="4349">
      <c r="E4349" s="6"/>
    </row>
    <row r="4350">
      <c r="E4350" s="6"/>
    </row>
    <row r="4351">
      <c r="E4351" s="6"/>
    </row>
    <row r="4352">
      <c r="E4352" s="6"/>
    </row>
    <row r="4353">
      <c r="E4353" s="6"/>
    </row>
    <row r="4354">
      <c r="E4354" s="6"/>
    </row>
    <row r="4355">
      <c r="E4355" s="6"/>
    </row>
    <row r="4356">
      <c r="E4356" s="6"/>
    </row>
    <row r="4357">
      <c r="E4357" s="6"/>
    </row>
    <row r="4358">
      <c r="E4358" s="6"/>
    </row>
    <row r="4359">
      <c r="E4359" s="6"/>
    </row>
    <row r="4360">
      <c r="E4360" s="6"/>
    </row>
    <row r="4361">
      <c r="E4361" s="6"/>
    </row>
    <row r="4362">
      <c r="E4362" s="6"/>
    </row>
    <row r="4363">
      <c r="E4363" s="6"/>
    </row>
    <row r="4364">
      <c r="E4364" s="6"/>
    </row>
    <row r="4365">
      <c r="E4365" s="6"/>
    </row>
    <row r="4366">
      <c r="E4366" s="6"/>
    </row>
    <row r="4367">
      <c r="E4367" s="6"/>
    </row>
    <row r="4368">
      <c r="E4368" s="6"/>
    </row>
    <row r="4369">
      <c r="E4369" s="6"/>
    </row>
    <row r="4370">
      <c r="E4370" s="6"/>
    </row>
    <row r="4371">
      <c r="E4371" s="6"/>
    </row>
    <row r="4372">
      <c r="E4372" s="6"/>
    </row>
    <row r="4373">
      <c r="E4373" s="6"/>
    </row>
    <row r="4374">
      <c r="E4374" s="6"/>
    </row>
    <row r="4375">
      <c r="E4375" s="6"/>
    </row>
    <row r="4376">
      <c r="E4376" s="6"/>
    </row>
    <row r="4377">
      <c r="E4377" s="6"/>
    </row>
    <row r="4378">
      <c r="E4378" s="6"/>
    </row>
    <row r="4379">
      <c r="E4379" s="6"/>
    </row>
    <row r="4380">
      <c r="E4380" s="6"/>
    </row>
    <row r="4381">
      <c r="E4381" s="6"/>
    </row>
    <row r="4382">
      <c r="E4382" s="6"/>
    </row>
    <row r="4383">
      <c r="E4383" s="6"/>
    </row>
    <row r="4384">
      <c r="E4384" s="6"/>
    </row>
    <row r="4385">
      <c r="E4385" s="6"/>
    </row>
    <row r="4386">
      <c r="E4386" s="6"/>
    </row>
    <row r="4387">
      <c r="E4387" s="6"/>
    </row>
    <row r="4388">
      <c r="E4388" s="6"/>
    </row>
    <row r="4389">
      <c r="E4389" s="6"/>
    </row>
    <row r="4390">
      <c r="E4390" s="6"/>
    </row>
    <row r="4391">
      <c r="E4391" s="6"/>
    </row>
    <row r="4392">
      <c r="E4392" s="6"/>
    </row>
    <row r="4393">
      <c r="E4393" s="6"/>
    </row>
    <row r="4394">
      <c r="E4394" s="6"/>
    </row>
    <row r="4395">
      <c r="E4395" s="6"/>
    </row>
    <row r="4396">
      <c r="E4396" s="6"/>
    </row>
    <row r="4397">
      <c r="E4397" s="6"/>
    </row>
    <row r="4398">
      <c r="E4398" s="6"/>
    </row>
    <row r="4399">
      <c r="E4399" s="6"/>
    </row>
    <row r="4400">
      <c r="E4400" s="6"/>
    </row>
    <row r="4401">
      <c r="E4401" s="6"/>
    </row>
    <row r="4402">
      <c r="E4402" s="6"/>
    </row>
    <row r="4403">
      <c r="E4403" s="6"/>
    </row>
    <row r="4404">
      <c r="E4404" s="6"/>
    </row>
    <row r="4405">
      <c r="E4405" s="6"/>
    </row>
    <row r="4406">
      <c r="E4406" s="6"/>
    </row>
    <row r="4407">
      <c r="E4407" s="6"/>
    </row>
    <row r="4408">
      <c r="E4408" s="6"/>
    </row>
    <row r="4409">
      <c r="E4409" s="6"/>
    </row>
    <row r="4410">
      <c r="E4410" s="6"/>
    </row>
    <row r="4411">
      <c r="E4411" s="6"/>
    </row>
    <row r="4412">
      <c r="E4412" s="6"/>
    </row>
    <row r="4413">
      <c r="E4413" s="6"/>
    </row>
    <row r="4414">
      <c r="E4414" s="6"/>
    </row>
    <row r="4415">
      <c r="E4415" s="6"/>
    </row>
    <row r="4416">
      <c r="E4416" s="6"/>
    </row>
    <row r="4417">
      <c r="E4417" s="6"/>
    </row>
    <row r="4418">
      <c r="E4418" s="6"/>
    </row>
    <row r="4419">
      <c r="E4419" s="6"/>
    </row>
    <row r="4420">
      <c r="E4420" s="6"/>
    </row>
    <row r="4421">
      <c r="E4421" s="6"/>
    </row>
    <row r="4422">
      <c r="E4422" s="6"/>
    </row>
    <row r="4423">
      <c r="E4423" s="6"/>
    </row>
    <row r="4424">
      <c r="E4424" s="6"/>
    </row>
    <row r="4425">
      <c r="E4425" s="6"/>
    </row>
    <row r="4426">
      <c r="E4426" s="6"/>
    </row>
    <row r="4427">
      <c r="E4427" s="6"/>
    </row>
    <row r="4428">
      <c r="E4428" s="6"/>
    </row>
    <row r="4429">
      <c r="E4429" s="6"/>
    </row>
    <row r="4430">
      <c r="E4430" s="6"/>
    </row>
    <row r="4431">
      <c r="E4431" s="6"/>
    </row>
    <row r="4432">
      <c r="E4432" s="6"/>
    </row>
    <row r="4433">
      <c r="E4433" s="6"/>
    </row>
    <row r="4434">
      <c r="E4434" s="6"/>
    </row>
    <row r="4435">
      <c r="E4435" s="6"/>
    </row>
    <row r="4436">
      <c r="E4436" s="6"/>
    </row>
    <row r="4437">
      <c r="E4437" s="6"/>
    </row>
    <row r="4438">
      <c r="E4438" s="6"/>
    </row>
    <row r="4439">
      <c r="E4439" s="6"/>
    </row>
    <row r="4440">
      <c r="E4440" s="6"/>
    </row>
    <row r="4441">
      <c r="E4441" s="6"/>
    </row>
    <row r="4442">
      <c r="E4442" s="6"/>
    </row>
    <row r="4443">
      <c r="E4443" s="6"/>
    </row>
    <row r="4444">
      <c r="E4444" s="6"/>
    </row>
    <row r="4445">
      <c r="E4445" s="6"/>
    </row>
    <row r="4446">
      <c r="E4446" s="6"/>
    </row>
    <row r="4447">
      <c r="E4447" s="6"/>
    </row>
    <row r="4448">
      <c r="E4448" s="6"/>
    </row>
    <row r="4449">
      <c r="E4449" s="6"/>
    </row>
    <row r="4450">
      <c r="E4450" s="6"/>
    </row>
    <row r="4451">
      <c r="E4451" s="6"/>
    </row>
    <row r="4452">
      <c r="E4452" s="6"/>
    </row>
    <row r="4453">
      <c r="E4453" s="6"/>
    </row>
    <row r="4454">
      <c r="E4454" s="6"/>
    </row>
    <row r="4455">
      <c r="E4455" s="6"/>
    </row>
    <row r="4456">
      <c r="E4456" s="6"/>
    </row>
    <row r="4457">
      <c r="E4457" s="6"/>
    </row>
    <row r="4458">
      <c r="E4458" s="6"/>
    </row>
    <row r="4459">
      <c r="E4459" s="6"/>
    </row>
    <row r="4460">
      <c r="E4460" s="6"/>
    </row>
    <row r="4461">
      <c r="E4461" s="6"/>
    </row>
    <row r="4462">
      <c r="E4462" s="6"/>
    </row>
    <row r="4463">
      <c r="E4463" s="6"/>
    </row>
    <row r="4464">
      <c r="E4464" s="6"/>
    </row>
    <row r="4465">
      <c r="E4465" s="6"/>
    </row>
    <row r="4466">
      <c r="E4466" s="6"/>
    </row>
    <row r="4467">
      <c r="E4467" s="6"/>
    </row>
    <row r="4468">
      <c r="E4468" s="6"/>
    </row>
    <row r="4469">
      <c r="E4469" s="6"/>
    </row>
    <row r="4470">
      <c r="E4470" s="6"/>
    </row>
    <row r="4471">
      <c r="E4471" s="6"/>
    </row>
    <row r="4472">
      <c r="E4472" s="6"/>
    </row>
    <row r="4473">
      <c r="E4473" s="6"/>
    </row>
    <row r="4474">
      <c r="E4474" s="6"/>
    </row>
    <row r="4475">
      <c r="E4475" s="6"/>
    </row>
    <row r="4476">
      <c r="E4476" s="6"/>
    </row>
    <row r="4477">
      <c r="E4477" s="6"/>
    </row>
    <row r="4478">
      <c r="E4478" s="6"/>
    </row>
    <row r="4479">
      <c r="E4479" s="6"/>
    </row>
    <row r="4480">
      <c r="E4480" s="6"/>
    </row>
    <row r="4481">
      <c r="E4481" s="6"/>
    </row>
    <row r="4482">
      <c r="E4482" s="6"/>
    </row>
    <row r="4483">
      <c r="E4483" s="6"/>
    </row>
    <row r="4484">
      <c r="E4484" s="6"/>
    </row>
    <row r="4485">
      <c r="E4485" s="6"/>
    </row>
    <row r="4486">
      <c r="E4486" s="6"/>
    </row>
    <row r="4487">
      <c r="E4487" s="6"/>
    </row>
    <row r="4488">
      <c r="E4488" s="6"/>
    </row>
    <row r="4489">
      <c r="E4489" s="6"/>
    </row>
    <row r="4490">
      <c r="E4490" s="6"/>
    </row>
    <row r="4491">
      <c r="E4491" s="6"/>
    </row>
    <row r="4492">
      <c r="E4492" s="6"/>
    </row>
    <row r="4493">
      <c r="E4493" s="6"/>
    </row>
    <row r="4494">
      <c r="E4494" s="6"/>
    </row>
    <row r="4495">
      <c r="E4495" s="6"/>
    </row>
    <row r="4496">
      <c r="E4496" s="6"/>
    </row>
    <row r="4497">
      <c r="E4497" s="6"/>
    </row>
    <row r="4498">
      <c r="E4498" s="6"/>
    </row>
    <row r="4499">
      <c r="E4499" s="6"/>
    </row>
    <row r="4500">
      <c r="E4500" s="6"/>
    </row>
    <row r="4501">
      <c r="E4501" s="6"/>
    </row>
    <row r="4502">
      <c r="E4502" s="6"/>
    </row>
    <row r="4503">
      <c r="E4503" s="6"/>
    </row>
    <row r="4504">
      <c r="E4504" s="6"/>
    </row>
    <row r="4505">
      <c r="E4505" s="6"/>
    </row>
    <row r="4506">
      <c r="E4506" s="6"/>
    </row>
    <row r="4507">
      <c r="E4507" s="6"/>
    </row>
    <row r="4508">
      <c r="E4508" s="6"/>
    </row>
    <row r="4509">
      <c r="E4509" s="6"/>
    </row>
    <row r="4510">
      <c r="E4510" s="6"/>
    </row>
    <row r="4511">
      <c r="E4511" s="6"/>
    </row>
    <row r="4512">
      <c r="E4512" s="6"/>
    </row>
    <row r="4513">
      <c r="E4513" s="6"/>
    </row>
    <row r="4514">
      <c r="E4514" s="6"/>
    </row>
    <row r="4515">
      <c r="E4515" s="6"/>
    </row>
    <row r="4516">
      <c r="E4516" s="6"/>
    </row>
    <row r="4517">
      <c r="E4517" s="6"/>
    </row>
    <row r="4518">
      <c r="E4518" s="6"/>
    </row>
    <row r="4519">
      <c r="E4519" s="6"/>
    </row>
    <row r="4520">
      <c r="E4520" s="6"/>
    </row>
    <row r="4521">
      <c r="E4521" s="6"/>
    </row>
    <row r="4522">
      <c r="E4522" s="6"/>
    </row>
    <row r="4523">
      <c r="E4523" s="6"/>
    </row>
    <row r="4524">
      <c r="E4524" s="6"/>
    </row>
    <row r="4525">
      <c r="E4525" s="6"/>
    </row>
    <row r="4526">
      <c r="E4526" s="6"/>
    </row>
    <row r="4527">
      <c r="E4527" s="6"/>
    </row>
    <row r="4528">
      <c r="E4528" s="6"/>
    </row>
    <row r="4529">
      <c r="E4529" s="6"/>
    </row>
    <row r="4530">
      <c r="E4530" s="6"/>
    </row>
    <row r="4531">
      <c r="E4531" s="6"/>
    </row>
    <row r="4532">
      <c r="E4532" s="6"/>
    </row>
    <row r="4533">
      <c r="E4533" s="6"/>
    </row>
    <row r="4534">
      <c r="E4534" s="6"/>
    </row>
    <row r="4535">
      <c r="E4535" s="6"/>
    </row>
    <row r="4536">
      <c r="E4536" s="6"/>
    </row>
    <row r="4537">
      <c r="E4537" s="6"/>
    </row>
    <row r="4538">
      <c r="E4538" s="6"/>
    </row>
    <row r="4539">
      <c r="E4539" s="6"/>
    </row>
    <row r="4540">
      <c r="E4540" s="6"/>
    </row>
    <row r="4541">
      <c r="E4541" s="6"/>
    </row>
    <row r="4542">
      <c r="E4542" s="6"/>
    </row>
    <row r="4543">
      <c r="E4543" s="6"/>
    </row>
    <row r="4544">
      <c r="E4544" s="6"/>
    </row>
    <row r="4545">
      <c r="E4545" s="6"/>
    </row>
    <row r="4546">
      <c r="E4546" s="6"/>
    </row>
    <row r="4547">
      <c r="E4547" s="6"/>
    </row>
    <row r="4548">
      <c r="E4548" s="6"/>
    </row>
    <row r="4549">
      <c r="E4549" s="6"/>
    </row>
    <row r="4550">
      <c r="E4550" s="6"/>
    </row>
    <row r="4551">
      <c r="E4551" s="6"/>
    </row>
    <row r="4552">
      <c r="E4552" s="6"/>
    </row>
    <row r="4553">
      <c r="E4553" s="6"/>
    </row>
    <row r="4554">
      <c r="E4554" s="6"/>
    </row>
    <row r="4555">
      <c r="E4555" s="6"/>
    </row>
    <row r="4556">
      <c r="E4556" s="6"/>
    </row>
    <row r="4557">
      <c r="E4557" s="6"/>
    </row>
    <row r="4558">
      <c r="E4558" s="6"/>
    </row>
    <row r="4559">
      <c r="E4559" s="6"/>
    </row>
    <row r="4560">
      <c r="E4560" s="6"/>
    </row>
    <row r="4561">
      <c r="E4561" s="6"/>
    </row>
    <row r="4562">
      <c r="E4562" s="6"/>
    </row>
    <row r="4563">
      <c r="E4563" s="6"/>
    </row>
    <row r="4564">
      <c r="E4564" s="6"/>
    </row>
    <row r="4565">
      <c r="E4565" s="6"/>
    </row>
    <row r="4566">
      <c r="E4566" s="6"/>
    </row>
    <row r="4567">
      <c r="E4567" s="6"/>
    </row>
    <row r="4568">
      <c r="E4568" s="6"/>
    </row>
    <row r="4569">
      <c r="E4569" s="6"/>
    </row>
    <row r="4570">
      <c r="E4570" s="6"/>
    </row>
    <row r="4571">
      <c r="E4571" s="6"/>
    </row>
    <row r="4572">
      <c r="E4572" s="6"/>
    </row>
    <row r="4573">
      <c r="E4573" s="6"/>
    </row>
    <row r="4574">
      <c r="E4574" s="6"/>
    </row>
    <row r="4575">
      <c r="E4575" s="6"/>
    </row>
    <row r="4576">
      <c r="E4576" s="6"/>
    </row>
    <row r="4577">
      <c r="E4577" s="6"/>
    </row>
    <row r="4578">
      <c r="E4578" s="6"/>
    </row>
    <row r="4579">
      <c r="E4579" s="6"/>
    </row>
    <row r="4580">
      <c r="E4580" s="6"/>
    </row>
    <row r="4581">
      <c r="E4581" s="6"/>
    </row>
    <row r="4582">
      <c r="E4582" s="6"/>
    </row>
    <row r="4583">
      <c r="E4583" s="6"/>
    </row>
    <row r="4584">
      <c r="E4584" s="6"/>
    </row>
    <row r="4585">
      <c r="E4585" s="6"/>
    </row>
    <row r="4586">
      <c r="E4586" s="6"/>
    </row>
    <row r="4587">
      <c r="E4587" s="6"/>
    </row>
    <row r="4588">
      <c r="E4588" s="6"/>
    </row>
    <row r="4589">
      <c r="E4589" s="6"/>
    </row>
    <row r="4590">
      <c r="E4590" s="6"/>
    </row>
    <row r="4591">
      <c r="E4591" s="6"/>
    </row>
    <row r="4592">
      <c r="E4592" s="6"/>
    </row>
    <row r="4593">
      <c r="E4593" s="6"/>
    </row>
    <row r="4594">
      <c r="E4594" s="6"/>
    </row>
    <row r="4595">
      <c r="E4595" s="6"/>
    </row>
    <row r="4596">
      <c r="E4596" s="6"/>
    </row>
    <row r="4597">
      <c r="E4597" s="6"/>
    </row>
    <row r="4598">
      <c r="E4598" s="6"/>
    </row>
    <row r="4599">
      <c r="E4599" s="6"/>
    </row>
    <row r="4600">
      <c r="E4600" s="6"/>
    </row>
    <row r="4601">
      <c r="E4601" s="6"/>
    </row>
    <row r="4602">
      <c r="E4602" s="6"/>
    </row>
    <row r="4603">
      <c r="E4603" s="6"/>
    </row>
    <row r="4604">
      <c r="E4604" s="6"/>
    </row>
    <row r="4605">
      <c r="E4605" s="6"/>
    </row>
    <row r="4606">
      <c r="E4606" s="6"/>
    </row>
    <row r="4607">
      <c r="E4607" s="6"/>
    </row>
    <row r="4608">
      <c r="E4608" s="6"/>
    </row>
    <row r="4609">
      <c r="E4609" s="6"/>
    </row>
    <row r="4610">
      <c r="E4610" s="6"/>
    </row>
    <row r="4611">
      <c r="E4611" s="6"/>
    </row>
    <row r="4612">
      <c r="E4612" s="6"/>
    </row>
    <row r="4613">
      <c r="E4613" s="6"/>
    </row>
    <row r="4614">
      <c r="E4614" s="6"/>
    </row>
    <row r="4615">
      <c r="E4615" s="6"/>
    </row>
    <row r="4616">
      <c r="E4616" s="6"/>
    </row>
    <row r="4617">
      <c r="E4617" s="6"/>
    </row>
    <row r="4618">
      <c r="E4618" s="6"/>
    </row>
    <row r="4619">
      <c r="E4619" s="6"/>
    </row>
    <row r="4620">
      <c r="E4620" s="6"/>
    </row>
    <row r="4621">
      <c r="E4621" s="6"/>
    </row>
    <row r="4622">
      <c r="E4622" s="6"/>
    </row>
    <row r="4623">
      <c r="E4623" s="6"/>
    </row>
    <row r="4624">
      <c r="E4624" s="6"/>
    </row>
    <row r="4625">
      <c r="E4625" s="6"/>
    </row>
    <row r="4626">
      <c r="E4626" s="6"/>
    </row>
    <row r="4627">
      <c r="E4627" s="6"/>
    </row>
    <row r="4628">
      <c r="E4628" s="6"/>
    </row>
    <row r="4629">
      <c r="E4629" s="6"/>
    </row>
    <row r="4630">
      <c r="E4630" s="6"/>
    </row>
    <row r="4631">
      <c r="E4631" s="6"/>
    </row>
    <row r="4632">
      <c r="E4632" s="6"/>
    </row>
    <row r="4633">
      <c r="E4633" s="6"/>
    </row>
    <row r="4634">
      <c r="E4634" s="6"/>
    </row>
    <row r="4635">
      <c r="E4635" s="6"/>
    </row>
    <row r="4636">
      <c r="E4636" s="6"/>
    </row>
    <row r="4637">
      <c r="E4637" s="6"/>
    </row>
    <row r="4638">
      <c r="E4638" s="6"/>
    </row>
    <row r="4639">
      <c r="E4639" s="6"/>
    </row>
    <row r="4640">
      <c r="E4640" s="6"/>
    </row>
    <row r="4641">
      <c r="E4641" s="6"/>
    </row>
    <row r="4642">
      <c r="E4642" s="6"/>
    </row>
    <row r="4643">
      <c r="E4643" s="6"/>
    </row>
    <row r="4644">
      <c r="E4644" s="6"/>
    </row>
    <row r="4645">
      <c r="E4645" s="6"/>
    </row>
    <row r="4646">
      <c r="E4646" s="6"/>
    </row>
    <row r="4647">
      <c r="E4647" s="6"/>
    </row>
    <row r="4648">
      <c r="E4648" s="6"/>
    </row>
    <row r="4649">
      <c r="E4649" s="6"/>
    </row>
    <row r="4650">
      <c r="E4650" s="6"/>
    </row>
    <row r="4651">
      <c r="E4651" s="6"/>
    </row>
    <row r="4652">
      <c r="E4652" s="6"/>
    </row>
    <row r="4653">
      <c r="E4653" s="6"/>
    </row>
    <row r="4654">
      <c r="E4654" s="6"/>
    </row>
    <row r="4655">
      <c r="E4655" s="6"/>
    </row>
    <row r="4656">
      <c r="E4656" s="6"/>
    </row>
    <row r="4657">
      <c r="E4657" s="6"/>
    </row>
    <row r="4658">
      <c r="E4658" s="6"/>
    </row>
    <row r="4659">
      <c r="E4659" s="6"/>
    </row>
    <row r="4660">
      <c r="E4660" s="6"/>
    </row>
    <row r="4661">
      <c r="E4661" s="6"/>
    </row>
    <row r="4662">
      <c r="E4662" s="6"/>
    </row>
    <row r="4663">
      <c r="E4663" s="6"/>
    </row>
    <row r="4664">
      <c r="E4664" s="6"/>
    </row>
    <row r="4665">
      <c r="E4665" s="6"/>
    </row>
    <row r="4666">
      <c r="E4666" s="6"/>
    </row>
    <row r="4667">
      <c r="E4667" s="6"/>
    </row>
    <row r="4668">
      <c r="E4668" s="6"/>
    </row>
    <row r="4669">
      <c r="E4669" s="6"/>
    </row>
    <row r="4670">
      <c r="E4670" s="6"/>
    </row>
    <row r="4671">
      <c r="E4671" s="6"/>
    </row>
    <row r="4672">
      <c r="E4672" s="6"/>
    </row>
    <row r="4673">
      <c r="E4673" s="6"/>
    </row>
    <row r="4674">
      <c r="E4674" s="6"/>
    </row>
    <row r="4675">
      <c r="E4675" s="6"/>
    </row>
    <row r="4676">
      <c r="E4676" s="6"/>
    </row>
    <row r="4677">
      <c r="E4677" s="6"/>
    </row>
    <row r="4678">
      <c r="E4678" s="6"/>
    </row>
    <row r="4679">
      <c r="E4679" s="6"/>
    </row>
    <row r="4680">
      <c r="E4680" s="6"/>
    </row>
    <row r="4681">
      <c r="E4681" s="6"/>
    </row>
    <row r="4682">
      <c r="E4682" s="6"/>
    </row>
    <row r="4683">
      <c r="E4683" s="6"/>
    </row>
    <row r="4684">
      <c r="E4684" s="6"/>
    </row>
    <row r="4685">
      <c r="E4685" s="6"/>
    </row>
    <row r="4686">
      <c r="E4686" s="6"/>
    </row>
    <row r="4687">
      <c r="E4687" s="6"/>
    </row>
    <row r="4688">
      <c r="E4688" s="6"/>
    </row>
    <row r="4689">
      <c r="E4689" s="6"/>
    </row>
    <row r="4690">
      <c r="E4690" s="6"/>
    </row>
    <row r="4691">
      <c r="E4691" s="6"/>
    </row>
    <row r="4692">
      <c r="E4692" s="6"/>
    </row>
    <row r="4693">
      <c r="E4693" s="6"/>
    </row>
    <row r="4694">
      <c r="E4694" s="6"/>
    </row>
    <row r="4695">
      <c r="E4695" s="6"/>
    </row>
    <row r="4696">
      <c r="E4696" s="6"/>
    </row>
    <row r="4697">
      <c r="E4697" s="6"/>
    </row>
    <row r="4698">
      <c r="E4698" s="6"/>
    </row>
    <row r="4699">
      <c r="E4699" s="6"/>
    </row>
    <row r="4700">
      <c r="E4700" s="6"/>
    </row>
    <row r="4701">
      <c r="E4701" s="6"/>
    </row>
    <row r="4702">
      <c r="E4702" s="6"/>
    </row>
    <row r="4703">
      <c r="E4703" s="6"/>
    </row>
    <row r="4704">
      <c r="E4704" s="6"/>
    </row>
    <row r="4705">
      <c r="E4705" s="6"/>
    </row>
    <row r="4706">
      <c r="E4706" s="6"/>
    </row>
    <row r="4707">
      <c r="E4707" s="6"/>
    </row>
    <row r="4708">
      <c r="E4708" s="6"/>
    </row>
    <row r="4709">
      <c r="E4709" s="6"/>
    </row>
    <row r="4710">
      <c r="E4710" s="6"/>
    </row>
    <row r="4711">
      <c r="E4711" s="6"/>
    </row>
    <row r="4712">
      <c r="E4712" s="6"/>
    </row>
    <row r="4713">
      <c r="E4713" s="6"/>
    </row>
    <row r="4714">
      <c r="E4714" s="6"/>
    </row>
    <row r="4715">
      <c r="E4715" s="6"/>
    </row>
    <row r="4716">
      <c r="E4716" s="6"/>
    </row>
    <row r="4717">
      <c r="E4717" s="6"/>
    </row>
    <row r="4718">
      <c r="E4718" s="6"/>
    </row>
    <row r="4719">
      <c r="E4719" s="6"/>
    </row>
    <row r="4720">
      <c r="E4720" s="6"/>
    </row>
    <row r="4721">
      <c r="E4721" s="6"/>
    </row>
    <row r="4722">
      <c r="E4722" s="6"/>
    </row>
    <row r="4723">
      <c r="E4723" s="6"/>
    </row>
    <row r="4724">
      <c r="E4724" s="6"/>
    </row>
    <row r="4725">
      <c r="E4725" s="6"/>
    </row>
    <row r="4726">
      <c r="E4726" s="6"/>
    </row>
    <row r="4727">
      <c r="E4727" s="6"/>
    </row>
    <row r="4728">
      <c r="E4728" s="6"/>
    </row>
    <row r="4729">
      <c r="E4729" s="6"/>
    </row>
    <row r="4730">
      <c r="E4730" s="6"/>
    </row>
    <row r="4731">
      <c r="E4731" s="6"/>
    </row>
    <row r="4732">
      <c r="E4732" s="6"/>
    </row>
    <row r="4733">
      <c r="E4733" s="6"/>
    </row>
    <row r="4734">
      <c r="E4734" s="6"/>
    </row>
    <row r="4735">
      <c r="E4735" s="6"/>
    </row>
    <row r="4736">
      <c r="E4736" s="6"/>
    </row>
    <row r="4737">
      <c r="E4737" s="6"/>
    </row>
    <row r="4738">
      <c r="E4738" s="6"/>
    </row>
    <row r="4739">
      <c r="E4739" s="6"/>
    </row>
    <row r="4740">
      <c r="E4740" s="6"/>
    </row>
    <row r="4741">
      <c r="E4741" s="6"/>
    </row>
    <row r="4742">
      <c r="E4742" s="6"/>
    </row>
    <row r="4743">
      <c r="E4743" s="6"/>
    </row>
    <row r="4744">
      <c r="E4744" s="6"/>
    </row>
    <row r="4745">
      <c r="E4745" s="6"/>
    </row>
    <row r="4746">
      <c r="E4746" s="6"/>
    </row>
    <row r="4747">
      <c r="E4747" s="6"/>
    </row>
    <row r="4748">
      <c r="E4748" s="6"/>
    </row>
    <row r="4749">
      <c r="E4749" s="6"/>
    </row>
    <row r="4750">
      <c r="E4750" s="6"/>
    </row>
    <row r="4751">
      <c r="E4751" s="6"/>
    </row>
    <row r="4752">
      <c r="E4752" s="6"/>
    </row>
    <row r="4753">
      <c r="E4753" s="6"/>
    </row>
    <row r="4754">
      <c r="E4754" s="6"/>
    </row>
    <row r="4755">
      <c r="E4755" s="6"/>
    </row>
    <row r="4756">
      <c r="E4756" s="6"/>
    </row>
    <row r="4757">
      <c r="E4757" s="6"/>
    </row>
    <row r="4758">
      <c r="E4758" s="6"/>
    </row>
    <row r="4759">
      <c r="E4759" s="6"/>
    </row>
    <row r="4760">
      <c r="E4760" s="6"/>
    </row>
    <row r="4761">
      <c r="E4761" s="6"/>
    </row>
    <row r="4762">
      <c r="E4762" s="6"/>
    </row>
    <row r="4763">
      <c r="E4763" s="6"/>
    </row>
    <row r="4764">
      <c r="E4764" s="6"/>
    </row>
    <row r="4765">
      <c r="E4765" s="6"/>
    </row>
    <row r="4766">
      <c r="E4766" s="6"/>
    </row>
    <row r="4767">
      <c r="E4767" s="6"/>
    </row>
    <row r="4768">
      <c r="E4768" s="6"/>
    </row>
    <row r="4769">
      <c r="E4769" s="6"/>
    </row>
    <row r="4770">
      <c r="E4770" s="6"/>
    </row>
    <row r="4771">
      <c r="E4771" s="6"/>
    </row>
    <row r="4772">
      <c r="E4772" s="6"/>
    </row>
    <row r="4773">
      <c r="E4773" s="6"/>
    </row>
    <row r="4774">
      <c r="E4774" s="6"/>
    </row>
    <row r="4775">
      <c r="E4775" s="6"/>
    </row>
    <row r="4776">
      <c r="E4776" s="6"/>
    </row>
    <row r="4777">
      <c r="E4777" s="6"/>
    </row>
    <row r="4778">
      <c r="E4778" s="6"/>
    </row>
    <row r="4779">
      <c r="E4779" s="6"/>
    </row>
    <row r="4780">
      <c r="E4780" s="6"/>
    </row>
    <row r="4781">
      <c r="E4781" s="6"/>
    </row>
    <row r="4782">
      <c r="E4782" s="6"/>
    </row>
    <row r="4783">
      <c r="E4783" s="6"/>
    </row>
    <row r="4784">
      <c r="E4784" s="6"/>
    </row>
    <row r="4785">
      <c r="E4785" s="6"/>
    </row>
    <row r="4786">
      <c r="E4786" s="6"/>
    </row>
    <row r="4787">
      <c r="E4787" s="6"/>
    </row>
    <row r="4788">
      <c r="E4788" s="6"/>
    </row>
    <row r="4789">
      <c r="E4789" s="6"/>
    </row>
    <row r="4790">
      <c r="E4790" s="6"/>
    </row>
    <row r="4791">
      <c r="E4791" s="6"/>
    </row>
    <row r="4792">
      <c r="E4792" s="6"/>
    </row>
    <row r="4793">
      <c r="E4793" s="6"/>
    </row>
    <row r="4794">
      <c r="E4794" s="6"/>
    </row>
    <row r="4795">
      <c r="E4795" s="6"/>
    </row>
    <row r="4796">
      <c r="E4796" s="6"/>
    </row>
    <row r="4797">
      <c r="E4797" s="6"/>
    </row>
    <row r="4798">
      <c r="E4798" s="6"/>
    </row>
    <row r="4799">
      <c r="E4799" s="6"/>
    </row>
    <row r="4800">
      <c r="E4800" s="6"/>
    </row>
    <row r="4801">
      <c r="E4801" s="6"/>
    </row>
    <row r="4802">
      <c r="E4802" s="6"/>
    </row>
    <row r="4803">
      <c r="E4803" s="6"/>
    </row>
    <row r="4804">
      <c r="E4804" s="6"/>
    </row>
    <row r="4805">
      <c r="E4805" s="6"/>
    </row>
    <row r="4806">
      <c r="E4806" s="6"/>
    </row>
    <row r="4807">
      <c r="E4807" s="6"/>
    </row>
    <row r="4808">
      <c r="E4808" s="6"/>
    </row>
    <row r="4809">
      <c r="E4809" s="6"/>
    </row>
    <row r="4810">
      <c r="E4810" s="6"/>
    </row>
    <row r="4811">
      <c r="E4811" s="6"/>
    </row>
    <row r="4812">
      <c r="E4812" s="6"/>
    </row>
    <row r="4813">
      <c r="E4813" s="6"/>
    </row>
    <row r="4814">
      <c r="E4814" s="6"/>
    </row>
    <row r="4815">
      <c r="E4815" s="6"/>
    </row>
    <row r="4816">
      <c r="E4816" s="6"/>
    </row>
    <row r="4817">
      <c r="E4817" s="6"/>
    </row>
    <row r="4818">
      <c r="E4818" s="6"/>
    </row>
    <row r="4819">
      <c r="E4819" s="6"/>
    </row>
    <row r="4820">
      <c r="E4820" s="6"/>
    </row>
    <row r="4821">
      <c r="E4821" s="6"/>
    </row>
    <row r="4822">
      <c r="E4822" s="6"/>
    </row>
    <row r="4823">
      <c r="E4823" s="6"/>
    </row>
    <row r="4824">
      <c r="E4824" s="6"/>
    </row>
    <row r="4825">
      <c r="E4825" s="6"/>
    </row>
    <row r="4826">
      <c r="E4826" s="6"/>
    </row>
    <row r="4827">
      <c r="E4827" s="6"/>
    </row>
    <row r="4828">
      <c r="E4828" s="6"/>
    </row>
    <row r="4829">
      <c r="E4829" s="6"/>
    </row>
    <row r="4830">
      <c r="E4830" s="6"/>
    </row>
    <row r="4831">
      <c r="E4831" s="6"/>
    </row>
    <row r="4832">
      <c r="E4832" s="6"/>
    </row>
    <row r="4833">
      <c r="E4833" s="6"/>
    </row>
    <row r="4834">
      <c r="E4834" s="6"/>
    </row>
    <row r="4835">
      <c r="E4835" s="6"/>
    </row>
    <row r="4836">
      <c r="E4836" s="6"/>
    </row>
    <row r="4837">
      <c r="E4837" s="6"/>
    </row>
    <row r="4838">
      <c r="E4838" s="6"/>
    </row>
    <row r="4839">
      <c r="E4839" s="6"/>
    </row>
    <row r="4840">
      <c r="E4840" s="6"/>
    </row>
    <row r="4841">
      <c r="E4841" s="6"/>
    </row>
    <row r="4842">
      <c r="E4842" s="6"/>
    </row>
    <row r="4843">
      <c r="E4843" s="6"/>
    </row>
    <row r="4844">
      <c r="E4844" s="6"/>
    </row>
    <row r="4845">
      <c r="E4845" s="6"/>
    </row>
    <row r="4846">
      <c r="E4846" s="6"/>
    </row>
    <row r="4847">
      <c r="E4847" s="6"/>
    </row>
    <row r="4848">
      <c r="E4848" s="6"/>
    </row>
    <row r="4849">
      <c r="E4849" s="6"/>
    </row>
    <row r="4850">
      <c r="E4850" s="6"/>
    </row>
    <row r="4851">
      <c r="E4851" s="6"/>
    </row>
    <row r="4852">
      <c r="E4852" s="6"/>
    </row>
    <row r="4853">
      <c r="E4853" s="6"/>
    </row>
    <row r="4854">
      <c r="E4854" s="6"/>
    </row>
    <row r="4855">
      <c r="E4855" s="6"/>
    </row>
    <row r="4856">
      <c r="E4856" s="6"/>
    </row>
    <row r="4857">
      <c r="E4857" s="6"/>
    </row>
    <row r="4858">
      <c r="E4858" s="6"/>
    </row>
    <row r="4859">
      <c r="E4859" s="6"/>
    </row>
    <row r="4860">
      <c r="E4860" s="6"/>
    </row>
    <row r="4861">
      <c r="E4861" s="6"/>
    </row>
    <row r="4862">
      <c r="E4862" s="6"/>
    </row>
    <row r="4863">
      <c r="E4863" s="6"/>
    </row>
    <row r="4864">
      <c r="E4864" s="6"/>
    </row>
    <row r="4865">
      <c r="E4865" s="6"/>
    </row>
    <row r="4866">
      <c r="E4866" s="6"/>
    </row>
    <row r="4867">
      <c r="E4867" s="6"/>
    </row>
    <row r="4868">
      <c r="E4868" s="6"/>
    </row>
    <row r="4869">
      <c r="E4869" s="6"/>
    </row>
    <row r="4870">
      <c r="E4870" s="6"/>
    </row>
    <row r="4871">
      <c r="E4871" s="6"/>
    </row>
    <row r="4872">
      <c r="E4872" s="6"/>
    </row>
    <row r="4873">
      <c r="E4873" s="6"/>
    </row>
    <row r="4874">
      <c r="E4874" s="6"/>
    </row>
    <row r="4875">
      <c r="E4875" s="6"/>
    </row>
    <row r="4876">
      <c r="E4876" s="6"/>
    </row>
    <row r="4877">
      <c r="E4877" s="6"/>
    </row>
    <row r="4878">
      <c r="E4878" s="6"/>
    </row>
    <row r="4879">
      <c r="E4879" s="6"/>
    </row>
    <row r="4880">
      <c r="E4880" s="6"/>
    </row>
    <row r="4881">
      <c r="E4881" s="6"/>
    </row>
    <row r="4882">
      <c r="E4882" s="6"/>
    </row>
    <row r="4883">
      <c r="E4883" s="6"/>
    </row>
    <row r="4884">
      <c r="E4884" s="6"/>
    </row>
    <row r="4885">
      <c r="E4885" s="6"/>
    </row>
    <row r="4886">
      <c r="E4886" s="6"/>
    </row>
    <row r="4887">
      <c r="E4887" s="6"/>
    </row>
    <row r="4888">
      <c r="E4888" s="6"/>
    </row>
    <row r="4889">
      <c r="E4889" s="6"/>
    </row>
    <row r="4890">
      <c r="E4890" s="6"/>
    </row>
    <row r="4891">
      <c r="E4891" s="6"/>
    </row>
    <row r="4892">
      <c r="E4892" s="6"/>
    </row>
    <row r="4893">
      <c r="E4893" s="6"/>
    </row>
    <row r="4894">
      <c r="E4894" s="6"/>
    </row>
    <row r="4895">
      <c r="E4895" s="6"/>
    </row>
    <row r="4896">
      <c r="E4896" s="6"/>
    </row>
    <row r="4897">
      <c r="E4897" s="6"/>
    </row>
    <row r="4898">
      <c r="E4898" s="6"/>
    </row>
    <row r="4899">
      <c r="E4899" s="6"/>
    </row>
    <row r="4900">
      <c r="E4900" s="6"/>
    </row>
    <row r="4901">
      <c r="E4901" s="6"/>
    </row>
    <row r="4902">
      <c r="E4902" s="6"/>
    </row>
    <row r="4903">
      <c r="E4903" s="6"/>
    </row>
    <row r="4904">
      <c r="E4904" s="6"/>
    </row>
    <row r="4905">
      <c r="E4905" s="6"/>
    </row>
    <row r="4906">
      <c r="E4906" s="6"/>
    </row>
    <row r="4907">
      <c r="E4907" s="6"/>
    </row>
    <row r="4908">
      <c r="E4908" s="6"/>
    </row>
    <row r="4909">
      <c r="E4909" s="6"/>
    </row>
    <row r="4910">
      <c r="E4910" s="6"/>
    </row>
    <row r="4911">
      <c r="E4911" s="6"/>
    </row>
    <row r="4912">
      <c r="E4912" s="6"/>
    </row>
    <row r="4913">
      <c r="E4913" s="6"/>
    </row>
    <row r="4914">
      <c r="E4914" s="6"/>
    </row>
    <row r="4915">
      <c r="E4915" s="6"/>
    </row>
    <row r="4916">
      <c r="E4916" s="6"/>
    </row>
    <row r="4917">
      <c r="E4917" s="6"/>
    </row>
    <row r="4918">
      <c r="E4918" s="6"/>
    </row>
    <row r="4919">
      <c r="E4919" s="6"/>
    </row>
    <row r="4920">
      <c r="E4920" s="6"/>
    </row>
    <row r="4921">
      <c r="E4921" s="6"/>
    </row>
    <row r="4922">
      <c r="E4922" s="6"/>
    </row>
    <row r="4923">
      <c r="E4923" s="6"/>
    </row>
    <row r="4924">
      <c r="E4924" s="6"/>
    </row>
    <row r="4925">
      <c r="E4925" s="6"/>
    </row>
    <row r="4926">
      <c r="E4926" s="6"/>
    </row>
    <row r="4927">
      <c r="E4927" s="6"/>
    </row>
    <row r="4928">
      <c r="E4928" s="6"/>
    </row>
    <row r="4929">
      <c r="E4929" s="6"/>
    </row>
    <row r="4930">
      <c r="E4930" s="6"/>
    </row>
    <row r="4931">
      <c r="E4931" s="6"/>
    </row>
    <row r="4932">
      <c r="E4932" s="6"/>
    </row>
    <row r="4933">
      <c r="E4933" s="6"/>
    </row>
    <row r="4934">
      <c r="E4934" s="6"/>
    </row>
    <row r="4935">
      <c r="E4935" s="6"/>
    </row>
    <row r="4936">
      <c r="E4936" s="6"/>
    </row>
    <row r="4937">
      <c r="E4937" s="6"/>
    </row>
    <row r="4938">
      <c r="E4938" s="6"/>
    </row>
    <row r="4939">
      <c r="E4939" s="6"/>
    </row>
    <row r="4940">
      <c r="E4940" s="6"/>
    </row>
    <row r="4941">
      <c r="E4941" s="6"/>
    </row>
    <row r="4942">
      <c r="E4942" s="6"/>
    </row>
    <row r="4943">
      <c r="E4943" s="6"/>
    </row>
    <row r="4944">
      <c r="E4944" s="6"/>
    </row>
    <row r="4945">
      <c r="E4945" s="6"/>
    </row>
    <row r="4946">
      <c r="E4946" s="6"/>
    </row>
    <row r="4947">
      <c r="E4947" s="6"/>
    </row>
    <row r="4948">
      <c r="E4948" s="6"/>
    </row>
    <row r="4949">
      <c r="E4949" s="6"/>
    </row>
    <row r="4950">
      <c r="E4950" s="6"/>
    </row>
    <row r="4951">
      <c r="E4951" s="6"/>
    </row>
    <row r="4952">
      <c r="E4952" s="6"/>
    </row>
    <row r="4953">
      <c r="E4953" s="6"/>
    </row>
    <row r="4954">
      <c r="E4954" s="6"/>
    </row>
    <row r="4955">
      <c r="E4955" s="6"/>
    </row>
    <row r="4956">
      <c r="E4956" s="6"/>
    </row>
    <row r="4957">
      <c r="E4957" s="6"/>
    </row>
    <row r="4958">
      <c r="E4958" s="6"/>
    </row>
    <row r="4959">
      <c r="E4959"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7" max="7" width="20.63"/>
  </cols>
  <sheetData>
    <row r="1">
      <c r="A1" s="5" t="s">
        <v>1338</v>
      </c>
      <c r="B1" s="5" t="s">
        <v>0</v>
      </c>
      <c r="C1" s="5" t="s">
        <v>1217</v>
      </c>
      <c r="D1" s="5" t="s">
        <v>1218</v>
      </c>
      <c r="E1" s="5" t="s">
        <v>1219</v>
      </c>
      <c r="F1" s="5" t="s">
        <v>1339</v>
      </c>
      <c r="G1" s="8" t="s">
        <v>1340</v>
      </c>
      <c r="H1" s="5" t="s">
        <v>1341</v>
      </c>
      <c r="I1" s="5" t="s">
        <v>1207</v>
      </c>
      <c r="J1" s="5" t="s">
        <v>1342</v>
      </c>
    </row>
    <row r="2">
      <c r="A2" s="6">
        <v>46021.551619398146</v>
      </c>
      <c r="B2" s="5">
        <v>9.871037317E9</v>
      </c>
      <c r="G2" s="8" t="s">
        <v>1343</v>
      </c>
      <c r="H2" s="5">
        <v>7560.0</v>
      </c>
      <c r="I2" s="5" t="s">
        <v>1290</v>
      </c>
      <c r="J2" s="5" t="s">
        <v>1344</v>
      </c>
    </row>
    <row r="3">
      <c r="A3" s="6">
        <v>46021.55204582176</v>
      </c>
      <c r="B3" s="5">
        <v>9.161114007E9</v>
      </c>
      <c r="G3" s="8" t="s">
        <v>1345</v>
      </c>
      <c r="H3" s="5">
        <v>7560.0</v>
      </c>
      <c r="I3" s="5" t="s">
        <v>1290</v>
      </c>
      <c r="J3" s="5" t="s">
        <v>1344</v>
      </c>
    </row>
    <row r="4">
      <c r="A4" s="6">
        <v>46021.552559930555</v>
      </c>
      <c r="B4" s="5">
        <v>9.999110696E9</v>
      </c>
      <c r="G4" s="8" t="s">
        <v>1346</v>
      </c>
      <c r="H4" s="5">
        <v>7560.0</v>
      </c>
      <c r="I4" s="5" t="s">
        <v>1290</v>
      </c>
      <c r="J4" s="5" t="s">
        <v>1344</v>
      </c>
    </row>
    <row r="5">
      <c r="A5" s="6">
        <v>46021.55305768519</v>
      </c>
      <c r="B5" s="5">
        <v>9.394161005E9</v>
      </c>
      <c r="G5" s="8" t="s">
        <v>1347</v>
      </c>
      <c r="H5" s="5">
        <v>7560.0</v>
      </c>
      <c r="I5" s="5" t="s">
        <v>1290</v>
      </c>
      <c r="J5" s="5" t="s">
        <v>1344</v>
      </c>
    </row>
    <row r="6">
      <c r="A6" s="6">
        <v>46021.55342428241</v>
      </c>
      <c r="B6" s="5">
        <v>8.368117429E9</v>
      </c>
      <c r="G6" s="8" t="s">
        <v>1348</v>
      </c>
      <c r="H6" s="5">
        <v>7560.0</v>
      </c>
      <c r="I6" s="5" t="s">
        <v>1290</v>
      </c>
      <c r="J6" s="5" t="s">
        <v>1344</v>
      </c>
    </row>
    <row r="7">
      <c r="A7" s="6">
        <v>46021.55385913195</v>
      </c>
      <c r="B7" s="5">
        <v>7.83829005E9</v>
      </c>
      <c r="G7" s="8" t="s">
        <v>1346</v>
      </c>
      <c r="H7" s="5">
        <v>7560.0</v>
      </c>
      <c r="I7" s="5" t="s">
        <v>1290</v>
      </c>
      <c r="J7" s="5" t="s">
        <v>1344</v>
      </c>
    </row>
    <row r="8">
      <c r="A8" s="6">
        <v>46021.55428347222</v>
      </c>
      <c r="B8" s="5">
        <v>9.811983134E9</v>
      </c>
      <c r="G8" s="8" t="s">
        <v>1349</v>
      </c>
      <c r="H8" s="5">
        <v>7560.0</v>
      </c>
      <c r="I8" s="5" t="s">
        <v>1290</v>
      </c>
      <c r="J8" s="5" t="s">
        <v>1344</v>
      </c>
    </row>
    <row r="9">
      <c r="A9" s="6">
        <v>46021.55480856482</v>
      </c>
      <c r="B9" s="5">
        <v>8.045123222E9</v>
      </c>
      <c r="G9" s="8" t="s">
        <v>1350</v>
      </c>
      <c r="H9" s="5">
        <v>7560.0</v>
      </c>
      <c r="I9" s="5" t="s">
        <v>1290</v>
      </c>
      <c r="J9" s="5" t="s">
        <v>1344</v>
      </c>
    </row>
    <row r="10">
      <c r="A10" s="6">
        <v>46021.55530356482</v>
      </c>
      <c r="B10" s="5">
        <v>9.910930162E9</v>
      </c>
      <c r="G10" s="8" t="s">
        <v>1351</v>
      </c>
      <c r="H10" s="5">
        <v>7560.0</v>
      </c>
      <c r="I10" s="5" t="s">
        <v>1290</v>
      </c>
      <c r="J10" s="5" t="s">
        <v>1344</v>
      </c>
    </row>
    <row r="11">
      <c r="G11" s="9"/>
    </row>
    <row r="12">
      <c r="G12" s="9"/>
    </row>
    <row r="13">
      <c r="G13" s="9"/>
    </row>
    <row r="14">
      <c r="G14" s="9"/>
    </row>
    <row r="15">
      <c r="G15" s="9"/>
    </row>
    <row r="16">
      <c r="G16" s="9"/>
    </row>
    <row r="17">
      <c r="G17" s="9"/>
    </row>
    <row r="18">
      <c r="G18" s="9"/>
    </row>
    <row r="19">
      <c r="G19" s="9"/>
    </row>
    <row r="20">
      <c r="G20" s="9"/>
    </row>
    <row r="21">
      <c r="G21" s="9"/>
    </row>
    <row r="22">
      <c r="G22" s="9"/>
    </row>
    <row r="23">
      <c r="G23" s="9"/>
    </row>
    <row r="24">
      <c r="G24" s="9"/>
    </row>
    <row r="25">
      <c r="G25" s="9"/>
    </row>
    <row r="26">
      <c r="G26" s="9"/>
    </row>
    <row r="27">
      <c r="G27" s="9"/>
    </row>
    <row r="28">
      <c r="G28" s="9"/>
    </row>
    <row r="29">
      <c r="G29" s="9"/>
    </row>
    <row r="30">
      <c r="G30" s="9"/>
    </row>
    <row r="31">
      <c r="G31" s="9"/>
    </row>
    <row r="32">
      <c r="G32" s="9"/>
    </row>
    <row r="33">
      <c r="G33" s="9"/>
    </row>
    <row r="34">
      <c r="G34" s="9"/>
    </row>
    <row r="35">
      <c r="G35" s="9"/>
    </row>
    <row r="36">
      <c r="G36" s="9"/>
    </row>
    <row r="37">
      <c r="G37" s="9"/>
    </row>
    <row r="38">
      <c r="G38" s="9"/>
    </row>
    <row r="39">
      <c r="G39" s="9"/>
    </row>
    <row r="40">
      <c r="G40" s="9"/>
    </row>
    <row r="41">
      <c r="G41" s="9"/>
    </row>
    <row r="42">
      <c r="G42" s="9"/>
    </row>
    <row r="43">
      <c r="G43" s="9"/>
    </row>
    <row r="44">
      <c r="G44" s="9"/>
    </row>
    <row r="45">
      <c r="G45" s="9"/>
    </row>
    <row r="46">
      <c r="G46" s="9"/>
    </row>
    <row r="47">
      <c r="G47" s="9"/>
    </row>
    <row r="48">
      <c r="G48" s="9"/>
    </row>
    <row r="49">
      <c r="G49" s="9"/>
    </row>
    <row r="50">
      <c r="G50" s="9"/>
    </row>
    <row r="51">
      <c r="G51" s="9"/>
    </row>
    <row r="52">
      <c r="G52" s="9"/>
    </row>
    <row r="53">
      <c r="G53" s="9"/>
    </row>
    <row r="54">
      <c r="G54" s="9"/>
    </row>
    <row r="55">
      <c r="G55" s="9"/>
    </row>
    <row r="56">
      <c r="G56" s="9"/>
    </row>
    <row r="57">
      <c r="G57" s="9"/>
    </row>
    <row r="58">
      <c r="G58" s="9"/>
    </row>
    <row r="59">
      <c r="G59" s="9"/>
    </row>
    <row r="60">
      <c r="G60" s="9"/>
    </row>
    <row r="61">
      <c r="G61" s="9"/>
    </row>
    <row r="62">
      <c r="G62" s="9"/>
    </row>
    <row r="63">
      <c r="G63" s="9"/>
    </row>
    <row r="64">
      <c r="G64" s="9"/>
    </row>
    <row r="65">
      <c r="G65" s="9"/>
    </row>
    <row r="66">
      <c r="G66" s="9"/>
    </row>
    <row r="67">
      <c r="G67" s="9"/>
    </row>
    <row r="68">
      <c r="G68" s="9"/>
    </row>
    <row r="69">
      <c r="G69" s="9"/>
    </row>
    <row r="70">
      <c r="G70" s="9"/>
    </row>
    <row r="71">
      <c r="G71" s="9"/>
    </row>
    <row r="72">
      <c r="G72" s="9"/>
    </row>
    <row r="73">
      <c r="G73" s="9"/>
    </row>
    <row r="74">
      <c r="G74" s="9"/>
    </row>
    <row r="75">
      <c r="G75" s="9"/>
    </row>
    <row r="76">
      <c r="G76" s="9"/>
    </row>
    <row r="77">
      <c r="G77" s="9"/>
    </row>
    <row r="78">
      <c r="G78" s="9"/>
    </row>
    <row r="79">
      <c r="G79" s="9"/>
    </row>
    <row r="80">
      <c r="G80" s="9"/>
    </row>
    <row r="81">
      <c r="G81" s="9"/>
    </row>
    <row r="82">
      <c r="G82" s="9"/>
    </row>
    <row r="83">
      <c r="G83" s="9"/>
    </row>
    <row r="84">
      <c r="G84" s="9"/>
    </row>
    <row r="85">
      <c r="G85" s="9"/>
    </row>
    <row r="86">
      <c r="G86" s="9"/>
    </row>
    <row r="87">
      <c r="G87" s="9"/>
    </row>
    <row r="88">
      <c r="G88" s="9"/>
    </row>
    <row r="89">
      <c r="G89" s="9"/>
    </row>
    <row r="90">
      <c r="G90" s="9"/>
    </row>
    <row r="91">
      <c r="G91" s="9"/>
    </row>
    <row r="92">
      <c r="G92" s="9"/>
    </row>
    <row r="93">
      <c r="G93" s="9"/>
    </row>
    <row r="94">
      <c r="G94" s="9"/>
    </row>
    <row r="95">
      <c r="G95" s="9"/>
    </row>
    <row r="96">
      <c r="G96" s="9"/>
    </row>
    <row r="97">
      <c r="G97" s="9"/>
    </row>
    <row r="98">
      <c r="G98" s="9"/>
    </row>
    <row r="99">
      <c r="G99" s="9"/>
    </row>
    <row r="100">
      <c r="G100" s="9"/>
    </row>
    <row r="101">
      <c r="G101" s="9"/>
    </row>
    <row r="102">
      <c r="G102" s="9"/>
    </row>
    <row r="103">
      <c r="G103" s="9"/>
    </row>
    <row r="104">
      <c r="G104" s="9"/>
    </row>
    <row r="105">
      <c r="G105" s="9"/>
    </row>
    <row r="106">
      <c r="G106" s="9"/>
    </row>
    <row r="107">
      <c r="G107" s="9"/>
    </row>
    <row r="108">
      <c r="G108" s="9"/>
    </row>
    <row r="109">
      <c r="G109" s="9"/>
    </row>
    <row r="110">
      <c r="G110" s="9"/>
    </row>
    <row r="111">
      <c r="G111" s="9"/>
    </row>
    <row r="112">
      <c r="G112" s="9"/>
    </row>
    <row r="113">
      <c r="G113" s="9"/>
    </row>
    <row r="114">
      <c r="G114" s="9"/>
    </row>
    <row r="115">
      <c r="G115" s="9"/>
    </row>
    <row r="116">
      <c r="G116" s="9"/>
    </row>
    <row r="117">
      <c r="G117" s="9"/>
    </row>
    <row r="118">
      <c r="G118" s="9"/>
    </row>
    <row r="119">
      <c r="G119" s="9"/>
    </row>
    <row r="120">
      <c r="G120" s="9"/>
    </row>
    <row r="121">
      <c r="G121" s="9"/>
    </row>
    <row r="122">
      <c r="G122" s="9"/>
    </row>
    <row r="123">
      <c r="G123" s="9"/>
    </row>
    <row r="124">
      <c r="G124" s="9"/>
    </row>
    <row r="125">
      <c r="G125" s="9"/>
    </row>
    <row r="126">
      <c r="G126" s="9"/>
    </row>
    <row r="127">
      <c r="G127" s="9"/>
    </row>
    <row r="128">
      <c r="G128" s="9"/>
    </row>
    <row r="129">
      <c r="G129" s="9"/>
    </row>
    <row r="130">
      <c r="G130" s="9"/>
    </row>
    <row r="131">
      <c r="G131" s="9"/>
    </row>
    <row r="132">
      <c r="G132" s="9"/>
    </row>
    <row r="133">
      <c r="G133" s="9"/>
    </row>
    <row r="134">
      <c r="G134" s="9"/>
    </row>
    <row r="135">
      <c r="G135" s="9"/>
    </row>
    <row r="136">
      <c r="G136" s="9"/>
    </row>
    <row r="137">
      <c r="G137" s="9"/>
    </row>
    <row r="138">
      <c r="G138" s="9"/>
    </row>
    <row r="139">
      <c r="G139" s="9"/>
    </row>
    <row r="140">
      <c r="G140" s="9"/>
    </row>
    <row r="141">
      <c r="G141" s="9"/>
    </row>
    <row r="142">
      <c r="G142" s="9"/>
    </row>
    <row r="143">
      <c r="G143" s="9"/>
    </row>
    <row r="144">
      <c r="G144" s="9"/>
    </row>
    <row r="145">
      <c r="G145" s="9"/>
    </row>
    <row r="146">
      <c r="G146" s="9"/>
    </row>
    <row r="147">
      <c r="G147" s="9"/>
    </row>
    <row r="148">
      <c r="G148" s="9"/>
    </row>
    <row r="149">
      <c r="G149" s="9"/>
    </row>
    <row r="150">
      <c r="G150" s="9"/>
    </row>
    <row r="151">
      <c r="G151" s="9"/>
    </row>
    <row r="152">
      <c r="G152" s="9"/>
    </row>
    <row r="153">
      <c r="G153" s="9"/>
    </row>
    <row r="154">
      <c r="G154" s="9"/>
    </row>
    <row r="155">
      <c r="G155" s="9"/>
    </row>
    <row r="156">
      <c r="G156" s="9"/>
    </row>
    <row r="157">
      <c r="G157" s="9"/>
    </row>
    <row r="158">
      <c r="G158" s="9"/>
    </row>
    <row r="159">
      <c r="G159" s="9"/>
    </row>
    <row r="160">
      <c r="G160" s="9"/>
    </row>
    <row r="161">
      <c r="G161" s="9"/>
    </row>
    <row r="162">
      <c r="G162" s="9"/>
    </row>
    <row r="163">
      <c r="G163" s="9"/>
    </row>
    <row r="164">
      <c r="G164" s="9"/>
    </row>
    <row r="165">
      <c r="G165" s="9"/>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row r="999">
      <c r="G999" s="9"/>
    </row>
    <row r="1000">
      <c r="G1000" s="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0.88"/>
  </cols>
  <sheetData>
    <row r="1">
      <c r="A1" s="5" t="s">
        <v>1338</v>
      </c>
      <c r="B1" s="5" t="s">
        <v>0</v>
      </c>
      <c r="C1" s="5" t="s">
        <v>1217</v>
      </c>
      <c r="D1" s="5" t="s">
        <v>1218</v>
      </c>
      <c r="E1" s="5" t="s">
        <v>1219</v>
      </c>
      <c r="F1" s="8" t="s">
        <v>1339</v>
      </c>
      <c r="G1" s="8" t="s">
        <v>1340</v>
      </c>
      <c r="H1" s="5" t="s">
        <v>1341</v>
      </c>
      <c r="I1" s="5" t="s">
        <v>1207</v>
      </c>
      <c r="J1" s="5" t="s">
        <v>1342</v>
      </c>
    </row>
    <row r="2">
      <c r="A2" s="6">
        <v>46021.570615358796</v>
      </c>
      <c r="B2" s="5">
        <v>9.958149785E9</v>
      </c>
      <c r="C2" s="5" t="s">
        <v>569</v>
      </c>
      <c r="D2" s="5" t="s">
        <v>1213</v>
      </c>
      <c r="E2" s="7">
        <v>1.0</v>
      </c>
      <c r="F2" s="8" t="s">
        <v>1346</v>
      </c>
      <c r="G2" s="5">
        <v>7560.0</v>
      </c>
      <c r="H2" s="5" t="s">
        <v>1275</v>
      </c>
    </row>
    <row r="3">
      <c r="A3" s="6">
        <v>46021.57110671296</v>
      </c>
      <c r="B3" s="5">
        <v>9.896059501E9</v>
      </c>
      <c r="C3" s="5" t="s">
        <v>169</v>
      </c>
      <c r="D3" s="5" t="s">
        <v>1213</v>
      </c>
      <c r="E3" s="7">
        <v>1.0</v>
      </c>
      <c r="F3" s="8" t="s">
        <v>1352</v>
      </c>
      <c r="G3" s="5">
        <v>7560.0</v>
      </c>
      <c r="H3" s="5" t="s">
        <v>1275</v>
      </c>
    </row>
    <row r="4">
      <c r="A4" s="6">
        <v>46021.57154990741</v>
      </c>
      <c r="B4" s="5">
        <v>8.368953488E9</v>
      </c>
      <c r="C4" s="5" t="s">
        <v>276</v>
      </c>
      <c r="D4" s="5" t="s">
        <v>1213</v>
      </c>
      <c r="E4" s="7">
        <v>1.0</v>
      </c>
      <c r="F4" s="8" t="s">
        <v>1353</v>
      </c>
      <c r="G4" s="5">
        <v>7560.0</v>
      </c>
      <c r="H4" s="5" t="s">
        <v>1275</v>
      </c>
    </row>
    <row r="5">
      <c r="A5" s="6">
        <v>46021.57203844907</v>
      </c>
      <c r="B5" s="5">
        <v>9.821776055E9</v>
      </c>
      <c r="C5" s="5" t="s">
        <v>1185</v>
      </c>
      <c r="D5" s="5" t="s">
        <v>1213</v>
      </c>
      <c r="E5" s="7">
        <v>1.0</v>
      </c>
      <c r="F5" s="8" t="s">
        <v>1354</v>
      </c>
      <c r="G5" s="5">
        <v>7560.0</v>
      </c>
      <c r="H5" s="5" t="s">
        <v>1275</v>
      </c>
    </row>
    <row r="6">
      <c r="A6" s="6">
        <v>46021.57250775463</v>
      </c>
      <c r="B6" s="5">
        <v>9.810578174E9</v>
      </c>
      <c r="C6" s="5" t="s">
        <v>65</v>
      </c>
      <c r="D6" s="5" t="s">
        <v>1213</v>
      </c>
      <c r="E6" s="7">
        <v>1.0</v>
      </c>
      <c r="F6" s="8" t="s">
        <v>1346</v>
      </c>
      <c r="G6" s="5">
        <v>7560.0</v>
      </c>
      <c r="H6" s="5" t="s">
        <v>1275</v>
      </c>
    </row>
    <row r="7">
      <c r="A7" s="6">
        <v>46021.57303677083</v>
      </c>
      <c r="B7" s="5">
        <v>9.013362005E9</v>
      </c>
      <c r="C7" s="5" t="s">
        <v>1184</v>
      </c>
      <c r="D7" s="5" t="s">
        <v>1213</v>
      </c>
      <c r="E7" s="7">
        <v>1.0</v>
      </c>
      <c r="F7" s="8" t="s">
        <v>1355</v>
      </c>
      <c r="G7" s="5">
        <v>7560.0</v>
      </c>
      <c r="H7" s="5" t="s">
        <v>1275</v>
      </c>
    </row>
    <row r="8">
      <c r="A8" s="6">
        <v>46021.573534930554</v>
      </c>
      <c r="B8" s="5">
        <v>9.821722208E9</v>
      </c>
      <c r="C8" s="5" t="s">
        <v>1183</v>
      </c>
      <c r="D8" s="5" t="s">
        <v>1213</v>
      </c>
      <c r="E8" s="7">
        <v>1.0</v>
      </c>
      <c r="F8" s="8" t="s">
        <v>1356</v>
      </c>
      <c r="G8" s="5">
        <v>7560.0</v>
      </c>
      <c r="H8" s="5" t="s">
        <v>1275</v>
      </c>
    </row>
    <row r="9">
      <c r="A9" s="6">
        <v>46021.57406570602</v>
      </c>
      <c r="B9" s="5">
        <v>8.491028157E9</v>
      </c>
      <c r="C9" s="5" t="s">
        <v>1182</v>
      </c>
      <c r="D9" s="5" t="s">
        <v>1213</v>
      </c>
      <c r="E9" s="7">
        <v>1.0</v>
      </c>
      <c r="F9" s="8" t="s">
        <v>1357</v>
      </c>
      <c r="G9" s="5">
        <v>7560.0</v>
      </c>
      <c r="H9" s="5" t="s">
        <v>1275</v>
      </c>
    </row>
    <row r="10">
      <c r="A10" s="6">
        <v>46021.574497291665</v>
      </c>
      <c r="B10" s="5">
        <v>9.416519794E9</v>
      </c>
      <c r="C10" s="5" t="s">
        <v>1233</v>
      </c>
      <c r="D10" s="5" t="s">
        <v>1213</v>
      </c>
      <c r="E10" s="7">
        <v>1.0</v>
      </c>
      <c r="F10" s="8" t="s">
        <v>1358</v>
      </c>
      <c r="G10" s="5">
        <v>7560.0</v>
      </c>
      <c r="H10" s="5" t="s">
        <v>1275</v>
      </c>
    </row>
    <row r="11">
      <c r="F11" s="9"/>
    </row>
    <row r="12">
      <c r="F12" s="9"/>
    </row>
    <row r="13">
      <c r="F13" s="9"/>
    </row>
    <row r="14">
      <c r="F14" s="9"/>
    </row>
    <row r="15">
      <c r="F15" s="9"/>
    </row>
    <row r="16">
      <c r="F16" s="9"/>
    </row>
    <row r="17">
      <c r="F17" s="9"/>
    </row>
    <row r="18">
      <c r="F18" s="9"/>
    </row>
    <row r="19">
      <c r="F19" s="9"/>
    </row>
    <row r="20">
      <c r="F20" s="9"/>
    </row>
    <row r="21">
      <c r="F21" s="9"/>
    </row>
    <row r="22">
      <c r="F22" s="9"/>
    </row>
    <row r="23">
      <c r="F23" s="9"/>
    </row>
    <row r="24">
      <c r="F24" s="9"/>
    </row>
    <row r="25">
      <c r="F25" s="9"/>
    </row>
    <row r="26">
      <c r="F26" s="9"/>
    </row>
    <row r="27">
      <c r="F27" s="9"/>
    </row>
    <row r="28">
      <c r="F28" s="9"/>
    </row>
    <row r="29">
      <c r="F29" s="9"/>
    </row>
    <row r="30">
      <c r="F30" s="9"/>
    </row>
    <row r="31">
      <c r="F31" s="9"/>
    </row>
    <row r="32">
      <c r="F32" s="9"/>
    </row>
    <row r="33">
      <c r="F33" s="9"/>
    </row>
    <row r="34">
      <c r="F34" s="9"/>
    </row>
    <row r="35">
      <c r="F35" s="9"/>
    </row>
    <row r="36">
      <c r="F36" s="9"/>
    </row>
    <row r="37">
      <c r="F37" s="9"/>
    </row>
    <row r="38">
      <c r="F38" s="9"/>
    </row>
    <row r="39">
      <c r="F39" s="9"/>
    </row>
    <row r="40">
      <c r="F40" s="9"/>
    </row>
    <row r="41">
      <c r="F41" s="9"/>
    </row>
    <row r="42">
      <c r="F42" s="9"/>
    </row>
    <row r="43">
      <c r="F43" s="9"/>
    </row>
    <row r="44">
      <c r="F44" s="9"/>
    </row>
    <row r="45">
      <c r="F45" s="9"/>
    </row>
    <row r="46">
      <c r="F46" s="9"/>
    </row>
    <row r="47">
      <c r="F47" s="9"/>
    </row>
    <row r="48">
      <c r="F48" s="9"/>
    </row>
    <row r="49">
      <c r="F49" s="9"/>
    </row>
    <row r="50">
      <c r="F50" s="9"/>
    </row>
    <row r="51">
      <c r="F51" s="9"/>
    </row>
    <row r="52">
      <c r="F52" s="9"/>
    </row>
    <row r="53">
      <c r="F53" s="9"/>
    </row>
    <row r="54">
      <c r="F54" s="9"/>
    </row>
    <row r="55">
      <c r="F55" s="9"/>
    </row>
    <row r="56">
      <c r="F56" s="9"/>
    </row>
    <row r="57">
      <c r="F57" s="9"/>
    </row>
    <row r="58">
      <c r="F58" s="9"/>
    </row>
    <row r="59">
      <c r="F59" s="9"/>
    </row>
    <row r="60">
      <c r="F60" s="9"/>
    </row>
    <row r="61">
      <c r="F61" s="9"/>
    </row>
    <row r="62">
      <c r="F62" s="9"/>
    </row>
    <row r="63">
      <c r="F63" s="9"/>
    </row>
    <row r="64">
      <c r="F64" s="9"/>
    </row>
    <row r="65">
      <c r="F65" s="9"/>
    </row>
    <row r="66">
      <c r="F66" s="9"/>
    </row>
    <row r="67">
      <c r="F67" s="9"/>
    </row>
    <row r="68">
      <c r="F68" s="9"/>
    </row>
    <row r="69">
      <c r="F69" s="9"/>
    </row>
    <row r="70">
      <c r="F70" s="9"/>
    </row>
    <row r="71">
      <c r="F71" s="9"/>
    </row>
    <row r="72">
      <c r="F72" s="9"/>
    </row>
    <row r="73">
      <c r="F73" s="9"/>
    </row>
    <row r="74">
      <c r="F74" s="9"/>
    </row>
    <row r="75">
      <c r="F75" s="9"/>
    </row>
    <row r="76">
      <c r="F76" s="9"/>
    </row>
    <row r="77">
      <c r="F77" s="9"/>
    </row>
    <row r="78">
      <c r="F78" s="9"/>
    </row>
    <row r="79">
      <c r="F79" s="9"/>
    </row>
    <row r="80">
      <c r="F80" s="9"/>
    </row>
    <row r="81">
      <c r="F81" s="9"/>
    </row>
    <row r="82">
      <c r="F82" s="9"/>
    </row>
    <row r="83">
      <c r="F83" s="9"/>
    </row>
    <row r="84">
      <c r="F84" s="9"/>
    </row>
    <row r="85">
      <c r="F85" s="9"/>
    </row>
    <row r="86">
      <c r="F86" s="9"/>
    </row>
    <row r="87">
      <c r="F87" s="9"/>
    </row>
    <row r="88">
      <c r="F88" s="9"/>
    </row>
    <row r="89">
      <c r="F89" s="9"/>
    </row>
    <row r="90">
      <c r="F90" s="9"/>
    </row>
    <row r="91">
      <c r="F91" s="9"/>
    </row>
    <row r="92">
      <c r="F92" s="9"/>
    </row>
    <row r="93">
      <c r="F93" s="9"/>
    </row>
    <row r="94">
      <c r="F94" s="9"/>
    </row>
    <row r="95">
      <c r="F95" s="9"/>
    </row>
    <row r="96">
      <c r="F96" s="9"/>
    </row>
    <row r="97">
      <c r="F97" s="9"/>
    </row>
    <row r="98">
      <c r="F98" s="9"/>
    </row>
    <row r="99">
      <c r="F99" s="9"/>
    </row>
    <row r="100">
      <c r="F100" s="9"/>
    </row>
    <row r="101">
      <c r="F101" s="9"/>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row r="985">
      <c r="F985" s="9"/>
    </row>
    <row r="986">
      <c r="F986" s="9"/>
    </row>
    <row r="987">
      <c r="F987" s="9"/>
    </row>
    <row r="988">
      <c r="F988" s="9"/>
    </row>
    <row r="989">
      <c r="F989" s="9"/>
    </row>
    <row r="990">
      <c r="F990" s="9"/>
    </row>
    <row r="991">
      <c r="F991" s="9"/>
    </row>
    <row r="992">
      <c r="F992" s="9"/>
    </row>
    <row r="993">
      <c r="F993" s="9"/>
    </row>
    <row r="994">
      <c r="F994" s="9"/>
    </row>
    <row r="995">
      <c r="F995" s="9"/>
    </row>
    <row r="996">
      <c r="F996" s="9"/>
    </row>
    <row r="997">
      <c r="F997" s="9"/>
    </row>
    <row r="998">
      <c r="F998" s="9"/>
    </row>
    <row r="999">
      <c r="F999" s="9"/>
    </row>
    <row r="1000">
      <c r="F1000" s="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25"/>
  </cols>
  <sheetData>
    <row r="1">
      <c r="A1" s="5" t="s">
        <v>0</v>
      </c>
      <c r="B1" s="5" t="s">
        <v>1218</v>
      </c>
      <c r="C1" s="5" t="s">
        <v>1359</v>
      </c>
      <c r="D1" s="5" t="s">
        <v>1360</v>
      </c>
      <c r="E1" s="5" t="s">
        <v>1338</v>
      </c>
    </row>
    <row r="2">
      <c r="A2" s="5">
        <v>9.310530559E9</v>
      </c>
      <c r="B2" s="5" t="s">
        <v>1213</v>
      </c>
      <c r="C2" s="7">
        <v>1.0</v>
      </c>
      <c r="D2" s="5" t="s">
        <v>1361</v>
      </c>
      <c r="E2" s="6">
        <v>46018.77201482639</v>
      </c>
    </row>
    <row r="3">
      <c r="A3" s="5">
        <v>9.810629311E9</v>
      </c>
      <c r="B3" s="5" t="s">
        <v>1213</v>
      </c>
      <c r="C3" s="7">
        <v>1.0</v>
      </c>
      <c r="D3" s="5" t="s">
        <v>1362</v>
      </c>
      <c r="E3" s="6">
        <v>46018.77251417824</v>
      </c>
    </row>
    <row r="4">
      <c r="A4" s="5">
        <v>9.810413274E9</v>
      </c>
      <c r="B4" s="5" t="s">
        <v>1213</v>
      </c>
      <c r="C4" s="7">
        <v>1.0</v>
      </c>
      <c r="D4" s="5" t="s">
        <v>1363</v>
      </c>
      <c r="E4" s="6">
        <v>46018.773034224534</v>
      </c>
    </row>
    <row r="5">
      <c r="A5" s="5">
        <v>8.882799877E9</v>
      </c>
      <c r="B5" s="5" t="s">
        <v>1213</v>
      </c>
      <c r="C5" s="7">
        <v>1.0</v>
      </c>
      <c r="D5" s="5" t="s">
        <v>1361</v>
      </c>
      <c r="E5" s="6">
        <v>46018.77341717592</v>
      </c>
    </row>
    <row r="6">
      <c r="A6" s="5">
        <v>9.871150346E9</v>
      </c>
      <c r="B6" s="5" t="s">
        <v>1213</v>
      </c>
      <c r="C6" s="7">
        <v>1.0</v>
      </c>
      <c r="D6" s="5" t="s">
        <v>1361</v>
      </c>
      <c r="E6" s="6">
        <v>46018.77387392361</v>
      </c>
    </row>
    <row r="7">
      <c r="A7" s="5">
        <v>6.30609941E9</v>
      </c>
      <c r="B7" s="5" t="s">
        <v>1213</v>
      </c>
      <c r="C7" s="7">
        <v>1.0</v>
      </c>
      <c r="D7" s="5" t="s">
        <v>1362</v>
      </c>
      <c r="E7" s="6">
        <v>46018.774413032406</v>
      </c>
    </row>
    <row r="8">
      <c r="A8" s="5">
        <v>9.910950251E9</v>
      </c>
      <c r="B8" s="5" t="s">
        <v>1213</v>
      </c>
      <c r="C8" s="7">
        <v>1.0</v>
      </c>
      <c r="D8" s="5" t="s">
        <v>1362</v>
      </c>
      <c r="E8" s="6">
        <v>46018.77485486111</v>
      </c>
    </row>
    <row r="9">
      <c r="A9" s="5">
        <v>9.069461111E9</v>
      </c>
      <c r="B9" s="5" t="s">
        <v>1213</v>
      </c>
      <c r="C9" s="7">
        <v>1.0</v>
      </c>
      <c r="D9" s="5" t="s">
        <v>1362</v>
      </c>
      <c r="E9" s="6">
        <v>46018.77524756944</v>
      </c>
    </row>
    <row r="10">
      <c r="A10" s="5">
        <v>9.872758037E9</v>
      </c>
      <c r="B10" s="5" t="s">
        <v>1213</v>
      </c>
      <c r="C10" s="7">
        <v>1.0</v>
      </c>
      <c r="D10" s="5" t="s">
        <v>1361</v>
      </c>
      <c r="E10" s="6">
        <v>46018.77549006944</v>
      </c>
    </row>
    <row r="11">
      <c r="A11" s="5">
        <v>9.872758037E9</v>
      </c>
      <c r="B11" s="5" t="s">
        <v>1213</v>
      </c>
      <c r="C11" s="7">
        <v>1.0</v>
      </c>
      <c r="D11" s="5" t="s">
        <v>1363</v>
      </c>
      <c r="E11" s="6">
        <v>46018.775759780096</v>
      </c>
    </row>
    <row r="12">
      <c r="A12" s="5">
        <v>9.555683585E9</v>
      </c>
      <c r="B12" s="5" t="s">
        <v>1213</v>
      </c>
      <c r="C12" s="7">
        <v>1.0</v>
      </c>
      <c r="D12" s="5" t="s">
        <v>1361</v>
      </c>
      <c r="E12" s="6">
        <v>46018.775997233795</v>
      </c>
    </row>
    <row r="13">
      <c r="A13" s="5">
        <v>9.810239602E9</v>
      </c>
      <c r="B13" s="5" t="s">
        <v>1213</v>
      </c>
      <c r="C13" s="7">
        <v>1.0</v>
      </c>
      <c r="D13" s="5" t="s">
        <v>1361</v>
      </c>
      <c r="E13" s="6">
        <v>46018.77648222222</v>
      </c>
    </row>
    <row r="14">
      <c r="A14" s="5">
        <v>9.540632121E9</v>
      </c>
      <c r="B14" s="5" t="s">
        <v>1213</v>
      </c>
      <c r="C14" s="7">
        <v>1.0</v>
      </c>
      <c r="D14" s="5" t="s">
        <v>1361</v>
      </c>
      <c r="E14" s="6">
        <v>46018.77696383102</v>
      </c>
    </row>
    <row r="15">
      <c r="A15" s="5">
        <v>9.717661915E9</v>
      </c>
      <c r="B15" s="5" t="s">
        <v>1213</v>
      </c>
      <c r="C15" s="7">
        <v>1.0</v>
      </c>
      <c r="D15" s="5" t="s">
        <v>1362</v>
      </c>
      <c r="E15" s="6">
        <v>46018.77740569445</v>
      </c>
    </row>
    <row r="16">
      <c r="A16" s="5">
        <v>9.871141433E9</v>
      </c>
      <c r="B16" s="5" t="s">
        <v>1213</v>
      </c>
      <c r="C16" s="7">
        <v>1.0</v>
      </c>
      <c r="D16" s="5" t="s">
        <v>1363</v>
      </c>
      <c r="E16" s="6">
        <v>46018.77796961805</v>
      </c>
    </row>
    <row r="17">
      <c r="A17" s="5">
        <v>9.999744896E9</v>
      </c>
      <c r="B17" s="5" t="s">
        <v>1213</v>
      </c>
      <c r="C17" s="7">
        <v>1.0</v>
      </c>
      <c r="D17" s="5" t="s">
        <v>1362</v>
      </c>
      <c r="E17" s="6">
        <v>46018.77850541667</v>
      </c>
    </row>
    <row r="18">
      <c r="A18" s="5">
        <v>8.70033597E9</v>
      </c>
      <c r="B18" s="5" t="s">
        <v>1213</v>
      </c>
      <c r="C18" s="7">
        <v>1.0</v>
      </c>
      <c r="D18" s="5" t="s">
        <v>1363</v>
      </c>
      <c r="E18" s="6">
        <v>46018.7789193287</v>
      </c>
    </row>
    <row r="19">
      <c r="A19" s="5">
        <v>8.70033597E9</v>
      </c>
      <c r="B19" s="5" t="s">
        <v>1213</v>
      </c>
      <c r="C19" s="7">
        <v>1.0</v>
      </c>
      <c r="D19" s="5" t="s">
        <v>1362</v>
      </c>
      <c r="E19" s="6">
        <v>46018.77895666666</v>
      </c>
    </row>
    <row r="20">
      <c r="A20" s="5">
        <v>9.811451013E9</v>
      </c>
      <c r="B20" s="5" t="s">
        <v>1213</v>
      </c>
      <c r="C20" s="7">
        <v>1.0</v>
      </c>
      <c r="D20" s="5" t="s">
        <v>1363</v>
      </c>
      <c r="E20" s="6">
        <v>46018.779432662035</v>
      </c>
    </row>
    <row r="21">
      <c r="A21" s="5">
        <v>9.811451013E9</v>
      </c>
      <c r="B21" s="5" t="s">
        <v>1213</v>
      </c>
      <c r="C21" s="7">
        <v>1.0</v>
      </c>
      <c r="D21" s="5" t="s">
        <v>1361</v>
      </c>
      <c r="E21" s="6">
        <v>46018.77950295139</v>
      </c>
    </row>
    <row r="22">
      <c r="A22" s="5">
        <v>9.999347116E9</v>
      </c>
      <c r="B22" s="5" t="s">
        <v>1213</v>
      </c>
      <c r="C22" s="7">
        <v>1.0</v>
      </c>
      <c r="D22" s="5" t="s">
        <v>1363</v>
      </c>
      <c r="E22" s="6">
        <v>46018.77996833333</v>
      </c>
    </row>
    <row r="23">
      <c r="A23" s="5">
        <v>9.868857378E9</v>
      </c>
      <c r="B23" s="5" t="s">
        <v>1213</v>
      </c>
      <c r="C23" s="7">
        <v>1.0</v>
      </c>
      <c r="D23" s="5" t="s">
        <v>1361</v>
      </c>
      <c r="E23" s="6">
        <v>46018.7803862963</v>
      </c>
    </row>
    <row r="24">
      <c r="A24" s="5">
        <v>9.810092819E9</v>
      </c>
      <c r="B24" s="5" t="s">
        <v>1213</v>
      </c>
      <c r="C24" s="7">
        <v>1.0</v>
      </c>
      <c r="D24" s="5" t="s">
        <v>1363</v>
      </c>
      <c r="E24" s="6">
        <v>46018.78093666666</v>
      </c>
    </row>
    <row r="25">
      <c r="A25" s="5">
        <v>9.643715157E9</v>
      </c>
      <c r="B25" s="5" t="s">
        <v>1213</v>
      </c>
      <c r="C25" s="7">
        <v>1.0</v>
      </c>
      <c r="D25" s="5" t="s">
        <v>1361</v>
      </c>
      <c r="E25" s="6">
        <v>46018.7813374074</v>
      </c>
    </row>
    <row r="26">
      <c r="A26" s="5">
        <v>7.982275693E9</v>
      </c>
      <c r="B26" s="5" t="s">
        <v>1213</v>
      </c>
      <c r="C26" s="7">
        <v>1.0</v>
      </c>
      <c r="D26" s="5" t="s">
        <v>1361</v>
      </c>
      <c r="E26" s="6">
        <v>46018.7817532176</v>
      </c>
    </row>
    <row r="27">
      <c r="A27" s="5">
        <v>9.857862957E9</v>
      </c>
      <c r="B27" s="5" t="s">
        <v>1213</v>
      </c>
      <c r="C27" s="7">
        <v>1.0</v>
      </c>
      <c r="D27" s="5" t="s">
        <v>1363</v>
      </c>
      <c r="E27" s="6">
        <v>46018.78225748843</v>
      </c>
    </row>
    <row r="28">
      <c r="A28" s="5">
        <v>9.891181272E9</v>
      </c>
      <c r="B28" s="5" t="s">
        <v>1213</v>
      </c>
      <c r="C28" s="7">
        <v>1.0</v>
      </c>
      <c r="D28" s="5" t="s">
        <v>1362</v>
      </c>
      <c r="E28" s="6">
        <v>46018.7824725463</v>
      </c>
    </row>
    <row r="29">
      <c r="A29" s="5">
        <v>9.891181272E9</v>
      </c>
      <c r="B29" s="5" t="s">
        <v>1213</v>
      </c>
      <c r="C29" s="7">
        <v>1.0</v>
      </c>
      <c r="D29" s="5" t="s">
        <v>1361</v>
      </c>
      <c r="E29" s="6">
        <v>46018.782646631946</v>
      </c>
    </row>
    <row r="30">
      <c r="A30" s="5">
        <v>9.728543318E9</v>
      </c>
      <c r="B30" s="5" t="s">
        <v>1213</v>
      </c>
      <c r="C30" s="7">
        <v>1.0</v>
      </c>
      <c r="D30" s="5" t="s">
        <v>1362</v>
      </c>
      <c r="E30" s="6">
        <v>46018.78301197916</v>
      </c>
    </row>
    <row r="31">
      <c r="A31" s="5">
        <v>9.818711033E9</v>
      </c>
      <c r="B31" s="5" t="s">
        <v>1213</v>
      </c>
      <c r="C31" s="7">
        <v>1.0</v>
      </c>
      <c r="D31" s="5" t="s">
        <v>1362</v>
      </c>
      <c r="E31" s="6">
        <v>46018.7835490162</v>
      </c>
    </row>
    <row r="32">
      <c r="A32" s="5">
        <v>9.65405999E9</v>
      </c>
      <c r="B32" s="5" t="s">
        <v>1213</v>
      </c>
      <c r="C32" s="7">
        <v>1.0</v>
      </c>
      <c r="D32" s="5" t="s">
        <v>1363</v>
      </c>
      <c r="E32" s="6">
        <v>46018.78409393519</v>
      </c>
    </row>
    <row r="33">
      <c r="A33" s="5">
        <v>9.818752857E9</v>
      </c>
      <c r="B33" s="5" t="s">
        <v>1213</v>
      </c>
      <c r="C33" s="7">
        <v>1.0</v>
      </c>
      <c r="D33" s="5" t="s">
        <v>1363</v>
      </c>
      <c r="E33" s="6">
        <v>46018.784554872684</v>
      </c>
    </row>
    <row r="34">
      <c r="A34" s="5">
        <v>9.212222888E9</v>
      </c>
      <c r="B34" s="5" t="s">
        <v>1213</v>
      </c>
      <c r="C34" s="7">
        <v>1.0</v>
      </c>
      <c r="D34" s="5" t="s">
        <v>1362</v>
      </c>
      <c r="E34" s="6">
        <v>46018.78503042824</v>
      </c>
    </row>
    <row r="35">
      <c r="A35" s="5">
        <v>9.650852037E9</v>
      </c>
      <c r="B35" s="5" t="s">
        <v>1213</v>
      </c>
      <c r="C35" s="7">
        <v>1.0</v>
      </c>
      <c r="D35" s="5" t="s">
        <v>1363</v>
      </c>
      <c r="E35" s="6">
        <v>46018.78552225695</v>
      </c>
    </row>
    <row r="36">
      <c r="A36" s="5">
        <v>9.711063633E9</v>
      </c>
      <c r="B36" s="5" t="s">
        <v>1213</v>
      </c>
      <c r="C36" s="7">
        <v>1.0</v>
      </c>
      <c r="D36" s="5" t="s">
        <v>1362</v>
      </c>
      <c r="E36" s="6">
        <v>46018.785919456015</v>
      </c>
    </row>
    <row r="37">
      <c r="A37" s="5">
        <v>9.711063633E9</v>
      </c>
      <c r="B37" s="5" t="s">
        <v>1213</v>
      </c>
      <c r="C37" s="7">
        <v>1.0</v>
      </c>
      <c r="D37" s="5" t="s">
        <v>1361</v>
      </c>
      <c r="E37" s="6">
        <v>46018.785945972224</v>
      </c>
    </row>
    <row r="38">
      <c r="A38" s="5">
        <v>9.99932322E9</v>
      </c>
      <c r="B38" s="5" t="s">
        <v>1213</v>
      </c>
      <c r="C38" s="7">
        <v>1.0</v>
      </c>
      <c r="D38" s="5" t="s">
        <v>1363</v>
      </c>
      <c r="E38" s="6">
        <v>46018.786353171294</v>
      </c>
    </row>
    <row r="39">
      <c r="A39" s="5">
        <v>9.99932322E9</v>
      </c>
      <c r="B39" s="5" t="s">
        <v>1213</v>
      </c>
      <c r="C39" s="7">
        <v>1.0</v>
      </c>
      <c r="D39" s="5" t="s">
        <v>1362</v>
      </c>
      <c r="E39" s="6">
        <v>46018.78640873842</v>
      </c>
    </row>
    <row r="40">
      <c r="A40" s="5">
        <v>7.042775899E9</v>
      </c>
      <c r="B40" s="5" t="s">
        <v>1213</v>
      </c>
      <c r="C40" s="7">
        <v>1.0</v>
      </c>
      <c r="D40" s="5" t="s">
        <v>1361</v>
      </c>
      <c r="E40" s="6">
        <v>46018.78682086806</v>
      </c>
    </row>
    <row r="41">
      <c r="A41" s="5">
        <v>7.982125833E9</v>
      </c>
      <c r="B41" s="5" t="s">
        <v>1213</v>
      </c>
      <c r="C41" s="7">
        <v>1.0</v>
      </c>
      <c r="D41" s="5" t="s">
        <v>1363</v>
      </c>
      <c r="E41" s="6">
        <v>46018.7872684375</v>
      </c>
    </row>
    <row r="42">
      <c r="A42" s="5">
        <v>9.810287478E9</v>
      </c>
      <c r="B42" s="5" t="s">
        <v>1213</v>
      </c>
      <c r="C42" s="7">
        <v>1.0</v>
      </c>
      <c r="D42" s="5" t="s">
        <v>1361</v>
      </c>
      <c r="E42" s="6">
        <v>46018.78780481481</v>
      </c>
    </row>
    <row r="43">
      <c r="A43" s="5">
        <v>9.650798068E9</v>
      </c>
      <c r="B43" s="5" t="s">
        <v>1213</v>
      </c>
      <c r="C43" s="7">
        <v>1.0</v>
      </c>
      <c r="D43" s="5" t="s">
        <v>1361</v>
      </c>
      <c r="E43" s="6">
        <v>46018.788306863426</v>
      </c>
    </row>
    <row r="44">
      <c r="A44" s="5">
        <v>9.312263494E9</v>
      </c>
      <c r="B44" s="5" t="s">
        <v>1213</v>
      </c>
      <c r="C44" s="7">
        <v>1.0</v>
      </c>
      <c r="D44" s="5" t="s">
        <v>1363</v>
      </c>
      <c r="E44" s="6">
        <v>46018.78889606481</v>
      </c>
    </row>
    <row r="45">
      <c r="A45" s="5">
        <v>9.810413272E9</v>
      </c>
      <c r="B45" s="5" t="s">
        <v>1213</v>
      </c>
      <c r="C45" s="7">
        <v>1.0</v>
      </c>
      <c r="D45" s="5" t="s">
        <v>1362</v>
      </c>
      <c r="E45" s="6">
        <v>46018.789389178244</v>
      </c>
    </row>
    <row r="46">
      <c r="A46" s="5">
        <v>9.810413272E9</v>
      </c>
      <c r="B46" s="5" t="s">
        <v>1213</v>
      </c>
      <c r="C46" s="7">
        <v>1.0</v>
      </c>
      <c r="D46" s="5" t="s">
        <v>1363</v>
      </c>
      <c r="E46" s="6">
        <v>46018.78943899306</v>
      </c>
    </row>
    <row r="47">
      <c r="A47" s="5">
        <v>9.419190227E9</v>
      </c>
      <c r="B47" s="5" t="s">
        <v>1213</v>
      </c>
      <c r="C47" s="7">
        <v>1.0</v>
      </c>
      <c r="D47" s="5" t="s">
        <v>1362</v>
      </c>
      <c r="E47" s="6">
        <v>46018.78988319445</v>
      </c>
    </row>
    <row r="48">
      <c r="A48" s="5">
        <v>8.29923193E9</v>
      </c>
      <c r="B48" s="5" t="s">
        <v>1213</v>
      </c>
      <c r="C48" s="7">
        <v>1.0</v>
      </c>
      <c r="D48" s="5" t="s">
        <v>1363</v>
      </c>
      <c r="E48" s="6">
        <v>46018.79042369213</v>
      </c>
    </row>
    <row r="49">
      <c r="A49" s="5">
        <v>8.368117424E9</v>
      </c>
      <c r="B49" s="5" t="s">
        <v>1213</v>
      </c>
      <c r="C49" s="7">
        <v>1.0</v>
      </c>
      <c r="D49" s="5" t="s">
        <v>1363</v>
      </c>
      <c r="E49" s="6">
        <v>46018.79085711806</v>
      </c>
    </row>
    <row r="50">
      <c r="A50" s="5">
        <v>9.162963605E9</v>
      </c>
      <c r="B50" s="5" t="s">
        <v>1213</v>
      </c>
      <c r="C50" s="7">
        <v>1.0</v>
      </c>
      <c r="D50" s="5" t="s">
        <v>1361</v>
      </c>
      <c r="E50" s="6">
        <v>46018.79123537037</v>
      </c>
    </row>
    <row r="51">
      <c r="A51" s="5">
        <v>9.368877011E9</v>
      </c>
      <c r="B51" s="5" t="s">
        <v>1213</v>
      </c>
      <c r="C51" s="7">
        <v>1.0</v>
      </c>
      <c r="D51" s="5" t="s">
        <v>1362</v>
      </c>
      <c r="E51" s="6">
        <v>46018.79162047454</v>
      </c>
    </row>
    <row r="52">
      <c r="A52" s="5">
        <v>9.31105226E9</v>
      </c>
      <c r="B52" s="5" t="s">
        <v>1213</v>
      </c>
      <c r="C52" s="7">
        <v>1.0</v>
      </c>
      <c r="D52" s="5" t="s">
        <v>1361</v>
      </c>
      <c r="E52" s="6">
        <v>46018.79211045139</v>
      </c>
    </row>
    <row r="53">
      <c r="A53" s="5">
        <v>8.130477446E9</v>
      </c>
      <c r="B53" s="5" t="s">
        <v>1213</v>
      </c>
      <c r="C53" s="7">
        <v>1.0</v>
      </c>
      <c r="D53" s="5" t="s">
        <v>1361</v>
      </c>
      <c r="E53" s="6">
        <v>46018.79256864583</v>
      </c>
    </row>
    <row r="54">
      <c r="A54" s="5">
        <v>8.187961053E9</v>
      </c>
      <c r="B54" s="5" t="s">
        <v>1213</v>
      </c>
      <c r="C54" s="7">
        <v>1.0</v>
      </c>
      <c r="D54" s="5" t="s">
        <v>1362</v>
      </c>
      <c r="E54" s="6">
        <v>46018.7928549537</v>
      </c>
    </row>
    <row r="55">
      <c r="A55" s="5">
        <v>8.187961053E9</v>
      </c>
      <c r="B55" s="5" t="s">
        <v>1213</v>
      </c>
      <c r="C55" s="7">
        <v>1.0</v>
      </c>
      <c r="D55" s="5" t="s">
        <v>1361</v>
      </c>
      <c r="E55" s="6">
        <v>46018.793009456014</v>
      </c>
    </row>
    <row r="56">
      <c r="A56" s="5">
        <v>7.006511249E9</v>
      </c>
      <c r="B56" s="5" t="s">
        <v>1213</v>
      </c>
      <c r="C56" s="7">
        <v>1.0</v>
      </c>
      <c r="D56" s="5" t="s">
        <v>1363</v>
      </c>
      <c r="E56" s="6">
        <v>46018.79338074074</v>
      </c>
    </row>
    <row r="57">
      <c r="A57" s="5">
        <v>7.006511249E9</v>
      </c>
      <c r="B57" s="5" t="s">
        <v>1213</v>
      </c>
      <c r="C57" s="7">
        <v>1.0</v>
      </c>
      <c r="D57" s="5" t="s">
        <v>1361</v>
      </c>
      <c r="E57" s="6">
        <v>46018.79342050926</v>
      </c>
    </row>
    <row r="58">
      <c r="A58" s="5">
        <v>7.838042351E9</v>
      </c>
      <c r="B58" s="5" t="s">
        <v>1213</v>
      </c>
      <c r="C58" s="7">
        <v>1.0</v>
      </c>
      <c r="D58" s="5" t="s">
        <v>1362</v>
      </c>
      <c r="E58" s="6">
        <v>46018.79379002315</v>
      </c>
    </row>
    <row r="59">
      <c r="A59" s="5">
        <v>9.810113462E9</v>
      </c>
      <c r="B59" s="5" t="s">
        <v>1213</v>
      </c>
      <c r="C59" s="7">
        <v>1.0</v>
      </c>
      <c r="D59" s="5" t="s">
        <v>1361</v>
      </c>
      <c r="E59" s="6">
        <v>46018.79419842592</v>
      </c>
    </row>
    <row r="60">
      <c r="A60" s="5">
        <v>9.919674399E9</v>
      </c>
      <c r="B60" s="5" t="s">
        <v>1213</v>
      </c>
      <c r="C60" s="7">
        <v>1.0</v>
      </c>
      <c r="D60" s="5" t="s">
        <v>1361</v>
      </c>
      <c r="E60" s="6">
        <v>46018.794637314815</v>
      </c>
    </row>
    <row r="61">
      <c r="A61" s="5">
        <v>9.871973908E9</v>
      </c>
      <c r="B61" s="5" t="s">
        <v>1213</v>
      </c>
      <c r="C61" s="7">
        <v>1.0</v>
      </c>
      <c r="D61" s="5" t="s">
        <v>1361</v>
      </c>
      <c r="E61" s="6">
        <v>46018.79503540509</v>
      </c>
    </row>
    <row r="62">
      <c r="A62" s="5">
        <v>9.99978954E9</v>
      </c>
      <c r="B62" s="5" t="s">
        <v>1213</v>
      </c>
      <c r="C62" s="7">
        <v>1.0</v>
      </c>
      <c r="D62" s="5" t="s">
        <v>1362</v>
      </c>
      <c r="E62" s="6">
        <v>46018.79550104166</v>
      </c>
    </row>
    <row r="63">
      <c r="A63" s="5">
        <v>9.971001415E9</v>
      </c>
      <c r="B63" s="5" t="s">
        <v>1213</v>
      </c>
      <c r="C63" s="7">
        <v>1.0</v>
      </c>
      <c r="D63" s="5" t="s">
        <v>1362</v>
      </c>
      <c r="E63" s="6">
        <v>46018.79592211806</v>
      </c>
    </row>
    <row r="64">
      <c r="A64" s="5">
        <v>9.910100011E9</v>
      </c>
      <c r="B64" s="5" t="s">
        <v>1213</v>
      </c>
      <c r="C64" s="7">
        <v>1.0</v>
      </c>
      <c r="D64" s="5" t="s">
        <v>1361</v>
      </c>
      <c r="E64" s="6">
        <v>46018.796350046294</v>
      </c>
    </row>
    <row r="65">
      <c r="A65" s="5">
        <v>9.910100011E9</v>
      </c>
      <c r="B65" s="5" t="s">
        <v>1213</v>
      </c>
      <c r="C65" s="7">
        <v>1.0</v>
      </c>
      <c r="D65" s="5" t="s">
        <v>1363</v>
      </c>
      <c r="E65" s="6">
        <v>46018.79645563658</v>
      </c>
    </row>
    <row r="66">
      <c r="A66" s="5">
        <v>8.860339734E9</v>
      </c>
      <c r="B66" s="5" t="s">
        <v>1213</v>
      </c>
      <c r="C66" s="7">
        <v>1.0</v>
      </c>
      <c r="D66" s="5" t="s">
        <v>1361</v>
      </c>
      <c r="E66" s="6">
        <v>46018.796730462964</v>
      </c>
    </row>
    <row r="67">
      <c r="A67" s="5">
        <v>8.860339734E9</v>
      </c>
      <c r="B67" s="5" t="s">
        <v>1213</v>
      </c>
      <c r="C67" s="7">
        <v>1.0</v>
      </c>
      <c r="D67" s="5" t="s">
        <v>1362</v>
      </c>
      <c r="E67" s="6">
        <v>46018.79690596065</v>
      </c>
    </row>
    <row r="68">
      <c r="A68" s="5">
        <v>6.397181896E9</v>
      </c>
      <c r="B68" s="5" t="s">
        <v>1213</v>
      </c>
      <c r="C68" s="7">
        <v>1.0</v>
      </c>
      <c r="D68" s="5" t="s">
        <v>1363</v>
      </c>
      <c r="E68" s="6">
        <v>46018.797208240736</v>
      </c>
    </row>
    <row r="69">
      <c r="A69" s="5">
        <v>8.882231502E9</v>
      </c>
      <c r="B69" s="5" t="s">
        <v>1213</v>
      </c>
      <c r="C69" s="7">
        <v>1.0</v>
      </c>
      <c r="D69" s="5" t="s">
        <v>1363</v>
      </c>
      <c r="E69" s="6">
        <v>46018.79769506944</v>
      </c>
    </row>
    <row r="70">
      <c r="A70" s="5">
        <v>8.750564968E9</v>
      </c>
      <c r="B70" s="5" t="s">
        <v>1213</v>
      </c>
      <c r="C70" s="7">
        <v>1.0</v>
      </c>
      <c r="D70" s="5" t="s">
        <v>1361</v>
      </c>
      <c r="E70" s="6">
        <v>46018.7980902662</v>
      </c>
    </row>
    <row r="71">
      <c r="A71" s="5">
        <v>8.750949393E9</v>
      </c>
      <c r="B71" s="5" t="s">
        <v>1213</v>
      </c>
      <c r="C71" s="7">
        <v>1.0</v>
      </c>
      <c r="D71" s="5" t="s">
        <v>1361</v>
      </c>
      <c r="E71" s="6">
        <v>46018.798619884255</v>
      </c>
    </row>
    <row r="72">
      <c r="A72" s="5">
        <v>9.810040357E9</v>
      </c>
      <c r="B72" s="5" t="s">
        <v>1213</v>
      </c>
      <c r="C72" s="7">
        <v>1.0</v>
      </c>
      <c r="D72" s="5" t="s">
        <v>1361</v>
      </c>
      <c r="E72" s="6">
        <v>46018.799117118055</v>
      </c>
    </row>
    <row r="73">
      <c r="A73" s="5">
        <v>9.871767175E9</v>
      </c>
      <c r="B73" s="5" t="s">
        <v>1213</v>
      </c>
      <c r="C73" s="7">
        <v>1.0</v>
      </c>
      <c r="D73" s="5" t="s">
        <v>1363</v>
      </c>
      <c r="E73" s="6">
        <v>46018.79963350695</v>
      </c>
    </row>
    <row r="74">
      <c r="A74" s="5">
        <v>9.810658206E9</v>
      </c>
      <c r="B74" s="5" t="s">
        <v>1213</v>
      </c>
      <c r="C74" s="7">
        <v>1.0</v>
      </c>
      <c r="D74" s="5" t="s">
        <v>1362</v>
      </c>
      <c r="E74" s="6">
        <v>46018.799810219905</v>
      </c>
    </row>
    <row r="75">
      <c r="A75" s="5">
        <v>9.810658206E9</v>
      </c>
      <c r="B75" s="5" t="s">
        <v>1213</v>
      </c>
      <c r="C75" s="7">
        <v>1.0</v>
      </c>
      <c r="D75" s="5" t="s">
        <v>1363</v>
      </c>
      <c r="E75" s="6">
        <v>46018.80017729166</v>
      </c>
    </row>
    <row r="76">
      <c r="A76" s="5">
        <v>8.860339733E9</v>
      </c>
      <c r="B76" s="5" t="s">
        <v>1213</v>
      </c>
      <c r="C76" s="7">
        <v>1.0</v>
      </c>
      <c r="D76" s="5" t="s">
        <v>1361</v>
      </c>
      <c r="E76" s="6">
        <v>46018.80020766203</v>
      </c>
    </row>
    <row r="77">
      <c r="A77" s="5">
        <v>8.384049838E9</v>
      </c>
      <c r="B77" s="5" t="s">
        <v>1213</v>
      </c>
      <c r="C77" s="7">
        <v>1.0</v>
      </c>
      <c r="D77" s="5" t="s">
        <v>1363</v>
      </c>
      <c r="E77" s="6">
        <v>46018.80058005787</v>
      </c>
    </row>
    <row r="78">
      <c r="A78" s="5">
        <v>9.811557564E9</v>
      </c>
      <c r="B78" s="5" t="s">
        <v>1213</v>
      </c>
      <c r="C78" s="7">
        <v>1.0</v>
      </c>
      <c r="D78" s="5" t="s">
        <v>1361</v>
      </c>
      <c r="E78" s="6">
        <v>46018.80108954861</v>
      </c>
    </row>
    <row r="79">
      <c r="A79" s="5">
        <v>9.910544267E9</v>
      </c>
      <c r="B79" s="5" t="s">
        <v>1213</v>
      </c>
      <c r="C79" s="7">
        <v>1.0</v>
      </c>
      <c r="D79" s="5" t="s">
        <v>1361</v>
      </c>
      <c r="E79" s="6">
        <v>46018.80157217593</v>
      </c>
    </row>
    <row r="80">
      <c r="A80" s="5">
        <v>9.810100576E9</v>
      </c>
      <c r="B80" s="5" t="s">
        <v>1213</v>
      </c>
      <c r="C80" s="7">
        <v>1.0</v>
      </c>
      <c r="D80" s="5" t="s">
        <v>1361</v>
      </c>
      <c r="E80" s="6">
        <v>46018.80213175926</v>
      </c>
    </row>
    <row r="81">
      <c r="A81" s="5">
        <v>7.087868187E9</v>
      </c>
      <c r="B81" s="5" t="s">
        <v>1213</v>
      </c>
      <c r="C81" s="7">
        <v>1.0</v>
      </c>
      <c r="D81" s="5" t="s">
        <v>1362</v>
      </c>
      <c r="E81" s="6">
        <v>46018.8026878588</v>
      </c>
    </row>
    <row r="82">
      <c r="A82" s="5">
        <v>9.582929727E9</v>
      </c>
      <c r="B82" s="5" t="s">
        <v>1213</v>
      </c>
      <c r="C82" s="7">
        <v>1.0</v>
      </c>
      <c r="D82" s="5" t="s">
        <v>1363</v>
      </c>
      <c r="E82" s="6">
        <v>46018.803201284725</v>
      </c>
    </row>
    <row r="83">
      <c r="A83" s="5">
        <v>9.312401235E9</v>
      </c>
      <c r="B83" s="5" t="s">
        <v>1213</v>
      </c>
      <c r="C83" s="7">
        <v>1.0</v>
      </c>
      <c r="D83" s="5" t="s">
        <v>1362</v>
      </c>
      <c r="E83" s="6">
        <v>46018.80326295139</v>
      </c>
    </row>
    <row r="84">
      <c r="A84" s="5">
        <v>9.355031025E9</v>
      </c>
      <c r="B84" s="5" t="s">
        <v>1213</v>
      </c>
      <c r="C84" s="7">
        <v>1.0</v>
      </c>
      <c r="D84" s="5" t="s">
        <v>1362</v>
      </c>
      <c r="E84" s="6">
        <v>46018.80364733796</v>
      </c>
    </row>
    <row r="85">
      <c r="A85" s="5">
        <v>9.312401235E9</v>
      </c>
      <c r="B85" s="5" t="s">
        <v>1213</v>
      </c>
      <c r="C85" s="7">
        <v>1.0</v>
      </c>
      <c r="D85" s="5" t="s">
        <v>1363</v>
      </c>
      <c r="E85" s="6">
        <v>46018.803678067125</v>
      </c>
    </row>
    <row r="86">
      <c r="A86" s="5">
        <v>7.726868778E9</v>
      </c>
      <c r="B86" s="5" t="s">
        <v>1213</v>
      </c>
      <c r="C86" s="7">
        <v>1.0</v>
      </c>
      <c r="D86" s="5" t="s">
        <v>1362</v>
      </c>
      <c r="E86" s="6">
        <v>46018.80418909722</v>
      </c>
    </row>
    <row r="87">
      <c r="A87" s="5">
        <v>9.717700546E9</v>
      </c>
      <c r="B87" s="5" t="s">
        <v>1213</v>
      </c>
      <c r="C87" s="7">
        <v>1.0</v>
      </c>
      <c r="D87" s="5" t="s">
        <v>1361</v>
      </c>
      <c r="E87" s="6">
        <v>46018.80467416666</v>
      </c>
    </row>
    <row r="88">
      <c r="A88" s="5">
        <v>9.582843222E9</v>
      </c>
      <c r="B88" s="5" t="s">
        <v>1213</v>
      </c>
      <c r="C88" s="7">
        <v>1.0</v>
      </c>
      <c r="D88" s="5" t="s">
        <v>1363</v>
      </c>
      <c r="E88" s="6">
        <v>46018.805218229165</v>
      </c>
    </row>
    <row r="89">
      <c r="A89" s="5">
        <v>8.860435565E9</v>
      </c>
      <c r="B89" s="5" t="s">
        <v>1213</v>
      </c>
      <c r="C89" s="7">
        <v>1.0</v>
      </c>
      <c r="D89" s="5" t="s">
        <v>1362</v>
      </c>
      <c r="E89" s="6">
        <v>46018.805693692135</v>
      </c>
    </row>
    <row r="90">
      <c r="A90" s="5">
        <v>7.015427856E9</v>
      </c>
      <c r="B90" s="5" t="s">
        <v>1213</v>
      </c>
      <c r="C90" s="7">
        <v>1.0</v>
      </c>
      <c r="D90" s="5" t="s">
        <v>1361</v>
      </c>
      <c r="E90" s="6">
        <v>46018.806081180555</v>
      </c>
    </row>
    <row r="91">
      <c r="A91" s="5">
        <v>9.870383056E9</v>
      </c>
      <c r="B91" s="5" t="s">
        <v>1213</v>
      </c>
      <c r="C91" s="7">
        <v>1.0</v>
      </c>
      <c r="D91" s="5" t="s">
        <v>1362</v>
      </c>
      <c r="E91" s="6">
        <v>46018.806571967594</v>
      </c>
    </row>
    <row r="92">
      <c r="A92" s="5">
        <v>7.674984154E9</v>
      </c>
      <c r="B92" s="5" t="s">
        <v>1213</v>
      </c>
      <c r="C92" s="7">
        <v>1.0</v>
      </c>
      <c r="D92" s="5" t="s">
        <v>1362</v>
      </c>
      <c r="E92" s="6">
        <v>46018.80701181713</v>
      </c>
    </row>
    <row r="93">
      <c r="A93" s="5">
        <v>9.871037317E9</v>
      </c>
      <c r="B93" s="5" t="s">
        <v>1213</v>
      </c>
      <c r="C93" s="7">
        <v>1.0</v>
      </c>
      <c r="D93" s="5" t="s">
        <v>1363</v>
      </c>
      <c r="E93" s="6">
        <v>46021.55162140046</v>
      </c>
    </row>
    <row r="94">
      <c r="A94" s="5">
        <v>9.161114007E9</v>
      </c>
      <c r="B94" s="5" t="s">
        <v>1213</v>
      </c>
      <c r="C94" s="7">
        <v>1.0</v>
      </c>
      <c r="D94" s="5" t="s">
        <v>1362</v>
      </c>
      <c r="E94" s="6">
        <v>46021.552047997684</v>
      </c>
    </row>
    <row r="95">
      <c r="A95" s="5">
        <v>9.999110696E9</v>
      </c>
      <c r="B95" s="5" t="s">
        <v>1213</v>
      </c>
      <c r="C95" s="7">
        <v>1.0</v>
      </c>
      <c r="D95" s="5" t="s">
        <v>1361</v>
      </c>
      <c r="E95" s="6">
        <v>46021.55256885417</v>
      </c>
    </row>
    <row r="96">
      <c r="A96" s="5">
        <v>9.394161005E9</v>
      </c>
      <c r="B96" s="5" t="s">
        <v>1213</v>
      </c>
      <c r="C96" s="7">
        <v>1.0</v>
      </c>
      <c r="D96" s="5" t="s">
        <v>1363</v>
      </c>
      <c r="E96" s="6">
        <v>46021.553063217594</v>
      </c>
    </row>
    <row r="97">
      <c r="A97" s="5">
        <v>8.368117429E9</v>
      </c>
      <c r="B97" s="5" t="s">
        <v>1213</v>
      </c>
      <c r="C97" s="7">
        <v>1.0</v>
      </c>
      <c r="D97" s="5" t="s">
        <v>1362</v>
      </c>
      <c r="E97" s="6">
        <v>46021.553426631945</v>
      </c>
    </row>
    <row r="98">
      <c r="A98" s="5">
        <v>7.83829005E9</v>
      </c>
      <c r="B98" s="5" t="s">
        <v>1213</v>
      </c>
      <c r="C98" s="7">
        <v>1.0</v>
      </c>
      <c r="D98" s="5" t="s">
        <v>1361</v>
      </c>
      <c r="E98" s="6">
        <v>46021.55386115741</v>
      </c>
    </row>
    <row r="99">
      <c r="A99" s="5">
        <v>9.811983134E9</v>
      </c>
      <c r="B99" s="5" t="s">
        <v>1213</v>
      </c>
      <c r="C99" s="7">
        <v>1.0</v>
      </c>
      <c r="D99" s="5" t="s">
        <v>1363</v>
      </c>
      <c r="E99" s="6">
        <v>46021.554285833336</v>
      </c>
    </row>
    <row r="100">
      <c r="A100" s="5">
        <v>8.045123222E9</v>
      </c>
      <c r="B100" s="5" t="s">
        <v>1213</v>
      </c>
      <c r="C100" s="7">
        <v>1.0</v>
      </c>
      <c r="D100" s="5" t="s">
        <v>1362</v>
      </c>
      <c r="E100" s="6">
        <v>46021.55481081019</v>
      </c>
    </row>
    <row r="101">
      <c r="A101" s="5">
        <v>9.910930162E9</v>
      </c>
      <c r="B101" s="5" t="s">
        <v>1213</v>
      </c>
      <c r="C101" s="7">
        <v>1.0</v>
      </c>
      <c r="D101" s="5" t="s">
        <v>1363</v>
      </c>
      <c r="E101" s="6">
        <v>46021.555306064816</v>
      </c>
    </row>
    <row r="102">
      <c r="A102" s="5">
        <v>9.958149785E9</v>
      </c>
      <c r="B102" s="5" t="s">
        <v>1213</v>
      </c>
      <c r="C102" s="7">
        <v>1.0</v>
      </c>
      <c r="D102" s="5" t="s">
        <v>1361</v>
      </c>
      <c r="E102" s="6">
        <v>46021.570618287034</v>
      </c>
    </row>
    <row r="103">
      <c r="A103" s="5">
        <v>9.896059501E9</v>
      </c>
      <c r="B103" s="5" t="s">
        <v>1213</v>
      </c>
      <c r="C103" s="7">
        <v>1.0</v>
      </c>
      <c r="D103" s="5" t="s">
        <v>1363</v>
      </c>
      <c r="E103" s="6">
        <v>46021.57110918981</v>
      </c>
    </row>
    <row r="104">
      <c r="A104" s="5">
        <v>8.368953488E9</v>
      </c>
      <c r="B104" s="5" t="s">
        <v>1213</v>
      </c>
      <c r="C104" s="7">
        <v>1.0</v>
      </c>
      <c r="D104" s="5" t="s">
        <v>1362</v>
      </c>
      <c r="E104" s="6">
        <v>46021.57155222222</v>
      </c>
    </row>
    <row r="105">
      <c r="A105" s="5">
        <v>9.821776055E9</v>
      </c>
      <c r="B105" s="5" t="s">
        <v>1213</v>
      </c>
      <c r="C105" s="7">
        <v>1.0</v>
      </c>
      <c r="D105" s="5" t="s">
        <v>1363</v>
      </c>
      <c r="E105" s="6">
        <v>46021.57204108796</v>
      </c>
    </row>
    <row r="106">
      <c r="A106" s="5">
        <v>9.810578174E9</v>
      </c>
      <c r="B106" s="5" t="s">
        <v>1213</v>
      </c>
      <c r="C106" s="7">
        <v>1.0</v>
      </c>
      <c r="D106" s="5" t="s">
        <v>1361</v>
      </c>
      <c r="E106" s="6">
        <v>46021.57251431713</v>
      </c>
    </row>
    <row r="107">
      <c r="A107" s="5">
        <v>9.013362005E9</v>
      </c>
      <c r="B107" s="5" t="s">
        <v>1213</v>
      </c>
      <c r="C107" s="7">
        <v>1.0</v>
      </c>
      <c r="D107" s="5" t="s">
        <v>1362</v>
      </c>
      <c r="E107" s="6">
        <v>46021.57303883102</v>
      </c>
    </row>
    <row r="108">
      <c r="A108" s="5">
        <v>9.821722208E9</v>
      </c>
      <c r="B108" s="5" t="s">
        <v>1213</v>
      </c>
      <c r="C108" s="7">
        <v>1.0</v>
      </c>
      <c r="D108" s="5" t="s">
        <v>1362</v>
      </c>
      <c r="E108" s="6">
        <v>46021.57353725695</v>
      </c>
    </row>
    <row r="109">
      <c r="A109" s="5">
        <v>8.491028157E9</v>
      </c>
      <c r="B109" s="5" t="s">
        <v>1213</v>
      </c>
      <c r="C109" s="7">
        <v>1.0</v>
      </c>
      <c r="D109" s="5" t="s">
        <v>1362</v>
      </c>
      <c r="E109" s="6">
        <v>46021.574068773145</v>
      </c>
    </row>
    <row r="110">
      <c r="A110" s="5">
        <v>9.416519794E9</v>
      </c>
      <c r="B110" s="5" t="s">
        <v>1213</v>
      </c>
      <c r="C110" s="7">
        <v>1.0</v>
      </c>
      <c r="D110" s="5" t="s">
        <v>1362</v>
      </c>
      <c r="E110" s="6">
        <v>46021.57450091435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1338</v>
      </c>
      <c r="B1" s="5" t="s">
        <v>1217</v>
      </c>
      <c r="C1" s="5" t="s">
        <v>0</v>
      </c>
      <c r="D1" s="5" t="s">
        <v>1364</v>
      </c>
      <c r="E1" s="5" t="s">
        <v>1365</v>
      </c>
      <c r="F1" s="5" t="s">
        <v>1366</v>
      </c>
      <c r="G1" s="5" t="s">
        <v>1207</v>
      </c>
      <c r="H1" s="5" t="s">
        <v>1367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1368</v>
      </c>
      <c r="B1" s="5" t="s">
        <v>1369</v>
      </c>
      <c r="C1" s="5" t="s">
        <v>1370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1371</v>
      </c>
      <c r="B1" s="5" t="s">
        <v>1372</v>
      </c>
    </row>
    <row r="2">
      <c r="A2" s="5" t="s">
        <v>1373</v>
      </c>
      <c r="B2" s="7">
        <v>0.0</v>
      </c>
    </row>
    <row r="3">
      <c r="A3" s="5" t="s">
        <v>1374</v>
      </c>
      <c r="B3" s="10">
        <v>46133.0</v>
      </c>
    </row>
    <row r="4">
      <c r="A4" s="5" t="s">
        <v>1375</v>
      </c>
      <c r="B4" s="5" t="s">
        <v>1376</v>
      </c>
    </row>
    <row r="5">
      <c r="A5" s="11"/>
      <c r="B5" s="1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1219</v>
      </c>
      <c r="B1" s="5" t="s">
        <v>1208</v>
      </c>
      <c r="C1" s="5" t="s">
        <v>1359</v>
      </c>
      <c r="D1" s="5" t="s">
        <v>1360</v>
      </c>
      <c r="E1" s="5" t="s">
        <v>1377</v>
      </c>
      <c r="F1" s="5" t="s">
        <v>1368</v>
      </c>
      <c r="G1" s="5" t="s">
        <v>1340</v>
      </c>
      <c r="H1" s="5" t="s">
        <v>1378</v>
      </c>
    </row>
    <row r="2">
      <c r="A2" s="12"/>
      <c r="B2" s="12"/>
      <c r="C2" s="12"/>
      <c r="D2" s="12"/>
      <c r="E2" s="12"/>
      <c r="F2" s="12"/>
      <c r="G2" s="12"/>
      <c r="H2" s="12"/>
    </row>
    <row r="3">
      <c r="A3" s="5">
        <v>1.0</v>
      </c>
      <c r="B3" s="5" t="s">
        <v>1379</v>
      </c>
      <c r="C3" s="5">
        <v>1.0</v>
      </c>
      <c r="D3" s="5" t="s">
        <v>1363</v>
      </c>
      <c r="E3" s="5">
        <v>0.0</v>
      </c>
      <c r="F3" s="13">
        <v>0.46875</v>
      </c>
      <c r="G3" s="5" t="s">
        <v>1380</v>
      </c>
      <c r="H3" s="5" t="s">
        <v>1381</v>
      </c>
    </row>
    <row r="4">
      <c r="A4" s="5">
        <v>1.0</v>
      </c>
      <c r="B4" s="5" t="s">
        <v>1379</v>
      </c>
      <c r="C4" s="5">
        <v>1.0</v>
      </c>
      <c r="D4" s="5" t="s">
        <v>1362</v>
      </c>
      <c r="E4" s="5">
        <v>0.0</v>
      </c>
      <c r="F4" s="13">
        <v>0.65625</v>
      </c>
      <c r="G4" s="5" t="s">
        <v>1382</v>
      </c>
      <c r="H4" s="5" t="s">
        <v>1381</v>
      </c>
    </row>
    <row r="5">
      <c r="A5" s="5">
        <v>1.0</v>
      </c>
      <c r="B5" s="5" t="s">
        <v>1379</v>
      </c>
      <c r="C5" s="5">
        <v>1.0</v>
      </c>
      <c r="D5" s="5" t="s">
        <v>1361</v>
      </c>
      <c r="E5" s="5">
        <v>0.0</v>
      </c>
      <c r="F5" s="13">
        <v>0.7604166666666666</v>
      </c>
      <c r="G5" s="5" t="s">
        <v>1383</v>
      </c>
      <c r="H5" s="5" t="s">
        <v>1381</v>
      </c>
    </row>
    <row r="6">
      <c r="A6" s="12"/>
      <c r="B6" s="12"/>
      <c r="C6" s="12"/>
      <c r="D6" s="12"/>
      <c r="E6" s="12"/>
      <c r="F6" s="12"/>
      <c r="G6" s="12"/>
      <c r="H6" s="12"/>
    </row>
    <row r="7">
      <c r="A7" s="5">
        <v>2.0</v>
      </c>
      <c r="B7" s="5" t="s">
        <v>1379</v>
      </c>
      <c r="C7" s="5">
        <v>2.0</v>
      </c>
      <c r="D7" s="5" t="s">
        <v>1363</v>
      </c>
      <c r="E7" s="5">
        <v>3.0</v>
      </c>
      <c r="F7" s="13">
        <v>0.4791666666666667</v>
      </c>
      <c r="G7" s="5" t="s">
        <v>1384</v>
      </c>
      <c r="H7" s="5" t="s">
        <v>1381</v>
      </c>
    </row>
    <row r="8">
      <c r="A8" s="5">
        <v>2.0</v>
      </c>
      <c r="B8" s="5" t="s">
        <v>1379</v>
      </c>
      <c r="C8" s="5">
        <v>2.0</v>
      </c>
      <c r="D8" s="5" t="s">
        <v>1362</v>
      </c>
      <c r="E8" s="5">
        <v>3.0</v>
      </c>
      <c r="F8" s="13">
        <v>0.6458333333333334</v>
      </c>
      <c r="G8" s="5" t="s">
        <v>1385</v>
      </c>
      <c r="H8" s="5" t="s">
        <v>1381</v>
      </c>
    </row>
    <row r="9">
      <c r="A9" s="5">
        <v>2.0</v>
      </c>
      <c r="B9" s="5" t="s">
        <v>1379</v>
      </c>
      <c r="C9" s="5">
        <v>2.0</v>
      </c>
      <c r="D9" s="5" t="s">
        <v>1361</v>
      </c>
      <c r="E9" s="5">
        <v>3.0</v>
      </c>
      <c r="F9" s="13">
        <v>0.75</v>
      </c>
      <c r="G9" s="5" t="s">
        <v>1386</v>
      </c>
      <c r="H9" s="5" t="s">
        <v>1381</v>
      </c>
    </row>
    <row r="10">
      <c r="A10" s="12"/>
      <c r="B10" s="12"/>
      <c r="C10" s="12"/>
      <c r="D10" s="12"/>
      <c r="E10" s="12"/>
      <c r="F10" s="12"/>
      <c r="G10" s="12"/>
      <c r="H10" s="12"/>
    </row>
    <row r="11">
      <c r="A11" s="5">
        <v>3.0</v>
      </c>
      <c r="B11" s="5" t="s">
        <v>1379</v>
      </c>
      <c r="C11" s="5">
        <v>3.0</v>
      </c>
      <c r="D11" s="5" t="s">
        <v>1363</v>
      </c>
      <c r="E11" s="5">
        <v>8.0</v>
      </c>
      <c r="F11" s="13">
        <v>0.4895833333333333</v>
      </c>
      <c r="G11" s="14" t="s">
        <v>1387</v>
      </c>
      <c r="H11" s="5" t="s">
        <v>1381</v>
      </c>
    </row>
    <row r="12">
      <c r="A12" s="5">
        <v>3.0</v>
      </c>
      <c r="B12" s="5" t="s">
        <v>1379</v>
      </c>
      <c r="C12" s="5">
        <v>3.0</v>
      </c>
      <c r="D12" s="5" t="s">
        <v>1362</v>
      </c>
      <c r="E12" s="5">
        <v>8.0</v>
      </c>
      <c r="F12" s="13">
        <v>0.65625</v>
      </c>
      <c r="G12" s="14" t="s">
        <v>1388</v>
      </c>
      <c r="H12" s="5" t="s">
        <v>1381</v>
      </c>
    </row>
    <row r="13">
      <c r="A13" s="5">
        <v>3.0</v>
      </c>
      <c r="B13" s="5" t="s">
        <v>1379</v>
      </c>
      <c r="C13" s="5">
        <v>3.0</v>
      </c>
      <c r="D13" s="5" t="s">
        <v>1361</v>
      </c>
      <c r="E13" s="5">
        <v>8.0</v>
      </c>
      <c r="F13" s="13">
        <v>0.7604166666666666</v>
      </c>
      <c r="G13" s="14" t="s">
        <v>1389</v>
      </c>
      <c r="H13" s="5" t="s">
        <v>1381</v>
      </c>
    </row>
    <row r="14">
      <c r="A14" s="12"/>
      <c r="B14" s="12"/>
      <c r="C14" s="12"/>
      <c r="D14" s="12"/>
      <c r="E14" s="12"/>
      <c r="F14" s="12"/>
      <c r="G14" s="12"/>
      <c r="H14" s="12"/>
    </row>
    <row r="15">
      <c r="A15" s="5">
        <v>4.0</v>
      </c>
      <c r="B15" s="5" t="s">
        <v>1379</v>
      </c>
      <c r="C15" s="5">
        <v>4.0</v>
      </c>
      <c r="D15" s="5" t="s">
        <v>1363</v>
      </c>
      <c r="E15" s="5">
        <v>15.0</v>
      </c>
      <c r="F15" s="13">
        <v>0.4791666666666667</v>
      </c>
      <c r="G15" s="14" t="s">
        <v>1390</v>
      </c>
      <c r="H15" s="5" t="s">
        <v>1381</v>
      </c>
    </row>
    <row r="16">
      <c r="A16" s="5">
        <v>4.0</v>
      </c>
      <c r="B16" s="5" t="s">
        <v>1379</v>
      </c>
      <c r="C16" s="5">
        <v>4.0</v>
      </c>
      <c r="D16" s="5" t="s">
        <v>1362</v>
      </c>
      <c r="E16" s="5">
        <v>15.0</v>
      </c>
      <c r="F16" s="13">
        <v>0.6458333333333334</v>
      </c>
      <c r="G16" s="14" t="s">
        <v>1391</v>
      </c>
      <c r="H16" s="5" t="s">
        <v>1381</v>
      </c>
    </row>
    <row r="17">
      <c r="A17" s="5">
        <v>4.0</v>
      </c>
      <c r="B17" s="5" t="s">
        <v>1379</v>
      </c>
      <c r="C17" s="5">
        <v>4.0</v>
      </c>
      <c r="D17" s="5" t="s">
        <v>1361</v>
      </c>
      <c r="E17" s="5">
        <v>15.0</v>
      </c>
      <c r="F17" s="13">
        <v>0.75</v>
      </c>
      <c r="G17" s="5" t="s">
        <v>1392</v>
      </c>
      <c r="H17" s="5" t="s">
        <v>1381</v>
      </c>
    </row>
    <row r="18">
      <c r="F18" s="13"/>
    </row>
    <row r="19">
      <c r="F19" s="13"/>
    </row>
    <row r="20">
      <c r="F20" s="13"/>
    </row>
    <row r="21">
      <c r="F21" s="13"/>
    </row>
    <row r="22">
      <c r="F22" s="13"/>
    </row>
    <row r="23">
      <c r="F23" s="13"/>
    </row>
    <row r="24">
      <c r="F24" s="13"/>
    </row>
    <row r="25">
      <c r="F25" s="13"/>
    </row>
    <row r="26">
      <c r="F26" s="13"/>
    </row>
    <row r="27">
      <c r="F27" s="13"/>
    </row>
    <row r="28">
      <c r="A28" s="12"/>
      <c r="B28" s="12"/>
      <c r="C28" s="12"/>
      <c r="D28" s="12"/>
      <c r="E28" s="12"/>
      <c r="F28" s="12"/>
      <c r="G28" s="12"/>
      <c r="H28" s="12"/>
    </row>
    <row r="29">
      <c r="F29" s="13"/>
    </row>
    <row r="30">
      <c r="F30" s="13"/>
    </row>
    <row r="31">
      <c r="F31" s="13"/>
    </row>
    <row r="32">
      <c r="F32" s="13"/>
    </row>
    <row r="33">
      <c r="F33" s="13"/>
    </row>
    <row r="34">
      <c r="F34" s="13"/>
    </row>
    <row r="35">
      <c r="F35" s="13"/>
    </row>
    <row r="36">
      <c r="F36" s="13"/>
    </row>
    <row r="37">
      <c r="F37" s="13"/>
    </row>
    <row r="38">
      <c r="F38" s="13"/>
    </row>
    <row r="39">
      <c r="F39" s="13"/>
    </row>
    <row r="40">
      <c r="F40" s="13"/>
    </row>
    <row r="41">
      <c r="A41" s="12"/>
      <c r="B41" s="12"/>
      <c r="C41" s="12"/>
      <c r="D41" s="12"/>
      <c r="E41" s="12"/>
      <c r="F41" s="12"/>
      <c r="G41" s="12"/>
      <c r="H41" s="12"/>
    </row>
    <row r="42">
      <c r="F42" s="13"/>
    </row>
    <row r="43">
      <c r="F43" s="13"/>
    </row>
    <row r="44">
      <c r="F44" s="13"/>
    </row>
    <row r="45">
      <c r="F45" s="13"/>
    </row>
    <row r="46">
      <c r="F46" s="13"/>
    </row>
    <row r="47">
      <c r="F47" s="13"/>
    </row>
    <row r="48">
      <c r="F48" s="13"/>
    </row>
    <row r="49">
      <c r="F49" s="13"/>
    </row>
    <row r="50">
      <c r="F50" s="13"/>
    </row>
    <row r="51">
      <c r="F51" s="13"/>
    </row>
    <row r="52">
      <c r="F52" s="13"/>
    </row>
    <row r="53">
      <c r="F53" s="13"/>
    </row>
    <row r="54">
      <c r="A54" s="12"/>
      <c r="B54" s="12"/>
      <c r="C54" s="12"/>
      <c r="D54" s="12"/>
      <c r="E54" s="12"/>
      <c r="F54" s="12"/>
      <c r="G54" s="12"/>
      <c r="H54" s="12"/>
    </row>
    <row r="55">
      <c r="F55" s="13"/>
    </row>
    <row r="56">
      <c r="F56" s="13"/>
    </row>
    <row r="57">
      <c r="F57" s="13"/>
    </row>
    <row r="58">
      <c r="F58" s="13"/>
    </row>
    <row r="59">
      <c r="F59" s="13"/>
    </row>
    <row r="60">
      <c r="F60" s="13"/>
    </row>
    <row r="61">
      <c r="F61" s="13"/>
    </row>
    <row r="62">
      <c r="F62" s="13"/>
    </row>
    <row r="63">
      <c r="F63" s="13"/>
    </row>
    <row r="64">
      <c r="F64" s="13"/>
    </row>
    <row r="65">
      <c r="F65" s="13"/>
    </row>
    <row r="66">
      <c r="F66" s="13"/>
    </row>
    <row r="67">
      <c r="A67" s="12"/>
      <c r="B67" s="12"/>
      <c r="C67" s="12"/>
      <c r="D67" s="12"/>
      <c r="E67" s="12"/>
      <c r="F67" s="12"/>
      <c r="G67" s="12"/>
      <c r="H67" s="12"/>
    </row>
    <row r="68">
      <c r="F68" s="13"/>
    </row>
    <row r="69">
      <c r="F69" s="13"/>
    </row>
    <row r="70">
      <c r="F70" s="13"/>
    </row>
    <row r="71">
      <c r="F71" s="13"/>
    </row>
    <row r="72">
      <c r="F72" s="13"/>
    </row>
    <row r="73">
      <c r="F73" s="13"/>
    </row>
    <row r="74">
      <c r="F74" s="13"/>
    </row>
    <row r="75">
      <c r="F75" s="13"/>
    </row>
    <row r="76">
      <c r="F76" s="13"/>
    </row>
    <row r="77">
      <c r="F77" s="13"/>
    </row>
    <row r="78">
      <c r="F78" s="13"/>
    </row>
    <row r="79">
      <c r="F79" s="13"/>
    </row>
    <row r="80">
      <c r="A80" s="12"/>
      <c r="B80" s="12"/>
      <c r="C80" s="12"/>
      <c r="D80" s="12"/>
      <c r="E80" s="12"/>
      <c r="F80" s="12"/>
      <c r="G80" s="12"/>
      <c r="H80" s="12"/>
    </row>
    <row r="81">
      <c r="F81" s="13"/>
    </row>
    <row r="82">
      <c r="F82" s="13"/>
    </row>
    <row r="83">
      <c r="F83" s="13"/>
    </row>
    <row r="84">
      <c r="F84" s="13"/>
    </row>
    <row r="85">
      <c r="F85" s="13"/>
    </row>
    <row r="86">
      <c r="F86" s="13"/>
    </row>
    <row r="87">
      <c r="F87" s="13"/>
    </row>
    <row r="88">
      <c r="F88" s="13"/>
    </row>
    <row r="89">
      <c r="F89" s="13"/>
    </row>
    <row r="90">
      <c r="F90" s="13"/>
    </row>
    <row r="91">
      <c r="F91" s="13"/>
    </row>
    <row r="92">
      <c r="F92" s="13"/>
    </row>
    <row r="93">
      <c r="A93" s="12"/>
      <c r="B93" s="12"/>
      <c r="C93" s="12"/>
      <c r="D93" s="12"/>
      <c r="E93" s="12"/>
      <c r="F93" s="12"/>
      <c r="G93" s="12"/>
      <c r="H93" s="12"/>
    </row>
    <row r="94">
      <c r="F94" s="13"/>
    </row>
    <row r="95">
      <c r="F95" s="13"/>
    </row>
    <row r="96">
      <c r="F96" s="13"/>
    </row>
    <row r="97">
      <c r="F97" s="13"/>
    </row>
    <row r="98">
      <c r="F98" s="13"/>
    </row>
    <row r="99">
      <c r="F99" s="13"/>
    </row>
    <row r="100">
      <c r="F100" s="13"/>
    </row>
    <row r="101">
      <c r="F101" s="13"/>
    </row>
    <row r="102">
      <c r="F102" s="13"/>
    </row>
    <row r="103">
      <c r="F103" s="13"/>
    </row>
    <row r="104">
      <c r="F104" s="13"/>
    </row>
    <row r="105">
      <c r="F105" s="13"/>
    </row>
    <row r="106">
      <c r="A106" s="12"/>
      <c r="B106" s="12"/>
      <c r="C106" s="12"/>
      <c r="D106" s="12"/>
      <c r="E106" s="12"/>
      <c r="F106" s="12"/>
      <c r="G106" s="12"/>
      <c r="H106" s="12"/>
    </row>
    <row r="107">
      <c r="F107" s="13"/>
    </row>
    <row r="108">
      <c r="F108" s="13"/>
    </row>
    <row r="109">
      <c r="F109" s="13"/>
    </row>
    <row r="110">
      <c r="F110" s="13"/>
    </row>
    <row r="111">
      <c r="F111" s="13"/>
    </row>
    <row r="112">
      <c r="F112" s="13"/>
    </row>
    <row r="113">
      <c r="F113" s="13"/>
    </row>
    <row r="114">
      <c r="F114" s="13"/>
    </row>
    <row r="115">
      <c r="F115" s="13"/>
    </row>
    <row r="116">
      <c r="F116" s="13"/>
    </row>
    <row r="117">
      <c r="F117" s="13"/>
    </row>
    <row r="118">
      <c r="F118" s="13"/>
    </row>
    <row r="119">
      <c r="D119" s="8"/>
      <c r="F119" s="13"/>
    </row>
  </sheetData>
  <hyperlinks>
    <hyperlink r:id="rId1" ref="G11"/>
    <hyperlink r:id="rId2" ref="G12"/>
    <hyperlink r:id="rId3" ref="G13"/>
    <hyperlink r:id="rId4" ref="G15"/>
    <hyperlink r:id="rId5" ref="G16"/>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1219</v>
      </c>
      <c r="B1" s="5" t="s">
        <v>1208</v>
      </c>
      <c r="C1" s="5" t="s">
        <v>1359</v>
      </c>
      <c r="D1" s="5" t="s">
        <v>1360</v>
      </c>
      <c r="E1" s="5" t="s">
        <v>1377</v>
      </c>
      <c r="F1" s="5" t="s">
        <v>1368</v>
      </c>
      <c r="G1" s="5" t="s">
        <v>1340</v>
      </c>
      <c r="H1" s="5" t="s">
        <v>1378</v>
      </c>
    </row>
    <row r="2">
      <c r="A2" s="12"/>
      <c r="B2" s="12"/>
      <c r="C2" s="12"/>
      <c r="D2" s="12"/>
      <c r="E2" s="12"/>
      <c r="F2" s="12"/>
      <c r="G2" s="12"/>
      <c r="H2" s="12"/>
    </row>
    <row r="3">
      <c r="A3" s="5">
        <v>1.0</v>
      </c>
      <c r="B3" s="5" t="s">
        <v>1379</v>
      </c>
      <c r="C3" s="5">
        <v>1.0</v>
      </c>
      <c r="D3" s="5" t="s">
        <v>1363</v>
      </c>
      <c r="E3" s="5">
        <v>0.0</v>
      </c>
      <c r="F3" s="13">
        <v>0.46875</v>
      </c>
      <c r="G3" s="5" t="s">
        <v>1393</v>
      </c>
      <c r="H3" s="5" t="s">
        <v>1381</v>
      </c>
    </row>
    <row r="4">
      <c r="A4" s="5">
        <v>1.0</v>
      </c>
      <c r="B4" s="5" t="s">
        <v>1379</v>
      </c>
      <c r="C4" s="5">
        <v>1.0</v>
      </c>
      <c r="D4" s="5" t="s">
        <v>1362</v>
      </c>
      <c r="E4" s="5">
        <v>0.0</v>
      </c>
      <c r="F4" s="13">
        <v>0.65625</v>
      </c>
      <c r="G4" s="5" t="s">
        <v>1394</v>
      </c>
      <c r="H4" s="5" t="s">
        <v>1381</v>
      </c>
    </row>
    <row r="5">
      <c r="A5" s="5">
        <v>1.0</v>
      </c>
      <c r="B5" s="5" t="s">
        <v>1379</v>
      </c>
      <c r="C5" s="5">
        <v>1.0</v>
      </c>
      <c r="D5" s="5" t="s">
        <v>1361</v>
      </c>
      <c r="E5" s="5">
        <v>0.0</v>
      </c>
      <c r="F5" s="13">
        <v>0.7604166666666666</v>
      </c>
      <c r="G5" s="5" t="s">
        <v>1395</v>
      </c>
      <c r="H5" s="5" t="s">
        <v>1381</v>
      </c>
    </row>
    <row r="6">
      <c r="A6" s="12"/>
      <c r="B6" s="12"/>
      <c r="C6" s="12"/>
      <c r="D6" s="12"/>
      <c r="E6" s="12"/>
      <c r="F6" s="12"/>
      <c r="G6" s="12"/>
      <c r="H6" s="12"/>
    </row>
    <row r="7">
      <c r="A7" s="5">
        <v>2.0</v>
      </c>
      <c r="B7" s="5" t="s">
        <v>1379</v>
      </c>
      <c r="C7" s="5">
        <v>2.0</v>
      </c>
      <c r="D7" s="5" t="s">
        <v>1363</v>
      </c>
      <c r="E7" s="5">
        <v>4.0</v>
      </c>
      <c r="F7" s="13">
        <v>0.4791666666666667</v>
      </c>
      <c r="G7" s="5" t="s">
        <v>1396</v>
      </c>
      <c r="H7" s="5" t="s">
        <v>1381</v>
      </c>
    </row>
    <row r="8">
      <c r="A8" s="5">
        <v>2.0</v>
      </c>
      <c r="B8" s="5" t="s">
        <v>1379</v>
      </c>
      <c r="C8" s="5">
        <v>2.0</v>
      </c>
      <c r="D8" s="5" t="s">
        <v>1362</v>
      </c>
      <c r="E8" s="5">
        <v>4.0</v>
      </c>
      <c r="F8" s="13">
        <v>0.6458333333333334</v>
      </c>
      <c r="G8" s="5" t="s">
        <v>1397</v>
      </c>
      <c r="H8" s="5" t="s">
        <v>1381</v>
      </c>
    </row>
    <row r="9">
      <c r="A9" s="5">
        <v>2.0</v>
      </c>
      <c r="B9" s="5" t="s">
        <v>1379</v>
      </c>
      <c r="C9" s="5">
        <v>2.0</v>
      </c>
      <c r="D9" s="5" t="s">
        <v>1361</v>
      </c>
      <c r="E9" s="5">
        <v>4.0</v>
      </c>
      <c r="F9" s="13">
        <v>0.75</v>
      </c>
      <c r="G9" s="5" t="s">
        <v>1398</v>
      </c>
      <c r="H9" s="5" t="s">
        <v>1381</v>
      </c>
    </row>
    <row r="10">
      <c r="A10" s="12"/>
      <c r="B10" s="12"/>
      <c r="C10" s="12"/>
      <c r="D10" s="12"/>
      <c r="E10" s="12"/>
      <c r="F10" s="12"/>
      <c r="G10" s="12"/>
      <c r="H10" s="12"/>
    </row>
    <row r="11">
      <c r="A11" s="5">
        <v>3.0</v>
      </c>
      <c r="B11" s="5" t="s">
        <v>1379</v>
      </c>
      <c r="C11" s="5">
        <v>3.0</v>
      </c>
      <c r="D11" s="5" t="s">
        <v>1363</v>
      </c>
      <c r="E11" s="5">
        <v>10.0</v>
      </c>
      <c r="F11" s="13">
        <v>0.4895833333333333</v>
      </c>
      <c r="G11" s="14" t="s">
        <v>1399</v>
      </c>
      <c r="H11" s="5" t="s">
        <v>1381</v>
      </c>
    </row>
    <row r="12">
      <c r="A12" s="5">
        <v>3.0</v>
      </c>
      <c r="B12" s="5" t="s">
        <v>1379</v>
      </c>
      <c r="C12" s="5">
        <v>3.0</v>
      </c>
      <c r="D12" s="5" t="s">
        <v>1362</v>
      </c>
      <c r="E12" s="5">
        <v>10.0</v>
      </c>
      <c r="F12" s="13">
        <v>0.65625</v>
      </c>
      <c r="G12" s="14" t="s">
        <v>1400</v>
      </c>
      <c r="H12" s="5" t="s">
        <v>1381</v>
      </c>
    </row>
    <row r="13">
      <c r="A13" s="5">
        <v>3.0</v>
      </c>
      <c r="B13" s="5" t="s">
        <v>1379</v>
      </c>
      <c r="C13" s="5">
        <v>3.0</v>
      </c>
      <c r="D13" s="5" t="s">
        <v>1361</v>
      </c>
      <c r="E13" s="5">
        <v>10.0</v>
      </c>
      <c r="F13" s="13">
        <v>0.7604166666666666</v>
      </c>
      <c r="G13" s="14" t="s">
        <v>1401</v>
      </c>
      <c r="H13" s="5" t="s">
        <v>1381</v>
      </c>
    </row>
    <row r="14">
      <c r="A14" s="12"/>
      <c r="B14" s="12"/>
      <c r="C14" s="12"/>
      <c r="D14" s="12"/>
      <c r="E14" s="12"/>
      <c r="F14" s="12"/>
      <c r="G14" s="12"/>
      <c r="H14" s="12"/>
    </row>
    <row r="15">
      <c r="A15" s="5">
        <v>4.0</v>
      </c>
      <c r="B15" s="5" t="s">
        <v>1379</v>
      </c>
      <c r="C15" s="5">
        <v>4.0</v>
      </c>
      <c r="D15" s="5" t="s">
        <v>1363</v>
      </c>
      <c r="E15" s="5">
        <v>20.0</v>
      </c>
      <c r="F15" s="13">
        <v>0.4791666666666667</v>
      </c>
      <c r="G15" s="14" t="s">
        <v>1402</v>
      </c>
      <c r="H15" s="5" t="s">
        <v>1381</v>
      </c>
    </row>
    <row r="16">
      <c r="A16" s="5">
        <v>4.0</v>
      </c>
      <c r="B16" s="5" t="s">
        <v>1379</v>
      </c>
      <c r="C16" s="5">
        <v>4.0</v>
      </c>
      <c r="D16" s="5" t="s">
        <v>1362</v>
      </c>
      <c r="E16" s="5">
        <v>20.0</v>
      </c>
      <c r="F16" s="13">
        <v>0.6458333333333334</v>
      </c>
      <c r="G16" s="14" t="s">
        <v>1403</v>
      </c>
      <c r="H16" s="5" t="s">
        <v>1381</v>
      </c>
    </row>
    <row r="17">
      <c r="A17" s="5">
        <v>4.0</v>
      </c>
      <c r="B17" s="5" t="s">
        <v>1379</v>
      </c>
      <c r="C17" s="5">
        <v>4.0</v>
      </c>
      <c r="D17" s="5" t="s">
        <v>1361</v>
      </c>
      <c r="E17" s="5">
        <v>20.0</v>
      </c>
      <c r="F17" s="13">
        <v>0.75</v>
      </c>
      <c r="G17" s="5" t="s">
        <v>1404</v>
      </c>
      <c r="H17" s="5" t="s">
        <v>1381</v>
      </c>
    </row>
    <row r="18">
      <c r="F18" s="13"/>
    </row>
    <row r="19">
      <c r="F19" s="13"/>
    </row>
    <row r="20">
      <c r="F20" s="13"/>
    </row>
    <row r="21">
      <c r="F21" s="13"/>
    </row>
    <row r="22">
      <c r="F22" s="13"/>
    </row>
    <row r="23">
      <c r="F23" s="13"/>
    </row>
    <row r="24">
      <c r="F24" s="13"/>
    </row>
    <row r="25">
      <c r="F25" s="13"/>
    </row>
    <row r="26">
      <c r="F26" s="13"/>
    </row>
    <row r="27">
      <c r="F27" s="13"/>
    </row>
    <row r="28">
      <c r="A28" s="12"/>
      <c r="B28" s="12"/>
      <c r="C28" s="12"/>
      <c r="D28" s="12"/>
      <c r="E28" s="12"/>
      <c r="F28" s="12"/>
      <c r="G28" s="12"/>
      <c r="H28" s="12"/>
    </row>
    <row r="29">
      <c r="F29" s="13"/>
    </row>
    <row r="30">
      <c r="F30" s="13"/>
    </row>
    <row r="31">
      <c r="F31" s="13"/>
    </row>
    <row r="32">
      <c r="F32" s="13"/>
    </row>
    <row r="33">
      <c r="F33" s="13"/>
    </row>
    <row r="34">
      <c r="F34" s="13"/>
    </row>
    <row r="35">
      <c r="F35" s="13"/>
    </row>
    <row r="36">
      <c r="F36" s="13"/>
    </row>
    <row r="37">
      <c r="F37" s="13"/>
    </row>
    <row r="38">
      <c r="F38" s="13"/>
    </row>
    <row r="39">
      <c r="F39" s="13"/>
    </row>
    <row r="40">
      <c r="F40" s="13"/>
    </row>
    <row r="41">
      <c r="A41" s="12"/>
      <c r="B41" s="12"/>
      <c r="C41" s="12"/>
      <c r="D41" s="12"/>
      <c r="E41" s="12"/>
      <c r="F41" s="12"/>
      <c r="G41" s="12"/>
      <c r="H41" s="12"/>
    </row>
    <row r="42">
      <c r="F42" s="13"/>
    </row>
    <row r="43">
      <c r="F43" s="13"/>
    </row>
    <row r="44">
      <c r="F44" s="13"/>
    </row>
    <row r="45">
      <c r="F45" s="13"/>
    </row>
    <row r="46">
      <c r="F46" s="13"/>
    </row>
    <row r="47">
      <c r="F47" s="13"/>
    </row>
    <row r="48">
      <c r="F48" s="13"/>
    </row>
    <row r="49">
      <c r="F49" s="13"/>
    </row>
    <row r="50">
      <c r="F50" s="13"/>
    </row>
    <row r="51">
      <c r="F51" s="13"/>
    </row>
    <row r="52">
      <c r="F52" s="13"/>
    </row>
    <row r="53">
      <c r="F53" s="13"/>
    </row>
    <row r="54">
      <c r="A54" s="12"/>
      <c r="B54" s="12"/>
      <c r="C54" s="12"/>
      <c r="D54" s="12"/>
      <c r="E54" s="12"/>
      <c r="F54" s="12"/>
      <c r="G54" s="12"/>
      <c r="H54" s="12"/>
    </row>
    <row r="55">
      <c r="F55" s="13"/>
    </row>
    <row r="56">
      <c r="F56" s="13"/>
    </row>
    <row r="57">
      <c r="F57" s="13"/>
    </row>
    <row r="58">
      <c r="F58" s="13"/>
    </row>
    <row r="59">
      <c r="F59" s="13"/>
    </row>
    <row r="60">
      <c r="F60" s="13"/>
    </row>
    <row r="61">
      <c r="F61" s="13"/>
    </row>
    <row r="62">
      <c r="F62" s="13"/>
    </row>
    <row r="63">
      <c r="F63" s="13"/>
    </row>
    <row r="64">
      <c r="F64" s="13"/>
    </row>
    <row r="65">
      <c r="F65" s="13"/>
    </row>
    <row r="66">
      <c r="F66" s="13"/>
    </row>
    <row r="67">
      <c r="A67" s="12"/>
      <c r="B67" s="12"/>
      <c r="C67" s="12"/>
      <c r="D67" s="12"/>
      <c r="E67" s="12"/>
      <c r="F67" s="12"/>
      <c r="G67" s="12"/>
      <c r="H67" s="12"/>
    </row>
    <row r="68">
      <c r="F68" s="13"/>
    </row>
    <row r="69">
      <c r="F69" s="13"/>
    </row>
    <row r="70">
      <c r="F70" s="13"/>
    </row>
    <row r="71">
      <c r="F71" s="13"/>
    </row>
    <row r="72">
      <c r="F72" s="13"/>
    </row>
    <row r="73">
      <c r="F73" s="13"/>
    </row>
    <row r="74">
      <c r="F74" s="13"/>
    </row>
    <row r="75">
      <c r="F75" s="13"/>
    </row>
    <row r="76">
      <c r="F76" s="13"/>
    </row>
    <row r="77">
      <c r="F77" s="13"/>
    </row>
    <row r="78">
      <c r="F78" s="13"/>
    </row>
    <row r="79">
      <c r="F79" s="13"/>
    </row>
    <row r="80">
      <c r="A80" s="12"/>
      <c r="B80" s="12"/>
      <c r="C80" s="12"/>
      <c r="D80" s="12"/>
      <c r="E80" s="12"/>
      <c r="F80" s="12"/>
      <c r="G80" s="12"/>
      <c r="H80" s="12"/>
    </row>
    <row r="81">
      <c r="F81" s="13"/>
    </row>
    <row r="82">
      <c r="F82" s="13"/>
    </row>
    <row r="83">
      <c r="F83" s="13"/>
    </row>
    <row r="84">
      <c r="F84" s="13"/>
    </row>
    <row r="85">
      <c r="F85" s="13"/>
    </row>
    <row r="86">
      <c r="F86" s="13"/>
    </row>
    <row r="87">
      <c r="F87" s="13"/>
    </row>
    <row r="88">
      <c r="F88" s="13"/>
    </row>
    <row r="89">
      <c r="F89" s="13"/>
    </row>
    <row r="90">
      <c r="F90" s="13"/>
    </row>
    <row r="91">
      <c r="F91" s="13"/>
    </row>
    <row r="92">
      <c r="F92" s="13"/>
    </row>
    <row r="93">
      <c r="A93" s="12"/>
      <c r="B93" s="12"/>
      <c r="C93" s="12"/>
      <c r="D93" s="12"/>
      <c r="E93" s="12"/>
      <c r="F93" s="12"/>
      <c r="G93" s="12"/>
      <c r="H93" s="12"/>
    </row>
    <row r="94">
      <c r="F94" s="13"/>
    </row>
    <row r="95">
      <c r="F95" s="13"/>
    </row>
    <row r="96">
      <c r="F96" s="13"/>
    </row>
    <row r="97">
      <c r="F97" s="13"/>
    </row>
    <row r="98">
      <c r="F98" s="13"/>
    </row>
    <row r="99">
      <c r="F99" s="13"/>
    </row>
    <row r="100">
      <c r="F100" s="13"/>
    </row>
    <row r="101">
      <c r="F101" s="13"/>
    </row>
    <row r="102">
      <c r="F102" s="13"/>
    </row>
    <row r="103">
      <c r="F103" s="13"/>
    </row>
    <row r="104">
      <c r="F104" s="13"/>
    </row>
    <row r="105">
      <c r="F105" s="13"/>
    </row>
    <row r="106">
      <c r="A106" s="12"/>
      <c r="B106" s="12"/>
      <c r="C106" s="12"/>
      <c r="D106" s="12"/>
      <c r="E106" s="12"/>
      <c r="F106" s="12"/>
      <c r="G106" s="12"/>
      <c r="H106" s="12"/>
    </row>
    <row r="107">
      <c r="F107" s="13"/>
    </row>
    <row r="108">
      <c r="F108" s="13"/>
    </row>
    <row r="109">
      <c r="F109" s="13"/>
    </row>
    <row r="110">
      <c r="F110" s="13"/>
    </row>
    <row r="111">
      <c r="F111" s="13"/>
    </row>
    <row r="112">
      <c r="F112" s="13"/>
    </row>
    <row r="113">
      <c r="F113" s="13"/>
    </row>
    <row r="114">
      <c r="F114" s="13"/>
    </row>
    <row r="115">
      <c r="F115" s="13"/>
    </row>
    <row r="116">
      <c r="F116" s="13"/>
    </row>
    <row r="117">
      <c r="F117" s="13"/>
    </row>
    <row r="118">
      <c r="F118" s="13"/>
    </row>
    <row r="119">
      <c r="A119" s="12"/>
      <c r="B119" s="12"/>
      <c r="C119" s="12"/>
      <c r="D119" s="12"/>
      <c r="E119" s="12"/>
      <c r="F119" s="12"/>
      <c r="G119" s="12"/>
      <c r="H119" s="12"/>
    </row>
    <row r="120">
      <c r="F120" s="13"/>
    </row>
    <row r="121">
      <c r="F121" s="13"/>
    </row>
    <row r="122">
      <c r="F122" s="13"/>
    </row>
    <row r="123">
      <c r="F123" s="13"/>
    </row>
    <row r="124">
      <c r="F124" s="13"/>
    </row>
    <row r="125">
      <c r="F125" s="13"/>
    </row>
    <row r="126">
      <c r="F126" s="13"/>
    </row>
    <row r="127">
      <c r="F127" s="13"/>
    </row>
    <row r="128">
      <c r="F128" s="13"/>
    </row>
    <row r="129">
      <c r="F129" s="13"/>
    </row>
    <row r="130">
      <c r="F130" s="13"/>
    </row>
    <row r="131">
      <c r="F131" s="13"/>
    </row>
    <row r="132">
      <c r="D132" s="8"/>
      <c r="F132" s="13"/>
    </row>
  </sheetData>
  <hyperlinks>
    <hyperlink r:id="rId1" ref="G11"/>
    <hyperlink r:id="rId2" ref="G12"/>
    <hyperlink r:id="rId3" ref="G13"/>
    <hyperlink r:id="rId4" ref="G15"/>
    <hyperlink r:id="rId5" ref="G16"/>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1405</v>
      </c>
      <c r="B1" s="12" t="s">
        <v>1378</v>
      </c>
      <c r="C1" s="12" t="s">
        <v>1340</v>
      </c>
    </row>
    <row r="2">
      <c r="A2" s="5" t="s">
        <v>1406</v>
      </c>
      <c r="B2" s="5" t="s">
        <v>1376</v>
      </c>
      <c r="C2" s="5" t="s">
        <v>1407</v>
      </c>
    </row>
    <row r="3">
      <c r="A3" s="5" t="s">
        <v>1408</v>
      </c>
      <c r="B3" s="5" t="s">
        <v>1376</v>
      </c>
      <c r="C3" s="5" t="s">
        <v>1409</v>
      </c>
    </row>
    <row r="4">
      <c r="A4" s="5" t="s">
        <v>1410</v>
      </c>
      <c r="B4" s="5" t="s">
        <v>1376</v>
      </c>
      <c r="C4" s="5" t="s">
        <v>1411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5"/>
    <col customWidth="1" min="3" max="3" width="5.88"/>
    <col customWidth="1" min="4" max="4" width="6.5"/>
    <col customWidth="1" min="7" max="7" width="91.0"/>
  </cols>
  <sheetData>
    <row r="1">
      <c r="A1" s="5" t="s">
        <v>1219</v>
      </c>
      <c r="B1" s="5" t="s">
        <v>1208</v>
      </c>
      <c r="C1" s="5" t="s">
        <v>1359</v>
      </c>
      <c r="D1" s="5" t="s">
        <v>1360</v>
      </c>
      <c r="E1" s="5" t="s">
        <v>1377</v>
      </c>
      <c r="F1" s="5" t="s">
        <v>1368</v>
      </c>
      <c r="G1" s="5" t="s">
        <v>1340</v>
      </c>
      <c r="H1" s="5" t="s">
        <v>1378</v>
      </c>
    </row>
    <row r="2">
      <c r="A2" s="12" t="s">
        <v>1219</v>
      </c>
      <c r="B2" s="12" t="s">
        <v>1208</v>
      </c>
      <c r="C2" s="12" t="s">
        <v>1359</v>
      </c>
      <c r="D2" s="12" t="s">
        <v>1360</v>
      </c>
      <c r="E2" s="12" t="s">
        <v>1377</v>
      </c>
      <c r="F2" s="12" t="s">
        <v>1368</v>
      </c>
      <c r="G2" s="12" t="s">
        <v>1340</v>
      </c>
      <c r="H2" s="12" t="s">
        <v>1378</v>
      </c>
    </row>
    <row r="3">
      <c r="A3" s="5">
        <v>1.0</v>
      </c>
      <c r="B3" s="5" t="s">
        <v>1211</v>
      </c>
      <c r="C3" s="5">
        <v>1.0</v>
      </c>
      <c r="D3" s="5" t="s">
        <v>1363</v>
      </c>
      <c r="E3" s="5">
        <v>0.0</v>
      </c>
      <c r="F3" s="13">
        <v>0.46875</v>
      </c>
      <c r="G3" s="5" t="s">
        <v>1412</v>
      </c>
      <c r="H3" s="5" t="s">
        <v>1381</v>
      </c>
    </row>
    <row r="4">
      <c r="A4" s="5">
        <v>1.0</v>
      </c>
      <c r="B4" s="5" t="s">
        <v>1211</v>
      </c>
      <c r="C4" s="5">
        <v>1.0</v>
      </c>
      <c r="D4" s="5" t="s">
        <v>1362</v>
      </c>
      <c r="E4" s="5">
        <v>0.0</v>
      </c>
      <c r="F4" s="13">
        <v>0.65625</v>
      </c>
      <c r="G4" s="5" t="s">
        <v>1413</v>
      </c>
      <c r="H4" s="5" t="s">
        <v>1381</v>
      </c>
    </row>
    <row r="5">
      <c r="A5" s="5">
        <v>1.0</v>
      </c>
      <c r="B5" s="5" t="s">
        <v>1211</v>
      </c>
      <c r="C5" s="5">
        <v>1.0</v>
      </c>
      <c r="D5" s="5" t="s">
        <v>1361</v>
      </c>
      <c r="E5" s="5">
        <v>0.0</v>
      </c>
      <c r="F5" s="13">
        <v>0.7604166666666666</v>
      </c>
      <c r="G5" s="5" t="s">
        <v>1414</v>
      </c>
      <c r="H5" s="5" t="s">
        <v>1381</v>
      </c>
    </row>
    <row r="6">
      <c r="A6" s="5">
        <v>2.0</v>
      </c>
      <c r="B6" s="5" t="s">
        <v>1211</v>
      </c>
      <c r="C6" s="5">
        <v>2.0</v>
      </c>
      <c r="D6" s="5" t="s">
        <v>1363</v>
      </c>
      <c r="E6" s="5">
        <v>2.0</v>
      </c>
      <c r="F6" s="13">
        <v>0.4791666666666667</v>
      </c>
      <c r="G6" s="5" t="s">
        <v>1415</v>
      </c>
      <c r="H6" s="5" t="s">
        <v>1381</v>
      </c>
    </row>
    <row r="7">
      <c r="A7" s="5">
        <v>2.0</v>
      </c>
      <c r="B7" s="5" t="s">
        <v>1211</v>
      </c>
      <c r="C7" s="5">
        <v>2.0</v>
      </c>
      <c r="D7" s="5" t="s">
        <v>1362</v>
      </c>
      <c r="E7" s="5">
        <v>2.0</v>
      </c>
      <c r="F7" s="13">
        <v>0.6458333333333334</v>
      </c>
      <c r="G7" s="5" t="s">
        <v>1416</v>
      </c>
      <c r="H7" s="5" t="s">
        <v>1381</v>
      </c>
    </row>
    <row r="8">
      <c r="A8" s="5">
        <v>2.0</v>
      </c>
      <c r="B8" s="5" t="s">
        <v>1211</v>
      </c>
      <c r="C8" s="5">
        <v>2.0</v>
      </c>
      <c r="D8" s="5" t="s">
        <v>1361</v>
      </c>
      <c r="E8" s="5">
        <v>2.0</v>
      </c>
      <c r="F8" s="13">
        <v>0.75</v>
      </c>
      <c r="G8" s="5" t="s">
        <v>1417</v>
      </c>
      <c r="H8" s="5" t="s">
        <v>1381</v>
      </c>
    </row>
    <row r="9">
      <c r="A9" s="5">
        <v>3.0</v>
      </c>
      <c r="B9" s="5" t="s">
        <v>1211</v>
      </c>
      <c r="C9" s="5">
        <v>3.0</v>
      </c>
      <c r="D9" s="5" t="s">
        <v>1363</v>
      </c>
      <c r="E9" s="5">
        <v>6.0</v>
      </c>
      <c r="F9" s="13">
        <v>0.4895833333333333</v>
      </c>
      <c r="G9" s="14" t="s">
        <v>1418</v>
      </c>
      <c r="H9" s="5" t="s">
        <v>1381</v>
      </c>
    </row>
    <row r="10">
      <c r="A10" s="5">
        <v>3.0</v>
      </c>
      <c r="B10" s="5" t="s">
        <v>1211</v>
      </c>
      <c r="C10" s="5">
        <v>3.0</v>
      </c>
      <c r="D10" s="5" t="s">
        <v>1362</v>
      </c>
      <c r="E10" s="5">
        <v>6.0</v>
      </c>
      <c r="F10" s="13">
        <v>0.65625</v>
      </c>
      <c r="G10" s="14" t="s">
        <v>1419</v>
      </c>
      <c r="H10" s="5" t="s">
        <v>1381</v>
      </c>
    </row>
    <row r="11">
      <c r="A11" s="5">
        <v>3.0</v>
      </c>
      <c r="B11" s="5" t="s">
        <v>1211</v>
      </c>
      <c r="C11" s="5">
        <v>3.0</v>
      </c>
      <c r="D11" s="5" t="s">
        <v>1361</v>
      </c>
      <c r="E11" s="5">
        <v>6.0</v>
      </c>
      <c r="F11" s="13">
        <v>0.7604166666666666</v>
      </c>
      <c r="G11" s="14" t="s">
        <v>1420</v>
      </c>
      <c r="H11" s="5" t="s">
        <v>1381</v>
      </c>
    </row>
    <row r="12">
      <c r="A12" s="5">
        <v>4.0</v>
      </c>
      <c r="B12" s="5" t="s">
        <v>1211</v>
      </c>
      <c r="C12" s="5">
        <v>4.0</v>
      </c>
      <c r="D12" s="5" t="s">
        <v>1363</v>
      </c>
      <c r="E12" s="5">
        <v>12.0</v>
      </c>
      <c r="F12" s="13">
        <v>0.4791666666666667</v>
      </c>
      <c r="G12" s="14" t="s">
        <v>1421</v>
      </c>
      <c r="H12" s="5" t="s">
        <v>1381</v>
      </c>
    </row>
    <row r="13">
      <c r="A13" s="5">
        <v>4.0</v>
      </c>
      <c r="B13" s="5" t="s">
        <v>1211</v>
      </c>
      <c r="C13" s="5">
        <v>4.0</v>
      </c>
      <c r="D13" s="5" t="s">
        <v>1362</v>
      </c>
      <c r="E13" s="5">
        <v>12.0</v>
      </c>
      <c r="F13" s="13">
        <v>0.6458333333333334</v>
      </c>
      <c r="G13" s="14" t="s">
        <v>1422</v>
      </c>
      <c r="H13" s="5" t="s">
        <v>1381</v>
      </c>
    </row>
    <row r="14">
      <c r="A14" s="5">
        <v>4.0</v>
      </c>
      <c r="B14" s="5" t="s">
        <v>1211</v>
      </c>
      <c r="C14" s="5">
        <v>4.0</v>
      </c>
      <c r="D14" s="5" t="s">
        <v>1361</v>
      </c>
      <c r="E14" s="5">
        <v>12.0</v>
      </c>
      <c r="F14" s="13">
        <v>0.75</v>
      </c>
      <c r="G14" s="5" t="s">
        <v>1423</v>
      </c>
      <c r="H14" s="5" t="s">
        <v>1381</v>
      </c>
    </row>
    <row r="15">
      <c r="A15" s="12"/>
      <c r="B15" s="12"/>
      <c r="C15" s="12"/>
      <c r="D15" s="12"/>
      <c r="E15" s="12"/>
      <c r="F15" s="12"/>
      <c r="G15" s="12"/>
      <c r="H15" s="12"/>
    </row>
    <row r="16">
      <c r="A16" s="5">
        <v>1.0</v>
      </c>
      <c r="B16" s="5" t="s">
        <v>1215</v>
      </c>
      <c r="C16" s="5">
        <v>1.0</v>
      </c>
      <c r="D16" s="5" t="s">
        <v>1363</v>
      </c>
      <c r="E16" s="5">
        <v>0.0</v>
      </c>
      <c r="F16" s="13">
        <v>0.46875</v>
      </c>
      <c r="G16" s="5" t="s">
        <v>1424</v>
      </c>
      <c r="H16" s="5" t="s">
        <v>1381</v>
      </c>
    </row>
    <row r="17">
      <c r="A17" s="5">
        <v>1.0</v>
      </c>
      <c r="B17" s="5" t="s">
        <v>1215</v>
      </c>
      <c r="C17" s="5">
        <v>1.0</v>
      </c>
      <c r="D17" s="5" t="s">
        <v>1362</v>
      </c>
      <c r="E17" s="5">
        <v>0.0</v>
      </c>
      <c r="F17" s="13">
        <v>0.65625</v>
      </c>
      <c r="G17" s="5" t="s">
        <v>1425</v>
      </c>
      <c r="H17" s="5" t="s">
        <v>1381</v>
      </c>
    </row>
    <row r="18">
      <c r="A18" s="5">
        <v>1.0</v>
      </c>
      <c r="B18" s="5" t="s">
        <v>1215</v>
      </c>
      <c r="C18" s="5">
        <v>1.0</v>
      </c>
      <c r="D18" s="5" t="s">
        <v>1361</v>
      </c>
      <c r="E18" s="5">
        <v>0.0</v>
      </c>
      <c r="F18" s="13">
        <v>0.7604166666666666</v>
      </c>
      <c r="G18" s="5" t="s">
        <v>1426</v>
      </c>
      <c r="H18" s="5" t="s">
        <v>1381</v>
      </c>
    </row>
    <row r="19">
      <c r="A19" s="5">
        <v>2.0</v>
      </c>
      <c r="B19" s="5" t="s">
        <v>1215</v>
      </c>
      <c r="C19" s="5">
        <v>2.0</v>
      </c>
      <c r="D19" s="5" t="s">
        <v>1363</v>
      </c>
      <c r="E19" s="5">
        <v>2.0</v>
      </c>
      <c r="F19" s="13">
        <v>0.4791666666666667</v>
      </c>
      <c r="G19" s="5" t="s">
        <v>1427</v>
      </c>
      <c r="H19" s="5" t="s">
        <v>1381</v>
      </c>
    </row>
    <row r="20">
      <c r="A20" s="5">
        <v>2.0</v>
      </c>
      <c r="B20" s="5" t="s">
        <v>1215</v>
      </c>
      <c r="C20" s="5">
        <v>2.0</v>
      </c>
      <c r="D20" s="5" t="s">
        <v>1362</v>
      </c>
      <c r="E20" s="5">
        <v>2.0</v>
      </c>
      <c r="F20" s="13">
        <v>0.6458333333333334</v>
      </c>
      <c r="G20" s="5" t="s">
        <v>1428</v>
      </c>
      <c r="H20" s="5" t="s">
        <v>1381</v>
      </c>
    </row>
    <row r="21">
      <c r="A21" s="5">
        <v>2.0</v>
      </c>
      <c r="B21" s="5" t="s">
        <v>1215</v>
      </c>
      <c r="C21" s="5">
        <v>2.0</v>
      </c>
      <c r="D21" s="5" t="s">
        <v>1361</v>
      </c>
      <c r="E21" s="5">
        <v>2.0</v>
      </c>
      <c r="F21" s="13">
        <v>0.75</v>
      </c>
      <c r="G21" s="5" t="s">
        <v>1429</v>
      </c>
      <c r="H21" s="5" t="s">
        <v>1381</v>
      </c>
    </row>
    <row r="22">
      <c r="A22" s="5">
        <v>3.0</v>
      </c>
      <c r="B22" s="5" t="s">
        <v>1215</v>
      </c>
      <c r="C22" s="5">
        <v>3.0</v>
      </c>
      <c r="D22" s="5" t="s">
        <v>1363</v>
      </c>
      <c r="E22" s="5">
        <v>6.0</v>
      </c>
      <c r="F22" s="13">
        <v>0.4895833333333333</v>
      </c>
      <c r="G22" s="14" t="s">
        <v>1430</v>
      </c>
      <c r="H22" s="5" t="s">
        <v>1381</v>
      </c>
    </row>
    <row r="23">
      <c r="A23" s="5">
        <v>3.0</v>
      </c>
      <c r="B23" s="5" t="s">
        <v>1215</v>
      </c>
      <c r="C23" s="5">
        <v>3.0</v>
      </c>
      <c r="D23" s="5" t="s">
        <v>1362</v>
      </c>
      <c r="E23" s="5">
        <v>6.0</v>
      </c>
      <c r="F23" s="13">
        <v>0.65625</v>
      </c>
      <c r="G23" s="14" t="s">
        <v>1431</v>
      </c>
      <c r="H23" s="5" t="s">
        <v>1381</v>
      </c>
    </row>
    <row r="24">
      <c r="A24" s="5">
        <v>3.0</v>
      </c>
      <c r="B24" s="5" t="s">
        <v>1215</v>
      </c>
      <c r="C24" s="5">
        <v>3.0</v>
      </c>
      <c r="D24" s="5" t="s">
        <v>1361</v>
      </c>
      <c r="E24" s="5">
        <v>6.0</v>
      </c>
      <c r="F24" s="13">
        <v>0.7604166666666666</v>
      </c>
      <c r="G24" s="14" t="s">
        <v>1432</v>
      </c>
      <c r="H24" s="5" t="s">
        <v>1381</v>
      </c>
    </row>
    <row r="25">
      <c r="A25" s="5">
        <v>4.0</v>
      </c>
      <c r="B25" s="5" t="s">
        <v>1215</v>
      </c>
      <c r="C25" s="5">
        <v>4.0</v>
      </c>
      <c r="D25" s="5" t="s">
        <v>1363</v>
      </c>
      <c r="E25" s="5">
        <v>12.0</v>
      </c>
      <c r="F25" s="13">
        <v>0.4791666666666667</v>
      </c>
      <c r="G25" s="14" t="s">
        <v>1433</v>
      </c>
      <c r="H25" s="5" t="s">
        <v>1381</v>
      </c>
    </row>
    <row r="26">
      <c r="A26" s="5">
        <v>4.0</v>
      </c>
      <c r="B26" s="5" t="s">
        <v>1215</v>
      </c>
      <c r="C26" s="5">
        <v>4.0</v>
      </c>
      <c r="D26" s="5" t="s">
        <v>1362</v>
      </c>
      <c r="E26" s="5">
        <v>12.0</v>
      </c>
      <c r="F26" s="13">
        <v>0.6458333333333334</v>
      </c>
      <c r="G26" s="14" t="s">
        <v>1434</v>
      </c>
      <c r="H26" s="5" t="s">
        <v>1381</v>
      </c>
    </row>
    <row r="27">
      <c r="A27" s="5">
        <v>4.0</v>
      </c>
      <c r="B27" s="5" t="s">
        <v>1215</v>
      </c>
      <c r="C27" s="5">
        <v>4.0</v>
      </c>
      <c r="D27" s="5" t="s">
        <v>1361</v>
      </c>
      <c r="E27" s="5">
        <v>12.0</v>
      </c>
      <c r="F27" s="13">
        <v>0.75</v>
      </c>
      <c r="G27" s="5" t="s">
        <v>1435</v>
      </c>
      <c r="H27" s="5" t="s">
        <v>1381</v>
      </c>
    </row>
    <row r="28">
      <c r="A28" s="12"/>
      <c r="B28" s="12"/>
      <c r="C28" s="12"/>
      <c r="D28" s="12"/>
      <c r="E28" s="12"/>
      <c r="F28" s="12"/>
      <c r="G28" s="12"/>
      <c r="H28" s="12"/>
    </row>
    <row r="29">
      <c r="A29" s="5">
        <v>1.0</v>
      </c>
      <c r="B29" s="5" t="s">
        <v>1436</v>
      </c>
      <c r="C29" s="5">
        <v>1.0</v>
      </c>
      <c r="D29" s="5" t="s">
        <v>1363</v>
      </c>
      <c r="E29" s="5">
        <v>0.0</v>
      </c>
      <c r="F29" s="13">
        <v>0.46875</v>
      </c>
      <c r="G29" s="5" t="s">
        <v>1437</v>
      </c>
      <c r="H29" s="5" t="s">
        <v>1381</v>
      </c>
    </row>
    <row r="30">
      <c r="A30" s="5">
        <v>1.0</v>
      </c>
      <c r="B30" s="5" t="s">
        <v>1436</v>
      </c>
      <c r="C30" s="5">
        <v>1.0</v>
      </c>
      <c r="D30" s="5" t="s">
        <v>1362</v>
      </c>
      <c r="E30" s="5">
        <v>0.0</v>
      </c>
      <c r="F30" s="13">
        <v>0.65625</v>
      </c>
      <c r="G30" s="5" t="s">
        <v>1438</v>
      </c>
      <c r="H30" s="5" t="s">
        <v>1381</v>
      </c>
    </row>
    <row r="31">
      <c r="A31" s="5">
        <v>1.0</v>
      </c>
      <c r="B31" s="5" t="s">
        <v>1436</v>
      </c>
      <c r="C31" s="5">
        <v>1.0</v>
      </c>
      <c r="D31" s="5" t="s">
        <v>1361</v>
      </c>
      <c r="E31" s="5">
        <v>0.0</v>
      </c>
      <c r="F31" s="13">
        <v>0.7604166666666666</v>
      </c>
      <c r="G31" s="5" t="s">
        <v>1439</v>
      </c>
      <c r="H31" s="5" t="s">
        <v>1381</v>
      </c>
    </row>
    <row r="32">
      <c r="A32" s="5">
        <v>2.0</v>
      </c>
      <c r="B32" s="5" t="s">
        <v>1436</v>
      </c>
      <c r="C32" s="5">
        <v>2.0</v>
      </c>
      <c r="D32" s="5" t="s">
        <v>1363</v>
      </c>
      <c r="E32" s="5">
        <v>2.0</v>
      </c>
      <c r="F32" s="13">
        <v>0.4791666666666667</v>
      </c>
      <c r="G32" s="5" t="s">
        <v>1440</v>
      </c>
      <c r="H32" s="5" t="s">
        <v>1381</v>
      </c>
    </row>
    <row r="33">
      <c r="A33" s="5">
        <v>2.0</v>
      </c>
      <c r="B33" s="5" t="s">
        <v>1436</v>
      </c>
      <c r="C33" s="5">
        <v>2.0</v>
      </c>
      <c r="D33" s="5" t="s">
        <v>1362</v>
      </c>
      <c r="E33" s="5">
        <v>2.0</v>
      </c>
      <c r="F33" s="13">
        <v>0.6458333333333334</v>
      </c>
      <c r="G33" s="5" t="s">
        <v>1441</v>
      </c>
      <c r="H33" s="5" t="s">
        <v>1381</v>
      </c>
    </row>
    <row r="34">
      <c r="A34" s="5">
        <v>2.0</v>
      </c>
      <c r="B34" s="5" t="s">
        <v>1436</v>
      </c>
      <c r="C34" s="5">
        <v>2.0</v>
      </c>
      <c r="D34" s="5" t="s">
        <v>1361</v>
      </c>
      <c r="E34" s="5">
        <v>2.0</v>
      </c>
      <c r="F34" s="13">
        <v>0.75</v>
      </c>
      <c r="G34" s="5" t="s">
        <v>1442</v>
      </c>
      <c r="H34" s="5" t="s">
        <v>1381</v>
      </c>
    </row>
    <row r="35">
      <c r="A35" s="5">
        <v>3.0</v>
      </c>
      <c r="B35" s="5" t="s">
        <v>1436</v>
      </c>
      <c r="C35" s="5">
        <v>3.0</v>
      </c>
      <c r="D35" s="5" t="s">
        <v>1363</v>
      </c>
      <c r="E35" s="5">
        <v>6.0</v>
      </c>
      <c r="F35" s="13">
        <v>0.4895833333333333</v>
      </c>
      <c r="G35" s="14" t="s">
        <v>1443</v>
      </c>
      <c r="H35" s="5" t="s">
        <v>1381</v>
      </c>
    </row>
    <row r="36">
      <c r="A36" s="5">
        <v>3.0</v>
      </c>
      <c r="B36" s="5" t="s">
        <v>1436</v>
      </c>
      <c r="C36" s="5">
        <v>3.0</v>
      </c>
      <c r="D36" s="5" t="s">
        <v>1362</v>
      </c>
      <c r="E36" s="5">
        <v>6.0</v>
      </c>
      <c r="F36" s="13">
        <v>0.65625</v>
      </c>
      <c r="G36" s="14" t="s">
        <v>1444</v>
      </c>
      <c r="H36" s="5" t="s">
        <v>1381</v>
      </c>
    </row>
    <row r="37">
      <c r="A37" s="5">
        <v>3.0</v>
      </c>
      <c r="B37" s="5" t="s">
        <v>1436</v>
      </c>
      <c r="C37" s="5">
        <v>3.0</v>
      </c>
      <c r="D37" s="5" t="s">
        <v>1361</v>
      </c>
      <c r="E37" s="5">
        <v>6.0</v>
      </c>
      <c r="F37" s="13">
        <v>0.7604166666666666</v>
      </c>
      <c r="G37" s="14" t="s">
        <v>1445</v>
      </c>
      <c r="H37" s="5" t="s">
        <v>1381</v>
      </c>
    </row>
    <row r="38">
      <c r="A38" s="5">
        <v>4.0</v>
      </c>
      <c r="B38" s="5" t="s">
        <v>1436</v>
      </c>
      <c r="C38" s="5">
        <v>4.0</v>
      </c>
      <c r="D38" s="5" t="s">
        <v>1363</v>
      </c>
      <c r="E38" s="5">
        <v>12.0</v>
      </c>
      <c r="F38" s="13">
        <v>0.4791666666666667</v>
      </c>
      <c r="G38" s="14" t="s">
        <v>1446</v>
      </c>
      <c r="H38" s="5" t="s">
        <v>1381</v>
      </c>
    </row>
    <row r="39">
      <c r="A39" s="5">
        <v>4.0</v>
      </c>
      <c r="B39" s="5" t="s">
        <v>1436</v>
      </c>
      <c r="C39" s="5">
        <v>4.0</v>
      </c>
      <c r="D39" s="5" t="s">
        <v>1362</v>
      </c>
      <c r="E39" s="5">
        <v>12.0</v>
      </c>
      <c r="F39" s="13">
        <v>0.6458333333333334</v>
      </c>
      <c r="G39" s="14" t="s">
        <v>1447</v>
      </c>
      <c r="H39" s="5" t="s">
        <v>1381</v>
      </c>
    </row>
    <row r="40">
      <c r="A40" s="5">
        <v>4.0</v>
      </c>
      <c r="B40" s="5" t="s">
        <v>1436</v>
      </c>
      <c r="C40" s="5">
        <v>4.0</v>
      </c>
      <c r="D40" s="5" t="s">
        <v>1361</v>
      </c>
      <c r="E40" s="5">
        <v>12.0</v>
      </c>
      <c r="F40" s="13">
        <v>0.75</v>
      </c>
      <c r="G40" s="5" t="s">
        <v>1448</v>
      </c>
      <c r="H40" s="5" t="s">
        <v>1381</v>
      </c>
    </row>
    <row r="41">
      <c r="A41" s="12"/>
      <c r="B41" s="12"/>
      <c r="C41" s="12"/>
      <c r="D41" s="12"/>
      <c r="E41" s="12"/>
      <c r="F41" s="12"/>
      <c r="G41" s="12"/>
      <c r="H41" s="12"/>
    </row>
    <row r="42">
      <c r="A42" s="5">
        <v>1.0</v>
      </c>
      <c r="B42" s="5" t="s">
        <v>1212</v>
      </c>
      <c r="C42" s="5">
        <v>1.0</v>
      </c>
      <c r="D42" s="5" t="s">
        <v>1363</v>
      </c>
      <c r="E42" s="5">
        <v>0.0</v>
      </c>
      <c r="F42" s="13">
        <v>0.46875</v>
      </c>
      <c r="G42" s="5" t="s">
        <v>1449</v>
      </c>
      <c r="H42" s="5" t="s">
        <v>1381</v>
      </c>
    </row>
    <row r="43">
      <c r="A43" s="5">
        <v>1.0</v>
      </c>
      <c r="B43" s="5" t="s">
        <v>1212</v>
      </c>
      <c r="C43" s="5">
        <v>1.0</v>
      </c>
      <c r="D43" s="5" t="s">
        <v>1362</v>
      </c>
      <c r="E43" s="5">
        <v>0.0</v>
      </c>
      <c r="F43" s="13">
        <v>0.65625</v>
      </c>
      <c r="G43" s="5" t="s">
        <v>1450</v>
      </c>
      <c r="H43" s="5" t="s">
        <v>1381</v>
      </c>
    </row>
    <row r="44">
      <c r="A44" s="5">
        <v>1.0</v>
      </c>
      <c r="B44" s="5" t="s">
        <v>1212</v>
      </c>
      <c r="C44" s="5">
        <v>1.0</v>
      </c>
      <c r="D44" s="5" t="s">
        <v>1361</v>
      </c>
      <c r="E44" s="5">
        <v>0.0</v>
      </c>
      <c r="F44" s="13">
        <v>0.7604166666666666</v>
      </c>
      <c r="G44" s="5" t="s">
        <v>1451</v>
      </c>
      <c r="H44" s="5" t="s">
        <v>1381</v>
      </c>
    </row>
    <row r="45">
      <c r="A45" s="5">
        <v>2.0</v>
      </c>
      <c r="B45" s="5" t="s">
        <v>1212</v>
      </c>
      <c r="C45" s="5">
        <v>2.0</v>
      </c>
      <c r="D45" s="5" t="s">
        <v>1363</v>
      </c>
      <c r="E45" s="5">
        <v>2.0</v>
      </c>
      <c r="F45" s="13">
        <v>0.4791666666666667</v>
      </c>
      <c r="G45" s="5" t="s">
        <v>1452</v>
      </c>
      <c r="H45" s="5" t="s">
        <v>1381</v>
      </c>
    </row>
    <row r="46">
      <c r="A46" s="5">
        <v>2.0</v>
      </c>
      <c r="B46" s="5" t="s">
        <v>1212</v>
      </c>
      <c r="C46" s="5">
        <v>2.0</v>
      </c>
      <c r="D46" s="5" t="s">
        <v>1362</v>
      </c>
      <c r="E46" s="5">
        <v>2.0</v>
      </c>
      <c r="F46" s="13">
        <v>0.6458333333333334</v>
      </c>
      <c r="G46" s="5" t="s">
        <v>1453</v>
      </c>
      <c r="H46" s="5" t="s">
        <v>1381</v>
      </c>
    </row>
    <row r="47">
      <c r="A47" s="5">
        <v>2.0</v>
      </c>
      <c r="B47" s="5" t="s">
        <v>1212</v>
      </c>
      <c r="C47" s="5">
        <v>2.0</v>
      </c>
      <c r="D47" s="5" t="s">
        <v>1361</v>
      </c>
      <c r="E47" s="5">
        <v>2.0</v>
      </c>
      <c r="F47" s="13">
        <v>0.75</v>
      </c>
      <c r="G47" s="5" t="s">
        <v>1454</v>
      </c>
      <c r="H47" s="5" t="s">
        <v>1381</v>
      </c>
    </row>
    <row r="48">
      <c r="A48" s="5">
        <v>3.0</v>
      </c>
      <c r="B48" s="5" t="s">
        <v>1212</v>
      </c>
      <c r="C48" s="5">
        <v>3.0</v>
      </c>
      <c r="D48" s="5" t="s">
        <v>1363</v>
      </c>
      <c r="E48" s="5">
        <v>6.0</v>
      </c>
      <c r="F48" s="13">
        <v>0.4895833333333333</v>
      </c>
      <c r="G48" s="14" t="s">
        <v>1455</v>
      </c>
      <c r="H48" s="5" t="s">
        <v>1381</v>
      </c>
    </row>
    <row r="49">
      <c r="A49" s="5">
        <v>3.0</v>
      </c>
      <c r="B49" s="5" t="s">
        <v>1212</v>
      </c>
      <c r="C49" s="5">
        <v>3.0</v>
      </c>
      <c r="D49" s="5" t="s">
        <v>1362</v>
      </c>
      <c r="E49" s="5">
        <v>6.0</v>
      </c>
      <c r="F49" s="13">
        <v>0.65625</v>
      </c>
      <c r="G49" s="14" t="s">
        <v>1456</v>
      </c>
      <c r="H49" s="5" t="s">
        <v>1381</v>
      </c>
    </row>
    <row r="50">
      <c r="A50" s="5">
        <v>3.0</v>
      </c>
      <c r="B50" s="5" t="s">
        <v>1212</v>
      </c>
      <c r="C50" s="5">
        <v>3.0</v>
      </c>
      <c r="D50" s="5" t="s">
        <v>1361</v>
      </c>
      <c r="E50" s="5">
        <v>6.0</v>
      </c>
      <c r="F50" s="13">
        <v>0.7604166666666666</v>
      </c>
      <c r="G50" s="14" t="s">
        <v>1457</v>
      </c>
      <c r="H50" s="5" t="s">
        <v>1381</v>
      </c>
    </row>
    <row r="51">
      <c r="A51" s="5">
        <v>4.0</v>
      </c>
      <c r="B51" s="5" t="s">
        <v>1212</v>
      </c>
      <c r="C51" s="5">
        <v>4.0</v>
      </c>
      <c r="D51" s="5" t="s">
        <v>1363</v>
      </c>
      <c r="E51" s="5">
        <v>12.0</v>
      </c>
      <c r="F51" s="13">
        <v>0.4791666666666667</v>
      </c>
      <c r="G51" s="14" t="s">
        <v>1458</v>
      </c>
      <c r="H51" s="5" t="s">
        <v>1381</v>
      </c>
    </row>
    <row r="52">
      <c r="A52" s="5">
        <v>4.0</v>
      </c>
      <c r="B52" s="5" t="s">
        <v>1212</v>
      </c>
      <c r="C52" s="5">
        <v>4.0</v>
      </c>
      <c r="D52" s="5" t="s">
        <v>1362</v>
      </c>
      <c r="E52" s="5">
        <v>12.0</v>
      </c>
      <c r="F52" s="13">
        <v>0.6458333333333334</v>
      </c>
      <c r="G52" s="14" t="s">
        <v>1459</v>
      </c>
      <c r="H52" s="5" t="s">
        <v>1381</v>
      </c>
    </row>
    <row r="53">
      <c r="A53" s="5">
        <v>4.0</v>
      </c>
      <c r="B53" s="5" t="s">
        <v>1212</v>
      </c>
      <c r="C53" s="5">
        <v>4.0</v>
      </c>
      <c r="D53" s="5" t="s">
        <v>1361</v>
      </c>
      <c r="E53" s="5">
        <v>12.0</v>
      </c>
      <c r="F53" s="13">
        <v>0.75</v>
      </c>
      <c r="G53" s="5" t="s">
        <v>1448</v>
      </c>
      <c r="H53" s="5" t="s">
        <v>1381</v>
      </c>
    </row>
    <row r="54">
      <c r="A54" s="12"/>
      <c r="B54" s="12"/>
      <c r="C54" s="12"/>
      <c r="D54" s="12"/>
      <c r="E54" s="12"/>
      <c r="F54" s="12"/>
      <c r="G54" s="12"/>
      <c r="H54" s="12"/>
    </row>
    <row r="55">
      <c r="A55" s="5">
        <v>1.0</v>
      </c>
      <c r="B55" s="5" t="s">
        <v>1460</v>
      </c>
      <c r="C55" s="5">
        <v>1.0</v>
      </c>
      <c r="D55" s="5" t="s">
        <v>1363</v>
      </c>
      <c r="E55" s="5">
        <v>0.0</v>
      </c>
      <c r="F55" s="13">
        <v>0.46875</v>
      </c>
      <c r="G55" s="5" t="s">
        <v>1461</v>
      </c>
      <c r="H55" s="5" t="s">
        <v>1381</v>
      </c>
    </row>
    <row r="56">
      <c r="A56" s="5">
        <v>1.0</v>
      </c>
      <c r="B56" s="5" t="s">
        <v>1460</v>
      </c>
      <c r="C56" s="5">
        <v>1.0</v>
      </c>
      <c r="D56" s="5" t="s">
        <v>1362</v>
      </c>
      <c r="E56" s="5">
        <v>0.0</v>
      </c>
      <c r="F56" s="13">
        <v>0.65625</v>
      </c>
      <c r="G56" s="5" t="s">
        <v>1462</v>
      </c>
      <c r="H56" s="5" t="s">
        <v>1381</v>
      </c>
    </row>
    <row r="57">
      <c r="A57" s="5">
        <v>1.0</v>
      </c>
      <c r="B57" s="5" t="s">
        <v>1460</v>
      </c>
      <c r="C57" s="5">
        <v>1.0</v>
      </c>
      <c r="D57" s="5" t="s">
        <v>1361</v>
      </c>
      <c r="E57" s="5">
        <v>0.0</v>
      </c>
      <c r="F57" s="13">
        <v>0.7604166666666666</v>
      </c>
      <c r="G57" s="5" t="s">
        <v>1463</v>
      </c>
      <c r="H57" s="5" t="s">
        <v>1381</v>
      </c>
    </row>
    <row r="58">
      <c r="A58" s="5">
        <v>2.0</v>
      </c>
      <c r="B58" s="5" t="s">
        <v>1460</v>
      </c>
      <c r="C58" s="5">
        <v>2.0</v>
      </c>
      <c r="D58" s="5" t="s">
        <v>1363</v>
      </c>
      <c r="E58" s="5">
        <v>2.0</v>
      </c>
      <c r="F58" s="13">
        <v>0.4791666666666667</v>
      </c>
      <c r="G58" s="5" t="s">
        <v>1464</v>
      </c>
      <c r="H58" s="5" t="s">
        <v>1381</v>
      </c>
    </row>
    <row r="59">
      <c r="A59" s="5">
        <v>2.0</v>
      </c>
      <c r="B59" s="5" t="s">
        <v>1460</v>
      </c>
      <c r="C59" s="5">
        <v>2.0</v>
      </c>
      <c r="D59" s="5" t="s">
        <v>1362</v>
      </c>
      <c r="E59" s="5">
        <v>2.0</v>
      </c>
      <c r="F59" s="13">
        <v>0.6458333333333334</v>
      </c>
      <c r="G59" s="5" t="s">
        <v>1465</v>
      </c>
      <c r="H59" s="5" t="s">
        <v>1381</v>
      </c>
    </row>
    <row r="60">
      <c r="A60" s="5">
        <v>2.0</v>
      </c>
      <c r="B60" s="5" t="s">
        <v>1460</v>
      </c>
      <c r="C60" s="5">
        <v>2.0</v>
      </c>
      <c r="D60" s="5" t="s">
        <v>1361</v>
      </c>
      <c r="E60" s="5">
        <v>2.0</v>
      </c>
      <c r="F60" s="13">
        <v>0.75</v>
      </c>
      <c r="G60" s="5" t="s">
        <v>1466</v>
      </c>
      <c r="H60" s="5" t="s">
        <v>1381</v>
      </c>
    </row>
    <row r="61">
      <c r="A61" s="5">
        <v>3.0</v>
      </c>
      <c r="B61" s="5" t="s">
        <v>1460</v>
      </c>
      <c r="C61" s="5">
        <v>3.0</v>
      </c>
      <c r="D61" s="5" t="s">
        <v>1363</v>
      </c>
      <c r="E61" s="5">
        <v>6.0</v>
      </c>
      <c r="F61" s="13">
        <v>0.4895833333333333</v>
      </c>
      <c r="G61" s="14" t="s">
        <v>1467</v>
      </c>
      <c r="H61" s="5" t="s">
        <v>1381</v>
      </c>
    </row>
    <row r="62">
      <c r="A62" s="5">
        <v>3.0</v>
      </c>
      <c r="B62" s="5" t="s">
        <v>1460</v>
      </c>
      <c r="C62" s="5">
        <v>3.0</v>
      </c>
      <c r="D62" s="5" t="s">
        <v>1362</v>
      </c>
      <c r="E62" s="5">
        <v>6.0</v>
      </c>
      <c r="F62" s="13">
        <v>0.65625</v>
      </c>
      <c r="G62" s="14" t="s">
        <v>1468</v>
      </c>
      <c r="H62" s="5" t="s">
        <v>1381</v>
      </c>
    </row>
    <row r="63">
      <c r="A63" s="5">
        <v>3.0</v>
      </c>
      <c r="B63" s="5" t="s">
        <v>1460</v>
      </c>
      <c r="C63" s="5">
        <v>3.0</v>
      </c>
      <c r="D63" s="5" t="s">
        <v>1361</v>
      </c>
      <c r="E63" s="5">
        <v>6.0</v>
      </c>
      <c r="F63" s="13">
        <v>0.7604166666666666</v>
      </c>
      <c r="G63" s="14" t="s">
        <v>1469</v>
      </c>
      <c r="H63" s="5" t="s">
        <v>1381</v>
      </c>
    </row>
    <row r="64">
      <c r="A64" s="5">
        <v>4.0</v>
      </c>
      <c r="B64" s="5" t="s">
        <v>1460</v>
      </c>
      <c r="C64" s="5">
        <v>4.0</v>
      </c>
      <c r="D64" s="5" t="s">
        <v>1363</v>
      </c>
      <c r="E64" s="5">
        <v>12.0</v>
      </c>
      <c r="F64" s="13">
        <v>0.4791666666666667</v>
      </c>
      <c r="G64" s="14" t="s">
        <v>1470</v>
      </c>
      <c r="H64" s="5" t="s">
        <v>1381</v>
      </c>
    </row>
    <row r="65">
      <c r="A65" s="5">
        <v>4.0</v>
      </c>
      <c r="B65" s="5" t="s">
        <v>1460</v>
      </c>
      <c r="C65" s="5">
        <v>4.0</v>
      </c>
      <c r="D65" s="5" t="s">
        <v>1362</v>
      </c>
      <c r="E65" s="5">
        <v>12.0</v>
      </c>
      <c r="F65" s="13">
        <v>0.6458333333333334</v>
      </c>
      <c r="G65" s="14" t="s">
        <v>1471</v>
      </c>
      <c r="H65" s="5" t="s">
        <v>1381</v>
      </c>
    </row>
    <row r="66">
      <c r="A66" s="5">
        <v>4.0</v>
      </c>
      <c r="B66" s="5" t="s">
        <v>1460</v>
      </c>
      <c r="C66" s="5">
        <v>4.0</v>
      </c>
      <c r="D66" s="5" t="s">
        <v>1361</v>
      </c>
      <c r="E66" s="5">
        <v>12.0</v>
      </c>
      <c r="F66" s="13">
        <v>0.75</v>
      </c>
      <c r="G66" s="5" t="s">
        <v>1472</v>
      </c>
      <c r="H66" s="5" t="s">
        <v>1381</v>
      </c>
    </row>
    <row r="67">
      <c r="A67" s="12"/>
      <c r="B67" s="12"/>
      <c r="C67" s="12"/>
      <c r="D67" s="12"/>
      <c r="E67" s="12"/>
      <c r="F67" s="12"/>
      <c r="G67" s="12"/>
      <c r="H67" s="12"/>
    </row>
    <row r="68">
      <c r="A68" s="5">
        <v>1.0</v>
      </c>
      <c r="B68" s="5" t="s">
        <v>1473</v>
      </c>
      <c r="C68" s="5">
        <v>1.0</v>
      </c>
      <c r="D68" s="5" t="s">
        <v>1363</v>
      </c>
      <c r="E68" s="5">
        <v>0.0</v>
      </c>
      <c r="F68" s="13">
        <v>0.46875</v>
      </c>
      <c r="G68" s="5" t="s">
        <v>1474</v>
      </c>
      <c r="H68" s="5" t="s">
        <v>1381</v>
      </c>
    </row>
    <row r="69">
      <c r="A69" s="5">
        <v>1.0</v>
      </c>
      <c r="B69" s="5" t="s">
        <v>1473</v>
      </c>
      <c r="C69" s="5">
        <v>1.0</v>
      </c>
      <c r="D69" s="5" t="s">
        <v>1362</v>
      </c>
      <c r="E69" s="5">
        <v>0.0</v>
      </c>
      <c r="F69" s="13">
        <v>0.65625</v>
      </c>
      <c r="G69" s="5" t="s">
        <v>1475</v>
      </c>
      <c r="H69" s="5" t="s">
        <v>1381</v>
      </c>
    </row>
    <row r="70">
      <c r="A70" s="5">
        <v>1.0</v>
      </c>
      <c r="B70" s="5" t="s">
        <v>1473</v>
      </c>
      <c r="C70" s="5">
        <v>1.0</v>
      </c>
      <c r="D70" s="5" t="s">
        <v>1361</v>
      </c>
      <c r="E70" s="5">
        <v>0.0</v>
      </c>
      <c r="F70" s="13">
        <v>0.7604166666666666</v>
      </c>
      <c r="G70" s="5" t="s">
        <v>1476</v>
      </c>
      <c r="H70" s="5" t="s">
        <v>1381</v>
      </c>
    </row>
    <row r="71">
      <c r="A71" s="5">
        <v>2.0</v>
      </c>
      <c r="B71" s="5" t="s">
        <v>1473</v>
      </c>
      <c r="C71" s="5">
        <v>2.0</v>
      </c>
      <c r="D71" s="5" t="s">
        <v>1363</v>
      </c>
      <c r="E71" s="5">
        <v>2.0</v>
      </c>
      <c r="F71" s="13">
        <v>0.4791666666666667</v>
      </c>
      <c r="G71" s="5" t="s">
        <v>1477</v>
      </c>
      <c r="H71" s="5" t="s">
        <v>1381</v>
      </c>
    </row>
    <row r="72">
      <c r="A72" s="5">
        <v>2.0</v>
      </c>
      <c r="B72" s="5" t="s">
        <v>1473</v>
      </c>
      <c r="C72" s="5">
        <v>2.0</v>
      </c>
      <c r="D72" s="5" t="s">
        <v>1362</v>
      </c>
      <c r="E72" s="5">
        <v>2.0</v>
      </c>
      <c r="F72" s="13">
        <v>0.6458333333333334</v>
      </c>
      <c r="G72" s="5" t="s">
        <v>1478</v>
      </c>
      <c r="H72" s="5" t="s">
        <v>1381</v>
      </c>
    </row>
    <row r="73">
      <c r="A73" s="5">
        <v>2.0</v>
      </c>
      <c r="B73" s="5" t="s">
        <v>1473</v>
      </c>
      <c r="C73" s="5">
        <v>2.0</v>
      </c>
      <c r="D73" s="5" t="s">
        <v>1361</v>
      </c>
      <c r="E73" s="5">
        <v>2.0</v>
      </c>
      <c r="F73" s="13">
        <v>0.75</v>
      </c>
      <c r="G73" s="5" t="s">
        <v>1479</v>
      </c>
      <c r="H73" s="5" t="s">
        <v>1381</v>
      </c>
    </row>
    <row r="74">
      <c r="A74" s="5">
        <v>3.0</v>
      </c>
      <c r="B74" s="5" t="s">
        <v>1473</v>
      </c>
      <c r="C74" s="5">
        <v>3.0</v>
      </c>
      <c r="D74" s="5" t="s">
        <v>1363</v>
      </c>
      <c r="E74" s="5">
        <v>6.0</v>
      </c>
      <c r="F74" s="13">
        <v>0.4895833333333333</v>
      </c>
      <c r="G74" s="14" t="s">
        <v>1480</v>
      </c>
      <c r="H74" s="5" t="s">
        <v>1381</v>
      </c>
    </row>
    <row r="75">
      <c r="A75" s="5">
        <v>3.0</v>
      </c>
      <c r="B75" s="5" t="s">
        <v>1473</v>
      </c>
      <c r="C75" s="5">
        <v>3.0</v>
      </c>
      <c r="D75" s="5" t="s">
        <v>1362</v>
      </c>
      <c r="E75" s="5">
        <v>6.0</v>
      </c>
      <c r="F75" s="13">
        <v>0.65625</v>
      </c>
      <c r="G75" s="14" t="s">
        <v>1481</v>
      </c>
      <c r="H75" s="5" t="s">
        <v>1381</v>
      </c>
    </row>
    <row r="76">
      <c r="A76" s="5">
        <v>3.0</v>
      </c>
      <c r="B76" s="5" t="s">
        <v>1473</v>
      </c>
      <c r="C76" s="5">
        <v>3.0</v>
      </c>
      <c r="D76" s="5" t="s">
        <v>1361</v>
      </c>
      <c r="E76" s="5">
        <v>6.0</v>
      </c>
      <c r="F76" s="13">
        <v>0.7604166666666666</v>
      </c>
      <c r="G76" s="14" t="s">
        <v>1482</v>
      </c>
      <c r="H76" s="5" t="s">
        <v>1381</v>
      </c>
    </row>
    <row r="77">
      <c r="A77" s="5">
        <v>4.0</v>
      </c>
      <c r="B77" s="5" t="s">
        <v>1473</v>
      </c>
      <c r="C77" s="5">
        <v>4.0</v>
      </c>
      <c r="D77" s="5" t="s">
        <v>1363</v>
      </c>
      <c r="E77" s="5">
        <v>12.0</v>
      </c>
      <c r="F77" s="13">
        <v>0.4791666666666667</v>
      </c>
      <c r="G77" s="14" t="s">
        <v>1483</v>
      </c>
      <c r="H77" s="5" t="s">
        <v>1381</v>
      </c>
    </row>
    <row r="78">
      <c r="A78" s="5">
        <v>4.0</v>
      </c>
      <c r="B78" s="5" t="s">
        <v>1473</v>
      </c>
      <c r="C78" s="5">
        <v>4.0</v>
      </c>
      <c r="D78" s="5" t="s">
        <v>1362</v>
      </c>
      <c r="E78" s="5">
        <v>12.0</v>
      </c>
      <c r="F78" s="13">
        <v>0.6458333333333334</v>
      </c>
      <c r="G78" s="14" t="s">
        <v>1484</v>
      </c>
      <c r="H78" s="5" t="s">
        <v>1381</v>
      </c>
    </row>
    <row r="79">
      <c r="A79" s="5">
        <v>4.0</v>
      </c>
      <c r="B79" s="5" t="s">
        <v>1473</v>
      </c>
      <c r="C79" s="5">
        <v>4.0</v>
      </c>
      <c r="D79" s="5" t="s">
        <v>1361</v>
      </c>
      <c r="E79" s="5">
        <v>12.0</v>
      </c>
      <c r="F79" s="13">
        <v>0.75</v>
      </c>
      <c r="G79" s="5" t="s">
        <v>1448</v>
      </c>
      <c r="H79" s="5" t="s">
        <v>1381</v>
      </c>
    </row>
    <row r="80">
      <c r="A80" s="12"/>
      <c r="B80" s="12"/>
      <c r="C80" s="12"/>
      <c r="D80" s="12"/>
      <c r="E80" s="12"/>
      <c r="F80" s="12"/>
      <c r="G80" s="12"/>
      <c r="H80" s="12"/>
    </row>
    <row r="81">
      <c r="A81" s="5">
        <v>1.0</v>
      </c>
      <c r="B81" s="5" t="s">
        <v>1485</v>
      </c>
      <c r="C81" s="5">
        <v>1.0</v>
      </c>
      <c r="D81" s="5" t="s">
        <v>1363</v>
      </c>
      <c r="E81" s="5">
        <v>0.0</v>
      </c>
      <c r="F81" s="13">
        <v>0.46875</v>
      </c>
      <c r="G81" s="5" t="s">
        <v>1486</v>
      </c>
      <c r="H81" s="5" t="s">
        <v>1381</v>
      </c>
    </row>
    <row r="82">
      <c r="A82" s="5">
        <v>1.0</v>
      </c>
      <c r="B82" s="5" t="s">
        <v>1485</v>
      </c>
      <c r="C82" s="5">
        <v>1.0</v>
      </c>
      <c r="D82" s="5" t="s">
        <v>1362</v>
      </c>
      <c r="E82" s="5">
        <v>0.0</v>
      </c>
      <c r="F82" s="13">
        <v>0.65625</v>
      </c>
      <c r="G82" s="5" t="s">
        <v>1487</v>
      </c>
      <c r="H82" s="5" t="s">
        <v>1381</v>
      </c>
    </row>
    <row r="83">
      <c r="A83" s="5">
        <v>1.0</v>
      </c>
      <c r="B83" s="5" t="s">
        <v>1485</v>
      </c>
      <c r="C83" s="5">
        <v>1.0</v>
      </c>
      <c r="D83" s="5" t="s">
        <v>1361</v>
      </c>
      <c r="E83" s="5">
        <v>0.0</v>
      </c>
      <c r="F83" s="13">
        <v>0.7604166666666666</v>
      </c>
      <c r="G83" s="5" t="s">
        <v>1488</v>
      </c>
      <c r="H83" s="5" t="s">
        <v>1381</v>
      </c>
    </row>
    <row r="84">
      <c r="A84" s="5">
        <v>2.0</v>
      </c>
      <c r="B84" s="5" t="s">
        <v>1485</v>
      </c>
      <c r="C84" s="5">
        <v>2.0</v>
      </c>
      <c r="D84" s="5" t="s">
        <v>1363</v>
      </c>
      <c r="E84" s="5">
        <v>2.0</v>
      </c>
      <c r="F84" s="13">
        <v>0.4791666666666667</v>
      </c>
      <c r="G84" s="5" t="s">
        <v>1489</v>
      </c>
      <c r="H84" s="5" t="s">
        <v>1381</v>
      </c>
    </row>
    <row r="85">
      <c r="A85" s="5">
        <v>2.0</v>
      </c>
      <c r="B85" s="5" t="s">
        <v>1485</v>
      </c>
      <c r="C85" s="5">
        <v>2.0</v>
      </c>
      <c r="D85" s="5" t="s">
        <v>1362</v>
      </c>
      <c r="E85" s="5">
        <v>2.0</v>
      </c>
      <c r="F85" s="13">
        <v>0.6458333333333334</v>
      </c>
      <c r="G85" s="5" t="s">
        <v>1490</v>
      </c>
      <c r="H85" s="5" t="s">
        <v>1381</v>
      </c>
    </row>
    <row r="86">
      <c r="A86" s="5">
        <v>2.0</v>
      </c>
      <c r="B86" s="5" t="s">
        <v>1485</v>
      </c>
      <c r="C86" s="5">
        <v>2.0</v>
      </c>
      <c r="D86" s="5" t="s">
        <v>1361</v>
      </c>
      <c r="E86" s="5">
        <v>2.0</v>
      </c>
      <c r="F86" s="13">
        <v>0.75</v>
      </c>
      <c r="G86" s="5" t="s">
        <v>1491</v>
      </c>
      <c r="H86" s="5" t="s">
        <v>1381</v>
      </c>
    </row>
    <row r="87">
      <c r="A87" s="5">
        <v>3.0</v>
      </c>
      <c r="B87" s="5" t="s">
        <v>1485</v>
      </c>
      <c r="C87" s="5">
        <v>3.0</v>
      </c>
      <c r="D87" s="5" t="s">
        <v>1363</v>
      </c>
      <c r="E87" s="5">
        <v>6.0</v>
      </c>
      <c r="F87" s="13">
        <v>0.4895833333333333</v>
      </c>
      <c r="G87" s="14" t="s">
        <v>1492</v>
      </c>
      <c r="H87" s="5" t="s">
        <v>1381</v>
      </c>
    </row>
    <row r="88">
      <c r="A88" s="5">
        <v>3.0</v>
      </c>
      <c r="B88" s="5" t="s">
        <v>1485</v>
      </c>
      <c r="C88" s="5">
        <v>3.0</v>
      </c>
      <c r="D88" s="5" t="s">
        <v>1362</v>
      </c>
      <c r="E88" s="5">
        <v>6.0</v>
      </c>
      <c r="F88" s="13">
        <v>0.65625</v>
      </c>
      <c r="G88" s="14" t="s">
        <v>1493</v>
      </c>
      <c r="H88" s="5" t="s">
        <v>1381</v>
      </c>
    </row>
    <row r="89">
      <c r="A89" s="5">
        <v>3.0</v>
      </c>
      <c r="B89" s="5" t="s">
        <v>1485</v>
      </c>
      <c r="C89" s="5">
        <v>3.0</v>
      </c>
      <c r="D89" s="5" t="s">
        <v>1361</v>
      </c>
      <c r="E89" s="5">
        <v>6.0</v>
      </c>
      <c r="F89" s="13">
        <v>0.7604166666666666</v>
      </c>
      <c r="G89" s="14" t="s">
        <v>1494</v>
      </c>
      <c r="H89" s="5" t="s">
        <v>1381</v>
      </c>
    </row>
    <row r="90">
      <c r="A90" s="5">
        <v>4.0</v>
      </c>
      <c r="B90" s="5" t="s">
        <v>1485</v>
      </c>
      <c r="C90" s="5">
        <v>4.0</v>
      </c>
      <c r="D90" s="5" t="s">
        <v>1363</v>
      </c>
      <c r="E90" s="5">
        <v>12.0</v>
      </c>
      <c r="F90" s="13">
        <v>0.4791666666666667</v>
      </c>
      <c r="G90" s="14" t="s">
        <v>1495</v>
      </c>
      <c r="H90" s="5" t="s">
        <v>1381</v>
      </c>
    </row>
    <row r="91">
      <c r="A91" s="5">
        <v>4.0</v>
      </c>
      <c r="B91" s="5" t="s">
        <v>1485</v>
      </c>
      <c r="C91" s="5">
        <v>4.0</v>
      </c>
      <c r="D91" s="5" t="s">
        <v>1362</v>
      </c>
      <c r="E91" s="5">
        <v>12.0</v>
      </c>
      <c r="F91" s="13">
        <v>0.6458333333333334</v>
      </c>
      <c r="G91" s="14" t="s">
        <v>1496</v>
      </c>
      <c r="H91" s="5" t="s">
        <v>1381</v>
      </c>
    </row>
    <row r="92">
      <c r="A92" s="5">
        <v>4.0</v>
      </c>
      <c r="B92" s="5" t="s">
        <v>1485</v>
      </c>
      <c r="C92" s="5">
        <v>4.0</v>
      </c>
      <c r="D92" s="5" t="s">
        <v>1361</v>
      </c>
      <c r="E92" s="5">
        <v>12.0</v>
      </c>
      <c r="F92" s="13">
        <v>0.75</v>
      </c>
      <c r="G92" s="5" t="s">
        <v>1435</v>
      </c>
      <c r="H92" s="5" t="s">
        <v>1381</v>
      </c>
    </row>
    <row r="93">
      <c r="A93" s="12"/>
      <c r="B93" s="12"/>
      <c r="C93" s="12"/>
      <c r="D93" s="12"/>
      <c r="E93" s="12"/>
      <c r="F93" s="12"/>
      <c r="G93" s="12"/>
      <c r="H93" s="12"/>
    </row>
    <row r="94">
      <c r="A94" s="5">
        <v>1.0</v>
      </c>
      <c r="B94" s="5" t="s">
        <v>1497</v>
      </c>
      <c r="C94" s="5">
        <v>1.0</v>
      </c>
      <c r="D94" s="5" t="s">
        <v>1363</v>
      </c>
      <c r="E94" s="5">
        <v>0.0</v>
      </c>
      <c r="F94" s="13">
        <v>0.46875</v>
      </c>
      <c r="G94" s="5" t="s">
        <v>1498</v>
      </c>
      <c r="H94" s="5" t="s">
        <v>1381</v>
      </c>
    </row>
    <row r="95">
      <c r="A95" s="5">
        <v>1.0</v>
      </c>
      <c r="B95" s="5" t="s">
        <v>1497</v>
      </c>
      <c r="C95" s="5">
        <v>1.0</v>
      </c>
      <c r="D95" s="5" t="s">
        <v>1362</v>
      </c>
      <c r="E95" s="5">
        <v>0.0</v>
      </c>
      <c r="F95" s="13">
        <v>0.65625</v>
      </c>
      <c r="G95" s="5" t="s">
        <v>1499</v>
      </c>
      <c r="H95" s="5" t="s">
        <v>1381</v>
      </c>
    </row>
    <row r="96">
      <c r="A96" s="5">
        <v>1.0</v>
      </c>
      <c r="B96" s="5" t="s">
        <v>1497</v>
      </c>
      <c r="C96" s="5">
        <v>1.0</v>
      </c>
      <c r="D96" s="5" t="s">
        <v>1361</v>
      </c>
      <c r="E96" s="5">
        <v>0.0</v>
      </c>
      <c r="F96" s="13">
        <v>0.7604166666666666</v>
      </c>
      <c r="G96" s="5" t="s">
        <v>1500</v>
      </c>
      <c r="H96" s="5" t="s">
        <v>1381</v>
      </c>
    </row>
    <row r="97">
      <c r="A97" s="5">
        <v>2.0</v>
      </c>
      <c r="B97" s="5" t="s">
        <v>1497</v>
      </c>
      <c r="C97" s="5">
        <v>2.0</v>
      </c>
      <c r="D97" s="5" t="s">
        <v>1363</v>
      </c>
      <c r="E97" s="5">
        <v>2.0</v>
      </c>
      <c r="F97" s="13">
        <v>0.4791666666666667</v>
      </c>
      <c r="G97" s="5" t="s">
        <v>1501</v>
      </c>
      <c r="H97" s="5" t="s">
        <v>1381</v>
      </c>
    </row>
    <row r="98">
      <c r="A98" s="5">
        <v>2.0</v>
      </c>
      <c r="B98" s="5" t="s">
        <v>1497</v>
      </c>
      <c r="C98" s="5">
        <v>2.0</v>
      </c>
      <c r="D98" s="5" t="s">
        <v>1362</v>
      </c>
      <c r="E98" s="5">
        <v>2.0</v>
      </c>
      <c r="F98" s="13">
        <v>0.6458333333333334</v>
      </c>
      <c r="G98" s="5" t="s">
        <v>1502</v>
      </c>
      <c r="H98" s="5" t="s">
        <v>1381</v>
      </c>
    </row>
    <row r="99">
      <c r="A99" s="5">
        <v>2.0</v>
      </c>
      <c r="B99" s="5" t="s">
        <v>1497</v>
      </c>
      <c r="C99" s="5">
        <v>2.0</v>
      </c>
      <c r="D99" s="5" t="s">
        <v>1361</v>
      </c>
      <c r="E99" s="5">
        <v>2.0</v>
      </c>
      <c r="F99" s="13">
        <v>0.75</v>
      </c>
      <c r="G99" s="5" t="s">
        <v>1503</v>
      </c>
      <c r="H99" s="5" t="s">
        <v>1381</v>
      </c>
    </row>
    <row r="100">
      <c r="A100" s="5">
        <v>3.0</v>
      </c>
      <c r="B100" s="5" t="s">
        <v>1497</v>
      </c>
      <c r="C100" s="5">
        <v>3.0</v>
      </c>
      <c r="D100" s="5" t="s">
        <v>1363</v>
      </c>
      <c r="E100" s="5">
        <v>6.0</v>
      </c>
      <c r="F100" s="13">
        <v>0.4895833333333333</v>
      </c>
      <c r="G100" s="14" t="s">
        <v>1504</v>
      </c>
      <c r="H100" s="5" t="s">
        <v>1381</v>
      </c>
    </row>
    <row r="101">
      <c r="A101" s="5">
        <v>3.0</v>
      </c>
      <c r="B101" s="5" t="s">
        <v>1497</v>
      </c>
      <c r="C101" s="5">
        <v>3.0</v>
      </c>
      <c r="D101" s="5" t="s">
        <v>1362</v>
      </c>
      <c r="E101" s="5">
        <v>6.0</v>
      </c>
      <c r="F101" s="13">
        <v>0.65625</v>
      </c>
      <c r="G101" s="14" t="s">
        <v>1505</v>
      </c>
      <c r="H101" s="5" t="s">
        <v>1381</v>
      </c>
    </row>
    <row r="102">
      <c r="A102" s="5">
        <v>3.0</v>
      </c>
      <c r="B102" s="5" t="s">
        <v>1497</v>
      </c>
      <c r="C102" s="5">
        <v>3.0</v>
      </c>
      <c r="D102" s="5" t="s">
        <v>1361</v>
      </c>
      <c r="E102" s="5">
        <v>6.0</v>
      </c>
      <c r="F102" s="13">
        <v>0.7604166666666666</v>
      </c>
      <c r="G102" s="14" t="s">
        <v>1506</v>
      </c>
      <c r="H102" s="5" t="s">
        <v>1381</v>
      </c>
    </row>
    <row r="103">
      <c r="A103" s="5">
        <v>4.0</v>
      </c>
      <c r="B103" s="5" t="s">
        <v>1497</v>
      </c>
      <c r="C103" s="5">
        <v>4.0</v>
      </c>
      <c r="D103" s="5" t="s">
        <v>1363</v>
      </c>
      <c r="E103" s="5">
        <v>12.0</v>
      </c>
      <c r="F103" s="13">
        <v>0.4791666666666667</v>
      </c>
      <c r="G103" s="14" t="s">
        <v>1507</v>
      </c>
      <c r="H103" s="5" t="s">
        <v>1381</v>
      </c>
    </row>
    <row r="104">
      <c r="A104" s="5">
        <v>4.0</v>
      </c>
      <c r="B104" s="5" t="s">
        <v>1497</v>
      </c>
      <c r="C104" s="5">
        <v>4.0</v>
      </c>
      <c r="D104" s="5" t="s">
        <v>1362</v>
      </c>
      <c r="E104" s="5">
        <v>12.0</v>
      </c>
      <c r="F104" s="13">
        <v>0.6458333333333334</v>
      </c>
      <c r="G104" s="14" t="s">
        <v>1508</v>
      </c>
      <c r="H104" s="5" t="s">
        <v>1381</v>
      </c>
    </row>
    <row r="105">
      <c r="A105" s="5">
        <v>4.0</v>
      </c>
      <c r="B105" s="5" t="s">
        <v>1497</v>
      </c>
      <c r="C105" s="5">
        <v>4.0</v>
      </c>
      <c r="D105" s="5" t="s">
        <v>1361</v>
      </c>
      <c r="E105" s="5">
        <v>12.0</v>
      </c>
      <c r="F105" s="13">
        <v>0.75</v>
      </c>
      <c r="G105" s="5" t="s">
        <v>1509</v>
      </c>
      <c r="H105" s="5" t="s">
        <v>1381</v>
      </c>
    </row>
    <row r="106">
      <c r="A106" s="12"/>
      <c r="B106" s="12"/>
      <c r="C106" s="12"/>
      <c r="D106" s="12"/>
      <c r="E106" s="12"/>
      <c r="F106" s="12"/>
      <c r="G106" s="12"/>
      <c r="H106" s="12"/>
    </row>
    <row r="107">
      <c r="A107" s="5">
        <v>1.0</v>
      </c>
      <c r="B107" s="5" t="s">
        <v>1510</v>
      </c>
      <c r="C107" s="5">
        <v>1.0</v>
      </c>
      <c r="D107" s="5" t="s">
        <v>1363</v>
      </c>
      <c r="E107" s="5">
        <v>0.0</v>
      </c>
      <c r="F107" s="13">
        <v>0.46875</v>
      </c>
      <c r="G107" s="5" t="s">
        <v>1511</v>
      </c>
      <c r="H107" s="5" t="s">
        <v>1381</v>
      </c>
    </row>
    <row r="108">
      <c r="A108" s="5">
        <v>1.0</v>
      </c>
      <c r="B108" s="5" t="s">
        <v>1510</v>
      </c>
      <c r="C108" s="5">
        <v>1.0</v>
      </c>
      <c r="D108" s="5" t="s">
        <v>1362</v>
      </c>
      <c r="E108" s="5">
        <v>0.0</v>
      </c>
      <c r="F108" s="13">
        <v>0.65625</v>
      </c>
      <c r="G108" s="5" t="s">
        <v>1512</v>
      </c>
      <c r="H108" s="5" t="s">
        <v>1381</v>
      </c>
    </row>
    <row r="109">
      <c r="A109" s="5">
        <v>1.0</v>
      </c>
      <c r="B109" s="5" t="s">
        <v>1510</v>
      </c>
      <c r="C109" s="5">
        <v>1.0</v>
      </c>
      <c r="D109" s="5" t="s">
        <v>1361</v>
      </c>
      <c r="E109" s="5">
        <v>0.0</v>
      </c>
      <c r="F109" s="13">
        <v>0.7604166666666666</v>
      </c>
      <c r="G109" s="5" t="s">
        <v>1513</v>
      </c>
      <c r="H109" s="5" t="s">
        <v>1381</v>
      </c>
    </row>
    <row r="110">
      <c r="A110" s="5">
        <v>2.0</v>
      </c>
      <c r="B110" s="5" t="s">
        <v>1510</v>
      </c>
      <c r="C110" s="5">
        <v>2.0</v>
      </c>
      <c r="D110" s="5" t="s">
        <v>1363</v>
      </c>
      <c r="E110" s="5">
        <v>2.0</v>
      </c>
      <c r="F110" s="13">
        <v>0.4791666666666667</v>
      </c>
      <c r="G110" s="5" t="s">
        <v>1514</v>
      </c>
      <c r="H110" s="5" t="s">
        <v>1381</v>
      </c>
    </row>
    <row r="111">
      <c r="A111" s="5">
        <v>2.0</v>
      </c>
      <c r="B111" s="5" t="s">
        <v>1510</v>
      </c>
      <c r="C111" s="5">
        <v>2.0</v>
      </c>
      <c r="D111" s="5" t="s">
        <v>1362</v>
      </c>
      <c r="E111" s="5">
        <v>2.0</v>
      </c>
      <c r="F111" s="13">
        <v>0.6458333333333334</v>
      </c>
      <c r="G111" s="5" t="s">
        <v>1515</v>
      </c>
      <c r="H111" s="5" t="s">
        <v>1381</v>
      </c>
    </row>
    <row r="112">
      <c r="A112" s="5">
        <v>2.0</v>
      </c>
      <c r="B112" s="5" t="s">
        <v>1510</v>
      </c>
      <c r="C112" s="5">
        <v>2.0</v>
      </c>
      <c r="D112" s="5" t="s">
        <v>1361</v>
      </c>
      <c r="E112" s="5">
        <v>2.0</v>
      </c>
      <c r="F112" s="13">
        <v>0.75</v>
      </c>
      <c r="G112" s="5" t="s">
        <v>1516</v>
      </c>
      <c r="H112" s="5" t="s">
        <v>1381</v>
      </c>
    </row>
    <row r="113">
      <c r="A113" s="5">
        <v>3.0</v>
      </c>
      <c r="B113" s="5" t="s">
        <v>1510</v>
      </c>
      <c r="C113" s="5">
        <v>3.0</v>
      </c>
      <c r="D113" s="5" t="s">
        <v>1363</v>
      </c>
      <c r="E113" s="5">
        <v>6.0</v>
      </c>
      <c r="F113" s="13">
        <v>0.4895833333333333</v>
      </c>
      <c r="G113" s="14" t="s">
        <v>1517</v>
      </c>
      <c r="H113" s="5" t="s">
        <v>1381</v>
      </c>
    </row>
    <row r="114">
      <c r="A114" s="5">
        <v>3.0</v>
      </c>
      <c r="B114" s="5" t="s">
        <v>1510</v>
      </c>
      <c r="C114" s="5">
        <v>3.0</v>
      </c>
      <c r="D114" s="5" t="s">
        <v>1362</v>
      </c>
      <c r="E114" s="5">
        <v>6.0</v>
      </c>
      <c r="F114" s="13">
        <v>0.65625</v>
      </c>
      <c r="G114" s="14" t="s">
        <v>1518</v>
      </c>
      <c r="H114" s="5" t="s">
        <v>1381</v>
      </c>
    </row>
    <row r="115">
      <c r="A115" s="5">
        <v>3.0</v>
      </c>
      <c r="B115" s="5" t="s">
        <v>1510</v>
      </c>
      <c r="C115" s="5">
        <v>3.0</v>
      </c>
      <c r="D115" s="5" t="s">
        <v>1361</v>
      </c>
      <c r="E115" s="5">
        <v>6.0</v>
      </c>
      <c r="F115" s="13">
        <v>0.7604166666666666</v>
      </c>
      <c r="G115" s="14" t="s">
        <v>1519</v>
      </c>
      <c r="H115" s="5" t="s">
        <v>1381</v>
      </c>
    </row>
    <row r="116">
      <c r="A116" s="5">
        <v>4.0</v>
      </c>
      <c r="B116" s="5" t="s">
        <v>1510</v>
      </c>
      <c r="C116" s="5">
        <v>4.0</v>
      </c>
      <c r="D116" s="5" t="s">
        <v>1363</v>
      </c>
      <c r="E116" s="5">
        <v>12.0</v>
      </c>
      <c r="F116" s="13">
        <v>0.4791666666666667</v>
      </c>
      <c r="G116" s="14" t="s">
        <v>1520</v>
      </c>
      <c r="H116" s="5" t="s">
        <v>1381</v>
      </c>
    </row>
    <row r="117">
      <c r="A117" s="5">
        <v>4.0</v>
      </c>
      <c r="B117" s="5" t="s">
        <v>1510</v>
      </c>
      <c r="C117" s="5">
        <v>4.0</v>
      </c>
      <c r="D117" s="5" t="s">
        <v>1362</v>
      </c>
      <c r="E117" s="5">
        <v>12.0</v>
      </c>
      <c r="F117" s="13">
        <v>0.6458333333333334</v>
      </c>
      <c r="G117" s="14" t="s">
        <v>1521</v>
      </c>
      <c r="H117" s="5" t="s">
        <v>1381</v>
      </c>
    </row>
    <row r="118">
      <c r="A118" s="5">
        <v>4.0</v>
      </c>
      <c r="B118" s="5" t="s">
        <v>1510</v>
      </c>
      <c r="C118" s="5">
        <v>4.0</v>
      </c>
      <c r="D118" s="5" t="s">
        <v>1361</v>
      </c>
      <c r="E118" s="5">
        <v>12.0</v>
      </c>
      <c r="F118" s="13">
        <v>0.75</v>
      </c>
      <c r="G118" s="5" t="s">
        <v>1435</v>
      </c>
      <c r="H118" s="5" t="s">
        <v>1381</v>
      </c>
    </row>
    <row r="119">
      <c r="A119" s="12"/>
      <c r="B119" s="12"/>
      <c r="C119" s="12"/>
      <c r="D119" s="12"/>
      <c r="E119" s="12"/>
      <c r="F119" s="12"/>
      <c r="G119" s="12"/>
      <c r="H119" s="12"/>
    </row>
    <row r="120">
      <c r="A120" s="5">
        <v>1.0</v>
      </c>
      <c r="B120" s="5" t="s">
        <v>1522</v>
      </c>
      <c r="C120" s="5">
        <v>1.0</v>
      </c>
      <c r="D120" s="5" t="s">
        <v>1363</v>
      </c>
      <c r="E120" s="5">
        <v>0.0</v>
      </c>
      <c r="F120" s="13">
        <v>0.46875</v>
      </c>
      <c r="G120" s="5" t="s">
        <v>1523</v>
      </c>
      <c r="H120" s="5" t="s">
        <v>1381</v>
      </c>
    </row>
    <row r="121">
      <c r="A121" s="5">
        <v>1.0</v>
      </c>
      <c r="B121" s="5" t="s">
        <v>1522</v>
      </c>
      <c r="C121" s="5">
        <v>1.0</v>
      </c>
      <c r="D121" s="5" t="s">
        <v>1362</v>
      </c>
      <c r="E121" s="5">
        <v>0.0</v>
      </c>
      <c r="F121" s="13">
        <v>0.65625</v>
      </c>
      <c r="G121" s="5" t="s">
        <v>1524</v>
      </c>
      <c r="H121" s="5" t="s">
        <v>1381</v>
      </c>
    </row>
    <row r="122">
      <c r="A122" s="5">
        <v>1.0</v>
      </c>
      <c r="B122" s="5" t="s">
        <v>1522</v>
      </c>
      <c r="C122" s="5">
        <v>1.0</v>
      </c>
      <c r="D122" s="5" t="s">
        <v>1361</v>
      </c>
      <c r="E122" s="5">
        <v>0.0</v>
      </c>
      <c r="F122" s="13">
        <v>0.7604166666666666</v>
      </c>
      <c r="G122" s="5" t="s">
        <v>1525</v>
      </c>
      <c r="H122" s="5" t="s">
        <v>1381</v>
      </c>
    </row>
    <row r="123">
      <c r="A123" s="5">
        <v>2.0</v>
      </c>
      <c r="B123" s="5" t="s">
        <v>1522</v>
      </c>
      <c r="C123" s="5">
        <v>2.0</v>
      </c>
      <c r="D123" s="5" t="s">
        <v>1363</v>
      </c>
      <c r="E123" s="5">
        <v>2.0</v>
      </c>
      <c r="F123" s="13">
        <v>0.4791666666666667</v>
      </c>
      <c r="G123" s="5" t="s">
        <v>1526</v>
      </c>
      <c r="H123" s="5" t="s">
        <v>1381</v>
      </c>
    </row>
    <row r="124">
      <c r="A124" s="5">
        <v>2.0</v>
      </c>
      <c r="B124" s="5" t="s">
        <v>1522</v>
      </c>
      <c r="C124" s="5">
        <v>2.0</v>
      </c>
      <c r="D124" s="5" t="s">
        <v>1362</v>
      </c>
      <c r="E124" s="5">
        <v>2.0</v>
      </c>
      <c r="F124" s="13">
        <v>0.6458333333333334</v>
      </c>
      <c r="G124" s="5" t="s">
        <v>1527</v>
      </c>
      <c r="H124" s="5" t="s">
        <v>1381</v>
      </c>
    </row>
    <row r="125">
      <c r="A125" s="5">
        <v>2.0</v>
      </c>
      <c r="B125" s="5" t="s">
        <v>1522</v>
      </c>
      <c r="C125" s="5">
        <v>2.0</v>
      </c>
      <c r="D125" s="5" t="s">
        <v>1361</v>
      </c>
      <c r="E125" s="5">
        <v>2.0</v>
      </c>
      <c r="F125" s="13">
        <v>0.75</v>
      </c>
      <c r="G125" s="5" t="s">
        <v>1528</v>
      </c>
      <c r="H125" s="5" t="s">
        <v>1381</v>
      </c>
    </row>
    <row r="126">
      <c r="A126" s="5">
        <v>3.0</v>
      </c>
      <c r="B126" s="5" t="s">
        <v>1522</v>
      </c>
      <c r="C126" s="5">
        <v>3.0</v>
      </c>
      <c r="D126" s="5" t="s">
        <v>1363</v>
      </c>
      <c r="E126" s="5">
        <v>6.0</v>
      </c>
      <c r="F126" s="13">
        <v>0.4895833333333333</v>
      </c>
      <c r="G126" s="14" t="s">
        <v>1529</v>
      </c>
      <c r="H126" s="5" t="s">
        <v>1381</v>
      </c>
    </row>
    <row r="127">
      <c r="A127" s="5">
        <v>3.0</v>
      </c>
      <c r="B127" s="5" t="s">
        <v>1522</v>
      </c>
      <c r="C127" s="5">
        <v>3.0</v>
      </c>
      <c r="D127" s="5" t="s">
        <v>1362</v>
      </c>
      <c r="E127" s="5">
        <v>6.0</v>
      </c>
      <c r="F127" s="13">
        <v>0.65625</v>
      </c>
      <c r="G127" s="14" t="s">
        <v>1530</v>
      </c>
      <c r="H127" s="5" t="s">
        <v>1381</v>
      </c>
    </row>
    <row r="128">
      <c r="A128" s="5">
        <v>3.0</v>
      </c>
      <c r="B128" s="5" t="s">
        <v>1522</v>
      </c>
      <c r="C128" s="5">
        <v>3.0</v>
      </c>
      <c r="D128" s="5" t="s">
        <v>1361</v>
      </c>
      <c r="E128" s="5">
        <v>6.0</v>
      </c>
      <c r="F128" s="13">
        <v>0.7604166666666666</v>
      </c>
      <c r="G128" s="14" t="s">
        <v>1531</v>
      </c>
      <c r="H128" s="5" t="s">
        <v>1381</v>
      </c>
    </row>
    <row r="129">
      <c r="A129" s="5">
        <v>4.0</v>
      </c>
      <c r="B129" s="5" t="s">
        <v>1522</v>
      </c>
      <c r="C129" s="5">
        <v>4.0</v>
      </c>
      <c r="D129" s="5" t="s">
        <v>1363</v>
      </c>
      <c r="E129" s="5">
        <v>12.0</v>
      </c>
      <c r="F129" s="13">
        <v>0.4791666666666667</v>
      </c>
      <c r="G129" s="14" t="s">
        <v>1532</v>
      </c>
      <c r="H129" s="5" t="s">
        <v>1381</v>
      </c>
    </row>
    <row r="130">
      <c r="A130" s="5">
        <v>4.0</v>
      </c>
      <c r="B130" s="5" t="s">
        <v>1522</v>
      </c>
      <c r="C130" s="5">
        <v>4.0</v>
      </c>
      <c r="D130" s="5" t="s">
        <v>1362</v>
      </c>
      <c r="E130" s="5">
        <v>12.0</v>
      </c>
      <c r="F130" s="13">
        <v>0.6458333333333334</v>
      </c>
      <c r="G130" s="14" t="s">
        <v>1533</v>
      </c>
      <c r="H130" s="5" t="s">
        <v>1381</v>
      </c>
    </row>
    <row r="131">
      <c r="A131" s="5">
        <v>4.0</v>
      </c>
      <c r="B131" s="5" t="s">
        <v>1522</v>
      </c>
      <c r="C131" s="5">
        <v>4.0</v>
      </c>
      <c r="D131" s="5" t="s">
        <v>1361</v>
      </c>
      <c r="E131" s="5">
        <v>12.0</v>
      </c>
      <c r="F131" s="13">
        <v>0.75</v>
      </c>
      <c r="G131" s="5" t="s">
        <v>1534</v>
      </c>
      <c r="H131" s="5" t="s">
        <v>1381</v>
      </c>
    </row>
    <row r="132">
      <c r="A132" s="12"/>
      <c r="B132" s="12"/>
      <c r="C132" s="12"/>
      <c r="D132" s="12"/>
      <c r="E132" s="12"/>
      <c r="F132" s="12"/>
      <c r="G132" s="12"/>
      <c r="H132" s="12"/>
    </row>
    <row r="133">
      <c r="A133" s="5">
        <v>1.0</v>
      </c>
      <c r="B133" s="5" t="s">
        <v>1379</v>
      </c>
      <c r="C133" s="5">
        <v>1.0</v>
      </c>
      <c r="D133" s="5" t="s">
        <v>1363</v>
      </c>
      <c r="E133" s="5">
        <v>0.0</v>
      </c>
      <c r="F133" s="13">
        <v>0.46875</v>
      </c>
      <c r="G133" s="5" t="s">
        <v>1535</v>
      </c>
      <c r="H133" s="5" t="s">
        <v>1381</v>
      </c>
    </row>
    <row r="134">
      <c r="A134" s="5">
        <v>1.0</v>
      </c>
      <c r="B134" s="5" t="s">
        <v>1379</v>
      </c>
      <c r="C134" s="5">
        <v>1.0</v>
      </c>
      <c r="D134" s="5" t="s">
        <v>1362</v>
      </c>
      <c r="E134" s="5">
        <v>0.0</v>
      </c>
      <c r="F134" s="13">
        <v>0.65625</v>
      </c>
      <c r="G134" s="5" t="s">
        <v>1536</v>
      </c>
      <c r="H134" s="5" t="s">
        <v>1381</v>
      </c>
    </row>
    <row r="135">
      <c r="A135" s="5">
        <v>1.0</v>
      </c>
      <c r="B135" s="5" t="s">
        <v>1379</v>
      </c>
      <c r="C135" s="5">
        <v>1.0</v>
      </c>
      <c r="D135" s="5" t="s">
        <v>1361</v>
      </c>
      <c r="E135" s="5">
        <v>0.0</v>
      </c>
      <c r="F135" s="13">
        <v>0.7604166666666666</v>
      </c>
      <c r="G135" s="5" t="s">
        <v>1537</v>
      </c>
      <c r="H135" s="5" t="s">
        <v>1381</v>
      </c>
    </row>
    <row r="136">
      <c r="A136" s="5">
        <v>2.0</v>
      </c>
      <c r="B136" s="5" t="s">
        <v>1379</v>
      </c>
      <c r="C136" s="5">
        <v>2.0</v>
      </c>
      <c r="D136" s="5" t="s">
        <v>1363</v>
      </c>
      <c r="E136" s="5">
        <v>2.0</v>
      </c>
      <c r="F136" s="13">
        <v>0.4791666666666667</v>
      </c>
      <c r="G136" s="5" t="s">
        <v>1538</v>
      </c>
      <c r="H136" s="5" t="s">
        <v>1381</v>
      </c>
    </row>
    <row r="137">
      <c r="A137" s="5">
        <v>2.0</v>
      </c>
      <c r="B137" s="5" t="s">
        <v>1379</v>
      </c>
      <c r="C137" s="5">
        <v>2.0</v>
      </c>
      <c r="D137" s="5" t="s">
        <v>1362</v>
      </c>
      <c r="E137" s="5">
        <v>2.0</v>
      </c>
      <c r="F137" s="13">
        <v>0.6458333333333334</v>
      </c>
      <c r="G137" s="5" t="s">
        <v>1539</v>
      </c>
      <c r="H137" s="5" t="s">
        <v>1381</v>
      </c>
    </row>
    <row r="138">
      <c r="A138" s="5">
        <v>2.0</v>
      </c>
      <c r="B138" s="5" t="s">
        <v>1379</v>
      </c>
      <c r="C138" s="5">
        <v>2.0</v>
      </c>
      <c r="D138" s="5" t="s">
        <v>1361</v>
      </c>
      <c r="E138" s="5">
        <v>2.0</v>
      </c>
      <c r="F138" s="13">
        <v>0.75</v>
      </c>
      <c r="G138" s="5" t="s">
        <v>1540</v>
      </c>
      <c r="H138" s="5" t="s">
        <v>1381</v>
      </c>
    </row>
    <row r="139">
      <c r="A139" s="5">
        <v>3.0</v>
      </c>
      <c r="B139" s="5" t="s">
        <v>1379</v>
      </c>
      <c r="C139" s="5">
        <v>3.0</v>
      </c>
      <c r="D139" s="5" t="s">
        <v>1363</v>
      </c>
      <c r="E139" s="5">
        <v>6.0</v>
      </c>
      <c r="F139" s="13">
        <v>0.4895833333333333</v>
      </c>
      <c r="G139" s="14" t="s">
        <v>1541</v>
      </c>
      <c r="H139" s="5" t="s">
        <v>1381</v>
      </c>
    </row>
    <row r="140">
      <c r="A140" s="5">
        <v>3.0</v>
      </c>
      <c r="B140" s="5" t="s">
        <v>1379</v>
      </c>
      <c r="C140" s="5">
        <v>3.0</v>
      </c>
      <c r="D140" s="5" t="s">
        <v>1362</v>
      </c>
      <c r="E140" s="5">
        <v>6.0</v>
      </c>
      <c r="F140" s="13">
        <v>0.65625</v>
      </c>
      <c r="G140" s="14" t="s">
        <v>1542</v>
      </c>
      <c r="H140" s="5" t="s">
        <v>1381</v>
      </c>
    </row>
    <row r="141">
      <c r="A141" s="5">
        <v>3.0</v>
      </c>
      <c r="B141" s="5" t="s">
        <v>1379</v>
      </c>
      <c r="C141" s="5">
        <v>3.0</v>
      </c>
      <c r="D141" s="5" t="s">
        <v>1361</v>
      </c>
      <c r="E141" s="5">
        <v>6.0</v>
      </c>
      <c r="F141" s="13">
        <v>0.7604166666666666</v>
      </c>
      <c r="G141" s="14" t="s">
        <v>1543</v>
      </c>
      <c r="H141" s="5" t="s">
        <v>1381</v>
      </c>
    </row>
    <row r="142">
      <c r="A142" s="5">
        <v>4.0</v>
      </c>
      <c r="B142" s="5" t="s">
        <v>1379</v>
      </c>
      <c r="C142" s="5">
        <v>4.0</v>
      </c>
      <c r="D142" s="5" t="s">
        <v>1363</v>
      </c>
      <c r="E142" s="5">
        <v>12.0</v>
      </c>
      <c r="F142" s="13">
        <v>0.4791666666666667</v>
      </c>
      <c r="G142" s="14" t="s">
        <v>1544</v>
      </c>
      <c r="H142" s="5" t="s">
        <v>1381</v>
      </c>
    </row>
    <row r="143">
      <c r="A143" s="5">
        <v>4.0</v>
      </c>
      <c r="B143" s="5" t="s">
        <v>1379</v>
      </c>
      <c r="C143" s="5">
        <v>4.0</v>
      </c>
      <c r="D143" s="5" t="s">
        <v>1362</v>
      </c>
      <c r="E143" s="5">
        <v>12.0</v>
      </c>
      <c r="F143" s="13">
        <v>0.6458333333333334</v>
      </c>
      <c r="G143" s="5" t="s">
        <v>1545</v>
      </c>
      <c r="H143" s="5" t="s">
        <v>1381</v>
      </c>
    </row>
    <row r="144">
      <c r="A144" s="5">
        <v>4.0</v>
      </c>
      <c r="B144" s="5" t="s">
        <v>1379</v>
      </c>
      <c r="C144" s="5">
        <v>4.0</v>
      </c>
      <c r="D144" s="5" t="s">
        <v>1361</v>
      </c>
      <c r="E144" s="5">
        <v>12.0</v>
      </c>
      <c r="F144" s="13">
        <v>0.75</v>
      </c>
      <c r="G144" s="5" t="s">
        <v>1448</v>
      </c>
      <c r="H144" s="5" t="s">
        <v>1381</v>
      </c>
    </row>
    <row r="145">
      <c r="D145" s="8"/>
      <c r="F145" s="13"/>
    </row>
    <row r="146">
      <c r="D146" s="8"/>
      <c r="F146" s="13"/>
    </row>
    <row r="147">
      <c r="D147" s="8"/>
      <c r="F147" s="13"/>
    </row>
    <row r="148">
      <c r="D148" s="9"/>
    </row>
    <row r="149">
      <c r="D149" s="8"/>
      <c r="F149" s="13"/>
    </row>
    <row r="150">
      <c r="D150" s="8"/>
      <c r="F150" s="13"/>
    </row>
    <row r="151">
      <c r="D151" s="8"/>
      <c r="F151" s="13"/>
    </row>
    <row r="152">
      <c r="D152" s="9"/>
    </row>
    <row r="153">
      <c r="D153" s="8"/>
      <c r="F153" s="13"/>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hyperlinks>
    <hyperlink r:id="rId1" ref="G9"/>
    <hyperlink r:id="rId2" ref="G10"/>
    <hyperlink r:id="rId3" ref="G11"/>
    <hyperlink r:id="rId4" ref="G12"/>
    <hyperlink r:id="rId5" ref="G13"/>
    <hyperlink r:id="rId6" ref="G22"/>
    <hyperlink r:id="rId7" ref="G23"/>
    <hyperlink r:id="rId8" ref="G24"/>
    <hyperlink r:id="rId9" ref="G25"/>
    <hyperlink r:id="rId10" ref="G26"/>
    <hyperlink r:id="rId11" ref="G35"/>
    <hyperlink r:id="rId12" ref="G36"/>
    <hyperlink r:id="rId13" ref="G37"/>
    <hyperlink r:id="rId14" ref="G38"/>
    <hyperlink r:id="rId15" ref="G39"/>
    <hyperlink r:id="rId16" ref="G48"/>
    <hyperlink r:id="rId17" ref="G49"/>
    <hyperlink r:id="rId18" ref="G50"/>
    <hyperlink r:id="rId19" ref="G51"/>
    <hyperlink r:id="rId20" ref="G52"/>
    <hyperlink r:id="rId21" ref="G61"/>
    <hyperlink r:id="rId22" ref="G62"/>
    <hyperlink r:id="rId23" ref="G63"/>
    <hyperlink r:id="rId24" ref="G64"/>
    <hyperlink r:id="rId25" ref="G65"/>
    <hyperlink r:id="rId26" ref="G74"/>
    <hyperlink r:id="rId27" ref="G75"/>
    <hyperlink r:id="rId28" ref="G76"/>
    <hyperlink r:id="rId29" ref="G77"/>
    <hyperlink r:id="rId30" ref="G78"/>
    <hyperlink r:id="rId31" ref="G87"/>
    <hyperlink r:id="rId32" ref="G88"/>
    <hyperlink r:id="rId33" ref="G89"/>
    <hyperlink r:id="rId34" ref="G90"/>
    <hyperlink r:id="rId35" ref="G91"/>
    <hyperlink r:id="rId36" ref="G100"/>
    <hyperlink r:id="rId37" ref="G101"/>
    <hyperlink r:id="rId38" ref="G102"/>
    <hyperlink r:id="rId39" ref="G103"/>
    <hyperlink r:id="rId40" ref="G104"/>
    <hyperlink r:id="rId41" ref="G113"/>
    <hyperlink r:id="rId42" ref="G114"/>
    <hyperlink r:id="rId43" ref="G115"/>
    <hyperlink r:id="rId44" ref="G116"/>
    <hyperlink r:id="rId45" ref="G117"/>
    <hyperlink r:id="rId46" ref="G126"/>
    <hyperlink r:id="rId47" ref="G127"/>
    <hyperlink r:id="rId48" ref="G128"/>
    <hyperlink r:id="rId49" ref="G129"/>
    <hyperlink r:id="rId50" ref="G130"/>
    <hyperlink r:id="rId51" ref="G139"/>
    <hyperlink r:id="rId52" ref="G140"/>
    <hyperlink r:id="rId53" ref="G141"/>
    <hyperlink r:id="rId54" ref="G142"/>
  </hyperlinks>
  <drawing r:id="rId5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5.38"/>
  </cols>
  <sheetData>
    <row r="1">
      <c r="A1" s="5" t="s">
        <v>1219</v>
      </c>
      <c r="B1" s="5" t="s">
        <v>1208</v>
      </c>
      <c r="C1" s="5" t="s">
        <v>1359</v>
      </c>
      <c r="D1" s="5" t="s">
        <v>1360</v>
      </c>
      <c r="E1" s="5" t="s">
        <v>1377</v>
      </c>
      <c r="F1" s="5" t="s">
        <v>1368</v>
      </c>
      <c r="G1" s="5" t="s">
        <v>1340</v>
      </c>
      <c r="H1" s="5" t="s">
        <v>1378</v>
      </c>
    </row>
    <row r="2">
      <c r="A2" s="12"/>
      <c r="B2" s="12"/>
      <c r="C2" s="12"/>
      <c r="D2" s="12"/>
      <c r="E2" s="12"/>
      <c r="F2" s="12"/>
      <c r="G2" s="12"/>
      <c r="H2" s="12"/>
    </row>
    <row r="3">
      <c r="A3" s="5">
        <v>1.0</v>
      </c>
      <c r="B3" s="5" t="s">
        <v>1212</v>
      </c>
      <c r="C3" s="5">
        <v>1.0</v>
      </c>
      <c r="D3" s="5" t="s">
        <v>1363</v>
      </c>
      <c r="E3" s="5">
        <v>0.0</v>
      </c>
      <c r="F3" s="13">
        <v>0.46875</v>
      </c>
      <c r="G3" s="5" t="s">
        <v>1546</v>
      </c>
      <c r="H3" s="5" t="s">
        <v>1381</v>
      </c>
      <c r="I3" s="12"/>
      <c r="J3" s="12"/>
      <c r="K3" s="12"/>
      <c r="L3" s="12"/>
      <c r="M3" s="12"/>
      <c r="N3" s="12"/>
      <c r="O3" s="12"/>
      <c r="P3" s="12"/>
    </row>
    <row r="4">
      <c r="A4" s="5">
        <v>1.0</v>
      </c>
      <c r="B4" s="5" t="s">
        <v>1212</v>
      </c>
      <c r="C4" s="5">
        <v>1.0</v>
      </c>
      <c r="D4" s="5" t="s">
        <v>1362</v>
      </c>
      <c r="E4" s="5">
        <v>0.0</v>
      </c>
      <c r="F4" s="13">
        <v>0.65625</v>
      </c>
      <c r="G4" s="5" t="s">
        <v>1547</v>
      </c>
      <c r="H4" s="5" t="s">
        <v>1381</v>
      </c>
      <c r="N4" s="13"/>
    </row>
    <row r="5">
      <c r="A5" s="5">
        <v>1.0</v>
      </c>
      <c r="B5" s="5" t="s">
        <v>1212</v>
      </c>
      <c r="C5" s="5">
        <v>1.0</v>
      </c>
      <c r="D5" s="5" t="s">
        <v>1361</v>
      </c>
      <c r="E5" s="5">
        <v>0.0</v>
      </c>
      <c r="F5" s="13">
        <v>0.7604166666666666</v>
      </c>
      <c r="G5" s="5" t="s">
        <v>1548</v>
      </c>
      <c r="H5" s="5" t="s">
        <v>1381</v>
      </c>
      <c r="N5" s="13"/>
    </row>
    <row r="6">
      <c r="A6" s="5">
        <v>2.0</v>
      </c>
      <c r="B6" s="5" t="s">
        <v>1212</v>
      </c>
      <c r="C6" s="5">
        <v>2.0</v>
      </c>
      <c r="D6" s="5" t="s">
        <v>1363</v>
      </c>
      <c r="E6" s="5">
        <v>2.0</v>
      </c>
      <c r="F6" s="13">
        <v>0.4791666666666667</v>
      </c>
      <c r="G6" s="5" t="s">
        <v>1549</v>
      </c>
      <c r="H6" s="5" t="s">
        <v>1381</v>
      </c>
      <c r="N6" s="13"/>
    </row>
    <row r="7">
      <c r="A7" s="5">
        <v>2.0</v>
      </c>
      <c r="B7" s="5" t="s">
        <v>1212</v>
      </c>
      <c r="C7" s="5">
        <v>2.0</v>
      </c>
      <c r="D7" s="5" t="s">
        <v>1362</v>
      </c>
      <c r="E7" s="5">
        <v>2.0</v>
      </c>
      <c r="F7" s="13">
        <v>0.6458333333333334</v>
      </c>
      <c r="G7" s="5" t="s">
        <v>1550</v>
      </c>
      <c r="H7" s="5" t="s">
        <v>1381</v>
      </c>
      <c r="I7" s="12"/>
      <c r="J7" s="12"/>
      <c r="K7" s="12"/>
      <c r="L7" s="12"/>
      <c r="M7" s="12"/>
      <c r="N7" s="12"/>
      <c r="O7" s="12"/>
      <c r="P7" s="12"/>
    </row>
    <row r="8">
      <c r="A8" s="5">
        <v>2.0</v>
      </c>
      <c r="B8" s="5" t="s">
        <v>1212</v>
      </c>
      <c r="C8" s="5">
        <v>2.0</v>
      </c>
      <c r="D8" s="5" t="s">
        <v>1361</v>
      </c>
      <c r="E8" s="5">
        <v>2.0</v>
      </c>
      <c r="F8" s="13">
        <v>0.75</v>
      </c>
      <c r="G8" s="5" t="s">
        <v>1551</v>
      </c>
      <c r="H8" s="5" t="s">
        <v>1381</v>
      </c>
      <c r="N8" s="13"/>
    </row>
    <row r="9">
      <c r="A9" s="5">
        <v>3.0</v>
      </c>
      <c r="B9" s="5" t="s">
        <v>1212</v>
      </c>
      <c r="C9" s="5">
        <v>3.0</v>
      </c>
      <c r="D9" s="5" t="s">
        <v>1363</v>
      </c>
      <c r="E9" s="5">
        <v>4.0</v>
      </c>
      <c r="F9" s="13">
        <v>0.4895833333333333</v>
      </c>
      <c r="G9" s="14" t="s">
        <v>1552</v>
      </c>
      <c r="H9" s="5" t="s">
        <v>1381</v>
      </c>
      <c r="N9" s="13"/>
    </row>
    <row r="10">
      <c r="A10" s="5">
        <v>3.0</v>
      </c>
      <c r="B10" s="5" t="s">
        <v>1212</v>
      </c>
      <c r="C10" s="5">
        <v>3.0</v>
      </c>
      <c r="D10" s="5" t="s">
        <v>1362</v>
      </c>
      <c r="E10" s="5">
        <v>4.0</v>
      </c>
      <c r="F10" s="13">
        <v>0.65625</v>
      </c>
      <c r="G10" s="14" t="s">
        <v>1553</v>
      </c>
      <c r="H10" s="5" t="s">
        <v>1381</v>
      </c>
      <c r="N10" s="13"/>
    </row>
    <row r="11">
      <c r="A11" s="5">
        <v>3.0</v>
      </c>
      <c r="B11" s="5" t="s">
        <v>1212</v>
      </c>
      <c r="C11" s="5">
        <v>3.0</v>
      </c>
      <c r="D11" s="5" t="s">
        <v>1361</v>
      </c>
      <c r="E11" s="5">
        <v>4.0</v>
      </c>
      <c r="F11" s="13">
        <v>0.7604166666666666</v>
      </c>
      <c r="G11" s="14" t="s">
        <v>1554</v>
      </c>
      <c r="H11" s="5" t="s">
        <v>1381</v>
      </c>
      <c r="I11" s="12"/>
      <c r="J11" s="12"/>
      <c r="K11" s="12"/>
      <c r="L11" s="12"/>
      <c r="M11" s="12"/>
      <c r="N11" s="12"/>
      <c r="O11" s="12"/>
      <c r="P11" s="12"/>
    </row>
    <row r="12">
      <c r="A12" s="5">
        <v>4.0</v>
      </c>
      <c r="B12" s="5" t="s">
        <v>1212</v>
      </c>
      <c r="C12" s="5">
        <v>4.0</v>
      </c>
      <c r="D12" s="5" t="s">
        <v>1363</v>
      </c>
      <c r="E12" s="5">
        <v>6.0</v>
      </c>
      <c r="F12" s="13">
        <v>0.4791666666666667</v>
      </c>
      <c r="G12" s="14" t="s">
        <v>1555</v>
      </c>
      <c r="H12" s="5" t="s">
        <v>1381</v>
      </c>
      <c r="N12" s="13"/>
    </row>
    <row r="13">
      <c r="A13" s="5">
        <v>4.0</v>
      </c>
      <c r="B13" s="5" t="s">
        <v>1212</v>
      </c>
      <c r="C13" s="5">
        <v>4.0</v>
      </c>
      <c r="D13" s="5" t="s">
        <v>1362</v>
      </c>
      <c r="E13" s="5">
        <v>6.0</v>
      </c>
      <c r="F13" s="13">
        <v>0.6458333333333334</v>
      </c>
      <c r="G13" s="14" t="s">
        <v>1556</v>
      </c>
      <c r="H13" s="5" t="s">
        <v>1381</v>
      </c>
      <c r="N13" s="13"/>
    </row>
    <row r="14">
      <c r="A14" s="5">
        <v>4.0</v>
      </c>
      <c r="B14" s="5" t="s">
        <v>1212</v>
      </c>
      <c r="C14" s="5">
        <v>4.0</v>
      </c>
      <c r="D14" s="5" t="s">
        <v>1361</v>
      </c>
      <c r="E14" s="5">
        <v>6.0</v>
      </c>
      <c r="F14" s="13">
        <v>0.75</v>
      </c>
      <c r="G14" s="5" t="s">
        <v>1423</v>
      </c>
      <c r="H14" s="5" t="s">
        <v>1381</v>
      </c>
      <c r="N14" s="13"/>
    </row>
    <row r="15">
      <c r="A15" s="12"/>
      <c r="B15" s="12"/>
      <c r="C15" s="12"/>
      <c r="D15" s="12"/>
      <c r="E15" s="12"/>
      <c r="F15" s="12"/>
      <c r="G15" s="12"/>
      <c r="H15" s="12"/>
      <c r="I15" s="12"/>
      <c r="J15" s="12"/>
      <c r="K15" s="12"/>
      <c r="L15" s="12"/>
      <c r="M15" s="12"/>
      <c r="N15" s="12"/>
      <c r="O15" s="12"/>
      <c r="P15" s="12"/>
    </row>
    <row r="16">
      <c r="A16" s="5">
        <v>1.0</v>
      </c>
      <c r="B16" s="5" t="s">
        <v>1211</v>
      </c>
      <c r="C16" s="5">
        <v>1.0</v>
      </c>
      <c r="D16" s="5" t="s">
        <v>1363</v>
      </c>
      <c r="E16" s="5">
        <v>0.0</v>
      </c>
      <c r="F16" s="13">
        <v>0.46875</v>
      </c>
      <c r="G16" s="5" t="s">
        <v>1546</v>
      </c>
      <c r="H16" s="5" t="s">
        <v>1381</v>
      </c>
      <c r="N16" s="13"/>
    </row>
    <row r="17">
      <c r="A17" s="5">
        <v>1.0</v>
      </c>
      <c r="B17" s="5" t="s">
        <v>1211</v>
      </c>
      <c r="C17" s="5">
        <v>1.0</v>
      </c>
      <c r="D17" s="5" t="s">
        <v>1362</v>
      </c>
      <c r="E17" s="5">
        <v>0.0</v>
      </c>
      <c r="F17" s="13">
        <v>0.65625</v>
      </c>
      <c r="G17" s="5" t="s">
        <v>1547</v>
      </c>
      <c r="H17" s="5" t="s">
        <v>1381</v>
      </c>
      <c r="N17" s="13"/>
    </row>
    <row r="18">
      <c r="A18" s="5">
        <v>1.0</v>
      </c>
      <c r="B18" s="5" t="s">
        <v>1211</v>
      </c>
      <c r="C18" s="5">
        <v>1.0</v>
      </c>
      <c r="D18" s="5" t="s">
        <v>1361</v>
      </c>
      <c r="E18" s="5">
        <v>0.0</v>
      </c>
      <c r="F18" s="13">
        <v>0.7604166666666666</v>
      </c>
      <c r="G18" s="5" t="s">
        <v>1548</v>
      </c>
      <c r="H18" s="5" t="s">
        <v>1381</v>
      </c>
      <c r="N18" s="13"/>
    </row>
    <row r="19">
      <c r="A19" s="5">
        <v>2.0</v>
      </c>
      <c r="B19" s="5" t="s">
        <v>1211</v>
      </c>
      <c r="C19" s="5">
        <v>2.0</v>
      </c>
      <c r="D19" s="5" t="s">
        <v>1363</v>
      </c>
      <c r="E19" s="5">
        <v>2.0</v>
      </c>
      <c r="F19" s="13">
        <v>0.4791666666666667</v>
      </c>
      <c r="G19" s="5" t="s">
        <v>1549</v>
      </c>
      <c r="H19" s="5" t="s">
        <v>1381</v>
      </c>
    </row>
    <row r="20">
      <c r="A20" s="5">
        <v>2.0</v>
      </c>
      <c r="B20" s="5" t="s">
        <v>1211</v>
      </c>
      <c r="C20" s="5">
        <v>2.0</v>
      </c>
      <c r="D20" s="5" t="s">
        <v>1362</v>
      </c>
      <c r="E20" s="5">
        <v>2.0</v>
      </c>
      <c r="F20" s="13">
        <v>0.6458333333333334</v>
      </c>
      <c r="G20" s="5" t="s">
        <v>1550</v>
      </c>
      <c r="H20" s="5" t="s">
        <v>1381</v>
      </c>
    </row>
    <row r="21">
      <c r="A21" s="5">
        <v>2.0</v>
      </c>
      <c r="B21" s="5" t="s">
        <v>1211</v>
      </c>
      <c r="C21" s="5">
        <v>2.0</v>
      </c>
      <c r="D21" s="5" t="s">
        <v>1361</v>
      </c>
      <c r="E21" s="5">
        <v>2.0</v>
      </c>
      <c r="F21" s="13">
        <v>0.75</v>
      </c>
      <c r="G21" s="5" t="s">
        <v>1551</v>
      </c>
      <c r="H21" s="5" t="s">
        <v>1381</v>
      </c>
    </row>
    <row r="22">
      <c r="A22" s="5">
        <v>3.0</v>
      </c>
      <c r="B22" s="5" t="s">
        <v>1211</v>
      </c>
      <c r="C22" s="5">
        <v>3.0</v>
      </c>
      <c r="D22" s="5" t="s">
        <v>1363</v>
      </c>
      <c r="E22" s="5">
        <v>4.0</v>
      </c>
      <c r="F22" s="13">
        <v>0.4895833333333333</v>
      </c>
      <c r="G22" s="14" t="s">
        <v>1557</v>
      </c>
      <c r="H22" s="5" t="s">
        <v>1381</v>
      </c>
    </row>
    <row r="23">
      <c r="A23" s="5">
        <v>3.0</v>
      </c>
      <c r="B23" s="5" t="s">
        <v>1211</v>
      </c>
      <c r="C23" s="5">
        <v>3.0</v>
      </c>
      <c r="D23" s="5" t="s">
        <v>1362</v>
      </c>
      <c r="E23" s="5">
        <v>4.0</v>
      </c>
      <c r="F23" s="13">
        <v>0.65625</v>
      </c>
      <c r="G23" s="14" t="s">
        <v>1558</v>
      </c>
      <c r="H23" s="5" t="s">
        <v>1381</v>
      </c>
    </row>
    <row r="24">
      <c r="A24" s="5">
        <v>3.0</v>
      </c>
      <c r="B24" s="5" t="s">
        <v>1211</v>
      </c>
      <c r="C24" s="5">
        <v>3.0</v>
      </c>
      <c r="D24" s="5" t="s">
        <v>1361</v>
      </c>
      <c r="E24" s="5">
        <v>4.0</v>
      </c>
      <c r="F24" s="13">
        <v>0.7604166666666666</v>
      </c>
      <c r="G24" s="14" t="s">
        <v>1559</v>
      </c>
      <c r="H24" s="5" t="s">
        <v>1381</v>
      </c>
    </row>
    <row r="25">
      <c r="A25" s="5">
        <v>4.0</v>
      </c>
      <c r="B25" s="5" t="s">
        <v>1211</v>
      </c>
      <c r="C25" s="5">
        <v>4.0</v>
      </c>
      <c r="D25" s="5" t="s">
        <v>1363</v>
      </c>
      <c r="E25" s="5">
        <v>6.0</v>
      </c>
      <c r="F25" s="13">
        <v>0.4791666666666667</v>
      </c>
      <c r="G25" s="14" t="s">
        <v>1560</v>
      </c>
      <c r="H25" s="5" t="s">
        <v>1381</v>
      </c>
    </row>
    <row r="26">
      <c r="A26" s="5">
        <v>4.0</v>
      </c>
      <c r="B26" s="5" t="s">
        <v>1211</v>
      </c>
      <c r="C26" s="5">
        <v>4.0</v>
      </c>
      <c r="D26" s="5" t="s">
        <v>1362</v>
      </c>
      <c r="E26" s="5">
        <v>6.0</v>
      </c>
      <c r="F26" s="13">
        <v>0.6458333333333334</v>
      </c>
      <c r="G26" s="14" t="s">
        <v>1561</v>
      </c>
      <c r="H26" s="5" t="s">
        <v>1381</v>
      </c>
    </row>
    <row r="27">
      <c r="A27" s="5">
        <v>4.0</v>
      </c>
      <c r="B27" s="5" t="s">
        <v>1211</v>
      </c>
      <c r="C27" s="5">
        <v>4.0</v>
      </c>
      <c r="D27" s="5" t="s">
        <v>1361</v>
      </c>
      <c r="E27" s="5">
        <v>6.0</v>
      </c>
      <c r="F27" s="13">
        <v>0.75</v>
      </c>
      <c r="G27" s="5" t="s">
        <v>1423</v>
      </c>
      <c r="H27" s="5" t="s">
        <v>1381</v>
      </c>
    </row>
    <row r="28">
      <c r="A28" s="12"/>
      <c r="B28" s="12"/>
      <c r="C28" s="12"/>
      <c r="D28" s="12"/>
      <c r="E28" s="12"/>
      <c r="F28" s="12"/>
      <c r="G28" s="12"/>
      <c r="H28" s="12"/>
    </row>
    <row r="29">
      <c r="A29" s="5">
        <v>1.0</v>
      </c>
      <c r="B29" s="5" t="s">
        <v>1460</v>
      </c>
      <c r="C29" s="5">
        <v>1.0</v>
      </c>
      <c r="D29" s="5" t="s">
        <v>1363</v>
      </c>
      <c r="E29" s="5">
        <v>0.0</v>
      </c>
      <c r="F29" s="13">
        <v>0.46875</v>
      </c>
      <c r="G29" s="5" t="s">
        <v>1546</v>
      </c>
      <c r="H29" s="5" t="s">
        <v>1381</v>
      </c>
    </row>
    <row r="30">
      <c r="A30" s="5">
        <v>1.0</v>
      </c>
      <c r="B30" s="5" t="s">
        <v>1460</v>
      </c>
      <c r="C30" s="5">
        <v>1.0</v>
      </c>
      <c r="D30" s="5" t="s">
        <v>1362</v>
      </c>
      <c r="E30" s="5">
        <v>0.0</v>
      </c>
      <c r="F30" s="13">
        <v>0.65625</v>
      </c>
      <c r="G30" s="5" t="s">
        <v>1547</v>
      </c>
      <c r="H30" s="5" t="s">
        <v>1381</v>
      </c>
    </row>
    <row r="31">
      <c r="A31" s="5">
        <v>1.0</v>
      </c>
      <c r="B31" s="5" t="s">
        <v>1460</v>
      </c>
      <c r="C31" s="5">
        <v>1.0</v>
      </c>
      <c r="D31" s="5" t="s">
        <v>1361</v>
      </c>
      <c r="E31" s="5">
        <v>0.0</v>
      </c>
      <c r="F31" s="13">
        <v>0.7604166666666666</v>
      </c>
      <c r="G31" s="5" t="s">
        <v>1548</v>
      </c>
      <c r="H31" s="5" t="s">
        <v>1381</v>
      </c>
    </row>
    <row r="32">
      <c r="A32" s="5">
        <v>2.0</v>
      </c>
      <c r="B32" s="5" t="s">
        <v>1460</v>
      </c>
      <c r="C32" s="5">
        <v>2.0</v>
      </c>
      <c r="D32" s="5" t="s">
        <v>1363</v>
      </c>
      <c r="E32" s="5">
        <v>2.0</v>
      </c>
      <c r="F32" s="13">
        <v>0.4791666666666667</v>
      </c>
      <c r="G32" s="5" t="s">
        <v>1549</v>
      </c>
      <c r="H32" s="5" t="s">
        <v>1381</v>
      </c>
    </row>
    <row r="33">
      <c r="A33" s="5">
        <v>2.0</v>
      </c>
      <c r="B33" s="5" t="s">
        <v>1460</v>
      </c>
      <c r="C33" s="5">
        <v>2.0</v>
      </c>
      <c r="D33" s="5" t="s">
        <v>1362</v>
      </c>
      <c r="E33" s="5">
        <v>2.0</v>
      </c>
      <c r="F33" s="13">
        <v>0.6458333333333334</v>
      </c>
      <c r="G33" s="5" t="s">
        <v>1550</v>
      </c>
      <c r="H33" s="5" t="s">
        <v>1381</v>
      </c>
    </row>
    <row r="34">
      <c r="A34" s="5">
        <v>2.0</v>
      </c>
      <c r="B34" s="5" t="s">
        <v>1460</v>
      </c>
      <c r="C34" s="5">
        <v>2.0</v>
      </c>
      <c r="D34" s="5" t="s">
        <v>1361</v>
      </c>
      <c r="E34" s="5">
        <v>2.0</v>
      </c>
      <c r="F34" s="13">
        <v>0.75</v>
      </c>
      <c r="G34" s="5" t="s">
        <v>1551</v>
      </c>
      <c r="H34" s="5" t="s">
        <v>1381</v>
      </c>
    </row>
    <row r="35">
      <c r="A35" s="5">
        <v>3.0</v>
      </c>
      <c r="B35" s="5" t="s">
        <v>1460</v>
      </c>
      <c r="C35" s="5">
        <v>3.0</v>
      </c>
      <c r="D35" s="5" t="s">
        <v>1363</v>
      </c>
      <c r="E35" s="5">
        <v>4.0</v>
      </c>
      <c r="F35" s="13">
        <v>0.4895833333333333</v>
      </c>
      <c r="G35" s="14" t="s">
        <v>1562</v>
      </c>
      <c r="H35" s="5" t="s">
        <v>1381</v>
      </c>
    </row>
    <row r="36">
      <c r="A36" s="5">
        <v>3.0</v>
      </c>
      <c r="B36" s="5" t="s">
        <v>1460</v>
      </c>
      <c r="C36" s="5">
        <v>3.0</v>
      </c>
      <c r="D36" s="5" t="s">
        <v>1362</v>
      </c>
      <c r="E36" s="5">
        <v>4.0</v>
      </c>
      <c r="F36" s="13">
        <v>0.65625</v>
      </c>
      <c r="G36" s="14" t="s">
        <v>1563</v>
      </c>
      <c r="H36" s="5" t="s">
        <v>1381</v>
      </c>
    </row>
    <row r="37">
      <c r="A37" s="5">
        <v>3.0</v>
      </c>
      <c r="B37" s="5" t="s">
        <v>1460</v>
      </c>
      <c r="C37" s="5">
        <v>3.0</v>
      </c>
      <c r="D37" s="5" t="s">
        <v>1361</v>
      </c>
      <c r="E37" s="5">
        <v>4.0</v>
      </c>
      <c r="F37" s="13">
        <v>0.7604166666666666</v>
      </c>
      <c r="G37" s="14" t="s">
        <v>1564</v>
      </c>
      <c r="H37" s="5" t="s">
        <v>1381</v>
      </c>
    </row>
    <row r="38">
      <c r="A38" s="5">
        <v>4.0</v>
      </c>
      <c r="B38" s="5" t="s">
        <v>1460</v>
      </c>
      <c r="C38" s="5">
        <v>4.0</v>
      </c>
      <c r="D38" s="5" t="s">
        <v>1363</v>
      </c>
      <c r="E38" s="5">
        <v>6.0</v>
      </c>
      <c r="F38" s="13">
        <v>0.4791666666666667</v>
      </c>
      <c r="G38" s="14" t="s">
        <v>1565</v>
      </c>
      <c r="H38" s="5" t="s">
        <v>1381</v>
      </c>
    </row>
    <row r="39">
      <c r="A39" s="5">
        <v>4.0</v>
      </c>
      <c r="B39" s="5" t="s">
        <v>1460</v>
      </c>
      <c r="C39" s="5">
        <v>4.0</v>
      </c>
      <c r="D39" s="5" t="s">
        <v>1362</v>
      </c>
      <c r="E39" s="5">
        <v>6.0</v>
      </c>
      <c r="F39" s="13">
        <v>0.6458333333333334</v>
      </c>
      <c r="G39" s="14" t="s">
        <v>1566</v>
      </c>
      <c r="H39" s="5" t="s">
        <v>1381</v>
      </c>
    </row>
    <row r="40">
      <c r="A40" s="5">
        <v>4.0</v>
      </c>
      <c r="B40" s="5" t="s">
        <v>1460</v>
      </c>
      <c r="C40" s="5">
        <v>4.0</v>
      </c>
      <c r="D40" s="5" t="s">
        <v>1361</v>
      </c>
      <c r="E40" s="5">
        <v>6.0</v>
      </c>
      <c r="F40" s="13">
        <v>0.75</v>
      </c>
      <c r="G40" s="5" t="s">
        <v>1423</v>
      </c>
      <c r="H40" s="5" t="s">
        <v>1381</v>
      </c>
    </row>
    <row r="41">
      <c r="A41" s="12"/>
      <c r="B41" s="12"/>
      <c r="C41" s="12"/>
      <c r="D41" s="12"/>
      <c r="E41" s="12"/>
      <c r="F41" s="12"/>
      <c r="G41" s="12"/>
      <c r="H41" s="12"/>
    </row>
    <row r="42">
      <c r="A42" s="5">
        <v>1.0</v>
      </c>
      <c r="B42" s="5" t="s">
        <v>1473</v>
      </c>
      <c r="C42" s="5">
        <v>1.0</v>
      </c>
      <c r="D42" s="5" t="s">
        <v>1363</v>
      </c>
      <c r="E42" s="5">
        <v>0.0</v>
      </c>
      <c r="F42" s="13">
        <v>0.46875</v>
      </c>
      <c r="G42" s="5" t="s">
        <v>1546</v>
      </c>
      <c r="H42" s="5" t="s">
        <v>1381</v>
      </c>
    </row>
    <row r="43">
      <c r="A43" s="5">
        <v>1.0</v>
      </c>
      <c r="B43" s="5" t="s">
        <v>1473</v>
      </c>
      <c r="C43" s="5">
        <v>1.0</v>
      </c>
      <c r="D43" s="5" t="s">
        <v>1362</v>
      </c>
      <c r="E43" s="5">
        <v>0.0</v>
      </c>
      <c r="F43" s="13">
        <v>0.65625</v>
      </c>
      <c r="G43" s="5" t="s">
        <v>1547</v>
      </c>
      <c r="H43" s="5" t="s">
        <v>1381</v>
      </c>
    </row>
    <row r="44">
      <c r="A44" s="5">
        <v>1.0</v>
      </c>
      <c r="B44" s="5" t="s">
        <v>1473</v>
      </c>
      <c r="C44" s="5">
        <v>1.0</v>
      </c>
      <c r="D44" s="5" t="s">
        <v>1361</v>
      </c>
      <c r="E44" s="5">
        <v>0.0</v>
      </c>
      <c r="F44" s="13">
        <v>0.7604166666666666</v>
      </c>
      <c r="G44" s="5" t="s">
        <v>1548</v>
      </c>
      <c r="H44" s="5" t="s">
        <v>1381</v>
      </c>
    </row>
    <row r="45">
      <c r="A45" s="5">
        <v>2.0</v>
      </c>
      <c r="B45" s="5" t="s">
        <v>1473</v>
      </c>
      <c r="C45" s="5">
        <v>2.0</v>
      </c>
      <c r="D45" s="5" t="s">
        <v>1363</v>
      </c>
      <c r="E45" s="5">
        <v>2.0</v>
      </c>
      <c r="F45" s="13">
        <v>0.4791666666666667</v>
      </c>
      <c r="G45" s="5" t="s">
        <v>1549</v>
      </c>
      <c r="H45" s="5" t="s">
        <v>1381</v>
      </c>
    </row>
    <row r="46">
      <c r="A46" s="5">
        <v>2.0</v>
      </c>
      <c r="B46" s="5" t="s">
        <v>1473</v>
      </c>
      <c r="C46" s="5">
        <v>2.0</v>
      </c>
      <c r="D46" s="5" t="s">
        <v>1362</v>
      </c>
      <c r="E46" s="5">
        <v>2.0</v>
      </c>
      <c r="F46" s="13">
        <v>0.6458333333333334</v>
      </c>
      <c r="G46" s="5" t="s">
        <v>1550</v>
      </c>
      <c r="H46" s="5" t="s">
        <v>1381</v>
      </c>
    </row>
    <row r="47">
      <c r="A47" s="5">
        <v>2.0</v>
      </c>
      <c r="B47" s="5" t="s">
        <v>1473</v>
      </c>
      <c r="C47" s="5">
        <v>2.0</v>
      </c>
      <c r="D47" s="5" t="s">
        <v>1361</v>
      </c>
      <c r="E47" s="5">
        <v>2.0</v>
      </c>
      <c r="F47" s="13">
        <v>0.75</v>
      </c>
      <c r="G47" s="5" t="s">
        <v>1551</v>
      </c>
      <c r="H47" s="5" t="s">
        <v>1381</v>
      </c>
    </row>
    <row r="48">
      <c r="A48" s="5">
        <v>3.0</v>
      </c>
      <c r="B48" s="5" t="s">
        <v>1473</v>
      </c>
      <c r="C48" s="5">
        <v>3.0</v>
      </c>
      <c r="D48" s="5" t="s">
        <v>1363</v>
      </c>
      <c r="E48" s="5">
        <v>4.0</v>
      </c>
      <c r="F48" s="13">
        <v>0.4895833333333333</v>
      </c>
      <c r="G48" s="14" t="s">
        <v>1567</v>
      </c>
      <c r="H48" s="5" t="s">
        <v>1381</v>
      </c>
    </row>
    <row r="49">
      <c r="A49" s="5">
        <v>3.0</v>
      </c>
      <c r="B49" s="5" t="s">
        <v>1473</v>
      </c>
      <c r="C49" s="5">
        <v>3.0</v>
      </c>
      <c r="D49" s="5" t="s">
        <v>1362</v>
      </c>
      <c r="E49" s="5">
        <v>4.0</v>
      </c>
      <c r="F49" s="13">
        <v>0.65625</v>
      </c>
      <c r="G49" s="14" t="s">
        <v>1568</v>
      </c>
      <c r="H49" s="5" t="s">
        <v>1381</v>
      </c>
    </row>
    <row r="50">
      <c r="A50" s="5">
        <v>3.0</v>
      </c>
      <c r="B50" s="5" t="s">
        <v>1473</v>
      </c>
      <c r="C50" s="5">
        <v>3.0</v>
      </c>
      <c r="D50" s="5" t="s">
        <v>1361</v>
      </c>
      <c r="E50" s="5">
        <v>4.0</v>
      </c>
      <c r="F50" s="13">
        <v>0.7604166666666666</v>
      </c>
      <c r="G50" s="14" t="s">
        <v>1569</v>
      </c>
      <c r="H50" s="5" t="s">
        <v>1381</v>
      </c>
    </row>
    <row r="51">
      <c r="A51" s="5">
        <v>4.0</v>
      </c>
      <c r="B51" s="5" t="s">
        <v>1473</v>
      </c>
      <c r="C51" s="5">
        <v>4.0</v>
      </c>
      <c r="D51" s="5" t="s">
        <v>1363</v>
      </c>
      <c r="E51" s="5">
        <v>6.0</v>
      </c>
      <c r="F51" s="13">
        <v>0.4791666666666667</v>
      </c>
      <c r="G51" s="14" t="s">
        <v>1570</v>
      </c>
      <c r="H51" s="5" t="s">
        <v>1381</v>
      </c>
    </row>
    <row r="52">
      <c r="A52" s="5">
        <v>4.0</v>
      </c>
      <c r="B52" s="5" t="s">
        <v>1473</v>
      </c>
      <c r="C52" s="5">
        <v>4.0</v>
      </c>
      <c r="D52" s="5" t="s">
        <v>1362</v>
      </c>
      <c r="E52" s="5">
        <v>6.0</v>
      </c>
      <c r="F52" s="13">
        <v>0.6458333333333334</v>
      </c>
      <c r="G52" s="14" t="s">
        <v>1571</v>
      </c>
      <c r="H52" s="5" t="s">
        <v>1381</v>
      </c>
    </row>
    <row r="53">
      <c r="A53" s="5">
        <v>4.0</v>
      </c>
      <c r="B53" s="5" t="s">
        <v>1473</v>
      </c>
      <c r="C53" s="5">
        <v>4.0</v>
      </c>
      <c r="D53" s="5" t="s">
        <v>1361</v>
      </c>
      <c r="E53" s="5">
        <v>6.0</v>
      </c>
      <c r="F53" s="13">
        <v>0.75</v>
      </c>
      <c r="G53" s="5" t="s">
        <v>1423</v>
      </c>
      <c r="H53" s="5" t="s">
        <v>1381</v>
      </c>
    </row>
    <row r="54">
      <c r="A54" s="12"/>
      <c r="B54" s="12"/>
      <c r="C54" s="12"/>
      <c r="D54" s="12"/>
      <c r="E54" s="12"/>
      <c r="F54" s="12"/>
      <c r="G54" s="12"/>
      <c r="H54" s="12"/>
    </row>
    <row r="55">
      <c r="A55" s="5">
        <v>1.0</v>
      </c>
      <c r="B55" s="5" t="s">
        <v>1497</v>
      </c>
      <c r="C55" s="5">
        <v>1.0</v>
      </c>
      <c r="D55" s="5" t="s">
        <v>1363</v>
      </c>
      <c r="E55" s="5">
        <v>0.0</v>
      </c>
      <c r="F55" s="13">
        <v>0.46875</v>
      </c>
      <c r="G55" s="5" t="s">
        <v>1546</v>
      </c>
      <c r="H55" s="5" t="s">
        <v>1381</v>
      </c>
    </row>
    <row r="56">
      <c r="A56" s="5">
        <v>1.0</v>
      </c>
      <c r="B56" s="5" t="s">
        <v>1497</v>
      </c>
      <c r="C56" s="5">
        <v>1.0</v>
      </c>
      <c r="D56" s="5" t="s">
        <v>1362</v>
      </c>
      <c r="E56" s="5">
        <v>0.0</v>
      </c>
      <c r="F56" s="13">
        <v>0.65625</v>
      </c>
      <c r="G56" s="5" t="s">
        <v>1547</v>
      </c>
      <c r="H56" s="5" t="s">
        <v>1381</v>
      </c>
    </row>
    <row r="57">
      <c r="A57" s="5">
        <v>1.0</v>
      </c>
      <c r="B57" s="5" t="s">
        <v>1497</v>
      </c>
      <c r="C57" s="5">
        <v>1.0</v>
      </c>
      <c r="D57" s="5" t="s">
        <v>1361</v>
      </c>
      <c r="E57" s="5">
        <v>0.0</v>
      </c>
      <c r="F57" s="13">
        <v>0.7604166666666666</v>
      </c>
      <c r="G57" s="5" t="s">
        <v>1548</v>
      </c>
      <c r="H57" s="5" t="s">
        <v>1381</v>
      </c>
    </row>
    <row r="58">
      <c r="A58" s="5">
        <v>2.0</v>
      </c>
      <c r="B58" s="5" t="s">
        <v>1497</v>
      </c>
      <c r="C58" s="5">
        <v>2.0</v>
      </c>
      <c r="D58" s="5" t="s">
        <v>1363</v>
      </c>
      <c r="E58" s="5">
        <v>2.0</v>
      </c>
      <c r="F58" s="13">
        <v>0.4791666666666667</v>
      </c>
      <c r="G58" s="5" t="s">
        <v>1549</v>
      </c>
      <c r="H58" s="5" t="s">
        <v>1381</v>
      </c>
    </row>
    <row r="59">
      <c r="A59" s="5">
        <v>2.0</v>
      </c>
      <c r="B59" s="5" t="s">
        <v>1497</v>
      </c>
      <c r="C59" s="5">
        <v>2.0</v>
      </c>
      <c r="D59" s="5" t="s">
        <v>1362</v>
      </c>
      <c r="E59" s="5">
        <v>2.0</v>
      </c>
      <c r="F59" s="13">
        <v>0.6458333333333334</v>
      </c>
      <c r="G59" s="5" t="s">
        <v>1550</v>
      </c>
      <c r="H59" s="5" t="s">
        <v>1381</v>
      </c>
    </row>
    <row r="60">
      <c r="A60" s="5">
        <v>2.0</v>
      </c>
      <c r="B60" s="5" t="s">
        <v>1497</v>
      </c>
      <c r="C60" s="5">
        <v>2.0</v>
      </c>
      <c r="D60" s="5" t="s">
        <v>1361</v>
      </c>
      <c r="E60" s="5">
        <v>2.0</v>
      </c>
      <c r="F60" s="13">
        <v>0.75</v>
      </c>
      <c r="G60" s="5" t="s">
        <v>1551</v>
      </c>
      <c r="H60" s="5" t="s">
        <v>1381</v>
      </c>
    </row>
    <row r="61">
      <c r="A61" s="5">
        <v>3.0</v>
      </c>
      <c r="B61" s="5" t="s">
        <v>1497</v>
      </c>
      <c r="C61" s="5">
        <v>3.0</v>
      </c>
      <c r="D61" s="5" t="s">
        <v>1363</v>
      </c>
      <c r="E61" s="5">
        <v>4.0</v>
      </c>
      <c r="F61" s="13">
        <v>0.4895833333333333</v>
      </c>
      <c r="G61" s="14" t="s">
        <v>1572</v>
      </c>
      <c r="H61" s="5" t="s">
        <v>1381</v>
      </c>
    </row>
    <row r="62">
      <c r="A62" s="5">
        <v>3.0</v>
      </c>
      <c r="B62" s="5" t="s">
        <v>1497</v>
      </c>
      <c r="C62" s="5">
        <v>3.0</v>
      </c>
      <c r="D62" s="5" t="s">
        <v>1362</v>
      </c>
      <c r="E62" s="5">
        <v>4.0</v>
      </c>
      <c r="F62" s="13">
        <v>0.65625</v>
      </c>
      <c r="G62" s="14" t="s">
        <v>1573</v>
      </c>
      <c r="H62" s="5" t="s">
        <v>1381</v>
      </c>
    </row>
    <row r="63">
      <c r="A63" s="5">
        <v>3.0</v>
      </c>
      <c r="B63" s="5" t="s">
        <v>1497</v>
      </c>
      <c r="C63" s="5">
        <v>3.0</v>
      </c>
      <c r="D63" s="5" t="s">
        <v>1361</v>
      </c>
      <c r="E63" s="5">
        <v>4.0</v>
      </c>
      <c r="F63" s="13">
        <v>0.7604166666666666</v>
      </c>
      <c r="G63" s="14" t="s">
        <v>1574</v>
      </c>
      <c r="H63" s="5" t="s">
        <v>1381</v>
      </c>
    </row>
    <row r="64">
      <c r="A64" s="5">
        <v>4.0</v>
      </c>
      <c r="B64" s="5" t="s">
        <v>1497</v>
      </c>
      <c r="C64" s="5">
        <v>4.0</v>
      </c>
      <c r="D64" s="5" t="s">
        <v>1363</v>
      </c>
      <c r="E64" s="5">
        <v>6.0</v>
      </c>
      <c r="F64" s="13">
        <v>0.4791666666666667</v>
      </c>
      <c r="G64" s="14" t="s">
        <v>1575</v>
      </c>
      <c r="H64" s="5" t="s">
        <v>1381</v>
      </c>
    </row>
    <row r="65">
      <c r="A65" s="5">
        <v>4.0</v>
      </c>
      <c r="B65" s="5" t="s">
        <v>1497</v>
      </c>
      <c r="C65" s="5">
        <v>4.0</v>
      </c>
      <c r="D65" s="5" t="s">
        <v>1362</v>
      </c>
      <c r="E65" s="5">
        <v>6.0</v>
      </c>
      <c r="F65" s="13">
        <v>0.6458333333333334</v>
      </c>
      <c r="G65" s="14" t="s">
        <v>1576</v>
      </c>
      <c r="H65" s="5" t="s">
        <v>1381</v>
      </c>
    </row>
    <row r="66">
      <c r="A66" s="5">
        <v>4.0</v>
      </c>
      <c r="B66" s="5" t="s">
        <v>1497</v>
      </c>
      <c r="C66" s="5">
        <v>4.0</v>
      </c>
      <c r="D66" s="5" t="s">
        <v>1361</v>
      </c>
      <c r="E66" s="5">
        <v>6.0</v>
      </c>
      <c r="F66" s="13">
        <v>0.75</v>
      </c>
      <c r="G66" s="5" t="s">
        <v>1423</v>
      </c>
      <c r="H66" s="5" t="s">
        <v>1381</v>
      </c>
    </row>
    <row r="67">
      <c r="A67" s="12"/>
      <c r="B67" s="12"/>
      <c r="C67" s="12"/>
      <c r="D67" s="12"/>
      <c r="E67" s="12"/>
      <c r="F67" s="12"/>
      <c r="G67" s="12"/>
      <c r="H67" s="12"/>
    </row>
    <row r="68">
      <c r="A68" s="5">
        <v>1.0</v>
      </c>
      <c r="B68" s="5" t="s">
        <v>1215</v>
      </c>
      <c r="C68" s="5">
        <v>1.0</v>
      </c>
      <c r="D68" s="5" t="s">
        <v>1363</v>
      </c>
      <c r="E68" s="5">
        <v>0.0</v>
      </c>
      <c r="F68" s="13">
        <v>0.46875</v>
      </c>
      <c r="G68" s="5" t="s">
        <v>1546</v>
      </c>
      <c r="H68" s="5" t="s">
        <v>1381</v>
      </c>
    </row>
    <row r="69">
      <c r="A69" s="5">
        <v>1.0</v>
      </c>
      <c r="B69" s="5" t="s">
        <v>1215</v>
      </c>
      <c r="C69" s="5">
        <v>1.0</v>
      </c>
      <c r="D69" s="5" t="s">
        <v>1362</v>
      </c>
      <c r="E69" s="5">
        <v>0.0</v>
      </c>
      <c r="F69" s="13">
        <v>0.65625</v>
      </c>
      <c r="G69" s="5" t="s">
        <v>1547</v>
      </c>
      <c r="H69" s="5" t="s">
        <v>1381</v>
      </c>
    </row>
    <row r="70">
      <c r="A70" s="5">
        <v>1.0</v>
      </c>
      <c r="B70" s="5" t="s">
        <v>1215</v>
      </c>
      <c r="C70" s="5">
        <v>1.0</v>
      </c>
      <c r="D70" s="5" t="s">
        <v>1361</v>
      </c>
      <c r="E70" s="5">
        <v>0.0</v>
      </c>
      <c r="F70" s="13">
        <v>0.7604166666666666</v>
      </c>
      <c r="G70" s="5" t="s">
        <v>1548</v>
      </c>
      <c r="H70" s="5" t="s">
        <v>1381</v>
      </c>
    </row>
    <row r="71">
      <c r="A71" s="5">
        <v>2.0</v>
      </c>
      <c r="B71" s="5" t="s">
        <v>1215</v>
      </c>
      <c r="C71" s="5">
        <v>2.0</v>
      </c>
      <c r="D71" s="5" t="s">
        <v>1363</v>
      </c>
      <c r="E71" s="5">
        <v>2.0</v>
      </c>
      <c r="F71" s="13">
        <v>0.4791666666666667</v>
      </c>
      <c r="G71" s="5" t="s">
        <v>1549</v>
      </c>
      <c r="H71" s="5" t="s">
        <v>1381</v>
      </c>
    </row>
    <row r="72">
      <c r="A72" s="5">
        <v>2.0</v>
      </c>
      <c r="B72" s="5" t="s">
        <v>1215</v>
      </c>
      <c r="C72" s="5">
        <v>2.0</v>
      </c>
      <c r="D72" s="5" t="s">
        <v>1362</v>
      </c>
      <c r="E72" s="5">
        <v>2.0</v>
      </c>
      <c r="F72" s="13">
        <v>0.6458333333333334</v>
      </c>
      <c r="G72" s="5" t="s">
        <v>1550</v>
      </c>
      <c r="H72" s="5" t="s">
        <v>1381</v>
      </c>
    </row>
    <row r="73">
      <c r="A73" s="5">
        <v>2.0</v>
      </c>
      <c r="B73" s="5" t="s">
        <v>1215</v>
      </c>
      <c r="C73" s="5">
        <v>2.0</v>
      </c>
      <c r="D73" s="5" t="s">
        <v>1361</v>
      </c>
      <c r="E73" s="5">
        <v>2.0</v>
      </c>
      <c r="F73" s="13">
        <v>0.75</v>
      </c>
      <c r="G73" s="5" t="s">
        <v>1551</v>
      </c>
      <c r="H73" s="5" t="s">
        <v>1381</v>
      </c>
    </row>
    <row r="74">
      <c r="A74" s="5">
        <v>3.0</v>
      </c>
      <c r="B74" s="5" t="s">
        <v>1215</v>
      </c>
      <c r="C74" s="5">
        <v>3.0</v>
      </c>
      <c r="D74" s="5" t="s">
        <v>1363</v>
      </c>
      <c r="E74" s="5">
        <v>4.0</v>
      </c>
      <c r="F74" s="13">
        <v>0.4895833333333333</v>
      </c>
      <c r="G74" s="14" t="s">
        <v>1577</v>
      </c>
      <c r="H74" s="5" t="s">
        <v>1381</v>
      </c>
    </row>
    <row r="75">
      <c r="A75" s="5">
        <v>3.0</v>
      </c>
      <c r="B75" s="5" t="s">
        <v>1215</v>
      </c>
      <c r="C75" s="5">
        <v>3.0</v>
      </c>
      <c r="D75" s="5" t="s">
        <v>1362</v>
      </c>
      <c r="E75" s="5">
        <v>4.0</v>
      </c>
      <c r="F75" s="13">
        <v>0.65625</v>
      </c>
      <c r="G75" s="14" t="s">
        <v>1578</v>
      </c>
      <c r="H75" s="5" t="s">
        <v>1381</v>
      </c>
    </row>
    <row r="76">
      <c r="A76" s="5">
        <v>3.0</v>
      </c>
      <c r="B76" s="5" t="s">
        <v>1215</v>
      </c>
      <c r="C76" s="5">
        <v>3.0</v>
      </c>
      <c r="D76" s="5" t="s">
        <v>1361</v>
      </c>
      <c r="E76" s="5">
        <v>4.0</v>
      </c>
      <c r="F76" s="13">
        <v>0.7604166666666666</v>
      </c>
      <c r="G76" s="14" t="s">
        <v>1579</v>
      </c>
      <c r="H76" s="5" t="s">
        <v>1381</v>
      </c>
    </row>
    <row r="77">
      <c r="A77" s="5">
        <v>4.0</v>
      </c>
      <c r="B77" s="5" t="s">
        <v>1215</v>
      </c>
      <c r="C77" s="5">
        <v>4.0</v>
      </c>
      <c r="D77" s="5" t="s">
        <v>1363</v>
      </c>
      <c r="E77" s="5">
        <v>6.0</v>
      </c>
      <c r="F77" s="13">
        <v>0.4791666666666667</v>
      </c>
      <c r="G77" s="14" t="s">
        <v>1580</v>
      </c>
      <c r="H77" s="5" t="s">
        <v>1381</v>
      </c>
    </row>
    <row r="78">
      <c r="A78" s="5">
        <v>4.0</v>
      </c>
      <c r="B78" s="5" t="s">
        <v>1215</v>
      </c>
      <c r="C78" s="5">
        <v>4.0</v>
      </c>
      <c r="D78" s="5" t="s">
        <v>1362</v>
      </c>
      <c r="E78" s="5">
        <v>6.0</v>
      </c>
      <c r="F78" s="13">
        <v>0.6458333333333334</v>
      </c>
      <c r="G78" s="14" t="s">
        <v>1581</v>
      </c>
      <c r="H78" s="5" t="s">
        <v>1381</v>
      </c>
    </row>
    <row r="79">
      <c r="A79" s="5">
        <v>4.0</v>
      </c>
      <c r="B79" s="5" t="s">
        <v>1215</v>
      </c>
      <c r="C79" s="5">
        <v>4.0</v>
      </c>
      <c r="D79" s="5" t="s">
        <v>1361</v>
      </c>
      <c r="E79" s="5">
        <v>6.0</v>
      </c>
      <c r="F79" s="13">
        <v>0.75</v>
      </c>
      <c r="G79" s="5" t="s">
        <v>1423</v>
      </c>
      <c r="H79" s="5" t="s">
        <v>1381</v>
      </c>
    </row>
    <row r="80">
      <c r="A80" s="12"/>
      <c r="B80" s="12"/>
      <c r="C80" s="12"/>
      <c r="D80" s="12"/>
      <c r="E80" s="12"/>
      <c r="F80" s="12"/>
      <c r="G80" s="12"/>
      <c r="H80" s="12"/>
    </row>
    <row r="81">
      <c r="A81" s="5">
        <v>1.0</v>
      </c>
      <c r="B81" s="5" t="s">
        <v>1485</v>
      </c>
      <c r="C81" s="5">
        <v>1.0</v>
      </c>
      <c r="D81" s="5" t="s">
        <v>1363</v>
      </c>
      <c r="E81" s="5">
        <v>0.0</v>
      </c>
      <c r="F81" s="13">
        <v>0.46875</v>
      </c>
      <c r="G81" s="5" t="s">
        <v>1546</v>
      </c>
      <c r="H81" s="5" t="s">
        <v>1381</v>
      </c>
    </row>
    <row r="82">
      <c r="A82" s="5">
        <v>1.0</v>
      </c>
      <c r="B82" s="5" t="s">
        <v>1485</v>
      </c>
      <c r="C82" s="5">
        <v>1.0</v>
      </c>
      <c r="D82" s="5" t="s">
        <v>1362</v>
      </c>
      <c r="E82" s="5">
        <v>0.0</v>
      </c>
      <c r="F82" s="13">
        <v>0.65625</v>
      </c>
      <c r="G82" s="5" t="s">
        <v>1547</v>
      </c>
      <c r="H82" s="5" t="s">
        <v>1381</v>
      </c>
    </row>
    <row r="83">
      <c r="A83" s="5">
        <v>1.0</v>
      </c>
      <c r="B83" s="5" t="s">
        <v>1485</v>
      </c>
      <c r="C83" s="5">
        <v>1.0</v>
      </c>
      <c r="D83" s="5" t="s">
        <v>1361</v>
      </c>
      <c r="E83" s="5">
        <v>0.0</v>
      </c>
      <c r="F83" s="13">
        <v>0.7604166666666666</v>
      </c>
      <c r="G83" s="5" t="s">
        <v>1548</v>
      </c>
      <c r="H83" s="5" t="s">
        <v>1381</v>
      </c>
    </row>
    <row r="84">
      <c r="A84" s="5">
        <v>2.0</v>
      </c>
      <c r="B84" s="5" t="s">
        <v>1485</v>
      </c>
      <c r="C84" s="5">
        <v>2.0</v>
      </c>
      <c r="D84" s="5" t="s">
        <v>1363</v>
      </c>
      <c r="E84" s="5">
        <v>2.0</v>
      </c>
      <c r="F84" s="13">
        <v>0.4791666666666667</v>
      </c>
      <c r="G84" s="5" t="s">
        <v>1549</v>
      </c>
      <c r="H84" s="5" t="s">
        <v>1381</v>
      </c>
    </row>
    <row r="85">
      <c r="A85" s="5">
        <v>2.0</v>
      </c>
      <c r="B85" s="5" t="s">
        <v>1485</v>
      </c>
      <c r="C85" s="5">
        <v>2.0</v>
      </c>
      <c r="D85" s="5" t="s">
        <v>1362</v>
      </c>
      <c r="E85" s="5">
        <v>2.0</v>
      </c>
      <c r="F85" s="13">
        <v>0.6458333333333334</v>
      </c>
      <c r="G85" s="5" t="s">
        <v>1550</v>
      </c>
      <c r="H85" s="5" t="s">
        <v>1381</v>
      </c>
    </row>
    <row r="86">
      <c r="A86" s="5">
        <v>2.0</v>
      </c>
      <c r="B86" s="5" t="s">
        <v>1485</v>
      </c>
      <c r="C86" s="5">
        <v>2.0</v>
      </c>
      <c r="D86" s="5" t="s">
        <v>1361</v>
      </c>
      <c r="E86" s="5">
        <v>2.0</v>
      </c>
      <c r="F86" s="13">
        <v>0.75</v>
      </c>
      <c r="G86" s="5" t="s">
        <v>1551</v>
      </c>
      <c r="H86" s="5" t="s">
        <v>1381</v>
      </c>
    </row>
    <row r="87">
      <c r="A87" s="5">
        <v>3.0</v>
      </c>
      <c r="B87" s="5" t="s">
        <v>1485</v>
      </c>
      <c r="C87" s="5">
        <v>3.0</v>
      </c>
      <c r="D87" s="5" t="s">
        <v>1363</v>
      </c>
      <c r="E87" s="5">
        <v>4.0</v>
      </c>
      <c r="F87" s="13">
        <v>0.4895833333333333</v>
      </c>
      <c r="G87" s="14" t="s">
        <v>1582</v>
      </c>
      <c r="H87" s="5" t="s">
        <v>1381</v>
      </c>
    </row>
    <row r="88">
      <c r="A88" s="5">
        <v>3.0</v>
      </c>
      <c r="B88" s="5" t="s">
        <v>1485</v>
      </c>
      <c r="C88" s="5">
        <v>3.0</v>
      </c>
      <c r="D88" s="5" t="s">
        <v>1362</v>
      </c>
      <c r="E88" s="5">
        <v>4.0</v>
      </c>
      <c r="F88" s="13">
        <v>0.65625</v>
      </c>
      <c r="G88" s="14" t="s">
        <v>1583</v>
      </c>
      <c r="H88" s="5" t="s">
        <v>1381</v>
      </c>
    </row>
    <row r="89">
      <c r="A89" s="5">
        <v>3.0</v>
      </c>
      <c r="B89" s="5" t="s">
        <v>1485</v>
      </c>
      <c r="C89" s="5">
        <v>3.0</v>
      </c>
      <c r="D89" s="5" t="s">
        <v>1361</v>
      </c>
      <c r="E89" s="5">
        <v>4.0</v>
      </c>
      <c r="F89" s="13">
        <v>0.7604166666666666</v>
      </c>
      <c r="G89" s="14" t="s">
        <v>1584</v>
      </c>
      <c r="H89" s="5" t="s">
        <v>1381</v>
      </c>
    </row>
    <row r="90">
      <c r="A90" s="5">
        <v>4.0</v>
      </c>
      <c r="B90" s="5" t="s">
        <v>1485</v>
      </c>
      <c r="C90" s="5">
        <v>4.0</v>
      </c>
      <c r="D90" s="5" t="s">
        <v>1363</v>
      </c>
      <c r="E90" s="5">
        <v>6.0</v>
      </c>
      <c r="F90" s="13">
        <v>0.4791666666666667</v>
      </c>
      <c r="G90" s="14" t="s">
        <v>1585</v>
      </c>
      <c r="H90" s="5" t="s">
        <v>1381</v>
      </c>
    </row>
    <row r="91">
      <c r="A91" s="5">
        <v>4.0</v>
      </c>
      <c r="B91" s="5" t="s">
        <v>1485</v>
      </c>
      <c r="C91" s="5">
        <v>4.0</v>
      </c>
      <c r="D91" s="5" t="s">
        <v>1362</v>
      </c>
      <c r="E91" s="5">
        <v>6.0</v>
      </c>
      <c r="F91" s="13">
        <v>0.6458333333333334</v>
      </c>
      <c r="G91" s="14" t="s">
        <v>1586</v>
      </c>
      <c r="H91" s="5" t="s">
        <v>1381</v>
      </c>
    </row>
    <row r="92">
      <c r="A92" s="5">
        <v>4.0</v>
      </c>
      <c r="B92" s="5" t="s">
        <v>1485</v>
      </c>
      <c r="C92" s="5">
        <v>4.0</v>
      </c>
      <c r="D92" s="5" t="s">
        <v>1361</v>
      </c>
      <c r="E92" s="5">
        <v>6.0</v>
      </c>
      <c r="F92" s="13">
        <v>0.75</v>
      </c>
      <c r="G92" s="5" t="s">
        <v>1423</v>
      </c>
      <c r="H92" s="5" t="s">
        <v>1381</v>
      </c>
    </row>
    <row r="93">
      <c r="A93" s="12"/>
      <c r="B93" s="12"/>
      <c r="C93" s="12"/>
      <c r="D93" s="12"/>
      <c r="E93" s="12"/>
      <c r="F93" s="12"/>
      <c r="G93" s="12"/>
      <c r="H93" s="12"/>
    </row>
    <row r="94">
      <c r="A94" s="5">
        <v>1.0</v>
      </c>
      <c r="B94" s="5" t="s">
        <v>1436</v>
      </c>
      <c r="C94" s="5">
        <v>1.0</v>
      </c>
      <c r="D94" s="5" t="s">
        <v>1363</v>
      </c>
      <c r="E94" s="5">
        <v>0.0</v>
      </c>
      <c r="F94" s="13">
        <v>0.46875</v>
      </c>
      <c r="G94" s="5" t="s">
        <v>1546</v>
      </c>
      <c r="H94" s="5" t="s">
        <v>1381</v>
      </c>
    </row>
    <row r="95">
      <c r="A95" s="5">
        <v>1.0</v>
      </c>
      <c r="B95" s="5" t="s">
        <v>1436</v>
      </c>
      <c r="C95" s="5">
        <v>1.0</v>
      </c>
      <c r="D95" s="5" t="s">
        <v>1362</v>
      </c>
      <c r="E95" s="5">
        <v>0.0</v>
      </c>
      <c r="F95" s="13">
        <v>0.65625</v>
      </c>
      <c r="G95" s="5" t="s">
        <v>1547</v>
      </c>
      <c r="H95" s="5" t="s">
        <v>1381</v>
      </c>
    </row>
    <row r="96">
      <c r="A96" s="5">
        <v>1.0</v>
      </c>
      <c r="B96" s="5" t="s">
        <v>1436</v>
      </c>
      <c r="C96" s="5">
        <v>1.0</v>
      </c>
      <c r="D96" s="5" t="s">
        <v>1361</v>
      </c>
      <c r="E96" s="5">
        <v>0.0</v>
      </c>
      <c r="F96" s="13">
        <v>0.7604166666666666</v>
      </c>
      <c r="G96" s="5" t="s">
        <v>1548</v>
      </c>
      <c r="H96" s="5" t="s">
        <v>1381</v>
      </c>
    </row>
    <row r="97">
      <c r="A97" s="5">
        <v>2.0</v>
      </c>
      <c r="B97" s="5" t="s">
        <v>1436</v>
      </c>
      <c r="C97" s="5">
        <v>2.0</v>
      </c>
      <c r="D97" s="5" t="s">
        <v>1363</v>
      </c>
      <c r="E97" s="5">
        <v>2.0</v>
      </c>
      <c r="F97" s="13">
        <v>0.4791666666666667</v>
      </c>
      <c r="G97" s="5" t="s">
        <v>1549</v>
      </c>
      <c r="H97" s="5" t="s">
        <v>1381</v>
      </c>
    </row>
    <row r="98">
      <c r="A98" s="5">
        <v>2.0</v>
      </c>
      <c r="B98" s="5" t="s">
        <v>1436</v>
      </c>
      <c r="C98" s="5">
        <v>2.0</v>
      </c>
      <c r="D98" s="5" t="s">
        <v>1362</v>
      </c>
      <c r="E98" s="5">
        <v>2.0</v>
      </c>
      <c r="F98" s="13">
        <v>0.6458333333333334</v>
      </c>
      <c r="G98" s="5" t="s">
        <v>1550</v>
      </c>
      <c r="H98" s="5" t="s">
        <v>1381</v>
      </c>
    </row>
    <row r="99">
      <c r="A99" s="5">
        <v>2.0</v>
      </c>
      <c r="B99" s="5" t="s">
        <v>1436</v>
      </c>
      <c r="C99" s="5">
        <v>2.0</v>
      </c>
      <c r="D99" s="5" t="s">
        <v>1361</v>
      </c>
      <c r="E99" s="5">
        <v>2.0</v>
      </c>
      <c r="F99" s="13">
        <v>0.75</v>
      </c>
      <c r="G99" s="5" t="s">
        <v>1551</v>
      </c>
      <c r="H99" s="5" t="s">
        <v>1381</v>
      </c>
    </row>
    <row r="100">
      <c r="A100" s="5">
        <v>3.0</v>
      </c>
      <c r="B100" s="5" t="s">
        <v>1436</v>
      </c>
      <c r="C100" s="5">
        <v>3.0</v>
      </c>
      <c r="D100" s="5" t="s">
        <v>1363</v>
      </c>
      <c r="E100" s="5">
        <v>4.0</v>
      </c>
      <c r="F100" s="13">
        <v>0.4895833333333333</v>
      </c>
      <c r="G100" s="14" t="s">
        <v>1587</v>
      </c>
      <c r="H100" s="5" t="s">
        <v>1381</v>
      </c>
    </row>
    <row r="101">
      <c r="A101" s="5">
        <v>3.0</v>
      </c>
      <c r="B101" s="5" t="s">
        <v>1436</v>
      </c>
      <c r="C101" s="5">
        <v>3.0</v>
      </c>
      <c r="D101" s="5" t="s">
        <v>1362</v>
      </c>
      <c r="E101" s="5">
        <v>4.0</v>
      </c>
      <c r="F101" s="13">
        <v>0.65625</v>
      </c>
      <c r="G101" s="14" t="s">
        <v>1588</v>
      </c>
      <c r="H101" s="5" t="s">
        <v>1381</v>
      </c>
    </row>
    <row r="102">
      <c r="A102" s="5">
        <v>3.0</v>
      </c>
      <c r="B102" s="5" t="s">
        <v>1436</v>
      </c>
      <c r="C102" s="5">
        <v>3.0</v>
      </c>
      <c r="D102" s="5" t="s">
        <v>1361</v>
      </c>
      <c r="E102" s="5">
        <v>4.0</v>
      </c>
      <c r="F102" s="13">
        <v>0.7604166666666666</v>
      </c>
      <c r="G102" s="14" t="s">
        <v>1589</v>
      </c>
      <c r="H102" s="5" t="s">
        <v>1381</v>
      </c>
    </row>
    <row r="103">
      <c r="A103" s="5">
        <v>4.0</v>
      </c>
      <c r="B103" s="5" t="s">
        <v>1436</v>
      </c>
      <c r="C103" s="5">
        <v>4.0</v>
      </c>
      <c r="D103" s="5" t="s">
        <v>1363</v>
      </c>
      <c r="E103" s="5">
        <v>6.0</v>
      </c>
      <c r="F103" s="13">
        <v>0.4791666666666667</v>
      </c>
      <c r="G103" s="14" t="s">
        <v>1590</v>
      </c>
      <c r="H103" s="5" t="s">
        <v>1381</v>
      </c>
    </row>
    <row r="104">
      <c r="A104" s="5">
        <v>4.0</v>
      </c>
      <c r="B104" s="5" t="s">
        <v>1436</v>
      </c>
      <c r="C104" s="5">
        <v>4.0</v>
      </c>
      <c r="D104" s="5" t="s">
        <v>1362</v>
      </c>
      <c r="E104" s="5">
        <v>6.0</v>
      </c>
      <c r="F104" s="13">
        <v>0.6458333333333334</v>
      </c>
      <c r="G104" s="14" t="s">
        <v>1591</v>
      </c>
      <c r="H104" s="5" t="s">
        <v>1381</v>
      </c>
    </row>
    <row r="105">
      <c r="A105" s="5">
        <v>4.0</v>
      </c>
      <c r="B105" s="5" t="s">
        <v>1436</v>
      </c>
      <c r="C105" s="5">
        <v>4.0</v>
      </c>
      <c r="D105" s="5" t="s">
        <v>1361</v>
      </c>
      <c r="E105" s="5">
        <v>6.0</v>
      </c>
      <c r="F105" s="13">
        <v>0.75</v>
      </c>
      <c r="G105" s="5" t="s">
        <v>1423</v>
      </c>
      <c r="H105" s="5" t="s">
        <v>1381</v>
      </c>
    </row>
    <row r="106">
      <c r="A106" s="12"/>
      <c r="B106" s="12"/>
      <c r="C106" s="12"/>
      <c r="D106" s="12"/>
      <c r="E106" s="12"/>
      <c r="F106" s="12"/>
      <c r="G106" s="12"/>
      <c r="H106" s="12"/>
    </row>
    <row r="107">
      <c r="A107" s="5">
        <v>1.0</v>
      </c>
      <c r="B107" s="5" t="s">
        <v>1510</v>
      </c>
      <c r="C107" s="5">
        <v>1.0</v>
      </c>
      <c r="D107" s="5" t="s">
        <v>1363</v>
      </c>
      <c r="E107" s="5">
        <v>0.0</v>
      </c>
      <c r="F107" s="13">
        <v>0.46875</v>
      </c>
      <c r="G107" s="5" t="s">
        <v>1546</v>
      </c>
      <c r="H107" s="5" t="s">
        <v>1381</v>
      </c>
    </row>
    <row r="108">
      <c r="A108" s="5">
        <v>1.0</v>
      </c>
      <c r="B108" s="5" t="s">
        <v>1510</v>
      </c>
      <c r="C108" s="5">
        <v>1.0</v>
      </c>
      <c r="D108" s="5" t="s">
        <v>1362</v>
      </c>
      <c r="E108" s="5">
        <v>0.0</v>
      </c>
      <c r="F108" s="13">
        <v>0.65625</v>
      </c>
      <c r="G108" s="5" t="s">
        <v>1547</v>
      </c>
      <c r="H108" s="5" t="s">
        <v>1381</v>
      </c>
    </row>
    <row r="109">
      <c r="A109" s="5">
        <v>1.0</v>
      </c>
      <c r="B109" s="5" t="s">
        <v>1510</v>
      </c>
      <c r="C109" s="5">
        <v>1.0</v>
      </c>
      <c r="D109" s="5" t="s">
        <v>1361</v>
      </c>
      <c r="E109" s="5">
        <v>0.0</v>
      </c>
      <c r="F109" s="13">
        <v>0.7604166666666666</v>
      </c>
      <c r="G109" s="5" t="s">
        <v>1548</v>
      </c>
      <c r="H109" s="5" t="s">
        <v>1381</v>
      </c>
    </row>
    <row r="110">
      <c r="A110" s="5">
        <v>2.0</v>
      </c>
      <c r="B110" s="5" t="s">
        <v>1510</v>
      </c>
      <c r="C110" s="5">
        <v>2.0</v>
      </c>
      <c r="D110" s="5" t="s">
        <v>1363</v>
      </c>
      <c r="E110" s="5">
        <v>2.0</v>
      </c>
      <c r="F110" s="13">
        <v>0.4791666666666667</v>
      </c>
      <c r="G110" s="5" t="s">
        <v>1549</v>
      </c>
      <c r="H110" s="5" t="s">
        <v>1381</v>
      </c>
    </row>
    <row r="111">
      <c r="A111" s="5">
        <v>2.0</v>
      </c>
      <c r="B111" s="5" t="s">
        <v>1510</v>
      </c>
      <c r="C111" s="5">
        <v>2.0</v>
      </c>
      <c r="D111" s="5" t="s">
        <v>1362</v>
      </c>
      <c r="E111" s="5">
        <v>2.0</v>
      </c>
      <c r="F111" s="13">
        <v>0.6458333333333334</v>
      </c>
      <c r="G111" s="5" t="s">
        <v>1550</v>
      </c>
      <c r="H111" s="5" t="s">
        <v>1381</v>
      </c>
    </row>
    <row r="112">
      <c r="A112" s="5">
        <v>2.0</v>
      </c>
      <c r="B112" s="5" t="s">
        <v>1510</v>
      </c>
      <c r="C112" s="5">
        <v>2.0</v>
      </c>
      <c r="D112" s="5" t="s">
        <v>1361</v>
      </c>
      <c r="E112" s="5">
        <v>2.0</v>
      </c>
      <c r="F112" s="13">
        <v>0.75</v>
      </c>
      <c r="G112" s="5" t="s">
        <v>1551</v>
      </c>
      <c r="H112" s="5" t="s">
        <v>1381</v>
      </c>
    </row>
    <row r="113">
      <c r="A113" s="5">
        <v>3.0</v>
      </c>
      <c r="B113" s="5" t="s">
        <v>1510</v>
      </c>
      <c r="C113" s="5">
        <v>3.0</v>
      </c>
      <c r="D113" s="5" t="s">
        <v>1363</v>
      </c>
      <c r="E113" s="5">
        <v>4.0</v>
      </c>
      <c r="F113" s="13">
        <v>0.4895833333333333</v>
      </c>
      <c r="G113" s="14" t="s">
        <v>1592</v>
      </c>
      <c r="H113" s="5" t="s">
        <v>1381</v>
      </c>
    </row>
    <row r="114">
      <c r="A114" s="5">
        <v>3.0</v>
      </c>
      <c r="B114" s="5" t="s">
        <v>1510</v>
      </c>
      <c r="C114" s="5">
        <v>3.0</v>
      </c>
      <c r="D114" s="5" t="s">
        <v>1362</v>
      </c>
      <c r="E114" s="5">
        <v>4.0</v>
      </c>
      <c r="F114" s="13">
        <v>0.65625</v>
      </c>
      <c r="G114" s="14" t="s">
        <v>1593</v>
      </c>
      <c r="H114" s="5" t="s">
        <v>1381</v>
      </c>
    </row>
    <row r="115">
      <c r="A115" s="5">
        <v>3.0</v>
      </c>
      <c r="B115" s="5" t="s">
        <v>1510</v>
      </c>
      <c r="C115" s="5">
        <v>3.0</v>
      </c>
      <c r="D115" s="5" t="s">
        <v>1361</v>
      </c>
      <c r="E115" s="5">
        <v>4.0</v>
      </c>
      <c r="F115" s="13">
        <v>0.7604166666666666</v>
      </c>
      <c r="G115" s="14" t="s">
        <v>1594</v>
      </c>
      <c r="H115" s="5" t="s">
        <v>1381</v>
      </c>
    </row>
    <row r="116">
      <c r="A116" s="5">
        <v>4.0</v>
      </c>
      <c r="B116" s="5" t="s">
        <v>1510</v>
      </c>
      <c r="C116" s="5">
        <v>4.0</v>
      </c>
      <c r="D116" s="5" t="s">
        <v>1363</v>
      </c>
      <c r="E116" s="5">
        <v>6.0</v>
      </c>
      <c r="F116" s="13">
        <v>0.4791666666666667</v>
      </c>
      <c r="G116" s="14" t="s">
        <v>1595</v>
      </c>
      <c r="H116" s="5" t="s">
        <v>1381</v>
      </c>
    </row>
    <row r="117">
      <c r="A117" s="5">
        <v>4.0</v>
      </c>
      <c r="B117" s="5" t="s">
        <v>1510</v>
      </c>
      <c r="C117" s="5">
        <v>4.0</v>
      </c>
      <c r="D117" s="5" t="s">
        <v>1362</v>
      </c>
      <c r="E117" s="5">
        <v>6.0</v>
      </c>
      <c r="F117" s="13">
        <v>0.6458333333333334</v>
      </c>
      <c r="G117" s="14" t="s">
        <v>1596</v>
      </c>
      <c r="H117" s="5" t="s">
        <v>1381</v>
      </c>
    </row>
    <row r="118">
      <c r="A118" s="5">
        <v>4.0</v>
      </c>
      <c r="B118" s="5" t="s">
        <v>1510</v>
      </c>
      <c r="C118" s="5">
        <v>4.0</v>
      </c>
      <c r="D118" s="5" t="s">
        <v>1361</v>
      </c>
      <c r="E118" s="5">
        <v>6.0</v>
      </c>
      <c r="F118" s="13">
        <v>0.75</v>
      </c>
      <c r="G118" s="5" t="s">
        <v>1423</v>
      </c>
      <c r="H118" s="5" t="s">
        <v>1381</v>
      </c>
    </row>
    <row r="119">
      <c r="A119" s="12"/>
      <c r="B119" s="12"/>
      <c r="C119" s="12"/>
      <c r="D119" s="12"/>
      <c r="E119" s="12"/>
      <c r="F119" s="12"/>
      <c r="G119" s="12"/>
      <c r="H119" s="12"/>
    </row>
    <row r="120">
      <c r="A120" s="5">
        <v>1.0</v>
      </c>
      <c r="B120" s="5" t="s">
        <v>1522</v>
      </c>
      <c r="C120" s="5">
        <v>1.0</v>
      </c>
      <c r="D120" s="5" t="s">
        <v>1363</v>
      </c>
      <c r="E120" s="5">
        <v>0.0</v>
      </c>
      <c r="F120" s="13">
        <v>0.46875</v>
      </c>
      <c r="G120" s="5" t="s">
        <v>1546</v>
      </c>
      <c r="H120" s="5" t="s">
        <v>1381</v>
      </c>
    </row>
    <row r="121">
      <c r="A121" s="5">
        <v>1.0</v>
      </c>
      <c r="B121" s="5" t="s">
        <v>1522</v>
      </c>
      <c r="C121" s="5">
        <v>1.0</v>
      </c>
      <c r="D121" s="5" t="s">
        <v>1362</v>
      </c>
      <c r="E121" s="5">
        <v>0.0</v>
      </c>
      <c r="F121" s="13">
        <v>0.65625</v>
      </c>
      <c r="G121" s="5" t="s">
        <v>1547</v>
      </c>
      <c r="H121" s="5" t="s">
        <v>1381</v>
      </c>
    </row>
    <row r="122">
      <c r="A122" s="5">
        <v>1.0</v>
      </c>
      <c r="B122" s="5" t="s">
        <v>1522</v>
      </c>
      <c r="C122" s="5">
        <v>1.0</v>
      </c>
      <c r="D122" s="5" t="s">
        <v>1361</v>
      </c>
      <c r="E122" s="5">
        <v>0.0</v>
      </c>
      <c r="F122" s="13">
        <v>0.7604166666666666</v>
      </c>
      <c r="G122" s="5" t="s">
        <v>1548</v>
      </c>
      <c r="H122" s="5" t="s">
        <v>1381</v>
      </c>
    </row>
    <row r="123">
      <c r="A123" s="5">
        <v>2.0</v>
      </c>
      <c r="B123" s="5" t="s">
        <v>1522</v>
      </c>
      <c r="C123" s="5">
        <v>2.0</v>
      </c>
      <c r="D123" s="5" t="s">
        <v>1363</v>
      </c>
      <c r="E123" s="5">
        <v>2.0</v>
      </c>
      <c r="F123" s="13">
        <v>0.4791666666666667</v>
      </c>
      <c r="G123" s="5" t="s">
        <v>1549</v>
      </c>
      <c r="H123" s="5" t="s">
        <v>1381</v>
      </c>
    </row>
    <row r="124">
      <c r="A124" s="5">
        <v>2.0</v>
      </c>
      <c r="B124" s="5" t="s">
        <v>1522</v>
      </c>
      <c r="C124" s="5">
        <v>2.0</v>
      </c>
      <c r="D124" s="5" t="s">
        <v>1362</v>
      </c>
      <c r="E124" s="5">
        <v>2.0</v>
      </c>
      <c r="F124" s="13">
        <v>0.6458333333333334</v>
      </c>
      <c r="G124" s="5" t="s">
        <v>1550</v>
      </c>
      <c r="H124" s="5" t="s">
        <v>1381</v>
      </c>
    </row>
    <row r="125">
      <c r="A125" s="5">
        <v>2.0</v>
      </c>
      <c r="B125" s="5" t="s">
        <v>1522</v>
      </c>
      <c r="C125" s="5">
        <v>2.0</v>
      </c>
      <c r="D125" s="5" t="s">
        <v>1361</v>
      </c>
      <c r="E125" s="5">
        <v>2.0</v>
      </c>
      <c r="F125" s="13">
        <v>0.75</v>
      </c>
      <c r="G125" s="5" t="s">
        <v>1551</v>
      </c>
      <c r="H125" s="5" t="s">
        <v>1381</v>
      </c>
    </row>
    <row r="126">
      <c r="A126" s="5">
        <v>3.0</v>
      </c>
      <c r="B126" s="5" t="s">
        <v>1522</v>
      </c>
      <c r="C126" s="5">
        <v>3.0</v>
      </c>
      <c r="D126" s="5" t="s">
        <v>1363</v>
      </c>
      <c r="E126" s="5">
        <v>4.0</v>
      </c>
      <c r="F126" s="13">
        <v>0.4895833333333333</v>
      </c>
      <c r="G126" s="14" t="s">
        <v>1597</v>
      </c>
      <c r="H126" s="5" t="s">
        <v>1381</v>
      </c>
    </row>
    <row r="127">
      <c r="A127" s="5">
        <v>3.0</v>
      </c>
      <c r="B127" s="5" t="s">
        <v>1522</v>
      </c>
      <c r="C127" s="5">
        <v>3.0</v>
      </c>
      <c r="D127" s="5" t="s">
        <v>1362</v>
      </c>
      <c r="E127" s="5">
        <v>4.0</v>
      </c>
      <c r="F127" s="13">
        <v>0.65625</v>
      </c>
      <c r="G127" s="14" t="s">
        <v>1598</v>
      </c>
      <c r="H127" s="5" t="s">
        <v>1381</v>
      </c>
    </row>
    <row r="128">
      <c r="A128" s="5">
        <v>3.0</v>
      </c>
      <c r="B128" s="5" t="s">
        <v>1522</v>
      </c>
      <c r="C128" s="5">
        <v>3.0</v>
      </c>
      <c r="D128" s="5" t="s">
        <v>1361</v>
      </c>
      <c r="E128" s="5">
        <v>4.0</v>
      </c>
      <c r="F128" s="13">
        <v>0.7604166666666666</v>
      </c>
      <c r="G128" s="14" t="s">
        <v>1599</v>
      </c>
      <c r="H128" s="5" t="s">
        <v>1381</v>
      </c>
    </row>
    <row r="129">
      <c r="A129" s="5">
        <v>4.0</v>
      </c>
      <c r="B129" s="5" t="s">
        <v>1522</v>
      </c>
      <c r="C129" s="5">
        <v>4.0</v>
      </c>
      <c r="D129" s="5" t="s">
        <v>1363</v>
      </c>
      <c r="E129" s="5">
        <v>6.0</v>
      </c>
      <c r="F129" s="13">
        <v>0.4791666666666667</v>
      </c>
      <c r="G129" s="14" t="s">
        <v>1600</v>
      </c>
      <c r="H129" s="5" t="s">
        <v>1381</v>
      </c>
    </row>
    <row r="130">
      <c r="A130" s="5">
        <v>4.0</v>
      </c>
      <c r="B130" s="5" t="s">
        <v>1522</v>
      </c>
      <c r="C130" s="5">
        <v>4.0</v>
      </c>
      <c r="D130" s="5" t="s">
        <v>1362</v>
      </c>
      <c r="E130" s="5">
        <v>6.0</v>
      </c>
      <c r="F130" s="13">
        <v>0.6458333333333334</v>
      </c>
      <c r="G130" s="14" t="s">
        <v>1601</v>
      </c>
      <c r="H130" s="5" t="s">
        <v>1381</v>
      </c>
    </row>
    <row r="131">
      <c r="A131" s="5">
        <v>4.0</v>
      </c>
      <c r="B131" s="5" t="s">
        <v>1522</v>
      </c>
      <c r="C131" s="5">
        <v>4.0</v>
      </c>
      <c r="D131" s="5" t="s">
        <v>1361</v>
      </c>
      <c r="E131" s="5">
        <v>6.0</v>
      </c>
      <c r="F131" s="13">
        <v>0.75</v>
      </c>
      <c r="G131" s="5" t="s">
        <v>1423</v>
      </c>
      <c r="H131" s="5" t="s">
        <v>1381</v>
      </c>
    </row>
    <row r="133">
      <c r="A133" s="12"/>
      <c r="B133" s="12"/>
      <c r="C133" s="12"/>
      <c r="D133" s="12"/>
      <c r="E133" s="12"/>
      <c r="F133" s="12"/>
      <c r="G133" s="12"/>
      <c r="H133" s="12"/>
    </row>
    <row r="134">
      <c r="A134" s="5">
        <v>1.0</v>
      </c>
      <c r="B134" s="5" t="s">
        <v>1379</v>
      </c>
      <c r="C134" s="5">
        <v>1.0</v>
      </c>
      <c r="D134" s="5" t="s">
        <v>1363</v>
      </c>
      <c r="E134" s="5">
        <v>0.0</v>
      </c>
      <c r="F134" s="13">
        <v>0.46875</v>
      </c>
      <c r="G134" s="5" t="s">
        <v>1535</v>
      </c>
      <c r="H134" s="5" t="s">
        <v>1381</v>
      </c>
    </row>
    <row r="135">
      <c r="A135" s="5">
        <v>1.0</v>
      </c>
      <c r="B135" s="5" t="s">
        <v>1379</v>
      </c>
      <c r="C135" s="5">
        <v>1.0</v>
      </c>
      <c r="D135" s="5" t="s">
        <v>1362</v>
      </c>
      <c r="E135" s="5">
        <v>0.0</v>
      </c>
      <c r="F135" s="13">
        <v>0.65625</v>
      </c>
      <c r="G135" s="5" t="s">
        <v>1536</v>
      </c>
      <c r="H135" s="5" t="s">
        <v>1381</v>
      </c>
    </row>
    <row r="136">
      <c r="A136" s="5">
        <v>1.0</v>
      </c>
      <c r="B136" s="5" t="s">
        <v>1379</v>
      </c>
      <c r="C136" s="5">
        <v>1.0</v>
      </c>
      <c r="D136" s="5" t="s">
        <v>1361</v>
      </c>
      <c r="E136" s="5">
        <v>0.0</v>
      </c>
      <c r="F136" s="13">
        <v>0.7604166666666666</v>
      </c>
      <c r="G136" s="5" t="s">
        <v>1537</v>
      </c>
      <c r="H136" s="5" t="s">
        <v>1381</v>
      </c>
    </row>
    <row r="137">
      <c r="A137" s="5">
        <v>2.0</v>
      </c>
      <c r="B137" s="5" t="s">
        <v>1379</v>
      </c>
      <c r="C137" s="5">
        <v>2.0</v>
      </c>
      <c r="D137" s="5" t="s">
        <v>1363</v>
      </c>
      <c r="E137" s="5">
        <v>2.0</v>
      </c>
      <c r="F137" s="13">
        <v>0.4791666666666667</v>
      </c>
      <c r="G137" s="5" t="s">
        <v>1538</v>
      </c>
      <c r="H137" s="5" t="s">
        <v>1381</v>
      </c>
    </row>
    <row r="138">
      <c r="A138" s="5">
        <v>2.0</v>
      </c>
      <c r="B138" s="5" t="s">
        <v>1379</v>
      </c>
      <c r="C138" s="5">
        <v>2.0</v>
      </c>
      <c r="D138" s="5" t="s">
        <v>1362</v>
      </c>
      <c r="E138" s="5">
        <v>2.0</v>
      </c>
      <c r="F138" s="13">
        <v>0.6458333333333334</v>
      </c>
      <c r="G138" s="5" t="s">
        <v>1539</v>
      </c>
      <c r="H138" s="5" t="s">
        <v>1381</v>
      </c>
    </row>
    <row r="139">
      <c r="A139" s="5">
        <v>2.0</v>
      </c>
      <c r="B139" s="5" t="s">
        <v>1379</v>
      </c>
      <c r="C139" s="5">
        <v>2.0</v>
      </c>
      <c r="D139" s="5" t="s">
        <v>1361</v>
      </c>
      <c r="E139" s="5">
        <v>2.0</v>
      </c>
      <c r="F139" s="13">
        <v>0.75</v>
      </c>
      <c r="G139" s="5" t="s">
        <v>1540</v>
      </c>
      <c r="H139" s="5" t="s">
        <v>1381</v>
      </c>
    </row>
    <row r="140">
      <c r="A140" s="5">
        <v>3.0</v>
      </c>
      <c r="B140" s="5" t="s">
        <v>1379</v>
      </c>
      <c r="C140" s="5">
        <v>3.0</v>
      </c>
      <c r="D140" s="5" t="s">
        <v>1363</v>
      </c>
      <c r="E140" s="5">
        <v>6.0</v>
      </c>
      <c r="F140" s="13">
        <v>0.4895833333333333</v>
      </c>
      <c r="G140" s="14" t="s">
        <v>1602</v>
      </c>
      <c r="H140" s="5" t="s">
        <v>1381</v>
      </c>
    </row>
    <row r="141">
      <c r="A141" s="5">
        <v>3.0</v>
      </c>
      <c r="B141" s="5" t="s">
        <v>1379</v>
      </c>
      <c r="C141" s="5">
        <v>3.0</v>
      </c>
      <c r="D141" s="5" t="s">
        <v>1362</v>
      </c>
      <c r="E141" s="5">
        <v>6.0</v>
      </c>
      <c r="F141" s="13">
        <v>0.65625</v>
      </c>
      <c r="G141" s="14" t="s">
        <v>1603</v>
      </c>
      <c r="H141" s="5" t="s">
        <v>1381</v>
      </c>
    </row>
    <row r="142">
      <c r="A142" s="5">
        <v>3.0</v>
      </c>
      <c r="B142" s="5" t="s">
        <v>1379</v>
      </c>
      <c r="C142" s="5">
        <v>3.0</v>
      </c>
      <c r="D142" s="5" t="s">
        <v>1361</v>
      </c>
      <c r="E142" s="5">
        <v>6.0</v>
      </c>
      <c r="F142" s="13">
        <v>0.7604166666666666</v>
      </c>
      <c r="G142" s="14" t="s">
        <v>1604</v>
      </c>
      <c r="H142" s="5" t="s">
        <v>1381</v>
      </c>
    </row>
    <row r="143">
      <c r="A143" s="5">
        <v>4.0</v>
      </c>
      <c r="B143" s="5" t="s">
        <v>1379</v>
      </c>
      <c r="C143" s="5">
        <v>4.0</v>
      </c>
      <c r="D143" s="5" t="s">
        <v>1363</v>
      </c>
      <c r="E143" s="5">
        <v>12.0</v>
      </c>
      <c r="F143" s="13">
        <v>0.4791666666666667</v>
      </c>
      <c r="G143" s="14" t="s">
        <v>1605</v>
      </c>
      <c r="H143" s="5" t="s">
        <v>1381</v>
      </c>
    </row>
    <row r="144">
      <c r="A144" s="5">
        <v>4.0</v>
      </c>
      <c r="B144" s="5" t="s">
        <v>1379</v>
      </c>
      <c r="C144" s="5">
        <v>4.0</v>
      </c>
      <c r="D144" s="5" t="s">
        <v>1362</v>
      </c>
      <c r="E144" s="5">
        <v>12.0</v>
      </c>
      <c r="F144" s="13">
        <v>0.6458333333333334</v>
      </c>
      <c r="G144" s="5" t="s">
        <v>1545</v>
      </c>
      <c r="H144" s="5" t="s">
        <v>1381</v>
      </c>
    </row>
    <row r="145">
      <c r="A145" s="5">
        <v>4.0</v>
      </c>
      <c r="B145" s="5" t="s">
        <v>1379</v>
      </c>
      <c r="C145" s="5">
        <v>4.0</v>
      </c>
      <c r="D145" s="5" t="s">
        <v>1361</v>
      </c>
      <c r="E145" s="5">
        <v>12.0</v>
      </c>
      <c r="F145" s="13">
        <v>0.75</v>
      </c>
      <c r="G145" s="5" t="s">
        <v>1448</v>
      </c>
      <c r="H145" s="5" t="s">
        <v>1381</v>
      </c>
    </row>
  </sheetData>
  <hyperlinks>
    <hyperlink r:id="rId1" ref="G9"/>
    <hyperlink r:id="rId2" ref="G10"/>
    <hyperlink r:id="rId3" ref="G11"/>
    <hyperlink r:id="rId4" ref="G12"/>
    <hyperlink r:id="rId5" ref="G13"/>
    <hyperlink r:id="rId6" ref="G22"/>
    <hyperlink r:id="rId7" ref="G23"/>
    <hyperlink r:id="rId8" ref="G24"/>
    <hyperlink r:id="rId9" ref="G25"/>
    <hyperlink r:id="rId10" ref="G26"/>
    <hyperlink r:id="rId11" ref="G35"/>
    <hyperlink r:id="rId12" ref="G36"/>
    <hyperlink r:id="rId13" ref="G37"/>
    <hyperlink r:id="rId14" ref="G38"/>
    <hyperlink r:id="rId15" ref="G39"/>
    <hyperlink r:id="rId16" ref="G48"/>
    <hyperlink r:id="rId17" ref="G49"/>
    <hyperlink r:id="rId18" ref="G50"/>
    <hyperlink r:id="rId19" ref="G51"/>
    <hyperlink r:id="rId20" ref="G52"/>
    <hyperlink r:id="rId21" ref="G61"/>
    <hyperlink r:id="rId22" ref="G62"/>
    <hyperlink r:id="rId23" ref="G63"/>
    <hyperlink r:id="rId24" ref="G64"/>
    <hyperlink r:id="rId25" ref="G65"/>
    <hyperlink r:id="rId26" ref="G74"/>
    <hyperlink r:id="rId27" ref="G75"/>
    <hyperlink r:id="rId28" ref="G76"/>
    <hyperlink r:id="rId29" ref="G77"/>
    <hyperlink r:id="rId30" ref="G78"/>
    <hyperlink r:id="rId31" ref="G87"/>
    <hyperlink r:id="rId32" ref="G88"/>
    <hyperlink r:id="rId33" ref="G89"/>
    <hyperlink r:id="rId34" ref="G90"/>
    <hyperlink r:id="rId35" ref="G91"/>
    <hyperlink r:id="rId36" ref="G100"/>
    <hyperlink r:id="rId37" ref="G101"/>
    <hyperlink r:id="rId38" ref="G102"/>
    <hyperlink r:id="rId39" ref="G103"/>
    <hyperlink r:id="rId40" ref="G104"/>
    <hyperlink r:id="rId41" ref="G113"/>
    <hyperlink r:id="rId42" ref="G114"/>
    <hyperlink r:id="rId43" ref="G115"/>
    <hyperlink r:id="rId44" ref="G116"/>
    <hyperlink r:id="rId45" ref="G117"/>
    <hyperlink r:id="rId46" ref="G126"/>
    <hyperlink r:id="rId47" ref="G127"/>
    <hyperlink r:id="rId48" ref="G128"/>
    <hyperlink r:id="rId49" ref="G129"/>
    <hyperlink r:id="rId50" ref="G130"/>
    <hyperlink r:id="rId51" ref="G140"/>
    <hyperlink r:id="rId52" ref="G141"/>
    <hyperlink r:id="rId53" ref="G142"/>
    <hyperlink r:id="rId54" ref="G143"/>
  </hyperlinks>
  <drawing r:id="rId5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96.25"/>
  </cols>
  <sheetData>
    <row r="1">
      <c r="A1" s="5" t="s">
        <v>1219</v>
      </c>
      <c r="B1" s="5" t="s">
        <v>1208</v>
      </c>
      <c r="C1" s="5" t="s">
        <v>1359</v>
      </c>
      <c r="D1" s="5" t="s">
        <v>1360</v>
      </c>
      <c r="E1" s="5" t="s">
        <v>1377</v>
      </c>
      <c r="F1" s="5" t="s">
        <v>1368</v>
      </c>
      <c r="G1" s="8" t="s">
        <v>1340</v>
      </c>
      <c r="H1" s="5" t="s">
        <v>1378</v>
      </c>
    </row>
    <row r="2">
      <c r="A2" s="12"/>
      <c r="B2" s="12"/>
      <c r="C2" s="12"/>
      <c r="D2" s="12"/>
      <c r="E2" s="12"/>
      <c r="F2" s="12"/>
      <c r="G2" s="15"/>
      <c r="H2" s="12"/>
    </row>
    <row r="3">
      <c r="A3" s="5">
        <v>1.0</v>
      </c>
      <c r="B3" s="5" t="s">
        <v>1212</v>
      </c>
      <c r="C3" s="5">
        <v>1.0</v>
      </c>
      <c r="D3" s="5" t="s">
        <v>1363</v>
      </c>
      <c r="E3" s="5">
        <v>0.0</v>
      </c>
      <c r="F3" s="13">
        <v>0.46875</v>
      </c>
      <c r="G3" s="5" t="s">
        <v>1606</v>
      </c>
      <c r="H3" s="5" t="s">
        <v>1381</v>
      </c>
      <c r="I3" s="12"/>
      <c r="J3" s="12"/>
      <c r="K3" s="12"/>
    </row>
    <row r="4">
      <c r="A4" s="5">
        <v>1.0</v>
      </c>
      <c r="B4" s="5" t="s">
        <v>1212</v>
      </c>
      <c r="C4" s="5">
        <v>1.0</v>
      </c>
      <c r="D4" s="5" t="s">
        <v>1362</v>
      </c>
      <c r="E4" s="5">
        <v>0.0</v>
      </c>
      <c r="F4" s="13">
        <v>0.65625</v>
      </c>
      <c r="G4" s="5" t="s">
        <v>1607</v>
      </c>
      <c r="H4" s="5" t="s">
        <v>1381</v>
      </c>
    </row>
    <row r="5">
      <c r="A5" s="5">
        <v>1.0</v>
      </c>
      <c r="B5" s="5" t="s">
        <v>1212</v>
      </c>
      <c r="C5" s="5">
        <v>1.0</v>
      </c>
      <c r="D5" s="5" t="s">
        <v>1361</v>
      </c>
      <c r="E5" s="5">
        <v>0.0</v>
      </c>
      <c r="F5" s="13">
        <v>0.7604166666666666</v>
      </c>
      <c r="G5" s="5" t="s">
        <v>1608</v>
      </c>
      <c r="H5" s="5" t="s">
        <v>1381</v>
      </c>
    </row>
    <row r="6">
      <c r="A6" s="5">
        <v>2.0</v>
      </c>
      <c r="B6" s="5" t="s">
        <v>1212</v>
      </c>
      <c r="C6" s="5">
        <v>2.0</v>
      </c>
      <c r="D6" s="5" t="s">
        <v>1363</v>
      </c>
      <c r="E6" s="5">
        <v>2.0</v>
      </c>
      <c r="F6" s="13">
        <v>0.4791666666666667</v>
      </c>
      <c r="G6" s="5" t="s">
        <v>1609</v>
      </c>
      <c r="H6" s="5" t="s">
        <v>1381</v>
      </c>
    </row>
    <row r="7">
      <c r="A7" s="5">
        <v>2.0</v>
      </c>
      <c r="B7" s="5" t="s">
        <v>1212</v>
      </c>
      <c r="C7" s="5">
        <v>2.0</v>
      </c>
      <c r="D7" s="5" t="s">
        <v>1362</v>
      </c>
      <c r="E7" s="5">
        <v>2.0</v>
      </c>
      <c r="F7" s="13">
        <v>0.6458333333333334</v>
      </c>
      <c r="G7" s="5" t="s">
        <v>1610</v>
      </c>
      <c r="H7" s="5" t="s">
        <v>1381</v>
      </c>
    </row>
    <row r="8">
      <c r="A8" s="5">
        <v>2.0</v>
      </c>
      <c r="B8" s="5" t="s">
        <v>1212</v>
      </c>
      <c r="C8" s="5">
        <v>2.0</v>
      </c>
      <c r="D8" s="5" t="s">
        <v>1361</v>
      </c>
      <c r="E8" s="5">
        <v>2.0</v>
      </c>
      <c r="F8" s="13">
        <v>0.75</v>
      </c>
      <c r="G8" s="5" t="s">
        <v>1611</v>
      </c>
      <c r="H8" s="5" t="s">
        <v>1381</v>
      </c>
    </row>
    <row r="9">
      <c r="A9" s="5">
        <v>3.0</v>
      </c>
      <c r="B9" s="5" t="s">
        <v>1212</v>
      </c>
      <c r="C9" s="5">
        <v>3.0</v>
      </c>
      <c r="D9" s="5" t="s">
        <v>1363</v>
      </c>
      <c r="E9" s="5">
        <v>7.0</v>
      </c>
      <c r="F9" s="13">
        <v>0.4895833333333333</v>
      </c>
      <c r="G9" s="14" t="s">
        <v>1612</v>
      </c>
      <c r="H9" s="5" t="s">
        <v>1381</v>
      </c>
    </row>
    <row r="10">
      <c r="A10" s="5">
        <v>3.0</v>
      </c>
      <c r="B10" s="5" t="s">
        <v>1212</v>
      </c>
      <c r="C10" s="5">
        <v>3.0</v>
      </c>
      <c r="D10" s="5" t="s">
        <v>1362</v>
      </c>
      <c r="E10" s="5">
        <v>7.0</v>
      </c>
      <c r="F10" s="13">
        <v>0.65625</v>
      </c>
      <c r="G10" s="14" t="s">
        <v>1613</v>
      </c>
      <c r="H10" s="5" t="s">
        <v>1381</v>
      </c>
    </row>
    <row r="11">
      <c r="A11" s="5">
        <v>3.0</v>
      </c>
      <c r="B11" s="5" t="s">
        <v>1212</v>
      </c>
      <c r="C11" s="5">
        <v>3.0</v>
      </c>
      <c r="D11" s="5" t="s">
        <v>1361</v>
      </c>
      <c r="E11" s="5">
        <v>7.0</v>
      </c>
      <c r="F11" s="13">
        <v>0.7604166666666666</v>
      </c>
      <c r="G11" s="14" t="s">
        <v>1614</v>
      </c>
      <c r="H11" s="5" t="s">
        <v>1381</v>
      </c>
    </row>
    <row r="12">
      <c r="A12" s="5">
        <v>4.0</v>
      </c>
      <c r="B12" s="5" t="s">
        <v>1212</v>
      </c>
      <c r="C12" s="5">
        <v>4.0</v>
      </c>
      <c r="D12" s="5" t="s">
        <v>1363</v>
      </c>
      <c r="E12" s="5">
        <v>14.0</v>
      </c>
      <c r="F12" s="13">
        <v>0.4791666666666667</v>
      </c>
      <c r="G12" s="14" t="s">
        <v>1615</v>
      </c>
      <c r="H12" s="5" t="s">
        <v>1381</v>
      </c>
    </row>
    <row r="13">
      <c r="A13" s="5">
        <v>4.0</v>
      </c>
      <c r="B13" s="5" t="s">
        <v>1212</v>
      </c>
      <c r="C13" s="5">
        <v>4.0</v>
      </c>
      <c r="D13" s="5" t="s">
        <v>1362</v>
      </c>
      <c r="E13" s="5">
        <v>14.0</v>
      </c>
      <c r="F13" s="13">
        <v>0.6458333333333334</v>
      </c>
      <c r="G13" s="14" t="s">
        <v>1616</v>
      </c>
      <c r="H13" s="5" t="s">
        <v>1381</v>
      </c>
    </row>
    <row r="14">
      <c r="A14" s="5">
        <v>4.0</v>
      </c>
      <c r="B14" s="5" t="s">
        <v>1212</v>
      </c>
      <c r="C14" s="5">
        <v>4.0</v>
      </c>
      <c r="D14" s="5" t="s">
        <v>1361</v>
      </c>
      <c r="E14" s="5">
        <v>14.0</v>
      </c>
      <c r="F14" s="13">
        <v>0.75</v>
      </c>
      <c r="G14" s="5" t="s">
        <v>1617</v>
      </c>
      <c r="H14" s="5" t="s">
        <v>1381</v>
      </c>
    </row>
    <row r="15">
      <c r="A15" s="12"/>
      <c r="B15" s="12"/>
      <c r="C15" s="12"/>
      <c r="D15" s="12"/>
      <c r="E15" s="12"/>
      <c r="F15" s="12"/>
      <c r="G15" s="15"/>
      <c r="H15" s="12"/>
    </row>
    <row r="16">
      <c r="A16" s="5">
        <v>1.0</v>
      </c>
      <c r="B16" s="5" t="s">
        <v>1460</v>
      </c>
      <c r="C16" s="5">
        <v>1.0</v>
      </c>
      <c r="D16" s="5" t="s">
        <v>1363</v>
      </c>
      <c r="E16" s="5">
        <v>0.0</v>
      </c>
      <c r="F16" s="13">
        <v>0.46875</v>
      </c>
      <c r="G16" s="5" t="s">
        <v>1618</v>
      </c>
      <c r="H16" s="5" t="s">
        <v>1381</v>
      </c>
      <c r="I16" s="12"/>
      <c r="J16" s="12"/>
      <c r="K16" s="12"/>
    </row>
    <row r="17">
      <c r="A17" s="5">
        <v>1.0</v>
      </c>
      <c r="B17" s="5" t="s">
        <v>1460</v>
      </c>
      <c r="C17" s="5">
        <v>1.0</v>
      </c>
      <c r="D17" s="5" t="s">
        <v>1362</v>
      </c>
      <c r="E17" s="5">
        <v>0.0</v>
      </c>
      <c r="F17" s="13">
        <v>0.65625</v>
      </c>
      <c r="G17" s="5" t="s">
        <v>1619</v>
      </c>
      <c r="H17" s="5" t="s">
        <v>1381</v>
      </c>
    </row>
    <row r="18">
      <c r="A18" s="5">
        <v>1.0</v>
      </c>
      <c r="B18" s="5" t="s">
        <v>1460</v>
      </c>
      <c r="C18" s="5">
        <v>1.0</v>
      </c>
      <c r="D18" s="5" t="s">
        <v>1361</v>
      </c>
      <c r="E18" s="5">
        <v>0.0</v>
      </c>
      <c r="F18" s="13">
        <v>0.7604166666666666</v>
      </c>
      <c r="G18" s="5" t="s">
        <v>1620</v>
      </c>
      <c r="H18" s="5" t="s">
        <v>1381</v>
      </c>
    </row>
    <row r="19">
      <c r="A19" s="5">
        <v>2.0</v>
      </c>
      <c r="B19" s="5" t="s">
        <v>1460</v>
      </c>
      <c r="C19" s="5">
        <v>2.0</v>
      </c>
      <c r="D19" s="5" t="s">
        <v>1363</v>
      </c>
      <c r="E19" s="5">
        <v>3.0</v>
      </c>
      <c r="F19" s="13">
        <v>0.4791666666666667</v>
      </c>
      <c r="G19" s="5" t="s">
        <v>1621</v>
      </c>
      <c r="H19" s="5" t="s">
        <v>1381</v>
      </c>
    </row>
    <row r="20">
      <c r="A20" s="5">
        <v>2.0</v>
      </c>
      <c r="B20" s="5" t="s">
        <v>1460</v>
      </c>
      <c r="C20" s="5">
        <v>2.0</v>
      </c>
      <c r="D20" s="5" t="s">
        <v>1362</v>
      </c>
      <c r="E20" s="5">
        <v>3.0</v>
      </c>
      <c r="F20" s="13">
        <v>0.6458333333333334</v>
      </c>
      <c r="G20" s="5" t="s">
        <v>1622</v>
      </c>
      <c r="H20" s="5" t="s">
        <v>1381</v>
      </c>
    </row>
    <row r="21">
      <c r="A21" s="5">
        <v>2.0</v>
      </c>
      <c r="B21" s="5" t="s">
        <v>1460</v>
      </c>
      <c r="C21" s="5">
        <v>2.0</v>
      </c>
      <c r="D21" s="5" t="s">
        <v>1361</v>
      </c>
      <c r="E21" s="5">
        <v>3.0</v>
      </c>
      <c r="F21" s="13">
        <v>0.75</v>
      </c>
      <c r="G21" s="5" t="s">
        <v>1623</v>
      </c>
      <c r="H21" s="5" t="s">
        <v>1381</v>
      </c>
    </row>
    <row r="22">
      <c r="A22" s="5">
        <v>3.0</v>
      </c>
      <c r="B22" s="5" t="s">
        <v>1460</v>
      </c>
      <c r="C22" s="5">
        <v>3.0</v>
      </c>
      <c r="D22" s="5" t="s">
        <v>1363</v>
      </c>
      <c r="E22" s="5">
        <v>7.0</v>
      </c>
      <c r="F22" s="13">
        <v>0.4895833333333333</v>
      </c>
      <c r="G22" s="14" t="s">
        <v>1624</v>
      </c>
      <c r="H22" s="5" t="s">
        <v>1381</v>
      </c>
    </row>
    <row r="23">
      <c r="A23" s="5">
        <v>3.0</v>
      </c>
      <c r="B23" s="5" t="s">
        <v>1460</v>
      </c>
      <c r="C23" s="5">
        <v>3.0</v>
      </c>
      <c r="D23" s="5" t="s">
        <v>1362</v>
      </c>
      <c r="E23" s="5">
        <v>7.0</v>
      </c>
      <c r="F23" s="13">
        <v>0.65625</v>
      </c>
      <c r="G23" s="14" t="s">
        <v>1625</v>
      </c>
      <c r="H23" s="5" t="s">
        <v>1381</v>
      </c>
    </row>
    <row r="24">
      <c r="A24" s="5">
        <v>3.0</v>
      </c>
      <c r="B24" s="5" t="s">
        <v>1460</v>
      </c>
      <c r="C24" s="5">
        <v>3.0</v>
      </c>
      <c r="D24" s="5" t="s">
        <v>1361</v>
      </c>
      <c r="E24" s="5">
        <v>7.0</v>
      </c>
      <c r="F24" s="13">
        <v>0.7604166666666666</v>
      </c>
      <c r="G24" s="14" t="s">
        <v>1626</v>
      </c>
      <c r="H24" s="5" t="s">
        <v>1381</v>
      </c>
    </row>
    <row r="25">
      <c r="A25" s="5">
        <v>4.0</v>
      </c>
      <c r="B25" s="5" t="s">
        <v>1460</v>
      </c>
      <c r="C25" s="5">
        <v>4.0</v>
      </c>
      <c r="D25" s="5" t="s">
        <v>1363</v>
      </c>
      <c r="E25" s="5">
        <v>14.0</v>
      </c>
      <c r="F25" s="13">
        <v>0.4791666666666667</v>
      </c>
      <c r="G25" s="14" t="s">
        <v>1627</v>
      </c>
      <c r="H25" s="5" t="s">
        <v>1381</v>
      </c>
    </row>
    <row r="26">
      <c r="A26" s="5">
        <v>4.0</v>
      </c>
      <c r="B26" s="5" t="s">
        <v>1460</v>
      </c>
      <c r="C26" s="5">
        <v>4.0</v>
      </c>
      <c r="D26" s="5" t="s">
        <v>1362</v>
      </c>
      <c r="E26" s="5">
        <v>14.0</v>
      </c>
      <c r="F26" s="13">
        <v>0.6458333333333334</v>
      </c>
      <c r="G26" s="14" t="s">
        <v>1628</v>
      </c>
      <c r="H26" s="5" t="s">
        <v>1381</v>
      </c>
    </row>
    <row r="27">
      <c r="A27" s="5">
        <v>4.0</v>
      </c>
      <c r="B27" s="5" t="s">
        <v>1460</v>
      </c>
      <c r="C27" s="5">
        <v>4.0</v>
      </c>
      <c r="D27" s="5" t="s">
        <v>1361</v>
      </c>
      <c r="E27" s="5">
        <v>14.0</v>
      </c>
      <c r="F27" s="13">
        <v>0.75</v>
      </c>
      <c r="G27" s="5" t="s">
        <v>1629</v>
      </c>
      <c r="H27" s="5" t="s">
        <v>1381</v>
      </c>
    </row>
    <row r="28">
      <c r="A28" s="12"/>
      <c r="B28" s="12"/>
      <c r="C28" s="12"/>
      <c r="D28" s="12"/>
      <c r="E28" s="12"/>
      <c r="F28" s="12"/>
      <c r="G28" s="15"/>
      <c r="H28" s="12"/>
    </row>
    <row r="29">
      <c r="A29" s="5">
        <v>1.0</v>
      </c>
      <c r="B29" s="5" t="s">
        <v>1497</v>
      </c>
      <c r="C29" s="5">
        <v>1.0</v>
      </c>
      <c r="D29" s="5" t="s">
        <v>1363</v>
      </c>
      <c r="E29" s="5">
        <v>0.0</v>
      </c>
      <c r="F29" s="13">
        <v>0.46875</v>
      </c>
      <c r="G29" s="8" t="s">
        <v>1630</v>
      </c>
      <c r="H29" s="5" t="s">
        <v>1381</v>
      </c>
    </row>
    <row r="30">
      <c r="A30" s="5">
        <v>1.0</v>
      </c>
      <c r="B30" s="5" t="s">
        <v>1497</v>
      </c>
      <c r="C30" s="5">
        <v>1.0</v>
      </c>
      <c r="D30" s="5" t="s">
        <v>1362</v>
      </c>
      <c r="E30" s="5">
        <v>0.0</v>
      </c>
      <c r="F30" s="13">
        <v>0.65625</v>
      </c>
      <c r="G30" s="8" t="s">
        <v>1631</v>
      </c>
      <c r="H30" s="5" t="s">
        <v>1381</v>
      </c>
    </row>
    <row r="31">
      <c r="A31" s="5">
        <v>1.0</v>
      </c>
      <c r="B31" s="5" t="s">
        <v>1497</v>
      </c>
      <c r="C31" s="5">
        <v>1.0</v>
      </c>
      <c r="D31" s="5" t="s">
        <v>1361</v>
      </c>
      <c r="E31" s="5">
        <v>0.0</v>
      </c>
      <c r="F31" s="13">
        <v>0.7604166666666666</v>
      </c>
      <c r="G31" s="8" t="s">
        <v>1632</v>
      </c>
      <c r="H31" s="5" t="s">
        <v>1381</v>
      </c>
    </row>
    <row r="32">
      <c r="A32" s="5">
        <v>2.0</v>
      </c>
      <c r="B32" s="5" t="s">
        <v>1497</v>
      </c>
      <c r="C32" s="5">
        <v>2.0</v>
      </c>
      <c r="D32" s="5" t="s">
        <v>1363</v>
      </c>
      <c r="E32" s="5">
        <v>3.0</v>
      </c>
      <c r="F32" s="13">
        <v>0.4791666666666667</v>
      </c>
      <c r="G32" s="8" t="s">
        <v>1633</v>
      </c>
      <c r="H32" s="5" t="s">
        <v>1381</v>
      </c>
    </row>
    <row r="33">
      <c r="A33" s="5">
        <v>2.0</v>
      </c>
      <c r="B33" s="5" t="s">
        <v>1497</v>
      </c>
      <c r="C33" s="5">
        <v>2.0</v>
      </c>
      <c r="D33" s="5" t="s">
        <v>1362</v>
      </c>
      <c r="E33" s="5">
        <v>3.0</v>
      </c>
      <c r="F33" s="13">
        <v>0.6458333333333334</v>
      </c>
      <c r="G33" s="8" t="s">
        <v>1634</v>
      </c>
      <c r="H33" s="5" t="s">
        <v>1381</v>
      </c>
    </row>
    <row r="34">
      <c r="A34" s="5">
        <v>2.0</v>
      </c>
      <c r="B34" s="5" t="s">
        <v>1497</v>
      </c>
      <c r="C34" s="5">
        <v>2.0</v>
      </c>
      <c r="D34" s="5" t="s">
        <v>1361</v>
      </c>
      <c r="E34" s="5">
        <v>3.0</v>
      </c>
      <c r="F34" s="13">
        <v>0.75</v>
      </c>
      <c r="G34" s="8" t="s">
        <v>1635</v>
      </c>
      <c r="H34" s="5" t="s">
        <v>1381</v>
      </c>
    </row>
    <row r="35">
      <c r="A35" s="5">
        <v>3.0</v>
      </c>
      <c r="B35" s="5" t="s">
        <v>1497</v>
      </c>
      <c r="C35" s="5">
        <v>3.0</v>
      </c>
      <c r="D35" s="5" t="s">
        <v>1363</v>
      </c>
      <c r="E35" s="5">
        <v>7.0</v>
      </c>
      <c r="F35" s="13">
        <v>0.4895833333333333</v>
      </c>
      <c r="G35" s="8" t="s">
        <v>1636</v>
      </c>
      <c r="H35" s="5" t="s">
        <v>1381</v>
      </c>
    </row>
    <row r="36">
      <c r="A36" s="5">
        <v>3.0</v>
      </c>
      <c r="B36" s="5" t="s">
        <v>1497</v>
      </c>
      <c r="C36" s="5">
        <v>3.0</v>
      </c>
      <c r="D36" s="5" t="s">
        <v>1362</v>
      </c>
      <c r="E36" s="5">
        <v>7.0</v>
      </c>
      <c r="F36" s="13">
        <v>0.65625</v>
      </c>
      <c r="G36" s="8" t="s">
        <v>1637</v>
      </c>
      <c r="H36" s="5" t="s">
        <v>1381</v>
      </c>
    </row>
    <row r="37">
      <c r="A37" s="5">
        <v>3.0</v>
      </c>
      <c r="B37" s="5" t="s">
        <v>1497</v>
      </c>
      <c r="C37" s="5">
        <v>3.0</v>
      </c>
      <c r="D37" s="5" t="s">
        <v>1361</v>
      </c>
      <c r="E37" s="5">
        <v>7.0</v>
      </c>
      <c r="F37" s="13">
        <v>0.7604166666666666</v>
      </c>
      <c r="G37" s="8" t="s">
        <v>1638</v>
      </c>
      <c r="H37" s="5" t="s">
        <v>1381</v>
      </c>
    </row>
    <row r="38">
      <c r="A38" s="5">
        <v>4.0</v>
      </c>
      <c r="B38" s="5" t="s">
        <v>1497</v>
      </c>
      <c r="C38" s="5">
        <v>4.0</v>
      </c>
      <c r="D38" s="5" t="s">
        <v>1363</v>
      </c>
      <c r="E38" s="5">
        <v>14.0</v>
      </c>
      <c r="F38" s="13">
        <v>0.4791666666666667</v>
      </c>
      <c r="G38" s="8" t="s">
        <v>1639</v>
      </c>
      <c r="H38" s="5" t="s">
        <v>1381</v>
      </c>
    </row>
    <row r="39">
      <c r="A39" s="5">
        <v>4.0</v>
      </c>
      <c r="B39" s="5" t="s">
        <v>1497</v>
      </c>
      <c r="C39" s="5">
        <v>4.0</v>
      </c>
      <c r="D39" s="5" t="s">
        <v>1362</v>
      </c>
      <c r="E39" s="5">
        <v>14.0</v>
      </c>
      <c r="F39" s="13">
        <v>0.6458333333333334</v>
      </c>
      <c r="G39" s="8" t="s">
        <v>1640</v>
      </c>
      <c r="H39" s="5" t="s">
        <v>1381</v>
      </c>
    </row>
    <row r="40">
      <c r="A40" s="5">
        <v>4.0</v>
      </c>
      <c r="B40" s="5" t="s">
        <v>1497</v>
      </c>
      <c r="C40" s="5">
        <v>4.0</v>
      </c>
      <c r="D40" s="5" t="s">
        <v>1361</v>
      </c>
      <c r="E40" s="5">
        <v>14.0</v>
      </c>
      <c r="F40" s="13">
        <v>0.75</v>
      </c>
      <c r="G40" s="8" t="s">
        <v>1641</v>
      </c>
      <c r="H40" s="5" t="s">
        <v>1381</v>
      </c>
    </row>
    <row r="41">
      <c r="A41" s="12"/>
      <c r="B41" s="12"/>
      <c r="C41" s="12"/>
      <c r="D41" s="12"/>
      <c r="E41" s="12"/>
      <c r="F41" s="12"/>
      <c r="G41" s="15"/>
      <c r="H41" s="12"/>
    </row>
    <row r="42">
      <c r="A42" s="5">
        <v>1.0</v>
      </c>
      <c r="B42" s="5" t="s">
        <v>1215</v>
      </c>
      <c r="C42" s="5">
        <v>1.0</v>
      </c>
      <c r="D42" s="5" t="s">
        <v>1363</v>
      </c>
      <c r="E42" s="5">
        <v>0.0</v>
      </c>
      <c r="F42" s="13">
        <v>0.46875</v>
      </c>
      <c r="G42" s="5" t="s">
        <v>1642</v>
      </c>
      <c r="H42" s="5" t="s">
        <v>1381</v>
      </c>
      <c r="I42" s="12"/>
      <c r="J42" s="12"/>
      <c r="K42" s="12"/>
    </row>
    <row r="43">
      <c r="A43" s="5">
        <v>1.0</v>
      </c>
      <c r="B43" s="5" t="s">
        <v>1215</v>
      </c>
      <c r="C43" s="5">
        <v>1.0</v>
      </c>
      <c r="D43" s="5" t="s">
        <v>1362</v>
      </c>
      <c r="E43" s="5">
        <v>0.0</v>
      </c>
      <c r="F43" s="13">
        <v>0.65625</v>
      </c>
      <c r="G43" s="5" t="s">
        <v>1643</v>
      </c>
      <c r="H43" s="5" t="s">
        <v>1381</v>
      </c>
    </row>
    <row r="44">
      <c r="A44" s="5">
        <v>1.0</v>
      </c>
      <c r="B44" s="5" t="s">
        <v>1215</v>
      </c>
      <c r="C44" s="5">
        <v>1.0</v>
      </c>
      <c r="D44" s="5" t="s">
        <v>1361</v>
      </c>
      <c r="E44" s="5">
        <v>0.0</v>
      </c>
      <c r="F44" s="13">
        <v>0.7604166666666666</v>
      </c>
      <c r="G44" s="5" t="s">
        <v>1644</v>
      </c>
      <c r="H44" s="5" t="s">
        <v>1381</v>
      </c>
    </row>
    <row r="45">
      <c r="A45" s="5">
        <v>2.0</v>
      </c>
      <c r="B45" s="5" t="s">
        <v>1215</v>
      </c>
      <c r="C45" s="5">
        <v>2.0</v>
      </c>
      <c r="D45" s="5" t="s">
        <v>1363</v>
      </c>
      <c r="E45" s="5">
        <v>2.0</v>
      </c>
      <c r="F45" s="13">
        <v>0.4791666666666667</v>
      </c>
      <c r="G45" s="5" t="s">
        <v>1645</v>
      </c>
      <c r="H45" s="5" t="s">
        <v>1381</v>
      </c>
    </row>
    <row r="46">
      <c r="A46" s="5">
        <v>2.0</v>
      </c>
      <c r="B46" s="5" t="s">
        <v>1215</v>
      </c>
      <c r="C46" s="5">
        <v>2.0</v>
      </c>
      <c r="D46" s="5" t="s">
        <v>1362</v>
      </c>
      <c r="E46" s="5">
        <v>2.0</v>
      </c>
      <c r="F46" s="13">
        <v>0.6458333333333334</v>
      </c>
      <c r="G46" s="5" t="s">
        <v>1646</v>
      </c>
      <c r="H46" s="5" t="s">
        <v>1381</v>
      </c>
    </row>
    <row r="47">
      <c r="A47" s="5">
        <v>2.0</v>
      </c>
      <c r="B47" s="5" t="s">
        <v>1215</v>
      </c>
      <c r="C47" s="5">
        <v>2.0</v>
      </c>
      <c r="D47" s="5" t="s">
        <v>1361</v>
      </c>
      <c r="E47" s="5">
        <v>2.0</v>
      </c>
      <c r="F47" s="13">
        <v>0.75</v>
      </c>
      <c r="G47" s="5" t="s">
        <v>1647</v>
      </c>
      <c r="H47" s="5" t="s">
        <v>1381</v>
      </c>
    </row>
    <row r="48">
      <c r="A48" s="5">
        <v>3.0</v>
      </c>
      <c r="B48" s="5" t="s">
        <v>1215</v>
      </c>
      <c r="C48" s="5">
        <v>3.0</v>
      </c>
      <c r="D48" s="5" t="s">
        <v>1363</v>
      </c>
      <c r="E48" s="5">
        <v>7.0</v>
      </c>
      <c r="F48" s="13">
        <v>0.4895833333333333</v>
      </c>
      <c r="G48" s="14" t="s">
        <v>1648</v>
      </c>
      <c r="H48" s="5" t="s">
        <v>1381</v>
      </c>
    </row>
    <row r="49">
      <c r="A49" s="5">
        <v>3.0</v>
      </c>
      <c r="B49" s="5" t="s">
        <v>1215</v>
      </c>
      <c r="C49" s="5">
        <v>3.0</v>
      </c>
      <c r="D49" s="5" t="s">
        <v>1362</v>
      </c>
      <c r="E49" s="5">
        <v>7.0</v>
      </c>
      <c r="F49" s="13">
        <v>0.65625</v>
      </c>
      <c r="G49" s="14" t="s">
        <v>1649</v>
      </c>
      <c r="H49" s="5" t="s">
        <v>1381</v>
      </c>
    </row>
    <row r="50">
      <c r="A50" s="5">
        <v>3.0</v>
      </c>
      <c r="B50" s="5" t="s">
        <v>1215</v>
      </c>
      <c r="C50" s="5">
        <v>3.0</v>
      </c>
      <c r="D50" s="5" t="s">
        <v>1361</v>
      </c>
      <c r="E50" s="5">
        <v>7.0</v>
      </c>
      <c r="F50" s="13">
        <v>0.7604166666666666</v>
      </c>
      <c r="G50" s="14" t="s">
        <v>1650</v>
      </c>
      <c r="H50" s="5" t="s">
        <v>1381</v>
      </c>
    </row>
    <row r="51">
      <c r="A51" s="5">
        <v>4.0</v>
      </c>
      <c r="B51" s="5" t="s">
        <v>1215</v>
      </c>
      <c r="C51" s="5">
        <v>4.0</v>
      </c>
      <c r="D51" s="5" t="s">
        <v>1363</v>
      </c>
      <c r="E51" s="5">
        <v>14.0</v>
      </c>
      <c r="F51" s="13">
        <v>0.4791666666666667</v>
      </c>
      <c r="G51" s="14" t="s">
        <v>1651</v>
      </c>
      <c r="H51" s="5" t="s">
        <v>1381</v>
      </c>
    </row>
    <row r="52">
      <c r="A52" s="5">
        <v>4.0</v>
      </c>
      <c r="B52" s="5" t="s">
        <v>1215</v>
      </c>
      <c r="C52" s="5">
        <v>4.0</v>
      </c>
      <c r="D52" s="5" t="s">
        <v>1362</v>
      </c>
      <c r="E52" s="5">
        <v>14.0</v>
      </c>
      <c r="F52" s="13">
        <v>0.6458333333333334</v>
      </c>
      <c r="G52" s="14" t="s">
        <v>1652</v>
      </c>
      <c r="H52" s="5" t="s">
        <v>1381</v>
      </c>
    </row>
    <row r="53">
      <c r="A53" s="5">
        <v>4.0</v>
      </c>
      <c r="B53" s="5" t="s">
        <v>1215</v>
      </c>
      <c r="C53" s="5">
        <v>4.0</v>
      </c>
      <c r="D53" s="5" t="s">
        <v>1361</v>
      </c>
      <c r="E53" s="5">
        <v>14.0</v>
      </c>
      <c r="F53" s="13">
        <v>0.75</v>
      </c>
      <c r="G53" s="5" t="s">
        <v>1653</v>
      </c>
      <c r="H53" s="5" t="s">
        <v>1381</v>
      </c>
    </row>
    <row r="54">
      <c r="A54" s="12"/>
      <c r="B54" s="12"/>
      <c r="C54" s="12"/>
      <c r="D54" s="12"/>
      <c r="E54" s="12"/>
      <c r="F54" s="12"/>
      <c r="G54" s="15"/>
      <c r="H54" s="12"/>
    </row>
    <row r="55">
      <c r="A55" s="5">
        <v>1.0</v>
      </c>
      <c r="B55" s="5" t="s">
        <v>1485</v>
      </c>
      <c r="C55" s="5">
        <v>1.0</v>
      </c>
      <c r="D55" s="5" t="s">
        <v>1363</v>
      </c>
      <c r="E55" s="5">
        <v>0.0</v>
      </c>
      <c r="F55" s="13">
        <v>0.46875</v>
      </c>
      <c r="G55" s="5" t="s">
        <v>1654</v>
      </c>
      <c r="H55" s="5" t="s">
        <v>1381</v>
      </c>
    </row>
    <row r="56">
      <c r="A56" s="5">
        <v>1.0</v>
      </c>
      <c r="B56" s="5" t="s">
        <v>1485</v>
      </c>
      <c r="C56" s="5">
        <v>1.0</v>
      </c>
      <c r="D56" s="5" t="s">
        <v>1362</v>
      </c>
      <c r="E56" s="5">
        <v>0.0</v>
      </c>
      <c r="F56" s="13">
        <v>0.65625</v>
      </c>
      <c r="G56" s="5" t="s">
        <v>1655</v>
      </c>
      <c r="H56" s="5" t="s">
        <v>1381</v>
      </c>
      <c r="I56" s="12"/>
      <c r="J56" s="12"/>
      <c r="K56" s="12"/>
    </row>
    <row r="57">
      <c r="A57" s="5">
        <v>1.0</v>
      </c>
      <c r="B57" s="5" t="s">
        <v>1485</v>
      </c>
      <c r="C57" s="5">
        <v>1.0</v>
      </c>
      <c r="D57" s="5" t="s">
        <v>1361</v>
      </c>
      <c r="E57" s="5">
        <v>0.0</v>
      </c>
      <c r="F57" s="13">
        <v>0.7604166666666666</v>
      </c>
      <c r="G57" s="5" t="s">
        <v>1656</v>
      </c>
      <c r="H57" s="5" t="s">
        <v>1381</v>
      </c>
    </row>
    <row r="58">
      <c r="A58" s="5">
        <v>2.0</v>
      </c>
      <c r="B58" s="5" t="s">
        <v>1485</v>
      </c>
      <c r="C58" s="5">
        <v>2.0</v>
      </c>
      <c r="D58" s="5" t="s">
        <v>1363</v>
      </c>
      <c r="E58" s="5">
        <v>2.0</v>
      </c>
      <c r="F58" s="13">
        <v>0.4791666666666667</v>
      </c>
      <c r="G58" s="5" t="s">
        <v>1657</v>
      </c>
      <c r="H58" s="5" t="s">
        <v>1381</v>
      </c>
    </row>
    <row r="59">
      <c r="A59" s="5">
        <v>2.0</v>
      </c>
      <c r="B59" s="5" t="s">
        <v>1485</v>
      </c>
      <c r="C59" s="5">
        <v>2.0</v>
      </c>
      <c r="D59" s="5" t="s">
        <v>1362</v>
      </c>
      <c r="E59" s="5">
        <v>2.0</v>
      </c>
      <c r="F59" s="13">
        <v>0.6458333333333334</v>
      </c>
      <c r="G59" s="5" t="s">
        <v>1658</v>
      </c>
      <c r="H59" s="5" t="s">
        <v>1381</v>
      </c>
    </row>
    <row r="60">
      <c r="A60" s="5">
        <v>2.0</v>
      </c>
      <c r="B60" s="5" t="s">
        <v>1485</v>
      </c>
      <c r="C60" s="5">
        <v>2.0</v>
      </c>
      <c r="D60" s="5" t="s">
        <v>1361</v>
      </c>
      <c r="E60" s="5">
        <v>2.0</v>
      </c>
      <c r="F60" s="13">
        <v>0.75</v>
      </c>
      <c r="G60" s="5" t="s">
        <v>1659</v>
      </c>
      <c r="H60" s="5" t="s">
        <v>1381</v>
      </c>
    </row>
    <row r="61">
      <c r="A61" s="5">
        <v>3.0</v>
      </c>
      <c r="B61" s="5" t="s">
        <v>1485</v>
      </c>
      <c r="C61" s="5">
        <v>3.0</v>
      </c>
      <c r="D61" s="5" t="s">
        <v>1363</v>
      </c>
      <c r="E61" s="5">
        <v>7.0</v>
      </c>
      <c r="F61" s="13">
        <v>0.4895833333333333</v>
      </c>
      <c r="G61" s="14" t="s">
        <v>1660</v>
      </c>
      <c r="H61" s="5" t="s">
        <v>1381</v>
      </c>
    </row>
    <row r="62">
      <c r="A62" s="5">
        <v>3.0</v>
      </c>
      <c r="B62" s="5" t="s">
        <v>1485</v>
      </c>
      <c r="C62" s="5">
        <v>3.0</v>
      </c>
      <c r="D62" s="5" t="s">
        <v>1362</v>
      </c>
      <c r="E62" s="5">
        <v>7.0</v>
      </c>
      <c r="F62" s="13">
        <v>0.65625</v>
      </c>
      <c r="G62" s="14" t="s">
        <v>1661</v>
      </c>
      <c r="H62" s="5" t="s">
        <v>1381</v>
      </c>
    </row>
    <row r="63">
      <c r="A63" s="5">
        <v>3.0</v>
      </c>
      <c r="B63" s="5" t="s">
        <v>1485</v>
      </c>
      <c r="C63" s="5">
        <v>3.0</v>
      </c>
      <c r="D63" s="5" t="s">
        <v>1361</v>
      </c>
      <c r="E63" s="5">
        <v>7.0</v>
      </c>
      <c r="F63" s="13">
        <v>0.7604166666666666</v>
      </c>
      <c r="G63" s="14" t="s">
        <v>1662</v>
      </c>
      <c r="H63" s="5" t="s">
        <v>1381</v>
      </c>
    </row>
    <row r="64">
      <c r="A64" s="5">
        <v>4.0</v>
      </c>
      <c r="B64" s="5" t="s">
        <v>1485</v>
      </c>
      <c r="C64" s="5">
        <v>4.0</v>
      </c>
      <c r="D64" s="5" t="s">
        <v>1363</v>
      </c>
      <c r="E64" s="5">
        <v>14.0</v>
      </c>
      <c r="F64" s="13">
        <v>0.4791666666666667</v>
      </c>
      <c r="G64" s="14" t="s">
        <v>1663</v>
      </c>
      <c r="H64" s="5" t="s">
        <v>1381</v>
      </c>
    </row>
    <row r="65">
      <c r="A65" s="5">
        <v>4.0</v>
      </c>
      <c r="B65" s="5" t="s">
        <v>1485</v>
      </c>
      <c r="C65" s="5">
        <v>4.0</v>
      </c>
      <c r="D65" s="5" t="s">
        <v>1362</v>
      </c>
      <c r="E65" s="5">
        <v>14.0</v>
      </c>
      <c r="F65" s="13">
        <v>0.6458333333333334</v>
      </c>
      <c r="G65" s="14" t="s">
        <v>1664</v>
      </c>
      <c r="H65" s="5" t="s">
        <v>1381</v>
      </c>
    </row>
    <row r="66">
      <c r="A66" s="5">
        <v>4.0</v>
      </c>
      <c r="B66" s="5" t="s">
        <v>1485</v>
      </c>
      <c r="C66" s="5">
        <v>4.0</v>
      </c>
      <c r="D66" s="5" t="s">
        <v>1361</v>
      </c>
      <c r="E66" s="5">
        <v>14.0</v>
      </c>
      <c r="F66" s="13">
        <v>0.75</v>
      </c>
      <c r="G66" s="5" t="s">
        <v>1665</v>
      </c>
      <c r="H66" s="5" t="s">
        <v>1381</v>
      </c>
    </row>
    <row r="67">
      <c r="A67" s="12"/>
      <c r="B67" s="12"/>
      <c r="C67" s="12"/>
      <c r="D67" s="12"/>
      <c r="E67" s="12"/>
      <c r="F67" s="12"/>
      <c r="G67" s="15"/>
      <c r="H67" s="12"/>
      <c r="I67" s="12"/>
      <c r="J67" s="12"/>
      <c r="K67" s="12"/>
    </row>
    <row r="68">
      <c r="A68" s="5">
        <v>1.0</v>
      </c>
      <c r="B68" s="5" t="s">
        <v>1436</v>
      </c>
      <c r="C68" s="5">
        <v>1.0</v>
      </c>
      <c r="D68" s="5" t="s">
        <v>1363</v>
      </c>
      <c r="E68" s="5">
        <v>0.0</v>
      </c>
      <c r="F68" s="13">
        <v>0.46875</v>
      </c>
      <c r="G68" s="5" t="s">
        <v>1666</v>
      </c>
      <c r="H68" s="5" t="s">
        <v>1381</v>
      </c>
    </row>
    <row r="69">
      <c r="A69" s="5">
        <v>1.0</v>
      </c>
      <c r="B69" s="5" t="s">
        <v>1436</v>
      </c>
      <c r="C69" s="5">
        <v>1.0</v>
      </c>
      <c r="D69" s="5" t="s">
        <v>1362</v>
      </c>
      <c r="E69" s="5">
        <v>0.0</v>
      </c>
      <c r="F69" s="13">
        <v>0.65625</v>
      </c>
      <c r="G69" s="5" t="s">
        <v>1667</v>
      </c>
      <c r="H69" s="5" t="s">
        <v>1381</v>
      </c>
    </row>
    <row r="70">
      <c r="A70" s="5">
        <v>1.0</v>
      </c>
      <c r="B70" s="5" t="s">
        <v>1436</v>
      </c>
      <c r="C70" s="5">
        <v>1.0</v>
      </c>
      <c r="D70" s="5" t="s">
        <v>1361</v>
      </c>
      <c r="E70" s="5">
        <v>0.0</v>
      </c>
      <c r="F70" s="13">
        <v>0.7604166666666666</v>
      </c>
      <c r="G70" s="5" t="s">
        <v>1668</v>
      </c>
      <c r="H70" s="5" t="s">
        <v>1381</v>
      </c>
    </row>
    <row r="71">
      <c r="A71" s="5">
        <v>2.0</v>
      </c>
      <c r="B71" s="5" t="s">
        <v>1436</v>
      </c>
      <c r="C71" s="5">
        <v>2.0</v>
      </c>
      <c r="D71" s="5" t="s">
        <v>1363</v>
      </c>
      <c r="E71" s="5">
        <v>2.0</v>
      </c>
      <c r="F71" s="13">
        <v>0.4791666666666667</v>
      </c>
      <c r="G71" s="5" t="s">
        <v>1669</v>
      </c>
      <c r="H71" s="5" t="s">
        <v>1381</v>
      </c>
    </row>
    <row r="72">
      <c r="A72" s="5">
        <v>2.0</v>
      </c>
      <c r="B72" s="5" t="s">
        <v>1436</v>
      </c>
      <c r="C72" s="5">
        <v>2.0</v>
      </c>
      <c r="D72" s="5" t="s">
        <v>1362</v>
      </c>
      <c r="E72" s="5">
        <v>2.0</v>
      </c>
      <c r="F72" s="13">
        <v>0.6458333333333334</v>
      </c>
      <c r="G72" s="5" t="s">
        <v>1670</v>
      </c>
      <c r="H72" s="5" t="s">
        <v>1381</v>
      </c>
    </row>
    <row r="73">
      <c r="A73" s="5">
        <v>2.0</v>
      </c>
      <c r="B73" s="5" t="s">
        <v>1436</v>
      </c>
      <c r="C73" s="5">
        <v>2.0</v>
      </c>
      <c r="D73" s="5" t="s">
        <v>1361</v>
      </c>
      <c r="E73" s="5">
        <v>2.0</v>
      </c>
      <c r="F73" s="13">
        <v>0.75</v>
      </c>
      <c r="G73" s="5" t="s">
        <v>1671</v>
      </c>
      <c r="H73" s="5" t="s">
        <v>1381</v>
      </c>
    </row>
    <row r="74">
      <c r="A74" s="5">
        <v>3.0</v>
      </c>
      <c r="B74" s="5" t="s">
        <v>1436</v>
      </c>
      <c r="C74" s="5">
        <v>3.0</v>
      </c>
      <c r="D74" s="5" t="s">
        <v>1363</v>
      </c>
      <c r="E74" s="5">
        <v>7.0</v>
      </c>
      <c r="F74" s="13">
        <v>0.4895833333333333</v>
      </c>
      <c r="G74" s="14" t="s">
        <v>1672</v>
      </c>
      <c r="H74" s="5" t="s">
        <v>1381</v>
      </c>
    </row>
    <row r="75">
      <c r="A75" s="5">
        <v>3.0</v>
      </c>
      <c r="B75" s="5" t="s">
        <v>1436</v>
      </c>
      <c r="C75" s="5">
        <v>3.0</v>
      </c>
      <c r="D75" s="5" t="s">
        <v>1362</v>
      </c>
      <c r="E75" s="5">
        <v>7.0</v>
      </c>
      <c r="F75" s="13">
        <v>0.65625</v>
      </c>
      <c r="G75" s="14" t="s">
        <v>1673</v>
      </c>
      <c r="H75" s="5" t="s">
        <v>1381</v>
      </c>
    </row>
    <row r="76">
      <c r="A76" s="5">
        <v>3.0</v>
      </c>
      <c r="B76" s="5" t="s">
        <v>1436</v>
      </c>
      <c r="C76" s="5">
        <v>3.0</v>
      </c>
      <c r="D76" s="5" t="s">
        <v>1361</v>
      </c>
      <c r="E76" s="5">
        <v>7.0</v>
      </c>
      <c r="F76" s="13">
        <v>0.7604166666666666</v>
      </c>
      <c r="G76" s="14" t="s">
        <v>1674</v>
      </c>
      <c r="H76" s="5" t="s">
        <v>1381</v>
      </c>
    </row>
    <row r="77">
      <c r="A77" s="5">
        <v>4.0</v>
      </c>
      <c r="B77" s="5" t="s">
        <v>1436</v>
      </c>
      <c r="C77" s="5">
        <v>4.0</v>
      </c>
      <c r="D77" s="5" t="s">
        <v>1363</v>
      </c>
      <c r="E77" s="5">
        <v>14.0</v>
      </c>
      <c r="F77" s="13">
        <v>0.4791666666666667</v>
      </c>
      <c r="G77" s="14" t="s">
        <v>1675</v>
      </c>
      <c r="H77" s="5" t="s">
        <v>1381</v>
      </c>
    </row>
    <row r="78">
      <c r="A78" s="5">
        <v>4.0</v>
      </c>
      <c r="B78" s="5" t="s">
        <v>1436</v>
      </c>
      <c r="C78" s="5">
        <v>4.0</v>
      </c>
      <c r="D78" s="5" t="s">
        <v>1362</v>
      </c>
      <c r="E78" s="5">
        <v>14.0</v>
      </c>
      <c r="F78" s="13">
        <v>0.6458333333333334</v>
      </c>
      <c r="G78" s="14" t="s">
        <v>1676</v>
      </c>
      <c r="H78" s="5" t="s">
        <v>1381</v>
      </c>
    </row>
    <row r="79">
      <c r="A79" s="5">
        <v>4.0</v>
      </c>
      <c r="B79" s="5" t="s">
        <v>1436</v>
      </c>
      <c r="C79" s="5">
        <v>4.0</v>
      </c>
      <c r="D79" s="5" t="s">
        <v>1361</v>
      </c>
      <c r="E79" s="5">
        <v>14.0</v>
      </c>
      <c r="F79" s="13">
        <v>0.75</v>
      </c>
      <c r="G79" s="5" t="s">
        <v>1677</v>
      </c>
      <c r="H79" s="5" t="s">
        <v>1381</v>
      </c>
    </row>
    <row r="80">
      <c r="A80" s="12"/>
      <c r="B80" s="12"/>
      <c r="C80" s="12"/>
      <c r="D80" s="12"/>
      <c r="E80" s="12"/>
      <c r="F80" s="12"/>
      <c r="G80" s="15"/>
      <c r="H80" s="12"/>
      <c r="I80" s="12"/>
      <c r="J80" s="12"/>
      <c r="K80" s="12"/>
    </row>
    <row r="81">
      <c r="A81" s="5">
        <v>1.0</v>
      </c>
      <c r="B81" s="5" t="s">
        <v>1510</v>
      </c>
      <c r="C81" s="5">
        <v>1.0</v>
      </c>
      <c r="D81" s="5" t="s">
        <v>1363</v>
      </c>
      <c r="E81" s="5">
        <v>0.0</v>
      </c>
      <c r="F81" s="13">
        <v>0.46875</v>
      </c>
      <c r="G81" s="5" t="s">
        <v>1678</v>
      </c>
      <c r="H81" s="5" t="s">
        <v>1381</v>
      </c>
    </row>
    <row r="82">
      <c r="A82" s="5">
        <v>1.0</v>
      </c>
      <c r="B82" s="5" t="s">
        <v>1510</v>
      </c>
      <c r="C82" s="5">
        <v>1.0</v>
      </c>
      <c r="D82" s="5" t="s">
        <v>1362</v>
      </c>
      <c r="E82" s="5">
        <v>0.0</v>
      </c>
      <c r="F82" s="13">
        <v>0.65625</v>
      </c>
      <c r="G82" s="5" t="s">
        <v>1679</v>
      </c>
      <c r="H82" s="5" t="s">
        <v>1381</v>
      </c>
    </row>
    <row r="83">
      <c r="A83" s="5">
        <v>1.0</v>
      </c>
      <c r="B83" s="5" t="s">
        <v>1510</v>
      </c>
      <c r="C83" s="5">
        <v>1.0</v>
      </c>
      <c r="D83" s="5" t="s">
        <v>1361</v>
      </c>
      <c r="E83" s="5">
        <v>0.0</v>
      </c>
      <c r="F83" s="13">
        <v>0.7604166666666666</v>
      </c>
      <c r="G83" s="5" t="s">
        <v>1680</v>
      </c>
      <c r="H83" s="5" t="s">
        <v>1381</v>
      </c>
    </row>
    <row r="84">
      <c r="A84" s="5">
        <v>2.0</v>
      </c>
      <c r="B84" s="5" t="s">
        <v>1510</v>
      </c>
      <c r="C84" s="5">
        <v>2.0</v>
      </c>
      <c r="D84" s="5" t="s">
        <v>1363</v>
      </c>
      <c r="E84" s="5">
        <v>3.0</v>
      </c>
      <c r="F84" s="13">
        <v>0.4791666666666667</v>
      </c>
      <c r="G84" s="5" t="s">
        <v>1681</v>
      </c>
      <c r="H84" s="5" t="s">
        <v>1381</v>
      </c>
    </row>
    <row r="85">
      <c r="A85" s="5">
        <v>2.0</v>
      </c>
      <c r="B85" s="5" t="s">
        <v>1510</v>
      </c>
      <c r="C85" s="5">
        <v>2.0</v>
      </c>
      <c r="D85" s="5" t="s">
        <v>1362</v>
      </c>
      <c r="E85" s="5">
        <v>3.0</v>
      </c>
      <c r="F85" s="13">
        <v>0.6458333333333334</v>
      </c>
      <c r="G85" s="5" t="s">
        <v>1682</v>
      </c>
      <c r="H85" s="5" t="s">
        <v>1381</v>
      </c>
    </row>
    <row r="86">
      <c r="A86" s="5">
        <v>2.0</v>
      </c>
      <c r="B86" s="5" t="s">
        <v>1510</v>
      </c>
      <c r="C86" s="5">
        <v>2.0</v>
      </c>
      <c r="D86" s="5" t="s">
        <v>1361</v>
      </c>
      <c r="E86" s="5">
        <v>3.0</v>
      </c>
      <c r="F86" s="13">
        <v>0.75</v>
      </c>
      <c r="G86" s="5" t="s">
        <v>1683</v>
      </c>
      <c r="H86" s="5" t="s">
        <v>1381</v>
      </c>
    </row>
    <row r="87">
      <c r="A87" s="5">
        <v>3.0</v>
      </c>
      <c r="B87" s="5" t="s">
        <v>1510</v>
      </c>
      <c r="C87" s="5">
        <v>3.0</v>
      </c>
      <c r="D87" s="5" t="s">
        <v>1363</v>
      </c>
      <c r="E87" s="5">
        <v>7.0</v>
      </c>
      <c r="F87" s="13">
        <v>0.4895833333333333</v>
      </c>
      <c r="G87" s="14" t="s">
        <v>1684</v>
      </c>
      <c r="H87" s="5" t="s">
        <v>1381</v>
      </c>
    </row>
    <row r="88">
      <c r="A88" s="5">
        <v>3.0</v>
      </c>
      <c r="B88" s="5" t="s">
        <v>1510</v>
      </c>
      <c r="C88" s="5">
        <v>3.0</v>
      </c>
      <c r="D88" s="5" t="s">
        <v>1362</v>
      </c>
      <c r="E88" s="5">
        <v>7.0</v>
      </c>
      <c r="F88" s="13">
        <v>0.65625</v>
      </c>
      <c r="G88" s="14" t="s">
        <v>1685</v>
      </c>
      <c r="H88" s="5" t="s">
        <v>1381</v>
      </c>
    </row>
    <row r="89">
      <c r="A89" s="5">
        <v>3.0</v>
      </c>
      <c r="B89" s="5" t="s">
        <v>1510</v>
      </c>
      <c r="C89" s="5">
        <v>3.0</v>
      </c>
      <c r="D89" s="5" t="s">
        <v>1361</v>
      </c>
      <c r="E89" s="5">
        <v>7.0</v>
      </c>
      <c r="F89" s="13">
        <v>0.7604166666666666</v>
      </c>
      <c r="G89" s="14" t="s">
        <v>1686</v>
      </c>
      <c r="H89" s="5" t="s">
        <v>1381</v>
      </c>
    </row>
    <row r="90">
      <c r="A90" s="5">
        <v>4.0</v>
      </c>
      <c r="B90" s="5" t="s">
        <v>1510</v>
      </c>
      <c r="C90" s="5">
        <v>4.0</v>
      </c>
      <c r="D90" s="5" t="s">
        <v>1363</v>
      </c>
      <c r="E90" s="5">
        <v>14.0</v>
      </c>
      <c r="F90" s="13">
        <v>0.4791666666666667</v>
      </c>
      <c r="G90" s="14" t="s">
        <v>1687</v>
      </c>
      <c r="H90" s="5" t="s">
        <v>1381</v>
      </c>
    </row>
    <row r="91">
      <c r="A91" s="5">
        <v>4.0</v>
      </c>
      <c r="B91" s="5" t="s">
        <v>1510</v>
      </c>
      <c r="C91" s="5">
        <v>4.0</v>
      </c>
      <c r="D91" s="5" t="s">
        <v>1362</v>
      </c>
      <c r="E91" s="5">
        <v>14.0</v>
      </c>
      <c r="F91" s="13">
        <v>0.6458333333333334</v>
      </c>
      <c r="G91" s="14" t="s">
        <v>1688</v>
      </c>
      <c r="H91" s="5" t="s">
        <v>1381</v>
      </c>
    </row>
    <row r="92">
      <c r="A92" s="5">
        <v>4.0</v>
      </c>
      <c r="B92" s="5" t="s">
        <v>1510</v>
      </c>
      <c r="C92" s="5">
        <v>4.0</v>
      </c>
      <c r="D92" s="5" t="s">
        <v>1361</v>
      </c>
      <c r="E92" s="5">
        <v>14.0</v>
      </c>
      <c r="F92" s="13">
        <v>0.75</v>
      </c>
      <c r="G92" s="5" t="s">
        <v>1689</v>
      </c>
      <c r="H92" s="5" t="s">
        <v>1381</v>
      </c>
    </row>
    <row r="93">
      <c r="A93" s="12"/>
      <c r="B93" s="12"/>
      <c r="C93" s="12"/>
      <c r="D93" s="12"/>
      <c r="E93" s="12"/>
      <c r="F93" s="12"/>
      <c r="G93" s="15"/>
      <c r="H93" s="12"/>
    </row>
    <row r="94">
      <c r="A94" s="5">
        <v>1.0</v>
      </c>
      <c r="B94" s="5" t="s">
        <v>1211</v>
      </c>
      <c r="C94" s="5">
        <v>1.0</v>
      </c>
      <c r="D94" s="5" t="s">
        <v>1363</v>
      </c>
      <c r="E94" s="5">
        <v>0.0</v>
      </c>
      <c r="F94" s="13">
        <v>0.46875</v>
      </c>
      <c r="G94" s="8" t="s">
        <v>1690</v>
      </c>
      <c r="H94" s="5" t="s">
        <v>1381</v>
      </c>
    </row>
    <row r="95">
      <c r="A95" s="5">
        <v>1.0</v>
      </c>
      <c r="B95" s="5" t="s">
        <v>1211</v>
      </c>
      <c r="C95" s="5">
        <v>1.0</v>
      </c>
      <c r="D95" s="5" t="s">
        <v>1362</v>
      </c>
      <c r="E95" s="5">
        <v>0.0</v>
      </c>
      <c r="F95" s="13">
        <v>0.65625</v>
      </c>
      <c r="G95" s="8" t="s">
        <v>1691</v>
      </c>
      <c r="H95" s="5" t="s">
        <v>1381</v>
      </c>
    </row>
    <row r="96">
      <c r="A96" s="5">
        <v>1.0</v>
      </c>
      <c r="B96" s="5" t="s">
        <v>1211</v>
      </c>
      <c r="C96" s="5">
        <v>1.0</v>
      </c>
      <c r="D96" s="5" t="s">
        <v>1361</v>
      </c>
      <c r="E96" s="5">
        <v>0.0</v>
      </c>
      <c r="F96" s="13">
        <v>0.7604166666666666</v>
      </c>
      <c r="G96" s="8" t="s">
        <v>1692</v>
      </c>
      <c r="H96" s="5" t="s">
        <v>1381</v>
      </c>
    </row>
    <row r="97">
      <c r="A97" s="5">
        <v>2.0</v>
      </c>
      <c r="B97" s="5" t="s">
        <v>1211</v>
      </c>
      <c r="C97" s="5">
        <v>2.0</v>
      </c>
      <c r="D97" s="5" t="s">
        <v>1363</v>
      </c>
      <c r="E97" s="5">
        <v>2.0</v>
      </c>
      <c r="F97" s="13">
        <v>0.4791666666666667</v>
      </c>
      <c r="G97" s="8" t="s">
        <v>1693</v>
      </c>
      <c r="H97" s="5" t="s">
        <v>1381</v>
      </c>
    </row>
    <row r="98">
      <c r="A98" s="5">
        <v>2.0</v>
      </c>
      <c r="B98" s="5" t="s">
        <v>1211</v>
      </c>
      <c r="C98" s="5">
        <v>2.0</v>
      </c>
      <c r="D98" s="5" t="s">
        <v>1362</v>
      </c>
      <c r="E98" s="5">
        <v>2.0</v>
      </c>
      <c r="F98" s="13">
        <v>0.6458333333333334</v>
      </c>
      <c r="G98" s="8" t="s">
        <v>1694</v>
      </c>
      <c r="H98" s="5" t="s">
        <v>1381</v>
      </c>
    </row>
    <row r="99">
      <c r="A99" s="5">
        <v>2.0</v>
      </c>
      <c r="B99" s="5" t="s">
        <v>1211</v>
      </c>
      <c r="C99" s="5">
        <v>2.0</v>
      </c>
      <c r="D99" s="5" t="s">
        <v>1361</v>
      </c>
      <c r="E99" s="5">
        <v>2.0</v>
      </c>
      <c r="F99" s="13">
        <v>0.75</v>
      </c>
      <c r="G99" s="8" t="s">
        <v>1695</v>
      </c>
      <c r="H99" s="5" t="s">
        <v>1381</v>
      </c>
    </row>
    <row r="100">
      <c r="A100" s="5">
        <v>3.0</v>
      </c>
      <c r="B100" s="5" t="s">
        <v>1211</v>
      </c>
      <c r="C100" s="5">
        <v>3.0</v>
      </c>
      <c r="D100" s="5" t="s">
        <v>1363</v>
      </c>
      <c r="E100" s="5">
        <v>7.0</v>
      </c>
      <c r="F100" s="13">
        <v>0.4895833333333333</v>
      </c>
      <c r="G100" s="8" t="s">
        <v>1696</v>
      </c>
      <c r="H100" s="5" t="s">
        <v>1381</v>
      </c>
    </row>
    <row r="101">
      <c r="A101" s="5">
        <v>3.0</v>
      </c>
      <c r="B101" s="5" t="s">
        <v>1211</v>
      </c>
      <c r="C101" s="5">
        <v>3.0</v>
      </c>
      <c r="D101" s="5" t="s">
        <v>1362</v>
      </c>
      <c r="E101" s="5">
        <v>7.0</v>
      </c>
      <c r="F101" s="13">
        <v>0.65625</v>
      </c>
      <c r="G101" s="16" t="s">
        <v>1697</v>
      </c>
      <c r="H101" s="5" t="s">
        <v>1381</v>
      </c>
    </row>
    <row r="102">
      <c r="A102" s="5">
        <v>3.0</v>
      </c>
      <c r="B102" s="5" t="s">
        <v>1211</v>
      </c>
      <c r="C102" s="5">
        <v>3.0</v>
      </c>
      <c r="D102" s="5" t="s">
        <v>1361</v>
      </c>
      <c r="E102" s="5">
        <v>7.0</v>
      </c>
      <c r="F102" s="13">
        <v>0.7604166666666666</v>
      </c>
      <c r="G102" s="8" t="s">
        <v>1698</v>
      </c>
      <c r="H102" s="5" t="s">
        <v>1381</v>
      </c>
    </row>
    <row r="103">
      <c r="A103" s="5">
        <v>4.0</v>
      </c>
      <c r="B103" s="5" t="s">
        <v>1211</v>
      </c>
      <c r="C103" s="5">
        <v>4.0</v>
      </c>
      <c r="D103" s="5" t="s">
        <v>1363</v>
      </c>
      <c r="E103" s="5">
        <v>14.0</v>
      </c>
      <c r="F103" s="13">
        <v>0.4791666666666667</v>
      </c>
      <c r="G103" s="16" t="s">
        <v>1699</v>
      </c>
      <c r="H103" s="5" t="s">
        <v>1381</v>
      </c>
    </row>
    <row r="104">
      <c r="A104" s="5">
        <v>4.0</v>
      </c>
      <c r="B104" s="5" t="s">
        <v>1211</v>
      </c>
      <c r="C104" s="5">
        <v>4.0</v>
      </c>
      <c r="D104" s="5" t="s">
        <v>1362</v>
      </c>
      <c r="E104" s="5">
        <v>14.0</v>
      </c>
      <c r="F104" s="13">
        <v>0.6458333333333334</v>
      </c>
      <c r="G104" s="16" t="s">
        <v>1700</v>
      </c>
      <c r="H104" s="5" t="s">
        <v>1381</v>
      </c>
    </row>
    <row r="105">
      <c r="A105" s="5">
        <v>4.0</v>
      </c>
      <c r="B105" s="5" t="s">
        <v>1211</v>
      </c>
      <c r="C105" s="5">
        <v>4.0</v>
      </c>
      <c r="D105" s="5" t="s">
        <v>1361</v>
      </c>
      <c r="E105" s="5">
        <v>14.0</v>
      </c>
      <c r="F105" s="13">
        <v>0.75</v>
      </c>
      <c r="G105" s="16" t="s">
        <v>1701</v>
      </c>
      <c r="H105" s="5" t="s">
        <v>1381</v>
      </c>
    </row>
    <row r="106">
      <c r="A106" s="12"/>
      <c r="B106" s="12"/>
      <c r="C106" s="12"/>
      <c r="D106" s="12"/>
      <c r="E106" s="12"/>
      <c r="F106" s="12"/>
      <c r="G106" s="15"/>
      <c r="H106" s="12"/>
      <c r="I106" s="12"/>
      <c r="J106" s="12"/>
      <c r="K106" s="12"/>
    </row>
    <row r="107">
      <c r="A107" s="5">
        <v>1.0</v>
      </c>
      <c r="B107" s="5" t="s">
        <v>1473</v>
      </c>
      <c r="C107" s="5">
        <v>1.0</v>
      </c>
      <c r="D107" s="5" t="s">
        <v>1363</v>
      </c>
      <c r="E107" s="5">
        <v>0.0</v>
      </c>
      <c r="F107" s="13">
        <v>0.46875</v>
      </c>
      <c r="G107" s="5" t="s">
        <v>1702</v>
      </c>
      <c r="H107" s="5" t="s">
        <v>1381</v>
      </c>
    </row>
    <row r="108">
      <c r="A108" s="5">
        <v>1.0</v>
      </c>
      <c r="B108" s="5" t="s">
        <v>1473</v>
      </c>
      <c r="C108" s="5">
        <v>1.0</v>
      </c>
      <c r="D108" s="5" t="s">
        <v>1362</v>
      </c>
      <c r="E108" s="5">
        <v>0.0</v>
      </c>
      <c r="F108" s="13">
        <v>0.65625</v>
      </c>
      <c r="G108" s="5" t="s">
        <v>1703</v>
      </c>
      <c r="H108" s="5" t="s">
        <v>1381</v>
      </c>
    </row>
    <row r="109">
      <c r="A109" s="5">
        <v>1.0</v>
      </c>
      <c r="B109" s="5" t="s">
        <v>1473</v>
      </c>
      <c r="C109" s="5">
        <v>1.0</v>
      </c>
      <c r="D109" s="5" t="s">
        <v>1361</v>
      </c>
      <c r="E109" s="5">
        <v>0.0</v>
      </c>
      <c r="F109" s="13">
        <v>0.7604166666666666</v>
      </c>
      <c r="G109" s="5" t="s">
        <v>1704</v>
      </c>
      <c r="H109" s="5" t="s">
        <v>1381</v>
      </c>
    </row>
    <row r="110">
      <c r="A110" s="5">
        <v>2.0</v>
      </c>
      <c r="B110" s="5" t="s">
        <v>1473</v>
      </c>
      <c r="C110" s="5">
        <v>2.0</v>
      </c>
      <c r="D110" s="5" t="s">
        <v>1363</v>
      </c>
      <c r="E110" s="5">
        <v>3.0</v>
      </c>
      <c r="F110" s="13">
        <v>0.4791666666666667</v>
      </c>
      <c r="G110" s="5" t="s">
        <v>1705</v>
      </c>
      <c r="H110" s="5" t="s">
        <v>1381</v>
      </c>
    </row>
    <row r="111">
      <c r="A111" s="5">
        <v>2.0</v>
      </c>
      <c r="B111" s="5" t="s">
        <v>1473</v>
      </c>
      <c r="C111" s="5">
        <v>2.0</v>
      </c>
      <c r="D111" s="5" t="s">
        <v>1362</v>
      </c>
      <c r="E111" s="5">
        <v>3.0</v>
      </c>
      <c r="F111" s="13">
        <v>0.6458333333333334</v>
      </c>
      <c r="G111" s="5" t="s">
        <v>1706</v>
      </c>
      <c r="H111" s="5" t="s">
        <v>1381</v>
      </c>
    </row>
    <row r="112">
      <c r="A112" s="5">
        <v>2.0</v>
      </c>
      <c r="B112" s="5" t="s">
        <v>1473</v>
      </c>
      <c r="C112" s="5">
        <v>2.0</v>
      </c>
      <c r="D112" s="5" t="s">
        <v>1361</v>
      </c>
      <c r="E112" s="5">
        <v>3.0</v>
      </c>
      <c r="F112" s="13">
        <v>0.75</v>
      </c>
      <c r="G112" s="5" t="s">
        <v>1707</v>
      </c>
      <c r="H112" s="5" t="s">
        <v>1381</v>
      </c>
    </row>
    <row r="113">
      <c r="A113" s="5">
        <v>3.0</v>
      </c>
      <c r="B113" s="5" t="s">
        <v>1473</v>
      </c>
      <c r="C113" s="5">
        <v>3.0</v>
      </c>
      <c r="D113" s="5" t="s">
        <v>1363</v>
      </c>
      <c r="E113" s="5">
        <v>7.0</v>
      </c>
      <c r="F113" s="13">
        <v>0.4895833333333333</v>
      </c>
      <c r="G113" s="14" t="s">
        <v>1708</v>
      </c>
      <c r="H113" s="5" t="s">
        <v>1381</v>
      </c>
    </row>
    <row r="114">
      <c r="A114" s="5">
        <v>3.0</v>
      </c>
      <c r="B114" s="5" t="s">
        <v>1473</v>
      </c>
      <c r="C114" s="5">
        <v>3.0</v>
      </c>
      <c r="D114" s="5" t="s">
        <v>1362</v>
      </c>
      <c r="E114" s="5">
        <v>7.0</v>
      </c>
      <c r="F114" s="13">
        <v>0.65625</v>
      </c>
      <c r="G114" s="14" t="s">
        <v>1709</v>
      </c>
      <c r="H114" s="5" t="s">
        <v>1381</v>
      </c>
    </row>
    <row r="115">
      <c r="A115" s="5">
        <v>3.0</v>
      </c>
      <c r="B115" s="5" t="s">
        <v>1473</v>
      </c>
      <c r="C115" s="5">
        <v>3.0</v>
      </c>
      <c r="D115" s="5" t="s">
        <v>1361</v>
      </c>
      <c r="E115" s="5">
        <v>7.0</v>
      </c>
      <c r="F115" s="13">
        <v>0.7604166666666666</v>
      </c>
      <c r="G115" s="14" t="s">
        <v>1710</v>
      </c>
      <c r="H115" s="5" t="s">
        <v>1381</v>
      </c>
    </row>
    <row r="116">
      <c r="A116" s="5">
        <v>4.0</v>
      </c>
      <c r="B116" s="5" t="s">
        <v>1473</v>
      </c>
      <c r="C116" s="5">
        <v>4.0</v>
      </c>
      <c r="D116" s="5" t="s">
        <v>1363</v>
      </c>
      <c r="E116" s="5">
        <v>14.0</v>
      </c>
      <c r="F116" s="13">
        <v>0.4791666666666667</v>
      </c>
      <c r="G116" s="14" t="s">
        <v>1711</v>
      </c>
      <c r="H116" s="5" t="s">
        <v>1381</v>
      </c>
    </row>
    <row r="117">
      <c r="A117" s="5">
        <v>4.0</v>
      </c>
      <c r="B117" s="5" t="s">
        <v>1473</v>
      </c>
      <c r="C117" s="5">
        <v>4.0</v>
      </c>
      <c r="D117" s="5" t="s">
        <v>1362</v>
      </c>
      <c r="E117" s="5">
        <v>14.0</v>
      </c>
      <c r="F117" s="13">
        <v>0.6458333333333334</v>
      </c>
      <c r="G117" s="14" t="s">
        <v>1712</v>
      </c>
      <c r="H117" s="5" t="s">
        <v>1381</v>
      </c>
    </row>
    <row r="118">
      <c r="A118" s="5">
        <v>4.0</v>
      </c>
      <c r="B118" s="5" t="s">
        <v>1473</v>
      </c>
      <c r="C118" s="5">
        <v>4.0</v>
      </c>
      <c r="D118" s="5" t="s">
        <v>1361</v>
      </c>
      <c r="E118" s="5">
        <v>14.0</v>
      </c>
      <c r="F118" s="13">
        <v>0.75</v>
      </c>
      <c r="G118" s="5" t="s">
        <v>1713</v>
      </c>
      <c r="H118" s="5" t="s">
        <v>1381</v>
      </c>
    </row>
    <row r="119">
      <c r="A119" s="12"/>
      <c r="B119" s="12"/>
      <c r="C119" s="12"/>
      <c r="D119" s="12"/>
      <c r="E119" s="12"/>
      <c r="F119" s="12"/>
      <c r="G119" s="15"/>
      <c r="H119" s="12"/>
      <c r="I119" s="12"/>
      <c r="J119" s="12"/>
      <c r="K119" s="12"/>
    </row>
    <row r="120">
      <c r="A120" s="5">
        <v>1.0</v>
      </c>
      <c r="B120" s="5" t="s">
        <v>1522</v>
      </c>
      <c r="C120" s="5">
        <v>1.0</v>
      </c>
      <c r="D120" s="5" t="s">
        <v>1363</v>
      </c>
      <c r="E120" s="5">
        <v>0.0</v>
      </c>
      <c r="F120" s="13">
        <v>0.46875</v>
      </c>
      <c r="G120" s="5" t="s">
        <v>1714</v>
      </c>
      <c r="H120" s="5" t="s">
        <v>1381</v>
      </c>
    </row>
    <row r="121">
      <c r="A121" s="5">
        <v>1.0</v>
      </c>
      <c r="B121" s="5" t="s">
        <v>1522</v>
      </c>
      <c r="C121" s="5">
        <v>1.0</v>
      </c>
      <c r="D121" s="5" t="s">
        <v>1362</v>
      </c>
      <c r="E121" s="5">
        <v>0.0</v>
      </c>
      <c r="F121" s="13">
        <v>0.65625</v>
      </c>
      <c r="G121" s="5" t="s">
        <v>1715</v>
      </c>
      <c r="H121" s="5" t="s">
        <v>1381</v>
      </c>
    </row>
    <row r="122">
      <c r="A122" s="5">
        <v>1.0</v>
      </c>
      <c r="B122" s="5" t="s">
        <v>1522</v>
      </c>
      <c r="C122" s="5">
        <v>1.0</v>
      </c>
      <c r="D122" s="5" t="s">
        <v>1361</v>
      </c>
      <c r="E122" s="5">
        <v>0.0</v>
      </c>
      <c r="F122" s="13">
        <v>0.7604166666666666</v>
      </c>
      <c r="G122" s="5" t="s">
        <v>1716</v>
      </c>
      <c r="H122" s="5" t="s">
        <v>1381</v>
      </c>
    </row>
    <row r="123">
      <c r="A123" s="5">
        <v>2.0</v>
      </c>
      <c r="B123" s="5" t="s">
        <v>1522</v>
      </c>
      <c r="C123" s="5">
        <v>2.0</v>
      </c>
      <c r="D123" s="5" t="s">
        <v>1363</v>
      </c>
      <c r="E123" s="5">
        <v>3.0</v>
      </c>
      <c r="F123" s="13">
        <v>0.4791666666666667</v>
      </c>
      <c r="G123" s="5" t="s">
        <v>1717</v>
      </c>
      <c r="H123" s="5" t="s">
        <v>1381</v>
      </c>
    </row>
    <row r="124">
      <c r="A124" s="5">
        <v>2.0</v>
      </c>
      <c r="B124" s="5" t="s">
        <v>1522</v>
      </c>
      <c r="C124" s="5">
        <v>2.0</v>
      </c>
      <c r="D124" s="5" t="s">
        <v>1362</v>
      </c>
      <c r="E124" s="5">
        <v>3.0</v>
      </c>
      <c r="F124" s="13">
        <v>0.6458333333333334</v>
      </c>
      <c r="G124" s="5" t="s">
        <v>1718</v>
      </c>
      <c r="H124" s="5" t="s">
        <v>1381</v>
      </c>
    </row>
    <row r="125">
      <c r="A125" s="5">
        <v>2.0</v>
      </c>
      <c r="B125" s="5" t="s">
        <v>1522</v>
      </c>
      <c r="C125" s="5">
        <v>2.0</v>
      </c>
      <c r="D125" s="5" t="s">
        <v>1361</v>
      </c>
      <c r="E125" s="5">
        <v>3.0</v>
      </c>
      <c r="F125" s="13">
        <v>0.75</v>
      </c>
      <c r="G125" s="5" t="s">
        <v>1719</v>
      </c>
      <c r="H125" s="5" t="s">
        <v>1381</v>
      </c>
    </row>
    <row r="126">
      <c r="A126" s="5">
        <v>3.0</v>
      </c>
      <c r="B126" s="5" t="s">
        <v>1522</v>
      </c>
      <c r="C126" s="5">
        <v>3.0</v>
      </c>
      <c r="D126" s="5" t="s">
        <v>1363</v>
      </c>
      <c r="E126" s="5">
        <v>7.0</v>
      </c>
      <c r="F126" s="13">
        <v>0.4895833333333333</v>
      </c>
      <c r="G126" s="14" t="s">
        <v>1720</v>
      </c>
      <c r="H126" s="5" t="s">
        <v>1381</v>
      </c>
    </row>
    <row r="127">
      <c r="A127" s="5">
        <v>3.0</v>
      </c>
      <c r="B127" s="5" t="s">
        <v>1522</v>
      </c>
      <c r="C127" s="5">
        <v>3.0</v>
      </c>
      <c r="D127" s="5" t="s">
        <v>1362</v>
      </c>
      <c r="E127" s="5">
        <v>7.0</v>
      </c>
      <c r="F127" s="13">
        <v>0.65625</v>
      </c>
      <c r="G127" s="14" t="s">
        <v>1721</v>
      </c>
      <c r="H127" s="5" t="s">
        <v>1381</v>
      </c>
    </row>
    <row r="128">
      <c r="A128" s="5">
        <v>3.0</v>
      </c>
      <c r="B128" s="5" t="s">
        <v>1522</v>
      </c>
      <c r="C128" s="5">
        <v>3.0</v>
      </c>
      <c r="D128" s="5" t="s">
        <v>1361</v>
      </c>
      <c r="E128" s="5">
        <v>7.0</v>
      </c>
      <c r="F128" s="13">
        <v>0.7604166666666666</v>
      </c>
      <c r="G128" s="14" t="s">
        <v>1722</v>
      </c>
      <c r="H128" s="5" t="s">
        <v>1381</v>
      </c>
    </row>
    <row r="129">
      <c r="A129" s="5">
        <v>4.0</v>
      </c>
      <c r="B129" s="5" t="s">
        <v>1522</v>
      </c>
      <c r="C129" s="5">
        <v>4.0</v>
      </c>
      <c r="D129" s="5" t="s">
        <v>1363</v>
      </c>
      <c r="E129" s="5">
        <v>14.0</v>
      </c>
      <c r="F129" s="13">
        <v>0.4791666666666667</v>
      </c>
      <c r="G129" s="14" t="s">
        <v>1723</v>
      </c>
      <c r="H129" s="5" t="s">
        <v>1381</v>
      </c>
    </row>
    <row r="130">
      <c r="A130" s="5">
        <v>4.0</v>
      </c>
      <c r="B130" s="5" t="s">
        <v>1522</v>
      </c>
      <c r="C130" s="5">
        <v>4.0</v>
      </c>
      <c r="D130" s="5" t="s">
        <v>1362</v>
      </c>
      <c r="E130" s="5">
        <v>14.0</v>
      </c>
      <c r="F130" s="13">
        <v>0.6458333333333334</v>
      </c>
      <c r="G130" s="14" t="s">
        <v>1724</v>
      </c>
      <c r="H130" s="5" t="s">
        <v>1381</v>
      </c>
    </row>
    <row r="131">
      <c r="A131" s="5">
        <v>4.0</v>
      </c>
      <c r="B131" s="5" t="s">
        <v>1522</v>
      </c>
      <c r="C131" s="5">
        <v>4.0</v>
      </c>
      <c r="D131" s="5" t="s">
        <v>1361</v>
      </c>
      <c r="E131" s="5">
        <v>14.0</v>
      </c>
      <c r="F131" s="13">
        <v>0.75</v>
      </c>
      <c r="G131" s="5" t="s">
        <v>1725</v>
      </c>
      <c r="H131" s="5" t="s">
        <v>1381</v>
      </c>
    </row>
    <row r="132">
      <c r="G132" s="9"/>
    </row>
    <row r="133">
      <c r="A133" s="5">
        <v>1.0</v>
      </c>
      <c r="B133" s="5" t="s">
        <v>1379</v>
      </c>
      <c r="C133" s="5">
        <v>1.0</v>
      </c>
      <c r="D133" s="5" t="s">
        <v>1363</v>
      </c>
      <c r="E133" s="5">
        <v>0.0</v>
      </c>
      <c r="F133" s="13">
        <v>0.46875</v>
      </c>
      <c r="G133" s="8" t="s">
        <v>1726</v>
      </c>
      <c r="H133" s="5" t="s">
        <v>1381</v>
      </c>
    </row>
    <row r="134">
      <c r="A134" s="5">
        <v>1.0</v>
      </c>
      <c r="B134" s="5" t="s">
        <v>1379</v>
      </c>
      <c r="C134" s="5">
        <v>1.0</v>
      </c>
      <c r="D134" s="5" t="s">
        <v>1362</v>
      </c>
      <c r="E134" s="5">
        <v>0.0</v>
      </c>
      <c r="F134" s="13">
        <v>0.65625</v>
      </c>
      <c r="G134" s="5" t="s">
        <v>1727</v>
      </c>
      <c r="H134" s="5" t="s">
        <v>1381</v>
      </c>
    </row>
    <row r="135">
      <c r="A135" s="5">
        <v>1.0</v>
      </c>
      <c r="B135" s="5" t="s">
        <v>1379</v>
      </c>
      <c r="C135" s="5">
        <v>1.0</v>
      </c>
      <c r="D135" s="5" t="s">
        <v>1361</v>
      </c>
      <c r="E135" s="5">
        <v>0.0</v>
      </c>
      <c r="F135" s="13">
        <v>0.7604166666666666</v>
      </c>
      <c r="G135" s="5" t="s">
        <v>1346</v>
      </c>
      <c r="H135" s="5" t="s">
        <v>1381</v>
      </c>
    </row>
    <row r="136">
      <c r="A136" s="5">
        <v>2.0</v>
      </c>
      <c r="B136" s="5" t="s">
        <v>1379</v>
      </c>
      <c r="C136" s="5">
        <v>2.0</v>
      </c>
      <c r="D136" s="5" t="s">
        <v>1363</v>
      </c>
      <c r="E136" s="5">
        <v>2.0</v>
      </c>
      <c r="F136" s="13">
        <v>0.4791666666666667</v>
      </c>
      <c r="G136" s="5" t="s">
        <v>1728</v>
      </c>
      <c r="H136" s="5" t="s">
        <v>1381</v>
      </c>
    </row>
    <row r="137">
      <c r="A137" s="5">
        <v>2.0</v>
      </c>
      <c r="B137" s="5" t="s">
        <v>1379</v>
      </c>
      <c r="C137" s="5">
        <v>2.0</v>
      </c>
      <c r="D137" s="5" t="s">
        <v>1362</v>
      </c>
      <c r="E137" s="5">
        <v>2.0</v>
      </c>
      <c r="F137" s="13">
        <v>0.6458333333333334</v>
      </c>
      <c r="G137" s="5" t="s">
        <v>1729</v>
      </c>
      <c r="H137" s="5" t="s">
        <v>1381</v>
      </c>
    </row>
    <row r="138">
      <c r="A138" s="5">
        <v>2.0</v>
      </c>
      <c r="B138" s="5" t="s">
        <v>1379</v>
      </c>
      <c r="C138" s="5">
        <v>2.0</v>
      </c>
      <c r="D138" s="5" t="s">
        <v>1361</v>
      </c>
      <c r="E138" s="5">
        <v>2.0</v>
      </c>
      <c r="F138" s="13">
        <v>0.75</v>
      </c>
      <c r="G138" s="5" t="s">
        <v>1730</v>
      </c>
      <c r="H138" s="5" t="s">
        <v>1381</v>
      </c>
    </row>
    <row r="139">
      <c r="A139" s="5">
        <v>3.0</v>
      </c>
      <c r="B139" s="5" t="s">
        <v>1379</v>
      </c>
      <c r="C139" s="5">
        <v>3.0</v>
      </c>
      <c r="D139" s="5" t="s">
        <v>1363</v>
      </c>
      <c r="E139" s="5">
        <v>7.0</v>
      </c>
      <c r="F139" s="13">
        <v>0.4895833333333333</v>
      </c>
      <c r="G139" s="14" t="s">
        <v>1731</v>
      </c>
      <c r="H139" s="5" t="s">
        <v>1381</v>
      </c>
    </row>
    <row r="140">
      <c r="A140" s="5">
        <v>3.0</v>
      </c>
      <c r="B140" s="5" t="s">
        <v>1379</v>
      </c>
      <c r="C140" s="5">
        <v>3.0</v>
      </c>
      <c r="D140" s="5" t="s">
        <v>1362</v>
      </c>
      <c r="E140" s="5">
        <v>7.0</v>
      </c>
      <c r="F140" s="13">
        <v>0.65625</v>
      </c>
      <c r="G140" s="14" t="s">
        <v>1732</v>
      </c>
      <c r="H140" s="5" t="s">
        <v>1381</v>
      </c>
    </row>
    <row r="141">
      <c r="A141" s="5">
        <v>3.0</v>
      </c>
      <c r="B141" s="5" t="s">
        <v>1379</v>
      </c>
      <c r="C141" s="5">
        <v>3.0</v>
      </c>
      <c r="D141" s="5" t="s">
        <v>1361</v>
      </c>
      <c r="E141" s="5">
        <v>7.0</v>
      </c>
      <c r="F141" s="13">
        <v>0.7604166666666666</v>
      </c>
      <c r="G141" s="14" t="s">
        <v>1733</v>
      </c>
      <c r="H141" s="5" t="s">
        <v>1381</v>
      </c>
    </row>
    <row r="142">
      <c r="A142" s="5">
        <v>4.0</v>
      </c>
      <c r="B142" s="5" t="s">
        <v>1379</v>
      </c>
      <c r="C142" s="5">
        <v>4.0</v>
      </c>
      <c r="D142" s="5" t="s">
        <v>1363</v>
      </c>
      <c r="E142" s="5">
        <v>14.0</v>
      </c>
      <c r="F142" s="13">
        <v>0.4791666666666667</v>
      </c>
      <c r="G142" s="14" t="s">
        <v>1734</v>
      </c>
      <c r="H142" s="5" t="s">
        <v>1381</v>
      </c>
    </row>
    <row r="143">
      <c r="A143" s="5">
        <v>4.0</v>
      </c>
      <c r="B143" s="5" t="s">
        <v>1379</v>
      </c>
      <c r="C143" s="5">
        <v>4.0</v>
      </c>
      <c r="D143" s="5" t="s">
        <v>1362</v>
      </c>
      <c r="E143" s="5">
        <v>14.0</v>
      </c>
      <c r="F143" s="13">
        <v>0.6458333333333334</v>
      </c>
      <c r="G143" s="14" t="s">
        <v>1735</v>
      </c>
      <c r="H143" s="5" t="s">
        <v>1381</v>
      </c>
    </row>
    <row r="144">
      <c r="A144" s="5">
        <v>4.0</v>
      </c>
      <c r="B144" s="5" t="s">
        <v>1379</v>
      </c>
      <c r="C144" s="5">
        <v>4.0</v>
      </c>
      <c r="D144" s="5" t="s">
        <v>1361</v>
      </c>
      <c r="E144" s="5">
        <v>14.0</v>
      </c>
      <c r="F144" s="13">
        <v>0.75</v>
      </c>
      <c r="G144" s="5" t="s">
        <v>1736</v>
      </c>
      <c r="H144" s="5" t="s">
        <v>1381</v>
      </c>
    </row>
    <row r="145">
      <c r="G145" s="9"/>
    </row>
    <row r="146">
      <c r="G146" s="9"/>
    </row>
    <row r="147">
      <c r="G147" s="9"/>
    </row>
    <row r="148">
      <c r="G148" s="9"/>
    </row>
    <row r="149">
      <c r="G149" s="9"/>
    </row>
    <row r="150">
      <c r="G150" s="9"/>
    </row>
    <row r="151">
      <c r="G151" s="9"/>
    </row>
    <row r="152">
      <c r="G152" s="9"/>
    </row>
    <row r="153">
      <c r="G153" s="9"/>
    </row>
    <row r="154">
      <c r="G154" s="9"/>
    </row>
    <row r="155">
      <c r="G155" s="9"/>
    </row>
    <row r="156">
      <c r="G156" s="9"/>
    </row>
    <row r="157">
      <c r="G157" s="9"/>
    </row>
    <row r="158">
      <c r="G158" s="9"/>
    </row>
    <row r="159">
      <c r="G159" s="9"/>
    </row>
    <row r="160">
      <c r="G160" s="9"/>
    </row>
    <row r="161">
      <c r="G161" s="9"/>
    </row>
    <row r="162">
      <c r="G162" s="9"/>
    </row>
    <row r="163">
      <c r="G163" s="9"/>
    </row>
    <row r="164">
      <c r="G164" s="9"/>
    </row>
    <row r="165">
      <c r="G165" s="9"/>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sheetData>
  <hyperlinks>
    <hyperlink r:id="rId1" ref="G9"/>
    <hyperlink r:id="rId2" ref="G10"/>
    <hyperlink r:id="rId3" ref="G11"/>
    <hyperlink r:id="rId4" ref="G12"/>
    <hyperlink r:id="rId5" ref="G13"/>
    <hyperlink r:id="rId6" ref="G22"/>
    <hyperlink r:id="rId7" ref="G23"/>
    <hyperlink r:id="rId8" ref="G24"/>
    <hyperlink r:id="rId9" ref="G25"/>
    <hyperlink r:id="rId10" ref="G26"/>
    <hyperlink r:id="rId11" ref="G48"/>
    <hyperlink r:id="rId12" ref="G49"/>
    <hyperlink r:id="rId13" ref="G50"/>
    <hyperlink r:id="rId14" ref="G51"/>
    <hyperlink r:id="rId15" ref="G52"/>
    <hyperlink r:id="rId16" ref="G61"/>
    <hyperlink r:id="rId17" ref="G62"/>
    <hyperlink r:id="rId18" ref="G63"/>
    <hyperlink r:id="rId19" ref="G64"/>
    <hyperlink r:id="rId20" ref="G65"/>
    <hyperlink r:id="rId21" ref="G74"/>
    <hyperlink r:id="rId22" ref="G75"/>
    <hyperlink r:id="rId23" ref="G76"/>
    <hyperlink r:id="rId24" ref="G77"/>
    <hyperlink r:id="rId25" ref="G78"/>
    <hyperlink r:id="rId26" ref="G87"/>
    <hyperlink r:id="rId27" ref="G88"/>
    <hyperlink r:id="rId28" ref="G89"/>
    <hyperlink r:id="rId29" ref="G90"/>
    <hyperlink r:id="rId30" ref="G91"/>
    <hyperlink r:id="rId31" ref="G101"/>
    <hyperlink r:id="rId32" ref="G103"/>
    <hyperlink r:id="rId33" ref="G104"/>
    <hyperlink r:id="rId34" ref="G105"/>
    <hyperlink r:id="rId35" ref="G113"/>
    <hyperlink r:id="rId36" ref="G114"/>
    <hyperlink r:id="rId37" ref="G115"/>
    <hyperlink r:id="rId38" ref="G116"/>
    <hyperlink r:id="rId39" ref="G117"/>
    <hyperlink r:id="rId40" ref="G126"/>
    <hyperlink r:id="rId41" ref="G127"/>
    <hyperlink r:id="rId42" ref="G128"/>
    <hyperlink r:id="rId43" ref="G129"/>
    <hyperlink r:id="rId44" ref="G130"/>
    <hyperlink r:id="rId45" ref="G139"/>
    <hyperlink r:id="rId46" ref="G140"/>
    <hyperlink r:id="rId47" ref="G141"/>
    <hyperlink r:id="rId48" ref="G142"/>
    <hyperlink r:id="rId49" ref="G143"/>
  </hyperlinks>
  <drawing r:id="rId50"/>
</worksheet>
</file>